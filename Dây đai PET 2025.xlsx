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ml.chartshape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tables/table2.xml" ContentType="application/vnd.openxmlformats-officedocument.spreadsheetml.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ata\Dư án dây đai đại lộc\Danh\"/>
    </mc:Choice>
  </mc:AlternateContent>
  <xr:revisionPtr revIDLastSave="0" documentId="13_ncr:1_{F783A9B0-EA60-476B-BE9E-0C770042A4EF}" xr6:coauthVersionLast="47" xr6:coauthVersionMax="47" xr10:uidLastSave="{00000000-0000-0000-0000-000000000000}"/>
  <bookViews>
    <workbookView xWindow="-110" yWindow="-110" windowWidth="19420" windowHeight="10300" tabRatio="903" firstSheet="1" activeTab="11" xr2:uid="{0C3BB8C3-C960-415F-9B33-0145FB4CA354}"/>
  </bookViews>
  <sheets>
    <sheet name="&gt;Slide" sheetId="15" state="hidden" r:id="rId1"/>
    <sheet name="Slide 1" sheetId="16" r:id="rId2"/>
    <sheet name="Slide 2" sheetId="17" state="hidden" r:id="rId3"/>
    <sheet name="Slide 3" sheetId="18" state="hidden" r:id="rId4"/>
    <sheet name="GB" sheetId="24" state="hidden" r:id="rId5"/>
    <sheet name="GB-v2" sheetId="27" state="hidden" r:id="rId6"/>
    <sheet name="&gt;Working" sheetId="19" r:id="rId7"/>
    <sheet name="Điều chỉnh" sheetId="8" r:id="rId8"/>
    <sheet name="Trình bày" sheetId="29" r:id="rId9"/>
    <sheet name="Trình bày (2)" sheetId="30" state="hidden" r:id="rId10"/>
    <sheet name="Bán hàng-Break-down BOM" sheetId="5" r:id="rId11"/>
    <sheet name="Cơ cấu dây đai-YTD0325" sheetId="22" r:id="rId12"/>
    <sheet name="Xem xét" sheetId="23" r:id="rId13"/>
    <sheet name="MD" sheetId="10" state="hidden" r:id="rId14"/>
    <sheet name="NXT" sheetId="4" state="hidden" r:id="rId15"/>
    <sheet name="Detail1" sheetId="31" r:id="rId16"/>
    <sheet name="PV_Data" sheetId="3" r:id="rId17"/>
    <sheet name="CAPEX" sheetId="7" state="hidden" r:id="rId18"/>
    <sheet name="PS-YTD0623" sheetId="9" state="hidden" r:id="rId19"/>
    <sheet name="PS-2024" sheetId="11" state="hidden" r:id="rId20"/>
    <sheet name="Data" sheetId="2" state="hidden" r:id="rId21"/>
    <sheet name="Sheet3" sheetId="14" state="hidden" r:id="rId22"/>
    <sheet name="BC Gia tường" sheetId="20" state="hidden" r:id="rId23"/>
    <sheet name="In" sheetId="13" state="hidden" r:id="rId24"/>
  </sheets>
  <definedNames>
    <definedName name="_Fill" localSheetId="23" hidden="1">#REF!</definedName>
    <definedName name="_Fill" localSheetId="19" hidden="1">#REF!</definedName>
    <definedName name="_Fill" hidden="1">#REF!</definedName>
    <definedName name="_xlnm._FilterDatabase" localSheetId="23" hidden="1">In!$A$9:$L$97</definedName>
    <definedName name="_xlnm._FilterDatabase" localSheetId="19" hidden="1">'PS-2024'!$A$5:$CR$86</definedName>
    <definedName name="_Order1" hidden="1">255</definedName>
    <definedName name="_Order2" hidden="1">255</definedName>
    <definedName name="_Sort" localSheetId="23" hidden="1">#REF!</definedName>
    <definedName name="_Sort" localSheetId="19" hidden="1">#REF!</definedName>
    <definedName name="_Sort" hidden="1">#REF!</definedName>
    <definedName name="_tram" localSheetId="23" hidden="1">#REF!</definedName>
    <definedName name="_tram" localSheetId="19" hidden="1">#REF!</definedName>
    <definedName name="_tram" hidden="1">#REF!</definedName>
    <definedName name="anscount" hidden="1">2</definedName>
    <definedName name="limcount" hidden="1">1</definedName>
    <definedName name="PHUONG" localSheetId="23" hidden="1">#REF!</definedName>
    <definedName name="PHUONG" localSheetId="19" hidden="1">#REF!</definedName>
    <definedName name="PHUONG" hidden="1">#REF!</definedName>
    <definedName name="_xlnm.Print_Area" localSheetId="23">In!$A$1:$L$120</definedName>
    <definedName name="_xlnm.Print_Titles" localSheetId="23">In!$1:$8</definedName>
    <definedName name="sdgt" localSheetId="23" hidden="1">#REF!</definedName>
    <definedName name="sdgt" localSheetId="19" hidden="1">#REF!</definedName>
    <definedName name="sdgt" hidden="1">#REF!</definedName>
    <definedName name="sencount" hidden="1">1</definedName>
    <definedName name="Sort" localSheetId="23" hidden="1">#REF!</definedName>
    <definedName name="Sort" localSheetId="19" hidden="1">#REF!</definedName>
    <definedName name="Sort" hidden="1">#REF!</definedName>
    <definedName name="tram" localSheetId="23" hidden="1">#REF!</definedName>
    <definedName name="tram" localSheetId="19" hidden="1">#REF!</definedName>
    <definedName name="tram" hidden="1">#REF!</definedName>
  </definedNames>
  <calcPr calcId="191029" calcMode="manual"/>
  <pivotCaches>
    <pivotCache cacheId="0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2" l="1"/>
  <c r="E7" i="23"/>
  <c r="AD8" i="5"/>
  <c r="AD9" i="5"/>
  <c r="AD10" i="5"/>
  <c r="AD11" i="5"/>
  <c r="AD12" i="5"/>
  <c r="AD13" i="5"/>
  <c r="AD14" i="5"/>
  <c r="AD15" i="5"/>
  <c r="AD7" i="5"/>
  <c r="G14" i="29"/>
  <c r="I57" i="5" l="1"/>
  <c r="N12" i="30"/>
  <c r="P17" i="30"/>
  <c r="P14" i="30"/>
  <c r="P10" i="30"/>
  <c r="R10" i="30" s="1"/>
  <c r="Q11" i="30"/>
  <c r="Q12" i="30" s="1"/>
  <c r="P7" i="30"/>
  <c r="N11" i="30"/>
  <c r="N10" i="30"/>
  <c r="G28" i="30" a="1"/>
  <c r="G28" i="30" s="1"/>
  <c r="G27" i="30" a="1"/>
  <c r="G27" i="30" s="1"/>
  <c r="E27" i="30" a="1"/>
  <c r="E27" i="30" s="1"/>
  <c r="E7" i="30" a="1"/>
  <c r="E7" i="30" s="1"/>
  <c r="D4" i="30"/>
  <c r="O11" i="29"/>
  <c r="O12" i="29" s="1"/>
  <c r="N17" i="29"/>
  <c r="N7" i="29"/>
  <c r="AC2" i="5"/>
  <c r="L15" i="3"/>
  <c r="K15" i="3"/>
  <c r="J15" i="3"/>
  <c r="I15" i="3"/>
  <c r="H15" i="3"/>
  <c r="G15" i="3"/>
  <c r="F15" i="3"/>
  <c r="E15" i="3"/>
  <c r="D15" i="3"/>
  <c r="C15" i="3"/>
  <c r="M15" i="3"/>
  <c r="E27" i="29" a="1"/>
  <c r="E27" i="29" s="1"/>
  <c r="M53" i="2" a="1"/>
  <c r="M53" i="2" s="1"/>
  <c r="N1" i="3"/>
  <c r="L1" i="3"/>
  <c r="M1" i="3"/>
  <c r="L53" i="2"/>
  <c r="L54" i="2"/>
  <c r="L55" i="2"/>
  <c r="L56" i="2"/>
  <c r="N53" i="2"/>
  <c r="AY14" i="8"/>
  <c r="X50" i="5" a="1"/>
  <c r="X50" i="5" s="1"/>
  <c r="W45" i="5" a="1"/>
  <c r="W45" i="5" s="1"/>
  <c r="W57" i="5" s="1"/>
  <c r="AE7" i="5"/>
  <c r="R18" i="4"/>
  <c r="U15" i="4"/>
  <c r="R17" i="4"/>
  <c r="B17" i="4"/>
  <c r="AU14" i="8"/>
  <c r="P12" i="3"/>
  <c r="P11" i="3"/>
  <c r="P10" i="3"/>
  <c r="P9" i="3"/>
  <c r="P8" i="3"/>
  <c r="P7" i="3"/>
  <c r="Q18" i="4"/>
  <c r="Q17" i="4"/>
  <c r="B16" i="4"/>
  <c r="L49" i="2"/>
  <c r="L50" i="2"/>
  <c r="L51" i="2"/>
  <c r="L52" i="2"/>
  <c r="N49" i="2"/>
  <c r="D4" i="29"/>
  <c r="P12" i="30" l="1"/>
  <c r="R12" i="30" s="1"/>
  <c r="P11" i="30"/>
  <c r="F7" i="30" a="1"/>
  <c r="F7" i="30" s="1"/>
  <c r="G7" i="30"/>
  <c r="E17" i="30"/>
  <c r="E13" i="30" a="1"/>
  <c r="E13" i="30" s="1"/>
  <c r="E14" i="30"/>
  <c r="G14" i="30" s="1"/>
  <c r="N14" i="30" s="1"/>
  <c r="H27" i="30"/>
  <c r="G29" i="30"/>
  <c r="W47" i="5" a="1"/>
  <c r="W47" i="5" s="1"/>
  <c r="W59" i="5" s="1"/>
  <c r="W48" i="5" a="1"/>
  <c r="W48" i="5" s="1"/>
  <c r="W60" i="5" s="1"/>
  <c r="W49" i="5" a="1"/>
  <c r="W49" i="5" s="1"/>
  <c r="W61" i="5" s="1"/>
  <c r="X53" i="5" a="1"/>
  <c r="X53" i="5" s="1"/>
  <c r="W23" i="5" a="1"/>
  <c r="W23" i="5" s="1"/>
  <c r="W35" i="5" s="1"/>
  <c r="W53" i="5" a="1"/>
  <c r="W53" i="5" s="1"/>
  <c r="W65" i="5" s="1"/>
  <c r="M52" i="2" a="1"/>
  <c r="M52" i="2" s="1"/>
  <c r="N52" i="2" s="1"/>
  <c r="X54" i="5" a="1"/>
  <c r="X54" i="5" s="1"/>
  <c r="W52" i="5" a="1"/>
  <c r="W52" i="5" s="1"/>
  <c r="W64" i="5" s="1"/>
  <c r="W46" i="5" a="1"/>
  <c r="W46" i="5" s="1"/>
  <c r="W58" i="5" s="1"/>
  <c r="W50" i="5" a="1"/>
  <c r="W50" i="5" s="1"/>
  <c r="W62" i="5" s="1"/>
  <c r="W18" i="5" a="1"/>
  <c r="W18" i="5" s="1"/>
  <c r="W30" i="5" s="1"/>
  <c r="W24" i="5" a="1"/>
  <c r="W24" i="5" s="1"/>
  <c r="W36" i="5" s="1"/>
  <c r="W25" i="5" a="1"/>
  <c r="W25" i="5" s="1"/>
  <c r="W37" i="5" s="1"/>
  <c r="X46" i="5" a="1"/>
  <c r="X46" i="5" s="1"/>
  <c r="M56" i="2" a="1"/>
  <c r="M56" i="2" s="1"/>
  <c r="N56" i="2" s="1"/>
  <c r="X47" i="5" a="1"/>
  <c r="X47" i="5" s="1"/>
  <c r="M54" i="2" a="1"/>
  <c r="M54" i="2" s="1"/>
  <c r="N54" i="2" s="1"/>
  <c r="X51" i="5" a="1"/>
  <c r="X51" i="5" s="1"/>
  <c r="X52" i="5" a="1"/>
  <c r="X52" i="5" s="1"/>
  <c r="W51" i="5" a="1"/>
  <c r="W51" i="5" s="1"/>
  <c r="W63" i="5" s="1"/>
  <c r="W54" i="5" a="1"/>
  <c r="W54" i="5" s="1"/>
  <c r="W66" i="5" s="1"/>
  <c r="X45" i="5" a="1"/>
  <c r="X45" i="5" s="1"/>
  <c r="X18" i="5" a="1"/>
  <c r="X18" i="5" s="1"/>
  <c r="X23" i="5" a="1"/>
  <c r="X23" i="5" s="1"/>
  <c r="M55" i="2" a="1"/>
  <c r="M55" i="2" s="1"/>
  <c r="N55" i="2" s="1"/>
  <c r="X24" i="5" a="1"/>
  <c r="X24" i="5" s="1"/>
  <c r="X48" i="5" a="1"/>
  <c r="X48" i="5" s="1"/>
  <c r="X25" i="5" a="1"/>
  <c r="X25" i="5" s="1"/>
  <c r="X49" i="5" a="1"/>
  <c r="X49" i="5" s="1"/>
  <c r="M49" i="2" a="1"/>
  <c r="M49" i="2" s="1"/>
  <c r="M51" i="2" a="1"/>
  <c r="M51" i="2" s="1"/>
  <c r="N51" i="2" s="1"/>
  <c r="M50" i="2" a="1"/>
  <c r="M50" i="2" s="1"/>
  <c r="N50" i="2" s="1"/>
  <c r="V54" i="5" a="1"/>
  <c r="V54" i="5" s="1"/>
  <c r="U54" i="5" a="1"/>
  <c r="U54" i="5" s="1"/>
  <c r="T54" i="5" a="1"/>
  <c r="T54" i="5" s="1"/>
  <c r="T66" i="5" s="1"/>
  <c r="S54" i="5" a="1"/>
  <c r="S54" i="5" s="1"/>
  <c r="S66" i="5" s="1"/>
  <c r="R54" i="5" a="1"/>
  <c r="R54" i="5" s="1"/>
  <c r="R66" i="5" s="1"/>
  <c r="Q54" i="5" a="1"/>
  <c r="Q54" i="5" s="1"/>
  <c r="Q66" i="5" s="1"/>
  <c r="P54" i="5" a="1"/>
  <c r="P54" i="5" s="1"/>
  <c r="P66" i="5" s="1"/>
  <c r="O54" i="5" a="1"/>
  <c r="O54" i="5" s="1"/>
  <c r="O66" i="5" s="1"/>
  <c r="N54" i="5" a="1"/>
  <c r="N54" i="5" s="1"/>
  <c r="M54" i="5" a="1"/>
  <c r="M54" i="5" s="1"/>
  <c r="M66" i="5" s="1"/>
  <c r="L54" i="5" a="1"/>
  <c r="L54" i="5" s="1"/>
  <c r="L66" i="5" s="1"/>
  <c r="K54" i="5" a="1"/>
  <c r="K54" i="5" s="1"/>
  <c r="K66" i="5" s="1"/>
  <c r="J54" i="5" a="1"/>
  <c r="J54" i="5" s="1"/>
  <c r="J66" i="5" s="1"/>
  <c r="I54" i="5" a="1"/>
  <c r="I54" i="5" s="1"/>
  <c r="I66" i="5" s="1"/>
  <c r="H54" i="5" a="1"/>
  <c r="H54" i="5" s="1"/>
  <c r="H66" i="5" s="1"/>
  <c r="G54" i="5" a="1"/>
  <c r="G54" i="5" s="1"/>
  <c r="G66" i="5" s="1"/>
  <c r="F54" i="5" a="1"/>
  <c r="F54" i="5" s="1"/>
  <c r="F66" i="5" s="1"/>
  <c r="E54" i="5" a="1"/>
  <c r="E54" i="5" s="1"/>
  <c r="E66" i="5" s="1"/>
  <c r="V53" i="5" a="1"/>
  <c r="V53" i="5" s="1"/>
  <c r="U53" i="5" a="1"/>
  <c r="U53" i="5" s="1"/>
  <c r="T53" i="5" a="1"/>
  <c r="T53" i="5" s="1"/>
  <c r="T65" i="5" s="1"/>
  <c r="S53" i="5" a="1"/>
  <c r="S53" i="5" s="1"/>
  <c r="S65" i="5" s="1"/>
  <c r="R53" i="5" a="1"/>
  <c r="R53" i="5" s="1"/>
  <c r="R65" i="5" s="1"/>
  <c r="Q53" i="5" a="1"/>
  <c r="Q53" i="5" s="1"/>
  <c r="Q65" i="5" s="1"/>
  <c r="P53" i="5" a="1"/>
  <c r="P53" i="5" s="1"/>
  <c r="P65" i="5" s="1"/>
  <c r="O53" i="5" a="1"/>
  <c r="O53" i="5" s="1"/>
  <c r="O65" i="5" s="1"/>
  <c r="N53" i="5" a="1"/>
  <c r="N53" i="5" s="1"/>
  <c r="M53" i="5" a="1"/>
  <c r="M53" i="5" s="1"/>
  <c r="M65" i="5" s="1"/>
  <c r="L53" i="5" a="1"/>
  <c r="L53" i="5" s="1"/>
  <c r="L65" i="5" s="1"/>
  <c r="K53" i="5" a="1"/>
  <c r="K53" i="5" s="1"/>
  <c r="K65" i="5" s="1"/>
  <c r="J53" i="5" a="1"/>
  <c r="J53" i="5" s="1"/>
  <c r="J65" i="5" s="1"/>
  <c r="I53" i="5" a="1"/>
  <c r="I53" i="5" s="1"/>
  <c r="I65" i="5" s="1"/>
  <c r="H53" i="5" a="1"/>
  <c r="H53" i="5" s="1"/>
  <c r="H65" i="5" s="1"/>
  <c r="G53" i="5" a="1"/>
  <c r="G53" i="5" s="1"/>
  <c r="G65" i="5" s="1"/>
  <c r="F53" i="5" a="1"/>
  <c r="F53" i="5" s="1"/>
  <c r="F65" i="5" s="1"/>
  <c r="E53" i="5" a="1"/>
  <c r="E53" i="5" s="1"/>
  <c r="E65" i="5" s="1"/>
  <c r="V52" i="5" a="1"/>
  <c r="V52" i="5" s="1"/>
  <c r="U52" i="5" a="1"/>
  <c r="U52" i="5" s="1"/>
  <c r="T52" i="5" a="1"/>
  <c r="T52" i="5" s="1"/>
  <c r="T64" i="5" s="1"/>
  <c r="S52" i="5" a="1"/>
  <c r="S52" i="5" s="1"/>
  <c r="S64" i="5" s="1"/>
  <c r="R52" i="5" a="1"/>
  <c r="R52" i="5" s="1"/>
  <c r="R64" i="5" s="1"/>
  <c r="Q52" i="5" a="1"/>
  <c r="Q52" i="5" s="1"/>
  <c r="Q64" i="5" s="1"/>
  <c r="P52" i="5" a="1"/>
  <c r="P52" i="5" s="1"/>
  <c r="P64" i="5" s="1"/>
  <c r="O52" i="5" a="1"/>
  <c r="O52" i="5" s="1"/>
  <c r="O64" i="5" s="1"/>
  <c r="N52" i="5" a="1"/>
  <c r="N52" i="5" s="1"/>
  <c r="M52" i="5" a="1"/>
  <c r="M52" i="5" s="1"/>
  <c r="M64" i="5" s="1"/>
  <c r="L52" i="5" a="1"/>
  <c r="L52" i="5" s="1"/>
  <c r="L64" i="5" s="1"/>
  <c r="K52" i="5" a="1"/>
  <c r="K52" i="5" s="1"/>
  <c r="K64" i="5" s="1"/>
  <c r="J52" i="5" a="1"/>
  <c r="J52" i="5" s="1"/>
  <c r="J64" i="5" s="1"/>
  <c r="I52" i="5" a="1"/>
  <c r="I52" i="5" s="1"/>
  <c r="I64" i="5" s="1"/>
  <c r="H52" i="5" a="1"/>
  <c r="H52" i="5" s="1"/>
  <c r="H64" i="5" s="1"/>
  <c r="G52" i="5" a="1"/>
  <c r="G52" i="5" s="1"/>
  <c r="G64" i="5" s="1"/>
  <c r="F52" i="5" a="1"/>
  <c r="F52" i="5" s="1"/>
  <c r="F64" i="5" s="1"/>
  <c r="E52" i="5" a="1"/>
  <c r="E52" i="5" s="1"/>
  <c r="E64" i="5" s="1"/>
  <c r="V51" i="5" a="1"/>
  <c r="V51" i="5" s="1"/>
  <c r="U51" i="5" a="1"/>
  <c r="U51" i="5" s="1"/>
  <c r="T51" i="5" a="1"/>
  <c r="T51" i="5" s="1"/>
  <c r="T63" i="5" s="1"/>
  <c r="S51" i="5" a="1"/>
  <c r="S51" i="5" s="1"/>
  <c r="S63" i="5" s="1"/>
  <c r="R51" i="5" a="1"/>
  <c r="R51" i="5" s="1"/>
  <c r="R63" i="5" s="1"/>
  <c r="Q51" i="5" a="1"/>
  <c r="Q51" i="5" s="1"/>
  <c r="Q63" i="5" s="1"/>
  <c r="P51" i="5" a="1"/>
  <c r="P51" i="5" s="1"/>
  <c r="P63" i="5" s="1"/>
  <c r="O51" i="5" a="1"/>
  <c r="O51" i="5" s="1"/>
  <c r="O63" i="5" s="1"/>
  <c r="N51" i="5" a="1"/>
  <c r="N51" i="5" s="1"/>
  <c r="M51" i="5" a="1"/>
  <c r="M51" i="5" s="1"/>
  <c r="M63" i="5" s="1"/>
  <c r="L51" i="5" a="1"/>
  <c r="L51" i="5" s="1"/>
  <c r="L63" i="5" s="1"/>
  <c r="K51" i="5" a="1"/>
  <c r="K51" i="5" s="1"/>
  <c r="K63" i="5" s="1"/>
  <c r="J51" i="5" a="1"/>
  <c r="J51" i="5" s="1"/>
  <c r="J63" i="5" s="1"/>
  <c r="I51" i="5" a="1"/>
  <c r="I51" i="5" s="1"/>
  <c r="I63" i="5" s="1"/>
  <c r="H51" i="5" a="1"/>
  <c r="H51" i="5" s="1"/>
  <c r="H63" i="5" s="1"/>
  <c r="G51" i="5" a="1"/>
  <c r="G51" i="5" s="1"/>
  <c r="G63" i="5" s="1"/>
  <c r="F51" i="5" a="1"/>
  <c r="F51" i="5" s="1"/>
  <c r="F63" i="5" s="1"/>
  <c r="E51" i="5" a="1"/>
  <c r="E51" i="5" s="1"/>
  <c r="E63" i="5" s="1"/>
  <c r="V49" i="5" a="1"/>
  <c r="V49" i="5" s="1"/>
  <c r="U49" i="5" a="1"/>
  <c r="U49" i="5" s="1"/>
  <c r="T49" i="5" a="1"/>
  <c r="T49" i="5" s="1"/>
  <c r="T61" i="5" s="1"/>
  <c r="S49" i="5" a="1"/>
  <c r="S49" i="5" s="1"/>
  <c r="S61" i="5" s="1"/>
  <c r="R49" i="5" a="1"/>
  <c r="R49" i="5" s="1"/>
  <c r="R61" i="5" s="1"/>
  <c r="Q49" i="5" a="1"/>
  <c r="Q49" i="5" s="1"/>
  <c r="Q61" i="5" s="1"/>
  <c r="P49" i="5" a="1"/>
  <c r="P49" i="5" s="1"/>
  <c r="P61" i="5" s="1"/>
  <c r="O49" i="5" a="1"/>
  <c r="O49" i="5" s="1"/>
  <c r="O61" i="5" s="1"/>
  <c r="N49" i="5" a="1"/>
  <c r="N49" i="5" s="1"/>
  <c r="M49" i="5" a="1"/>
  <c r="M49" i="5" s="1"/>
  <c r="M61" i="5" s="1"/>
  <c r="L49" i="5" a="1"/>
  <c r="L49" i="5" s="1"/>
  <c r="L61" i="5" s="1"/>
  <c r="K49" i="5" a="1"/>
  <c r="K49" i="5" s="1"/>
  <c r="K61" i="5" s="1"/>
  <c r="J49" i="5" a="1"/>
  <c r="J49" i="5" s="1"/>
  <c r="J61" i="5" s="1"/>
  <c r="I49" i="5" a="1"/>
  <c r="I49" i="5" s="1"/>
  <c r="I61" i="5" s="1"/>
  <c r="H49" i="5" a="1"/>
  <c r="H49" i="5" s="1"/>
  <c r="H61" i="5" s="1"/>
  <c r="G49" i="5" a="1"/>
  <c r="G49" i="5" s="1"/>
  <c r="G61" i="5" s="1"/>
  <c r="F49" i="5" a="1"/>
  <c r="F49" i="5" s="1"/>
  <c r="F61" i="5" s="1"/>
  <c r="E49" i="5" a="1"/>
  <c r="E49" i="5" s="1"/>
  <c r="E61" i="5" s="1"/>
  <c r="V48" i="5" a="1"/>
  <c r="V48" i="5" s="1"/>
  <c r="U48" i="5" a="1"/>
  <c r="U48" i="5" s="1"/>
  <c r="T48" i="5" a="1"/>
  <c r="T48" i="5" s="1"/>
  <c r="T60" i="5" s="1"/>
  <c r="S48" i="5" a="1"/>
  <c r="S48" i="5" s="1"/>
  <c r="S60" i="5" s="1"/>
  <c r="R48" i="5" a="1"/>
  <c r="R48" i="5" s="1"/>
  <c r="R60" i="5" s="1"/>
  <c r="Q48" i="5" a="1"/>
  <c r="Q48" i="5" s="1"/>
  <c r="Q60" i="5" s="1"/>
  <c r="P48" i="5" a="1"/>
  <c r="P48" i="5" s="1"/>
  <c r="P60" i="5" s="1"/>
  <c r="O48" i="5" a="1"/>
  <c r="O48" i="5" s="1"/>
  <c r="N48" i="5" a="1"/>
  <c r="N48" i="5" s="1"/>
  <c r="M48" i="5" a="1"/>
  <c r="M48" i="5" s="1"/>
  <c r="M60" i="5" s="1"/>
  <c r="L48" i="5" a="1"/>
  <c r="L48" i="5" s="1"/>
  <c r="L60" i="5" s="1"/>
  <c r="K48" i="5" a="1"/>
  <c r="K48" i="5" s="1"/>
  <c r="K60" i="5" s="1"/>
  <c r="J48" i="5" a="1"/>
  <c r="J48" i="5" s="1"/>
  <c r="J60" i="5" s="1"/>
  <c r="I48" i="5" a="1"/>
  <c r="I48" i="5" s="1"/>
  <c r="I60" i="5" s="1"/>
  <c r="H48" i="5" a="1"/>
  <c r="H48" i="5" s="1"/>
  <c r="H60" i="5" s="1"/>
  <c r="G48" i="5" a="1"/>
  <c r="G48" i="5" s="1"/>
  <c r="G60" i="5" s="1"/>
  <c r="F48" i="5" a="1"/>
  <c r="F48" i="5" s="1"/>
  <c r="F60" i="5" s="1"/>
  <c r="E48" i="5" a="1"/>
  <c r="E48" i="5" s="1"/>
  <c r="E60" i="5" s="1"/>
  <c r="V47" i="5" a="1"/>
  <c r="V47" i="5" s="1"/>
  <c r="U47" i="5" a="1"/>
  <c r="U47" i="5" s="1"/>
  <c r="T47" i="5" a="1"/>
  <c r="T47" i="5" s="1"/>
  <c r="T59" i="5" s="1"/>
  <c r="S47" i="5" a="1"/>
  <c r="S47" i="5" s="1"/>
  <c r="S59" i="5" s="1"/>
  <c r="R47" i="5" a="1"/>
  <c r="R47" i="5" s="1"/>
  <c r="R59" i="5" s="1"/>
  <c r="Q47" i="5" a="1"/>
  <c r="Q47" i="5" s="1"/>
  <c r="Q59" i="5" s="1"/>
  <c r="P47" i="5" a="1"/>
  <c r="P47" i="5" s="1"/>
  <c r="P59" i="5" s="1"/>
  <c r="O47" i="5" a="1"/>
  <c r="O47" i="5" s="1"/>
  <c r="O59" i="5" s="1"/>
  <c r="N47" i="5" a="1"/>
  <c r="N47" i="5" s="1"/>
  <c r="M47" i="5" a="1"/>
  <c r="M47" i="5" s="1"/>
  <c r="M59" i="5" s="1"/>
  <c r="L47" i="5" a="1"/>
  <c r="L47" i="5" s="1"/>
  <c r="L59" i="5" s="1"/>
  <c r="K47" i="5" a="1"/>
  <c r="K47" i="5" s="1"/>
  <c r="K59" i="5" s="1"/>
  <c r="J47" i="5" a="1"/>
  <c r="J47" i="5" s="1"/>
  <c r="J59" i="5" s="1"/>
  <c r="I47" i="5" a="1"/>
  <c r="I47" i="5" s="1"/>
  <c r="I59" i="5" s="1"/>
  <c r="H47" i="5" a="1"/>
  <c r="H47" i="5" s="1"/>
  <c r="H59" i="5" s="1"/>
  <c r="G47" i="5" a="1"/>
  <c r="G47" i="5" s="1"/>
  <c r="G59" i="5" s="1"/>
  <c r="F47" i="5" a="1"/>
  <c r="F47" i="5" s="1"/>
  <c r="F59" i="5" s="1"/>
  <c r="E47" i="5" a="1"/>
  <c r="E47" i="5" s="1"/>
  <c r="E59" i="5" s="1"/>
  <c r="V46" i="5" a="1"/>
  <c r="V46" i="5" s="1"/>
  <c r="U46" i="5" a="1"/>
  <c r="U46" i="5" s="1"/>
  <c r="T46" i="5" a="1"/>
  <c r="T46" i="5" s="1"/>
  <c r="T58" i="5" s="1"/>
  <c r="S46" i="5" a="1"/>
  <c r="S46" i="5" s="1"/>
  <c r="S58" i="5" s="1"/>
  <c r="R46" i="5" a="1"/>
  <c r="R46" i="5" s="1"/>
  <c r="R58" i="5" s="1"/>
  <c r="Q46" i="5" a="1"/>
  <c r="Q46" i="5" s="1"/>
  <c r="Q58" i="5" s="1"/>
  <c r="P46" i="5" a="1"/>
  <c r="P46" i="5" s="1"/>
  <c r="P58" i="5" s="1"/>
  <c r="O46" i="5" a="1"/>
  <c r="O46" i="5" s="1"/>
  <c r="O58" i="5" s="1"/>
  <c r="N46" i="5" a="1"/>
  <c r="N46" i="5" s="1"/>
  <c r="M46" i="5" a="1"/>
  <c r="M46" i="5" s="1"/>
  <c r="M58" i="5" s="1"/>
  <c r="L46" i="5" a="1"/>
  <c r="L46" i="5" s="1"/>
  <c r="L58" i="5" s="1"/>
  <c r="K46" i="5" a="1"/>
  <c r="K46" i="5" s="1"/>
  <c r="K58" i="5" s="1"/>
  <c r="J46" i="5" a="1"/>
  <c r="J46" i="5" s="1"/>
  <c r="J58" i="5" s="1"/>
  <c r="I46" i="5" a="1"/>
  <c r="I46" i="5" s="1"/>
  <c r="I58" i="5" s="1"/>
  <c r="H46" i="5" a="1"/>
  <c r="H46" i="5" s="1"/>
  <c r="H58" i="5" s="1"/>
  <c r="G46" i="5" a="1"/>
  <c r="G46" i="5" s="1"/>
  <c r="G58" i="5" s="1"/>
  <c r="F46" i="5" a="1"/>
  <c r="F46" i="5" s="1"/>
  <c r="F58" i="5" s="1"/>
  <c r="E46" i="5" a="1"/>
  <c r="E46" i="5" s="1"/>
  <c r="E58" i="5" s="1"/>
  <c r="D66" i="5"/>
  <c r="D65" i="5"/>
  <c r="D64" i="5"/>
  <c r="D63" i="5"/>
  <c r="D62" i="5"/>
  <c r="D61" i="5"/>
  <c r="O60" i="5"/>
  <c r="D60" i="5"/>
  <c r="D59" i="5"/>
  <c r="D58" i="5"/>
  <c r="D57" i="5"/>
  <c r="V50" i="5" a="1"/>
  <c r="V50" i="5" s="1"/>
  <c r="U50" i="5" a="1"/>
  <c r="U50" i="5" s="1"/>
  <c r="T50" i="5" a="1"/>
  <c r="T50" i="5" s="1"/>
  <c r="T62" i="5" s="1"/>
  <c r="S50" i="5" a="1"/>
  <c r="S50" i="5" s="1"/>
  <c r="S62" i="5" s="1"/>
  <c r="R50" i="5" a="1"/>
  <c r="R50" i="5" s="1"/>
  <c r="R62" i="5" s="1"/>
  <c r="Q50" i="5" a="1"/>
  <c r="Q50" i="5" s="1"/>
  <c r="Q62" i="5" s="1"/>
  <c r="P50" i="5" a="1"/>
  <c r="P50" i="5" s="1"/>
  <c r="P62" i="5" s="1"/>
  <c r="O50" i="5" a="1"/>
  <c r="O50" i="5" s="1"/>
  <c r="O62" i="5" s="1"/>
  <c r="N50" i="5" a="1"/>
  <c r="N50" i="5" s="1"/>
  <c r="M50" i="5" a="1"/>
  <c r="M50" i="5" s="1"/>
  <c r="M62" i="5" s="1"/>
  <c r="L50" i="5" a="1"/>
  <c r="L50" i="5" s="1"/>
  <c r="L62" i="5" s="1"/>
  <c r="K50" i="5" a="1"/>
  <c r="K50" i="5" s="1"/>
  <c r="K62" i="5" s="1"/>
  <c r="J50" i="5" a="1"/>
  <c r="J50" i="5" s="1"/>
  <c r="J62" i="5" s="1"/>
  <c r="I50" i="5" a="1"/>
  <c r="I50" i="5" s="1"/>
  <c r="I62" i="5" s="1"/>
  <c r="H50" i="5" a="1"/>
  <c r="H50" i="5" s="1"/>
  <c r="H62" i="5" s="1"/>
  <c r="G50" i="5" a="1"/>
  <c r="G50" i="5" s="1"/>
  <c r="G62" i="5" s="1"/>
  <c r="F50" i="5" a="1"/>
  <c r="F50" i="5" s="1"/>
  <c r="F62" i="5" s="1"/>
  <c r="E50" i="5" a="1"/>
  <c r="E50" i="5" s="1"/>
  <c r="E62" i="5" s="1"/>
  <c r="V45" i="5" a="1"/>
  <c r="V45" i="5" s="1"/>
  <c r="U45" i="5" a="1"/>
  <c r="U45" i="5" s="1"/>
  <c r="T45" i="5" a="1"/>
  <c r="T45" i="5" s="1"/>
  <c r="T57" i="5" s="1"/>
  <c r="S45" i="5" a="1"/>
  <c r="S45" i="5" s="1"/>
  <c r="S57" i="5" s="1"/>
  <c r="R45" i="5" a="1"/>
  <c r="R45" i="5" s="1"/>
  <c r="R57" i="5" s="1"/>
  <c r="Q45" i="5" a="1"/>
  <c r="Q45" i="5" s="1"/>
  <c r="Q57" i="5" s="1"/>
  <c r="P45" i="5" a="1"/>
  <c r="P45" i="5" s="1"/>
  <c r="P57" i="5" s="1"/>
  <c r="O45" i="5" a="1"/>
  <c r="O45" i="5" s="1"/>
  <c r="O57" i="5" s="1"/>
  <c r="N45" i="5" a="1"/>
  <c r="N45" i="5" s="1"/>
  <c r="M45" i="5" a="1"/>
  <c r="M45" i="5" s="1"/>
  <c r="M57" i="5" s="1"/>
  <c r="L45" i="5" a="1"/>
  <c r="L45" i="5" s="1"/>
  <c r="L57" i="5" s="1"/>
  <c r="K45" i="5" a="1"/>
  <c r="K45" i="5" s="1"/>
  <c r="K57" i="5" s="1"/>
  <c r="J45" i="5" a="1"/>
  <c r="J45" i="5" s="1"/>
  <c r="J57" i="5" s="1"/>
  <c r="I45" i="5" a="1"/>
  <c r="I45" i="5" s="1"/>
  <c r="H45" i="5" a="1"/>
  <c r="H45" i="5" s="1"/>
  <c r="H57" i="5" s="1"/>
  <c r="G45" i="5" a="1"/>
  <c r="G45" i="5" s="1"/>
  <c r="G57" i="5" s="1"/>
  <c r="F45" i="5" a="1"/>
  <c r="F45" i="5" s="1"/>
  <c r="F57" i="5" s="1"/>
  <c r="E45" i="5" a="1"/>
  <c r="E45" i="5" s="1"/>
  <c r="E57" i="5" s="1"/>
  <c r="P18" i="4"/>
  <c r="AQ14" i="8"/>
  <c r="P17" i="4"/>
  <c r="U14" i="4"/>
  <c r="K1" i="3"/>
  <c r="L45" i="2"/>
  <c r="L46" i="2"/>
  <c r="L47" i="2"/>
  <c r="L48" i="2"/>
  <c r="M45" i="2" a="1"/>
  <c r="M45" i="2" s="1"/>
  <c r="M46" i="2" a="1"/>
  <c r="M46" i="2" s="1"/>
  <c r="N46" i="2" s="1"/>
  <c r="M47" i="2" a="1"/>
  <c r="M47" i="2" s="1"/>
  <c r="N47" i="2" s="1"/>
  <c r="M48" i="2" a="1"/>
  <c r="M48" i="2" s="1"/>
  <c r="N48" i="2" s="1"/>
  <c r="N45" i="2"/>
  <c r="AO7" i="8"/>
  <c r="AM14" i="8"/>
  <c r="P9" i="30" l="1"/>
  <c r="P13" i="30" s="1"/>
  <c r="P8" i="30" s="1"/>
  <c r="P15" i="30" s="1"/>
  <c r="P19" i="30" s="1"/>
  <c r="R11" i="30"/>
  <c r="E12" i="30" a="1"/>
  <c r="E12" i="30" s="1"/>
  <c r="E10" i="30" a="1"/>
  <c r="E10" i="30" s="1"/>
  <c r="D13" i="30"/>
  <c r="E11" i="30" a="1"/>
  <c r="E11" i="30" s="1"/>
  <c r="G30" i="30"/>
  <c r="H29" i="30"/>
  <c r="N7" i="30"/>
  <c r="H14" i="30"/>
  <c r="H7" i="30"/>
  <c r="F17" i="30"/>
  <c r="W56" i="5"/>
  <c r="J56" i="5"/>
  <c r="G56" i="5"/>
  <c r="T56" i="5"/>
  <c r="I56" i="5"/>
  <c r="H56" i="5"/>
  <c r="S56" i="5"/>
  <c r="D56" i="5"/>
  <c r="K56" i="5"/>
  <c r="P56" i="5"/>
  <c r="E56" i="5"/>
  <c r="F56" i="5"/>
  <c r="M56" i="5"/>
  <c r="O56" i="5"/>
  <c r="Q56" i="5"/>
  <c r="R56" i="5"/>
  <c r="L56" i="5"/>
  <c r="L41" i="2"/>
  <c r="L42" i="2"/>
  <c r="L43" i="2"/>
  <c r="L44" i="2"/>
  <c r="M41" i="2" a="1"/>
  <c r="M41" i="2" s="1"/>
  <c r="M42" i="2" a="1"/>
  <c r="M42" i="2" s="1"/>
  <c r="N42" i="2" s="1"/>
  <c r="M43" i="2" a="1"/>
  <c r="M43" i="2" s="1"/>
  <c r="N43" i="2" s="1"/>
  <c r="M44" i="2" a="1"/>
  <c r="M44" i="2" s="1"/>
  <c r="N44" i="2" s="1"/>
  <c r="N41" i="2"/>
  <c r="Q25" i="5" a="1"/>
  <c r="Q25" i="5" s="1"/>
  <c r="M37" i="2" a="1"/>
  <c r="M37" i="2" s="1"/>
  <c r="N37" i="2" s="1"/>
  <c r="J1" i="3"/>
  <c r="N17" i="4"/>
  <c r="H1" i="3"/>
  <c r="G1" i="3"/>
  <c r="F1" i="3"/>
  <c r="E1" i="3"/>
  <c r="D1" i="3"/>
  <c r="C1" i="3"/>
  <c r="I1" i="3"/>
  <c r="L39" i="2"/>
  <c r="L40" i="2"/>
  <c r="L37" i="2"/>
  <c r="L38" i="2"/>
  <c r="L33" i="2"/>
  <c r="L34" i="2"/>
  <c r="L35" i="2"/>
  <c r="L36" i="2"/>
  <c r="N33" i="2"/>
  <c r="D10" i="30" l="1"/>
  <c r="F18" i="30"/>
  <c r="H17" i="30"/>
  <c r="G17" i="30"/>
  <c r="F12" i="30" a="1"/>
  <c r="F12" i="30" s="1"/>
  <c r="H12" i="30" s="1"/>
  <c r="F10" i="30" a="1"/>
  <c r="F10" i="30" s="1"/>
  <c r="H10" i="30" s="1"/>
  <c r="F11" i="30" a="1"/>
  <c r="F11" i="30" s="1"/>
  <c r="H11" i="30" s="1"/>
  <c r="D11" i="30"/>
  <c r="D12" i="30"/>
  <c r="M40" i="2" a="1"/>
  <c r="M40" i="2" s="1"/>
  <c r="N40" i="2" s="1"/>
  <c r="M36" i="2" a="1"/>
  <c r="M36" i="2" s="1"/>
  <c r="N36" i="2" s="1"/>
  <c r="M34" i="2" a="1"/>
  <c r="M34" i="2" s="1"/>
  <c r="N34" i="2" s="1"/>
  <c r="M33" i="2" a="1"/>
  <c r="M33" i="2" s="1"/>
  <c r="M38" i="2" a="1"/>
  <c r="M38" i="2" s="1"/>
  <c r="N38" i="2" s="1"/>
  <c r="M39" i="2" a="1"/>
  <c r="M39" i="2" s="1"/>
  <c r="N39" i="2" s="1"/>
  <c r="M35" i="2" a="1"/>
  <c r="M35" i="2" s="1"/>
  <c r="N35" i="2" s="1"/>
  <c r="L30" i="2"/>
  <c r="L31" i="2"/>
  <c r="L32" i="2"/>
  <c r="M30" i="2" a="1"/>
  <c r="M30" i="2" s="1"/>
  <c r="M31" i="2" a="1"/>
  <c r="M31" i="2" s="1"/>
  <c r="N31" i="2" s="1"/>
  <c r="M32" i="2" a="1"/>
  <c r="M32" i="2" s="1"/>
  <c r="N32" i="2" s="1"/>
  <c r="N30" i="2"/>
  <c r="K25" i="27"/>
  <c r="G12" i="30" l="1"/>
  <c r="G11" i="30"/>
  <c r="G18" i="30"/>
  <c r="N17" i="30"/>
  <c r="G22" i="30"/>
  <c r="F22" i="30" s="1"/>
  <c r="G10" i="30"/>
  <c r="F22" i="27"/>
  <c r="G21" i="27"/>
  <c r="H21" i="27" s="1"/>
  <c r="H20" i="27"/>
  <c r="R20" i="27"/>
  <c r="H19" i="27"/>
  <c r="Q19" i="27"/>
  <c r="R19" i="27" s="1"/>
  <c r="H18" i="27"/>
  <c r="Q18" i="27"/>
  <c r="R18" i="27" s="1"/>
  <c r="H17" i="27"/>
  <c r="Q17" i="27"/>
  <c r="R17" i="27" s="1"/>
  <c r="F11" i="27"/>
  <c r="G10" i="27"/>
  <c r="G8" i="27" s="1"/>
  <c r="G11" i="27" s="1"/>
  <c r="F9" i="27"/>
  <c r="F10" i="27" s="1"/>
  <c r="H7" i="27"/>
  <c r="E19" i="24"/>
  <c r="F19" i="24" s="1"/>
  <c r="E18" i="24"/>
  <c r="E17" i="24"/>
  <c r="F20" i="24"/>
  <c r="F18" i="24"/>
  <c r="F17" i="24"/>
  <c r="K21" i="24"/>
  <c r="E21" i="24" s="1"/>
  <c r="F21" i="24" s="1"/>
  <c r="G9" i="30" l="1"/>
  <c r="G13" i="30"/>
  <c r="F13" i="30" s="1"/>
  <c r="H13" i="30" s="1"/>
  <c r="H22" i="27"/>
  <c r="Q21" i="27"/>
  <c r="R21" i="27" s="1"/>
  <c r="H10" i="27"/>
  <c r="R22" i="27"/>
  <c r="Q22" i="27" s="1"/>
  <c r="H11" i="27"/>
  <c r="F22" i="24"/>
  <c r="H9" i="27"/>
  <c r="H8" i="27" s="1"/>
  <c r="L21" i="24"/>
  <c r="L20" i="24"/>
  <c r="L19" i="24"/>
  <c r="L18" i="24"/>
  <c r="L17" i="24"/>
  <c r="D22" i="24"/>
  <c r="D11" i="24"/>
  <c r="E10" i="24"/>
  <c r="E8" i="24" s="1"/>
  <c r="E11" i="24" s="1"/>
  <c r="D9" i="24"/>
  <c r="D10" i="24" s="1"/>
  <c r="F7" i="24"/>
  <c r="N9" i="30" l="1"/>
  <c r="G8" i="30"/>
  <c r="G15" i="30" s="1"/>
  <c r="F9" i="30"/>
  <c r="G22" i="27"/>
  <c r="H25" i="27"/>
  <c r="E22" i="24"/>
  <c r="J18" i="27"/>
  <c r="K18" i="27" s="1"/>
  <c r="J17" i="27"/>
  <c r="K17" i="27" s="1"/>
  <c r="J20" i="27"/>
  <c r="K20" i="27" s="1"/>
  <c r="J19" i="27"/>
  <c r="K19" i="27" s="1"/>
  <c r="J21" i="27"/>
  <c r="K21" i="27" s="1"/>
  <c r="L22" i="24"/>
  <c r="F11" i="24"/>
  <c r="F9" i="24"/>
  <c r="F10" i="24"/>
  <c r="H9" i="30" l="1"/>
  <c r="F8" i="30"/>
  <c r="N13" i="30"/>
  <c r="N8" i="30" s="1"/>
  <c r="N15" i="30" s="1"/>
  <c r="N19" i="30" s="1"/>
  <c r="G19" i="30"/>
  <c r="G20" i="30" s="1"/>
  <c r="G16" i="30"/>
  <c r="H18" i="24"/>
  <c r="I18" i="24" s="1"/>
  <c r="H17" i="24"/>
  <c r="I17" i="24" s="1"/>
  <c r="H21" i="24"/>
  <c r="I21" i="24" s="1"/>
  <c r="H20" i="24"/>
  <c r="I20" i="24" s="1"/>
  <c r="H19" i="24"/>
  <c r="I19" i="24" s="1"/>
  <c r="K22" i="27"/>
  <c r="K22" i="24"/>
  <c r="F8" i="24"/>
  <c r="H8" i="30" l="1"/>
  <c r="F15" i="30"/>
  <c r="I22" i="24"/>
  <c r="M29" i="2" a="1"/>
  <c r="M29" i="2" s="1"/>
  <c r="N29" i="2" s="1"/>
  <c r="AA14" i="8"/>
  <c r="L26" i="2"/>
  <c r="L27" i="2"/>
  <c r="L28" i="2"/>
  <c r="L29" i="2"/>
  <c r="N26" i="2"/>
  <c r="W14" i="8"/>
  <c r="F19" i="30" l="1"/>
  <c r="F16" i="30"/>
  <c r="H15" i="30"/>
  <c r="M27" i="2" a="1"/>
  <c r="M27" i="2" s="1"/>
  <c r="N27" i="2" s="1"/>
  <c r="M26" i="2" a="1"/>
  <c r="M26" i="2" s="1"/>
  <c r="M28" i="2" a="1"/>
  <c r="M28" i="2" s="1"/>
  <c r="N28" i="2" s="1"/>
  <c r="L20" i="2"/>
  <c r="L21" i="2"/>
  <c r="L22" i="2"/>
  <c r="L23" i="2"/>
  <c r="L24" i="2"/>
  <c r="L25" i="2"/>
  <c r="M20" i="2" a="1"/>
  <c r="M20" i="2" s="1"/>
  <c r="M21" i="2" a="1"/>
  <c r="M21" i="2" s="1"/>
  <c r="N21" i="2" s="1"/>
  <c r="M22" i="2" a="1"/>
  <c r="M22" i="2" s="1"/>
  <c r="N22" i="2" s="1"/>
  <c r="M23" i="2" a="1"/>
  <c r="M23" i="2" s="1"/>
  <c r="N23" i="2" s="1"/>
  <c r="M24" i="2" a="1"/>
  <c r="M24" i="2" s="1"/>
  <c r="N24" i="2" s="1"/>
  <c r="M25" i="2" a="1"/>
  <c r="M25" i="2" s="1"/>
  <c r="N25" i="2" s="1"/>
  <c r="N20" i="2"/>
  <c r="F20" i="30" l="1"/>
  <c r="H19" i="30"/>
  <c r="E6" i="23"/>
  <c r="F6" i="23" s="1"/>
  <c r="E5" i="23"/>
  <c r="F5" i="23" s="1"/>
  <c r="F7" i="23"/>
  <c r="D4" i="23"/>
  <c r="F4" i="23" s="1"/>
  <c r="M7" i="23"/>
  <c r="N7" i="23" s="1"/>
  <c r="M6" i="23"/>
  <c r="N6" i="23" s="1"/>
  <c r="M5" i="23"/>
  <c r="I7" i="23"/>
  <c r="I6" i="23"/>
  <c r="I5" i="23"/>
  <c r="L4" i="23"/>
  <c r="N4" i="23" s="1"/>
  <c r="H4" i="23"/>
  <c r="J4" i="23" s="1"/>
  <c r="F2" i="23" l="1"/>
  <c r="E2" i="23" s="1"/>
  <c r="J7" i="23"/>
  <c r="J6" i="23"/>
  <c r="J5" i="23"/>
  <c r="S14" i="8"/>
  <c r="J2" i="23" l="1"/>
  <c r="I2" i="23" s="1"/>
  <c r="N5" i="23"/>
  <c r="N2" i="23" s="1"/>
  <c r="M2" i="23" s="1"/>
  <c r="M13" i="2" a="1"/>
  <c r="M13" i="2" s="1"/>
  <c r="N13" i="2" s="1"/>
  <c r="L19" i="2"/>
  <c r="L3" i="2"/>
  <c r="N3" i="2"/>
  <c r="L4" i="2"/>
  <c r="L5" i="2"/>
  <c r="L6" i="2"/>
  <c r="L7" i="2"/>
  <c r="N7" i="2"/>
  <c r="L8" i="2"/>
  <c r="L9" i="2"/>
  <c r="L10" i="2"/>
  <c r="L11" i="2"/>
  <c r="N11" i="2"/>
  <c r="L12" i="2"/>
  <c r="L13" i="2"/>
  <c r="L14" i="2"/>
  <c r="L15" i="2"/>
  <c r="N15" i="2"/>
  <c r="L16" i="2"/>
  <c r="L17" i="2"/>
  <c r="N19" i="2"/>
  <c r="AC4" i="5"/>
  <c r="M12" i="2" l="1" a="1"/>
  <c r="M12" i="2" s="1"/>
  <c r="N12" i="2" s="1"/>
  <c r="M5" i="2" a="1"/>
  <c r="M5" i="2" s="1"/>
  <c r="N5" i="2" s="1"/>
  <c r="M17" i="2" a="1"/>
  <c r="M17" i="2" s="1"/>
  <c r="N17" i="2" s="1"/>
  <c r="M9" i="2" a="1"/>
  <c r="M9" i="2" s="1"/>
  <c r="N9" i="2" s="1"/>
  <c r="M3" i="2" a="1"/>
  <c r="M3" i="2" s="1"/>
  <c r="M19" i="2" a="1"/>
  <c r="M19" i="2" s="1"/>
  <c r="M18" i="2" a="1"/>
  <c r="M18" i="2" s="1"/>
  <c r="N18" i="2" s="1"/>
  <c r="M10" i="2" a="1"/>
  <c r="M10" i="2" s="1"/>
  <c r="N10" i="2" s="1"/>
  <c r="M4" i="2" a="1"/>
  <c r="M4" i="2" s="1"/>
  <c r="N4" i="2" s="1"/>
  <c r="M16" i="2" a="1"/>
  <c r="M16" i="2" s="1"/>
  <c r="N16" i="2" s="1"/>
  <c r="M8" i="2" a="1"/>
  <c r="M8" i="2" s="1"/>
  <c r="N8" i="2" s="1"/>
  <c r="M15" i="2" a="1"/>
  <c r="M15" i="2" s="1"/>
  <c r="M14" i="2" a="1"/>
  <c r="M14" i="2" s="1"/>
  <c r="N14" i="2" s="1"/>
  <c r="M6" i="2" a="1"/>
  <c r="M6" i="2" s="1"/>
  <c r="N6" i="2" s="1"/>
  <c r="M11" i="2" a="1"/>
  <c r="M11" i="2" s="1"/>
  <c r="M7" i="2" a="1"/>
  <c r="M7" i="2" s="1"/>
  <c r="L18" i="2"/>
  <c r="N1" i="2" l="1"/>
  <c r="M7" i="22"/>
  <c r="M6" i="22"/>
  <c r="M5" i="22"/>
  <c r="M12" i="22"/>
  <c r="O14" i="8"/>
  <c r="E23" i="5" a="1"/>
  <c r="E23" i="5" s="1"/>
  <c r="D7" i="22" l="1"/>
  <c r="D6" i="22"/>
  <c r="M10" i="22"/>
  <c r="O10" i="22" s="1"/>
  <c r="D5" i="22"/>
  <c r="K14" i="8"/>
  <c r="BC14" i="8" s="1"/>
  <c r="AY11" i="8"/>
  <c r="AY10" i="8"/>
  <c r="AU11" i="8"/>
  <c r="AU10" i="8"/>
  <c r="AQ11" i="8"/>
  <c r="AQ10" i="8"/>
  <c r="AM11" i="8"/>
  <c r="AM10" i="8"/>
  <c r="AI11" i="8"/>
  <c r="AI10" i="8"/>
  <c r="AE11" i="8"/>
  <c r="AE10" i="8"/>
  <c r="AA11" i="8"/>
  <c r="AA10" i="8"/>
  <c r="W11" i="8"/>
  <c r="W10" i="8"/>
  <c r="S11" i="8"/>
  <c r="S10" i="8"/>
  <c r="O11" i="8"/>
  <c r="O10" i="8"/>
  <c r="AE14" i="5"/>
  <c r="AB5" i="5"/>
  <c r="AY12" i="8" l="1"/>
  <c r="AY15" i="8" s="1"/>
  <c r="AY16" i="8" s="1"/>
  <c r="AU12" i="8"/>
  <c r="AU15" i="8" s="1"/>
  <c r="AU16" i="8" s="1"/>
  <c r="AQ12" i="8"/>
  <c r="AQ13" i="8" s="1"/>
  <c r="AM12" i="8"/>
  <c r="AM15" i="8" s="1"/>
  <c r="AM16" i="8" s="1"/>
  <c r="AI12" i="8"/>
  <c r="AE12" i="8"/>
  <c r="AA12" i="8"/>
  <c r="S12" i="8"/>
  <c r="S13" i="8" s="1"/>
  <c r="O7" i="22"/>
  <c r="P7" i="22" s="1"/>
  <c r="O6" i="22"/>
  <c r="P6" i="22" s="1"/>
  <c r="O5" i="22"/>
  <c r="P5" i="22" s="1"/>
  <c r="D8" i="22"/>
  <c r="O12" i="8"/>
  <c r="O13" i="8" s="1"/>
  <c r="W12" i="8"/>
  <c r="W15" i="8" s="1"/>
  <c r="W16" i="8" s="1"/>
  <c r="AU13" i="8"/>
  <c r="AA13" i="8"/>
  <c r="AA15" i="8"/>
  <c r="AA16" i="8" s="1"/>
  <c r="AM13" i="8"/>
  <c r="AE13" i="8"/>
  <c r="AE15" i="8"/>
  <c r="AE16" i="8" s="1"/>
  <c r="AI15" i="8"/>
  <c r="AI16" i="8" s="1"/>
  <c r="AI13" i="8"/>
  <c r="AQ15" i="8"/>
  <c r="AQ16" i="8" s="1"/>
  <c r="AY13" i="8" l="1"/>
  <c r="S15" i="8"/>
  <c r="S16" i="8" s="1"/>
  <c r="W13" i="8"/>
  <c r="D10" i="22"/>
  <c r="J6" i="22"/>
  <c r="P10" i="22"/>
  <c r="Q5" i="22" s="1"/>
  <c r="O15" i="8"/>
  <c r="O16" i="8" s="1"/>
  <c r="V25" i="5" a="1"/>
  <c r="V25" i="5" s="1"/>
  <c r="U25" i="5" a="1"/>
  <c r="U25" i="5" s="1"/>
  <c r="T25" i="5" a="1"/>
  <c r="T25" i="5" s="1"/>
  <c r="T37" i="5" s="1"/>
  <c r="S25" i="5" a="1"/>
  <c r="S25" i="5" s="1"/>
  <c r="R25" i="5" a="1"/>
  <c r="R25" i="5" s="1"/>
  <c r="R37" i="5" s="1"/>
  <c r="V24" i="5" a="1"/>
  <c r="V24" i="5" s="1"/>
  <c r="U24" i="5" a="1"/>
  <c r="U24" i="5" s="1"/>
  <c r="T24" i="5" a="1"/>
  <c r="T24" i="5" s="1"/>
  <c r="T36" i="5" s="1"/>
  <c r="S24" i="5" a="1"/>
  <c r="S24" i="5" s="1"/>
  <c r="R24" i="5" a="1"/>
  <c r="R24" i="5" s="1"/>
  <c r="R36" i="5" s="1"/>
  <c r="V18" i="5" a="1"/>
  <c r="V18" i="5" s="1"/>
  <c r="V23" i="5" a="1"/>
  <c r="V23" i="5" s="1"/>
  <c r="U23" i="5" a="1"/>
  <c r="U23" i="5" s="1"/>
  <c r="T23" i="5" a="1"/>
  <c r="T23" i="5" s="1"/>
  <c r="T35" i="5" s="1"/>
  <c r="S23" i="5" a="1"/>
  <c r="S23" i="5" s="1"/>
  <c r="R23" i="5" a="1"/>
  <c r="R23" i="5" s="1"/>
  <c r="R35" i="5" s="1"/>
  <c r="Q7" i="22" l="1"/>
  <c r="Q6" i="22"/>
  <c r="U18" i="5" a="1"/>
  <c r="U18" i="5" s="1"/>
  <c r="T18" i="5" a="1"/>
  <c r="T18" i="5" s="1"/>
  <c r="T30" i="5" s="1"/>
  <c r="S18" i="5" a="1"/>
  <c r="S18" i="5" s="1"/>
  <c r="R18" i="5" a="1"/>
  <c r="R18" i="5" s="1"/>
  <c r="R30" i="5" s="1"/>
  <c r="BA6" i="8"/>
  <c r="BA7" i="8"/>
  <c r="AE5" i="5"/>
  <c r="S17" i="4"/>
  <c r="O17" i="4"/>
  <c r="O18" i="4" s="1"/>
  <c r="N18" i="4"/>
  <c r="M17" i="4"/>
  <c r="M18" i="4" s="1"/>
  <c r="L17" i="4"/>
  <c r="L18" i="4" s="1"/>
  <c r="K17" i="4"/>
  <c r="K18" i="4" s="1"/>
  <c r="J17" i="4"/>
  <c r="J18" i="4" s="1"/>
  <c r="I17" i="4"/>
  <c r="H17" i="4"/>
  <c r="T15" i="4"/>
  <c r="T14" i="4"/>
  <c r="T13" i="4"/>
  <c r="U13" i="4" s="1"/>
  <c r="T12" i="4"/>
  <c r="U12" i="4" s="1"/>
  <c r="T11" i="4"/>
  <c r="U11" i="4" s="1"/>
  <c r="T10" i="4"/>
  <c r="U10" i="4" s="1"/>
  <c r="T9" i="4"/>
  <c r="U9" i="4" s="1"/>
  <c r="T8" i="4"/>
  <c r="U8" i="4" s="1"/>
  <c r="T7" i="4"/>
  <c r="U7" i="4" s="1"/>
  <c r="T6" i="4"/>
  <c r="U6" i="4" s="1"/>
  <c r="AC5" i="5" l="1"/>
  <c r="X7" i="5"/>
  <c r="X14" i="5"/>
  <c r="V65" i="5"/>
  <c r="N65" i="5"/>
  <c r="T16" i="4"/>
  <c r="T17" i="4" s="1"/>
  <c r="AW6" i="8"/>
  <c r="AW7" i="8"/>
  <c r="AW10" i="8" s="1"/>
  <c r="AV10" i="8" s="1"/>
  <c r="AW14" i="8"/>
  <c r="B32" i="20"/>
  <c r="C14" i="20"/>
  <c r="AC7" i="5" l="1"/>
  <c r="X58" i="5"/>
  <c r="X65" i="5"/>
  <c r="AC14" i="5"/>
  <c r="U65" i="5"/>
  <c r="AB14" i="5"/>
  <c r="AQ3" i="8"/>
  <c r="D35" i="5"/>
  <c r="J25" i="5" a="1"/>
  <c r="J25" i="5" s="1"/>
  <c r="J37" i="5" s="1"/>
  <c r="E25" i="5" a="1"/>
  <c r="E25" i="5" s="1"/>
  <c r="P25" i="5" a="1"/>
  <c r="P25" i="5" s="1"/>
  <c r="P37" i="5" s="1"/>
  <c r="O25" i="5" a="1"/>
  <c r="O25" i="5" s="1"/>
  <c r="O37" i="5" s="1"/>
  <c r="N25" i="5" a="1"/>
  <c r="N25" i="5" s="1"/>
  <c r="M25" i="5" a="1"/>
  <c r="M25" i="5" s="1"/>
  <c r="L25" i="5" a="1"/>
  <c r="L25" i="5" s="1"/>
  <c r="L37" i="5" s="1"/>
  <c r="K25" i="5" a="1"/>
  <c r="K25" i="5" s="1"/>
  <c r="I25" i="5" a="1"/>
  <c r="I25" i="5" s="1"/>
  <c r="H25" i="5" a="1"/>
  <c r="H25" i="5" s="1"/>
  <c r="H37" i="5" s="1"/>
  <c r="G25" i="5" a="1"/>
  <c r="G25" i="5" s="1"/>
  <c r="F25" i="5" a="1"/>
  <c r="F25" i="5" s="1"/>
  <c r="F37" i="5" s="1"/>
  <c r="D37" i="5"/>
  <c r="Q24" i="5" a="1"/>
  <c r="Q24" i="5" s="1"/>
  <c r="P24" i="5" a="1"/>
  <c r="P24" i="5" s="1"/>
  <c r="P36" i="5" s="1"/>
  <c r="O24" i="5" a="1"/>
  <c r="O24" i="5" s="1"/>
  <c r="O36" i="5" s="1"/>
  <c r="N24" i="5" a="1"/>
  <c r="N24" i="5" s="1"/>
  <c r="M24" i="5" a="1"/>
  <c r="M24" i="5" s="1"/>
  <c r="L24" i="5" a="1"/>
  <c r="L24" i="5" s="1"/>
  <c r="L36" i="5" s="1"/>
  <c r="K24" i="5" a="1"/>
  <c r="K24" i="5" s="1"/>
  <c r="J24" i="5" a="1"/>
  <c r="J24" i="5" s="1"/>
  <c r="J36" i="5" s="1"/>
  <c r="I24" i="5" a="1"/>
  <c r="I24" i="5" s="1"/>
  <c r="H24" i="5" a="1"/>
  <c r="H24" i="5" s="1"/>
  <c r="H36" i="5" s="1"/>
  <c r="G24" i="5" a="1"/>
  <c r="G24" i="5" s="1"/>
  <c r="F24" i="5" a="1"/>
  <c r="F24" i="5" s="1"/>
  <c r="F36" i="5" s="1"/>
  <c r="E24" i="5" a="1"/>
  <c r="E24" i="5" s="1"/>
  <c r="D36" i="5"/>
  <c r="Q23" i="5" a="1"/>
  <c r="Q23" i="5" s="1"/>
  <c r="P23" i="5" a="1"/>
  <c r="P23" i="5" s="1"/>
  <c r="P35" i="5" s="1"/>
  <c r="O23" i="5" a="1"/>
  <c r="O23" i="5" s="1"/>
  <c r="O35" i="5" s="1"/>
  <c r="N23" i="5" a="1"/>
  <c r="N23" i="5" s="1"/>
  <c r="M23" i="5" a="1"/>
  <c r="M23" i="5" s="1"/>
  <c r="L23" i="5" a="1"/>
  <c r="L23" i="5" s="1"/>
  <c r="L35" i="5" s="1"/>
  <c r="K23" i="5" a="1"/>
  <c r="K23" i="5" s="1"/>
  <c r="J23" i="5" a="1"/>
  <c r="J23" i="5" s="1"/>
  <c r="J35" i="5" s="1"/>
  <c r="I23" i="5" a="1"/>
  <c r="I23" i="5" s="1"/>
  <c r="H23" i="5" a="1"/>
  <c r="H23" i="5" s="1"/>
  <c r="H35" i="5" s="1"/>
  <c r="G23" i="5" a="1"/>
  <c r="G23" i="5" s="1"/>
  <c r="F23" i="5" a="1"/>
  <c r="F23" i="5" s="1"/>
  <c r="F35" i="5" s="1"/>
  <c r="Q18" i="5" a="1"/>
  <c r="Q18" i="5" s="1"/>
  <c r="P18" i="5" a="1"/>
  <c r="P18" i="5" s="1"/>
  <c r="P30" i="5" s="1"/>
  <c r="O18" i="5" a="1"/>
  <c r="O18" i="5" s="1"/>
  <c r="O30" i="5" s="1"/>
  <c r="N18" i="5" a="1"/>
  <c r="N18" i="5" s="1"/>
  <c r="M18" i="5" a="1"/>
  <c r="M18" i="5" s="1"/>
  <c r="L18" i="5" a="1"/>
  <c r="L18" i="5" s="1"/>
  <c r="L30" i="5" s="1"/>
  <c r="K18" i="5" a="1"/>
  <c r="K18" i="5" s="1"/>
  <c r="J18" i="5" a="1"/>
  <c r="J18" i="5" s="1"/>
  <c r="J30" i="5" s="1"/>
  <c r="I18" i="5" a="1"/>
  <c r="I18" i="5" s="1"/>
  <c r="H18" i="5" a="1"/>
  <c r="H18" i="5" s="1"/>
  <c r="H30" i="5" s="1"/>
  <c r="G18" i="5" a="1"/>
  <c r="G18" i="5" s="1"/>
  <c r="F18" i="5" a="1"/>
  <c r="F18" i="5" s="1"/>
  <c r="F30" i="5" s="1"/>
  <c r="E18" i="5" a="1"/>
  <c r="E18" i="5" s="1"/>
  <c r="D30" i="5"/>
  <c r="N5" i="22"/>
  <c r="N6" i="22"/>
  <c r="F6" i="22" s="1"/>
  <c r="N7" i="22"/>
  <c r="F7" i="22" s="1"/>
  <c r="I7" i="22" l="1"/>
  <c r="J7" i="22" s="1"/>
  <c r="G7" i="22"/>
  <c r="R7" i="22"/>
  <c r="N10" i="22"/>
  <c r="F5" i="22"/>
  <c r="G6" i="22"/>
  <c r="R6" i="22"/>
  <c r="AE15" i="5"/>
  <c r="AE13" i="5"/>
  <c r="AE12" i="5"/>
  <c r="AE11" i="5"/>
  <c r="AE10" i="5"/>
  <c r="AE9" i="5"/>
  <c r="X9" i="5" s="1"/>
  <c r="AE8" i="5"/>
  <c r="X8" i="5" s="1"/>
  <c r="AE6" i="5"/>
  <c r="X6" i="5" s="1"/>
  <c r="AC9" i="5" l="1"/>
  <c r="X60" i="5"/>
  <c r="X10" i="5"/>
  <c r="X61" i="5" s="1"/>
  <c r="X12" i="5"/>
  <c r="AC12" i="5" s="1"/>
  <c r="AC6" i="5"/>
  <c r="X30" i="5"/>
  <c r="X57" i="5"/>
  <c r="X13" i="5"/>
  <c r="X11" i="5"/>
  <c r="AC8" i="5"/>
  <c r="X59" i="5"/>
  <c r="X15" i="5"/>
  <c r="X66" i="5" s="1"/>
  <c r="V60" i="5"/>
  <c r="U57" i="5"/>
  <c r="V57" i="5"/>
  <c r="U61" i="5"/>
  <c r="V61" i="5"/>
  <c r="U62" i="5"/>
  <c r="V62" i="5"/>
  <c r="V63" i="5"/>
  <c r="U59" i="5"/>
  <c r="V59" i="5"/>
  <c r="U64" i="5"/>
  <c r="V64" i="5"/>
  <c r="V58" i="5"/>
  <c r="V66" i="5"/>
  <c r="U60" i="5"/>
  <c r="U30" i="5"/>
  <c r="U66" i="5"/>
  <c r="S35" i="5"/>
  <c r="S30" i="5"/>
  <c r="S36" i="5"/>
  <c r="S37" i="5"/>
  <c r="N66" i="5"/>
  <c r="N58" i="5"/>
  <c r="N61" i="5"/>
  <c r="N59" i="5"/>
  <c r="N60" i="5"/>
  <c r="M30" i="5"/>
  <c r="K36" i="5"/>
  <c r="K37" i="5"/>
  <c r="K35" i="5"/>
  <c r="K30" i="5"/>
  <c r="AE3" i="5"/>
  <c r="I30" i="5"/>
  <c r="I35" i="5"/>
  <c r="I36" i="5"/>
  <c r="I37" i="5"/>
  <c r="I5" i="22"/>
  <c r="J5" i="22" s="1"/>
  <c r="G5" i="22"/>
  <c r="R5" i="22"/>
  <c r="G36" i="5"/>
  <c r="G35" i="5"/>
  <c r="G37" i="5"/>
  <c r="G30" i="5"/>
  <c r="E30" i="5"/>
  <c r="E35" i="5"/>
  <c r="E36" i="5"/>
  <c r="E37" i="5"/>
  <c r="V30" i="5"/>
  <c r="Q36" i="5"/>
  <c r="Q37" i="5"/>
  <c r="Q30" i="5"/>
  <c r="Q35" i="5"/>
  <c r="AC15" i="5" l="1"/>
  <c r="U35" i="5"/>
  <c r="X36" i="5"/>
  <c r="X63" i="5"/>
  <c r="AC10" i="5"/>
  <c r="X35" i="5"/>
  <c r="X62" i="5"/>
  <c r="X37" i="5"/>
  <c r="X64" i="5"/>
  <c r="AC11" i="5"/>
  <c r="AC13" i="5"/>
  <c r="U58" i="5"/>
  <c r="V56" i="5"/>
  <c r="U37" i="5"/>
  <c r="U36" i="5"/>
  <c r="U63" i="5"/>
  <c r="N36" i="5"/>
  <c r="N63" i="5"/>
  <c r="N37" i="5"/>
  <c r="N64" i="5"/>
  <c r="N30" i="5"/>
  <c r="N57" i="5"/>
  <c r="N35" i="5"/>
  <c r="N62" i="5"/>
  <c r="AB8" i="5"/>
  <c r="AB10" i="5"/>
  <c r="AB9" i="5"/>
  <c r="AB15" i="5"/>
  <c r="AB7" i="5"/>
  <c r="AB12" i="5"/>
  <c r="M36" i="5"/>
  <c r="AB13" i="5"/>
  <c r="M37" i="5"/>
  <c r="AB11" i="5"/>
  <c r="M35" i="5"/>
  <c r="J8" i="22"/>
  <c r="G8" i="22"/>
  <c r="G10" i="22" s="1"/>
  <c r="H12" i="18" a="1"/>
  <c r="H12" i="18" s="1"/>
  <c r="I12" i="18" a="1"/>
  <c r="I12" i="18" s="1"/>
  <c r="O12" i="18" a="1"/>
  <c r="O12" i="18" s="1"/>
  <c r="V36" i="5"/>
  <c r="K12" i="18" a="1"/>
  <c r="K12" i="18" s="1"/>
  <c r="N12" i="18" a="1"/>
  <c r="N12" i="18" s="1"/>
  <c r="V35" i="5"/>
  <c r="G12" i="18" a="1"/>
  <c r="G12" i="18" s="1"/>
  <c r="F12" i="18" a="1"/>
  <c r="F12" i="18" s="1"/>
  <c r="M12" i="18" a="1"/>
  <c r="M12" i="18" s="1"/>
  <c r="L12" i="18" a="1"/>
  <c r="L12" i="18" s="1"/>
  <c r="J12" i="18" a="1"/>
  <c r="J12" i="18" s="1"/>
  <c r="P12" i="18" a="1"/>
  <c r="P12" i="18" s="1"/>
  <c r="V37" i="5"/>
  <c r="E12" i="18" a="1"/>
  <c r="E12" i="18" s="1"/>
  <c r="X56" i="5" l="1"/>
  <c r="U56" i="5"/>
  <c r="G27" i="29" a="1"/>
  <c r="G27" i="29" s="1"/>
  <c r="H27" i="29" s="1"/>
  <c r="N56" i="5"/>
  <c r="AC3" i="5"/>
  <c r="Q12" i="18"/>
  <c r="AS6" i="8"/>
  <c r="AS7" i="8"/>
  <c r="D8" i="10"/>
  <c r="D7" i="10"/>
  <c r="D6" i="10"/>
  <c r="D5" i="10"/>
  <c r="D4" i="10"/>
  <c r="D3" i="10"/>
  <c r="B31" i="8"/>
  <c r="B28" i="8"/>
  <c r="B25" i="8"/>
  <c r="B22" i="8"/>
  <c r="B23" i="8" l="1"/>
  <c r="B26" i="8"/>
  <c r="B32" i="8"/>
  <c r="B29" i="8"/>
  <c r="AU29" i="8" l="1"/>
  <c r="AV29" i="8" s="1"/>
  <c r="AU32" i="8"/>
  <c r="AV32" i="8" s="1"/>
  <c r="AU26" i="8"/>
  <c r="AV26" i="8" s="1"/>
  <c r="AW26" i="8" s="1"/>
  <c r="AU23" i="8"/>
  <c r="H18" i="4"/>
  <c r="I18" i="4"/>
  <c r="AK7" i="8"/>
  <c r="AK6" i="8"/>
  <c r="AW32" i="8" l="1"/>
  <c r="AV23" i="8"/>
  <c r="AW23" i="8" s="1"/>
  <c r="AW29" i="8"/>
  <c r="AU31" i="8" l="1" a="1"/>
  <c r="AU31" i="8" s="1"/>
  <c r="AU22" i="8" a="1"/>
  <c r="AU22" i="8" s="1"/>
  <c r="AU25" i="8" a="1"/>
  <c r="AU25" i="8" s="1"/>
  <c r="AU28" i="8" a="1"/>
  <c r="AU28" i="8" s="1"/>
  <c r="AE25" i="8" a="1"/>
  <c r="AE25" i="8" s="1"/>
  <c r="AE26" i="8" s="1" a="1"/>
  <c r="AE26" i="8" s="1"/>
  <c r="AE24" i="8" s="1"/>
  <c r="K13" i="18" a="1"/>
  <c r="K13" i="18" s="1"/>
  <c r="G11" i="18" a="1"/>
  <c r="G11" i="18" s="1"/>
  <c r="O9" i="18" a="1"/>
  <c r="O9" i="18" s="1"/>
  <c r="K8" i="18" a="1"/>
  <c r="K8" i="18" s="1"/>
  <c r="G7" i="18" a="1"/>
  <c r="G7" i="18" s="1"/>
  <c r="O5" i="18" a="1"/>
  <c r="O5" i="18" s="1"/>
  <c r="K4" i="18" a="1"/>
  <c r="K4" i="18" s="1"/>
  <c r="I4" i="18" a="1"/>
  <c r="I4" i="18" s="1"/>
  <c r="L5" i="18" a="1"/>
  <c r="L5" i="18" s="1"/>
  <c r="K5" i="18" a="1"/>
  <c r="K5" i="18" s="1"/>
  <c r="F13" i="18" a="1"/>
  <c r="F13" i="18" s="1"/>
  <c r="F4" i="18" a="1"/>
  <c r="F4" i="18" s="1"/>
  <c r="M10" i="18" a="1"/>
  <c r="M10" i="18" s="1"/>
  <c r="E4" i="18" a="1"/>
  <c r="E4" i="18" s="1"/>
  <c r="F5" i="18" a="1"/>
  <c r="F5" i="18" s="1"/>
  <c r="M7" i="18" a="1"/>
  <c r="M7" i="18" s="1"/>
  <c r="P13" i="18" a="1"/>
  <c r="P13" i="18" s="1"/>
  <c r="K11" i="18" a="1"/>
  <c r="K11" i="18" s="1"/>
  <c r="G6" i="18" a="1"/>
  <c r="G6" i="18" s="1"/>
  <c r="E10" i="18" a="1"/>
  <c r="E10" i="18" s="1"/>
  <c r="AA31" i="8" a="1"/>
  <c r="AA31" i="8" s="1"/>
  <c r="AA32" i="8" s="1" a="1"/>
  <c r="AA32" i="8" s="1"/>
  <c r="AA30" i="8" s="1"/>
  <c r="S25" i="8" a="1"/>
  <c r="S25" i="8" s="1"/>
  <c r="S26" i="8" s="1" a="1"/>
  <c r="S26" i="8" s="1"/>
  <c r="S24" i="8" s="1"/>
  <c r="O28" i="8" a="1"/>
  <c r="O28" i="8" s="1"/>
  <c r="O29" i="8" s="1" a="1"/>
  <c r="O29" i="8" s="1"/>
  <c r="O27" i="8" s="1"/>
  <c r="J13" i="18" a="1"/>
  <c r="J13" i="18" s="1"/>
  <c r="F11" i="18" a="1"/>
  <c r="F11" i="18" s="1"/>
  <c r="N9" i="18" a="1"/>
  <c r="N9" i="18" s="1"/>
  <c r="J8" i="18" a="1"/>
  <c r="J8" i="18" s="1"/>
  <c r="F7" i="18" a="1"/>
  <c r="F7" i="18" s="1"/>
  <c r="N5" i="18" a="1"/>
  <c r="N5" i="18" s="1"/>
  <c r="J4" i="18" a="1"/>
  <c r="J4" i="18" s="1"/>
  <c r="H8" i="18" a="1"/>
  <c r="H8" i="18" s="1"/>
  <c r="H4" i="18" a="1"/>
  <c r="H4" i="18" s="1"/>
  <c r="G4" i="18" a="1"/>
  <c r="G4" i="18" s="1"/>
  <c r="F8" i="18" a="1"/>
  <c r="F8" i="18" s="1"/>
  <c r="O22" i="8" a="1"/>
  <c r="O22" i="8" s="1"/>
  <c r="O23" i="8" s="1" a="1"/>
  <c r="O23" i="8" s="1"/>
  <c r="O21" i="8" s="1"/>
  <c r="E8" i="18" a="1"/>
  <c r="E8" i="18" s="1"/>
  <c r="F9" i="18" a="1"/>
  <c r="F9" i="18" s="1"/>
  <c r="M11" i="18" a="1"/>
  <c r="M11" i="18" s="1"/>
  <c r="AI22" i="8" a="1"/>
  <c r="AI22" i="8" s="1"/>
  <c r="AI23" i="8" s="1" a="1"/>
  <c r="AI23" i="8" s="1"/>
  <c r="AI21" i="8" s="1"/>
  <c r="P4" i="18" a="1"/>
  <c r="P4" i="18" s="1"/>
  <c r="K7" i="18" a="1"/>
  <c r="K7" i="18" s="1"/>
  <c r="I7" i="18" a="1"/>
  <c r="I7" i="18" s="1"/>
  <c r="H11" i="18" a="1"/>
  <c r="H11" i="18" s="1"/>
  <c r="AM25" i="8" a="1"/>
  <c r="AM25" i="8" s="1"/>
  <c r="AM26" i="8" s="1" a="1"/>
  <c r="AM26" i="8" s="1"/>
  <c r="AM24" i="8" s="1"/>
  <c r="W28" i="8" a="1"/>
  <c r="W28" i="8" s="1"/>
  <c r="W29" i="8" s="1" a="1"/>
  <c r="W29" i="8" s="1"/>
  <c r="W27" i="8" s="1"/>
  <c r="I13" i="18" a="1"/>
  <c r="I13" i="18" s="1"/>
  <c r="E11" i="18" a="1"/>
  <c r="E11" i="18" s="1"/>
  <c r="M9" i="18" a="1"/>
  <c r="M9" i="18" s="1"/>
  <c r="I8" i="18" a="1"/>
  <c r="I8" i="18" s="1"/>
  <c r="E7" i="18" a="1"/>
  <c r="E7" i="18" s="1"/>
  <c r="M5" i="18" a="1"/>
  <c r="M5" i="18" s="1"/>
  <c r="P6" i="18" a="1"/>
  <c r="P6" i="18" s="1"/>
  <c r="G8" i="18" a="1"/>
  <c r="G8" i="18" s="1"/>
  <c r="AI28" i="8" a="1"/>
  <c r="AI28" i="8" s="1"/>
  <c r="AI29" i="8" s="1" a="1"/>
  <c r="AI29" i="8" s="1"/>
  <c r="AI27" i="8" s="1"/>
  <c r="N6" i="18" a="1"/>
  <c r="N6" i="18" s="1"/>
  <c r="AE28" i="8" a="1"/>
  <c r="AE28" i="8" s="1"/>
  <c r="AE29" i="8" s="1" a="1"/>
  <c r="AE29" i="8" s="1"/>
  <c r="AE27" i="8" s="1"/>
  <c r="I5" i="18" a="1"/>
  <c r="I5" i="18" s="1"/>
  <c r="N7" i="18" a="1"/>
  <c r="N7" i="18" s="1"/>
  <c r="I10" i="18" a="1"/>
  <c r="I10" i="18" s="1"/>
  <c r="O31" i="8" a="1"/>
  <c r="O31" i="8" s="1"/>
  <c r="O32" i="8" s="1" a="1"/>
  <c r="O32" i="8" s="1"/>
  <c r="O30" i="8" s="1"/>
  <c r="AI31" i="8" a="1"/>
  <c r="AI31" i="8" s="1"/>
  <c r="AI32" i="8" s="1" a="1"/>
  <c r="AI32" i="8" s="1"/>
  <c r="AI30" i="8" s="1"/>
  <c r="O8" i="18" a="1"/>
  <c r="O8" i="18" s="1"/>
  <c r="M8" i="18" a="1"/>
  <c r="M8" i="18" s="1"/>
  <c r="L13" i="18" a="1"/>
  <c r="L13" i="18" s="1"/>
  <c r="K22" i="8" a="1"/>
  <c r="K22" i="8" s="1"/>
  <c r="K23" i="8" s="1" a="1"/>
  <c r="K23" i="8" s="1"/>
  <c r="K21" i="8" s="1"/>
  <c r="O25" i="8" a="1"/>
  <c r="O25" i="8" s="1"/>
  <c r="O26" i="8" s="1" a="1"/>
  <c r="O26" i="8" s="1"/>
  <c r="O24" i="8" s="1"/>
  <c r="AQ28" i="8" a="1"/>
  <c r="AQ28" i="8" s="1"/>
  <c r="AQ29" i="8" s="1" a="1"/>
  <c r="AQ29" i="8" s="1"/>
  <c r="AQ27" i="8" s="1"/>
  <c r="H13" i="18" a="1"/>
  <c r="H13" i="18" s="1"/>
  <c r="P10" i="18" a="1"/>
  <c r="P10" i="18" s="1"/>
  <c r="L9" i="18" a="1"/>
  <c r="L9" i="18" s="1"/>
  <c r="O6" i="18" a="1"/>
  <c r="O6" i="18" s="1"/>
  <c r="J5" i="18" a="1"/>
  <c r="J5" i="18" s="1"/>
  <c r="M6" i="18" a="1"/>
  <c r="M6" i="18" s="1"/>
  <c r="K31" i="8" a="1"/>
  <c r="K31" i="8" s="1"/>
  <c r="K32" i="8" s="1" a="1"/>
  <c r="K32" i="8" s="1"/>
  <c r="K30" i="8" s="1"/>
  <c r="P8" i="18" a="1"/>
  <c r="P8" i="18" s="1"/>
  <c r="E6" i="18" a="1"/>
  <c r="E6" i="18" s="1"/>
  <c r="P5" i="18" a="1"/>
  <c r="P5" i="18" s="1"/>
  <c r="AE22" i="8" a="1"/>
  <c r="AE22" i="8" s="1"/>
  <c r="AE23" i="8" s="1" a="1"/>
  <c r="AE23" i="8" s="1"/>
  <c r="AE21" i="8" s="1"/>
  <c r="AI25" i="8" a="1"/>
  <c r="AI25" i="8" s="1"/>
  <c r="AI26" i="8" s="1" a="1"/>
  <c r="AI26" i="8" s="1"/>
  <c r="AI24" i="8" s="1"/>
  <c r="S28" i="8" a="1"/>
  <c r="S28" i="8" s="1"/>
  <c r="S29" i="8" s="1" a="1"/>
  <c r="S29" i="8" s="1"/>
  <c r="S27" i="8" s="1"/>
  <c r="G13" i="18" a="1"/>
  <c r="G13" i="18" s="1"/>
  <c r="O10" i="18" a="1"/>
  <c r="O10" i="18" s="1"/>
  <c r="K9" i="18" a="1"/>
  <c r="K9" i="18" s="1"/>
  <c r="N10" i="18" a="1"/>
  <c r="N10" i="18" s="1"/>
  <c r="E13" i="18" a="1"/>
  <c r="E13" i="18" s="1"/>
  <c r="J10" i="18" a="1"/>
  <c r="J10" i="18" s="1"/>
  <c r="E5" i="18" a="1"/>
  <c r="E5" i="18" s="1"/>
  <c r="O13" i="18" a="1"/>
  <c r="O13" i="18" s="1"/>
  <c r="M4" i="18" a="1"/>
  <c r="M4" i="18" s="1"/>
  <c r="AM22" i="8" a="1"/>
  <c r="AM22" i="8" s="1"/>
  <c r="AM23" i="8" s="1" a="1"/>
  <c r="AM23" i="8" s="1"/>
  <c r="AM21" i="8" s="1"/>
  <c r="AA25" i="8" a="1"/>
  <c r="AA25" i="8" s="1"/>
  <c r="AA26" i="8" s="1" a="1"/>
  <c r="AA26" i="8" s="1"/>
  <c r="AA24" i="8" s="1"/>
  <c r="J9" i="18" a="1"/>
  <c r="J9" i="18" s="1"/>
  <c r="I9" i="18" a="1"/>
  <c r="I9" i="18" s="1"/>
  <c r="W22" i="8" a="1"/>
  <c r="W22" i="8" s="1"/>
  <c r="W23" i="8" s="1" a="1"/>
  <c r="W23" i="8" s="1"/>
  <c r="W21" i="8" s="1"/>
  <c r="H10" i="18" a="1"/>
  <c r="H10" i="18" s="1"/>
  <c r="O4" i="18" a="1"/>
  <c r="O4" i="18" s="1"/>
  <c r="P9" i="18" a="1"/>
  <c r="P9" i="18" s="1"/>
  <c r="AQ22" i="8" a="1"/>
  <c r="AQ22" i="8" s="1"/>
  <c r="AQ23" i="8" s="1" a="1"/>
  <c r="AQ23" i="8" s="1"/>
  <c r="AQ21" i="8" s="1"/>
  <c r="AQ31" i="8" a="1"/>
  <c r="AQ31" i="8" s="1"/>
  <c r="AQ32" i="8" s="1" a="1"/>
  <c r="AQ32" i="8" s="1"/>
  <c r="AQ30" i="8" s="1"/>
  <c r="AM28" i="8" a="1"/>
  <c r="AM28" i="8" s="1"/>
  <c r="AM29" i="8" s="1" a="1"/>
  <c r="AM29" i="8" s="1"/>
  <c r="AM27" i="8" s="1"/>
  <c r="P11" i="18" a="1"/>
  <c r="P11" i="18" s="1"/>
  <c r="L10" i="18" a="1"/>
  <c r="L10" i="18" s="1"/>
  <c r="H9" i="18" a="1"/>
  <c r="H9" i="18" s="1"/>
  <c r="P7" i="18" a="1"/>
  <c r="P7" i="18" s="1"/>
  <c r="L6" i="18" a="1"/>
  <c r="L6" i="18" s="1"/>
  <c r="H5" i="18" a="1"/>
  <c r="H5" i="18" s="1"/>
  <c r="O7" i="18" a="1"/>
  <c r="O7" i="18" s="1"/>
  <c r="K6" i="18" a="1"/>
  <c r="K6" i="18" s="1"/>
  <c r="AA22" i="8" a="1"/>
  <c r="AA22" i="8" s="1"/>
  <c r="AA23" i="8" s="1" a="1"/>
  <c r="AA23" i="8" s="1"/>
  <c r="AA21" i="8" s="1"/>
  <c r="W31" i="8" a="1"/>
  <c r="W31" i="8" s="1"/>
  <c r="W32" i="8" s="1" a="1"/>
  <c r="W32" i="8" s="1"/>
  <c r="W30" i="8" s="1"/>
  <c r="N11" i="18" a="1"/>
  <c r="N11" i="18" s="1"/>
  <c r="J6" i="18" a="1"/>
  <c r="J6" i="18" s="1"/>
  <c r="I6" i="18" a="1"/>
  <c r="I6" i="18" s="1"/>
  <c r="L11" i="18" a="1"/>
  <c r="L11" i="18" s="1"/>
  <c r="L7" i="18" a="1"/>
  <c r="L7" i="18" s="1"/>
  <c r="G10" i="18" a="1"/>
  <c r="G10" i="18" s="1"/>
  <c r="I11" i="18" a="1"/>
  <c r="I11" i="18" s="1"/>
  <c r="AQ25" i="8" a="1"/>
  <c r="AQ25" i="8" s="1"/>
  <c r="AQ26" i="8" s="1" a="1"/>
  <c r="AQ26" i="8" s="1"/>
  <c r="AQ24" i="8" s="1"/>
  <c r="L4" i="18" a="1"/>
  <c r="L4" i="18" s="1"/>
  <c r="S22" i="8" a="1"/>
  <c r="S22" i="8" s="1"/>
  <c r="S23" i="8" s="1" a="1"/>
  <c r="S23" i="8" s="1"/>
  <c r="S21" i="8" s="1"/>
  <c r="AE31" i="8" a="1"/>
  <c r="AE31" i="8" s="1"/>
  <c r="AE32" i="8" s="1" a="1"/>
  <c r="AE32" i="8" s="1"/>
  <c r="AE30" i="8" s="1"/>
  <c r="K28" i="8" a="1"/>
  <c r="K28" i="8" s="1"/>
  <c r="K29" i="8" s="1" a="1"/>
  <c r="K29" i="8" s="1"/>
  <c r="K27" i="8" s="1"/>
  <c r="O11" i="18" a="1"/>
  <c r="O11" i="18" s="1"/>
  <c r="K10" i="18" a="1"/>
  <c r="K10" i="18" s="1"/>
  <c r="G9" i="18" a="1"/>
  <c r="G9" i="18" s="1"/>
  <c r="G5" i="18" a="1"/>
  <c r="G5" i="18" s="1"/>
  <c r="AA28" i="8" a="1"/>
  <c r="AA28" i="8" s="1"/>
  <c r="AA29" i="8" s="1" a="1"/>
  <c r="AA29" i="8" s="1"/>
  <c r="AA27" i="8" s="1"/>
  <c r="E9" i="18" a="1"/>
  <c r="E9" i="18" s="1"/>
  <c r="H6" i="18" a="1"/>
  <c r="H6" i="18" s="1"/>
  <c r="S31" i="8" a="1"/>
  <c r="S31" i="8" s="1"/>
  <c r="S32" i="8" s="1" a="1"/>
  <c r="S32" i="8" s="1"/>
  <c r="S30" i="8" s="1"/>
  <c r="L8" i="18" a="1"/>
  <c r="L8" i="18" s="1"/>
  <c r="W25" i="8" a="1"/>
  <c r="W25" i="8" s="1"/>
  <c r="W26" i="8" s="1" a="1"/>
  <c r="W26" i="8" s="1"/>
  <c r="W24" i="8" s="1"/>
  <c r="AM31" i="8" a="1"/>
  <c r="AM31" i="8" s="1"/>
  <c r="AM32" i="8" s="1" a="1"/>
  <c r="AM32" i="8" s="1"/>
  <c r="AM30" i="8" s="1"/>
  <c r="N13" i="18" a="1"/>
  <c r="N13" i="18" s="1"/>
  <c r="J11" i="18" a="1"/>
  <c r="J11" i="18" s="1"/>
  <c r="F10" i="18" a="1"/>
  <c r="F10" i="18" s="1"/>
  <c r="N8" i="18" a="1"/>
  <c r="N8" i="18" s="1"/>
  <c r="J7" i="18" a="1"/>
  <c r="J7" i="18" s="1"/>
  <c r="F6" i="18" a="1"/>
  <c r="F6" i="18" s="1"/>
  <c r="N4" i="18" a="1"/>
  <c r="N4" i="18" s="1"/>
  <c r="K25" i="8" a="1"/>
  <c r="K25" i="8" s="1"/>
  <c r="K26" i="8" s="1" a="1"/>
  <c r="K26" i="8" s="1"/>
  <c r="K24" i="8" s="1"/>
  <c r="M13" i="18" a="1"/>
  <c r="M13" i="18" s="1"/>
  <c r="H7" i="18" a="1"/>
  <c r="H7" i="18" s="1"/>
  <c r="L14" i="18" l="1"/>
  <c r="K14" i="18"/>
  <c r="M14" i="18"/>
  <c r="Q8" i="18"/>
  <c r="Q10" i="18"/>
  <c r="I14" i="18"/>
  <c r="Q5" i="18"/>
  <c r="Q7" i="18"/>
  <c r="G14" i="18"/>
  <c r="H14" i="18"/>
  <c r="O14" i="18"/>
  <c r="Q11" i="18"/>
  <c r="AU27" i="8"/>
  <c r="AW28" i="8"/>
  <c r="AW27" i="8" s="1"/>
  <c r="Q13" i="18"/>
  <c r="J14" i="18"/>
  <c r="E14" i="18"/>
  <c r="Q4" i="18"/>
  <c r="AW25" i="8"/>
  <c r="AW24" i="8" s="1"/>
  <c r="AU24" i="8"/>
  <c r="AW22" i="8"/>
  <c r="AW21" i="8" s="1"/>
  <c r="AU21" i="8"/>
  <c r="P14" i="18"/>
  <c r="Q9" i="18"/>
  <c r="N14" i="18"/>
  <c r="Q6" i="18"/>
  <c r="F14" i="18"/>
  <c r="AW31" i="8"/>
  <c r="AW30" i="8" s="1"/>
  <c r="AU30" i="8"/>
  <c r="Q95" i="13"/>
  <c r="R95" i="13" s="1"/>
  <c r="K95" i="13"/>
  <c r="L95" i="13" s="1"/>
  <c r="J95" i="13"/>
  <c r="A95" i="13"/>
  <c r="Q94" i="13"/>
  <c r="Q86" i="13" s="1"/>
  <c r="K94" i="13"/>
  <c r="L94" i="13" s="1"/>
  <c r="J94" i="13"/>
  <c r="A94" i="13"/>
  <c r="Q93" i="13"/>
  <c r="R93" i="13" s="1"/>
  <c r="K93" i="13"/>
  <c r="L93" i="13" s="1"/>
  <c r="J93" i="13"/>
  <c r="A93" i="13"/>
  <c r="Q92" i="13"/>
  <c r="R92" i="13" s="1"/>
  <c r="K92" i="13"/>
  <c r="L92" i="13" s="1"/>
  <c r="J92" i="13"/>
  <c r="A92" i="13"/>
  <c r="Q91" i="13"/>
  <c r="R91" i="13" s="1"/>
  <c r="L91" i="13"/>
  <c r="K91" i="13"/>
  <c r="J91" i="13"/>
  <c r="A91" i="13"/>
  <c r="Q90" i="13"/>
  <c r="R90" i="13" s="1"/>
  <c r="K90" i="13"/>
  <c r="L90" i="13" s="1"/>
  <c r="J90" i="13"/>
  <c r="A90" i="13"/>
  <c r="Q89" i="13"/>
  <c r="R89" i="13" s="1"/>
  <c r="K89" i="13"/>
  <c r="L89" i="13" s="1"/>
  <c r="J89" i="13"/>
  <c r="A89" i="13"/>
  <c r="R88" i="13"/>
  <c r="Q88" i="13"/>
  <c r="K88" i="13"/>
  <c r="L88" i="13" s="1"/>
  <c r="J88" i="13"/>
  <c r="A88" i="13"/>
  <c r="Q87" i="13"/>
  <c r="R87" i="13" s="1"/>
  <c r="K87" i="13"/>
  <c r="L87" i="13" s="1"/>
  <c r="J87" i="13"/>
  <c r="J86" i="13" s="1"/>
  <c r="A87" i="13"/>
  <c r="P86" i="13"/>
  <c r="I86" i="13"/>
  <c r="A86" i="13"/>
  <c r="A85" i="13"/>
  <c r="Q84" i="13"/>
  <c r="R84" i="13" s="1"/>
  <c r="K84" i="13"/>
  <c r="L84" i="13" s="1"/>
  <c r="J84" i="13"/>
  <c r="A84" i="13"/>
  <c r="Q83" i="13"/>
  <c r="R83" i="13" s="1"/>
  <c r="K83" i="13"/>
  <c r="L83" i="13" s="1"/>
  <c r="J83" i="13"/>
  <c r="A83" i="13"/>
  <c r="R82" i="13"/>
  <c r="Q82" i="13"/>
  <c r="K82" i="13"/>
  <c r="L82" i="13" s="1"/>
  <c r="J82" i="13"/>
  <c r="A82" i="13"/>
  <c r="Q81" i="13"/>
  <c r="R81" i="13" s="1"/>
  <c r="K81" i="13"/>
  <c r="L81" i="13" s="1"/>
  <c r="J81" i="13"/>
  <c r="A81" i="13"/>
  <c r="Q80" i="13"/>
  <c r="R80" i="13" s="1"/>
  <c r="K80" i="13"/>
  <c r="L80" i="13" s="1"/>
  <c r="J80" i="13"/>
  <c r="A80" i="13"/>
  <c r="Q79" i="13"/>
  <c r="R79" i="13" s="1"/>
  <c r="K79" i="13"/>
  <c r="L79" i="13" s="1"/>
  <c r="J79" i="13"/>
  <c r="A79" i="13"/>
  <c r="Q78" i="13"/>
  <c r="R78" i="13" s="1"/>
  <c r="K78" i="13"/>
  <c r="L78" i="13" s="1"/>
  <c r="J78" i="13"/>
  <c r="A78" i="13"/>
  <c r="Q77" i="13"/>
  <c r="R77" i="13" s="1"/>
  <c r="L77" i="13"/>
  <c r="K77" i="13"/>
  <c r="J77" i="13"/>
  <c r="A77" i="13"/>
  <c r="Q76" i="13"/>
  <c r="R76" i="13" s="1"/>
  <c r="K76" i="13"/>
  <c r="L76" i="13" s="1"/>
  <c r="J76" i="13"/>
  <c r="A76" i="13"/>
  <c r="Q75" i="13"/>
  <c r="R75" i="13" s="1"/>
  <c r="K75" i="13"/>
  <c r="L75" i="13" s="1"/>
  <c r="J75" i="13"/>
  <c r="A75" i="13"/>
  <c r="R74" i="13"/>
  <c r="Q74" i="13"/>
  <c r="K74" i="13"/>
  <c r="L74" i="13" s="1"/>
  <c r="J74" i="13"/>
  <c r="A74" i="13"/>
  <c r="Q73" i="13"/>
  <c r="R73" i="13" s="1"/>
  <c r="K73" i="13"/>
  <c r="L73" i="13" s="1"/>
  <c r="J73" i="13"/>
  <c r="A73" i="13"/>
  <c r="Q72" i="13"/>
  <c r="R72" i="13" s="1"/>
  <c r="K72" i="13"/>
  <c r="L72" i="13" s="1"/>
  <c r="J72" i="13"/>
  <c r="A72" i="13"/>
  <c r="Q71" i="13"/>
  <c r="R71" i="13" s="1"/>
  <c r="K71" i="13"/>
  <c r="L71" i="13" s="1"/>
  <c r="J71" i="13"/>
  <c r="A71" i="13"/>
  <c r="Q70" i="13"/>
  <c r="R70" i="13" s="1"/>
  <c r="K70" i="13"/>
  <c r="L70" i="13" s="1"/>
  <c r="J70" i="13"/>
  <c r="J65" i="13" s="1"/>
  <c r="A70" i="13"/>
  <c r="Q69" i="13"/>
  <c r="R69" i="13" s="1"/>
  <c r="L69" i="13"/>
  <c r="K69" i="13"/>
  <c r="J69" i="13"/>
  <c r="A69" i="13"/>
  <c r="Q68" i="13"/>
  <c r="R68" i="13" s="1"/>
  <c r="K68" i="13"/>
  <c r="L68" i="13" s="1"/>
  <c r="J68" i="13"/>
  <c r="A68" i="13"/>
  <c r="Q67" i="13"/>
  <c r="R67" i="13" s="1"/>
  <c r="K67" i="13"/>
  <c r="K65" i="13" s="1"/>
  <c r="L65" i="13" s="1"/>
  <c r="J67" i="13"/>
  <c r="A67" i="13"/>
  <c r="R66" i="13"/>
  <c r="Q66" i="13"/>
  <c r="K66" i="13"/>
  <c r="L66" i="13" s="1"/>
  <c r="J66" i="13"/>
  <c r="A66" i="13"/>
  <c r="P65" i="13"/>
  <c r="I65" i="13"/>
  <c r="A65" i="13"/>
  <c r="R63" i="13"/>
  <c r="Q63" i="13"/>
  <c r="L63" i="13"/>
  <c r="K63" i="13"/>
  <c r="J63" i="13"/>
  <c r="A63" i="13"/>
  <c r="R62" i="13"/>
  <c r="Q62" i="13"/>
  <c r="K62" i="13"/>
  <c r="L62" i="13" s="1"/>
  <c r="J62" i="13"/>
  <c r="A62" i="13"/>
  <c r="Q61" i="13"/>
  <c r="R61" i="13" s="1"/>
  <c r="K61" i="13"/>
  <c r="L61" i="13" s="1"/>
  <c r="J61" i="13"/>
  <c r="J58" i="13" s="1"/>
  <c r="A61" i="13"/>
  <c r="R60" i="13"/>
  <c r="Q60" i="13"/>
  <c r="K60" i="13"/>
  <c r="J60" i="13"/>
  <c r="L60" i="13" s="1"/>
  <c r="A60" i="13"/>
  <c r="Q59" i="13"/>
  <c r="R59" i="13" s="1"/>
  <c r="L59" i="13"/>
  <c r="K59" i="13"/>
  <c r="J59" i="13"/>
  <c r="A59" i="13"/>
  <c r="Q58" i="13"/>
  <c r="P58" i="13"/>
  <c r="I58" i="13"/>
  <c r="A58" i="13"/>
  <c r="Q56" i="13"/>
  <c r="R56" i="13" s="1"/>
  <c r="K56" i="13"/>
  <c r="L56" i="13" s="1"/>
  <c r="J56" i="13"/>
  <c r="A56" i="13"/>
  <c r="Q55" i="13"/>
  <c r="R55" i="13" s="1"/>
  <c r="K55" i="13"/>
  <c r="L55" i="13" s="1"/>
  <c r="J55" i="13"/>
  <c r="A55" i="13"/>
  <c r="Q54" i="13"/>
  <c r="R54" i="13" s="1"/>
  <c r="L54" i="13"/>
  <c r="K54" i="13"/>
  <c r="J54" i="13"/>
  <c r="A54" i="13"/>
  <c r="Q53" i="13"/>
  <c r="R53" i="13" s="1"/>
  <c r="K53" i="13"/>
  <c r="L53" i="13" s="1"/>
  <c r="J53" i="13"/>
  <c r="A53" i="13"/>
  <c r="Q52" i="13"/>
  <c r="R52" i="13" s="1"/>
  <c r="K52" i="13"/>
  <c r="L52" i="13" s="1"/>
  <c r="J52" i="13"/>
  <c r="A52" i="13"/>
  <c r="R51" i="13"/>
  <c r="Q51" i="13"/>
  <c r="K51" i="13"/>
  <c r="L51" i="13" s="1"/>
  <c r="J51" i="13"/>
  <c r="A51" i="13"/>
  <c r="Q50" i="13"/>
  <c r="R50" i="13" s="1"/>
  <c r="K50" i="13"/>
  <c r="L50" i="13" s="1"/>
  <c r="J50" i="13"/>
  <c r="A50" i="13"/>
  <c r="Q49" i="13"/>
  <c r="R49" i="13" s="1"/>
  <c r="K49" i="13"/>
  <c r="K47" i="13" s="1"/>
  <c r="J49" i="13"/>
  <c r="A49" i="13"/>
  <c r="Q48" i="13"/>
  <c r="R48" i="13" s="1"/>
  <c r="K48" i="13"/>
  <c r="L48" i="13" s="1"/>
  <c r="J48" i="13"/>
  <c r="A48" i="13"/>
  <c r="P47" i="13"/>
  <c r="P45" i="13" s="1"/>
  <c r="J47" i="13"/>
  <c r="J45" i="13" s="1"/>
  <c r="I47" i="13"/>
  <c r="I45" i="13" s="1"/>
  <c r="A47" i="13"/>
  <c r="A45" i="13"/>
  <c r="A44" i="13"/>
  <c r="R43" i="13"/>
  <c r="Q43" i="13"/>
  <c r="K43" i="13"/>
  <c r="L43" i="13" s="1"/>
  <c r="J43" i="13"/>
  <c r="A43" i="13"/>
  <c r="R42" i="13"/>
  <c r="Q42" i="13"/>
  <c r="L42" i="13"/>
  <c r="K42" i="13"/>
  <c r="J42" i="13"/>
  <c r="A42" i="13"/>
  <c r="R41" i="13"/>
  <c r="Q41" i="13"/>
  <c r="K41" i="13"/>
  <c r="L41" i="13" s="1"/>
  <c r="J41" i="13"/>
  <c r="A41" i="13"/>
  <c r="Q40" i="13"/>
  <c r="R40" i="13" s="1"/>
  <c r="K40" i="13"/>
  <c r="L40" i="13" s="1"/>
  <c r="J40" i="13"/>
  <c r="A40" i="13"/>
  <c r="R39" i="13"/>
  <c r="Q39" i="13"/>
  <c r="K39" i="13"/>
  <c r="J39" i="13"/>
  <c r="L39" i="13" s="1"/>
  <c r="A39" i="13"/>
  <c r="Q38" i="13"/>
  <c r="R38" i="13" s="1"/>
  <c r="L38" i="13"/>
  <c r="K38" i="13"/>
  <c r="J38" i="13"/>
  <c r="A38" i="13"/>
  <c r="Q37" i="13"/>
  <c r="R37" i="13" s="1"/>
  <c r="L37" i="13"/>
  <c r="K37" i="13"/>
  <c r="J37" i="13"/>
  <c r="A37" i="13"/>
  <c r="R36" i="13"/>
  <c r="Q36" i="13"/>
  <c r="L36" i="13"/>
  <c r="K36" i="13"/>
  <c r="J36" i="13"/>
  <c r="A36" i="13"/>
  <c r="R35" i="13"/>
  <c r="Q35" i="13"/>
  <c r="K35" i="13"/>
  <c r="L35" i="13" s="1"/>
  <c r="J35" i="13"/>
  <c r="A35" i="13"/>
  <c r="R34" i="13"/>
  <c r="Q34" i="13"/>
  <c r="L34" i="13"/>
  <c r="K34" i="13"/>
  <c r="J34" i="13"/>
  <c r="A34" i="13"/>
  <c r="R33" i="13"/>
  <c r="Q33" i="13"/>
  <c r="K33" i="13"/>
  <c r="L33" i="13" s="1"/>
  <c r="J33" i="13"/>
  <c r="A33" i="13"/>
  <c r="Q32" i="13"/>
  <c r="R32" i="13" s="1"/>
  <c r="K32" i="13"/>
  <c r="L32" i="13" s="1"/>
  <c r="J32" i="13"/>
  <c r="J30" i="13" s="1"/>
  <c r="A32" i="13"/>
  <c r="R31" i="13"/>
  <c r="Q31" i="13"/>
  <c r="Q30" i="13" s="1"/>
  <c r="K31" i="13"/>
  <c r="K30" i="13" s="1"/>
  <c r="J31" i="13"/>
  <c r="L31" i="13" s="1"/>
  <c r="A31" i="13"/>
  <c r="P30" i="13"/>
  <c r="I30" i="13"/>
  <c r="A30" i="13"/>
  <c r="Q28" i="13"/>
  <c r="R28" i="13" s="1"/>
  <c r="K28" i="13"/>
  <c r="L28" i="13" s="1"/>
  <c r="J28" i="13"/>
  <c r="A28" i="13"/>
  <c r="Q27" i="13"/>
  <c r="R27" i="13" s="1"/>
  <c r="K27" i="13"/>
  <c r="L27" i="13" s="1"/>
  <c r="J27" i="13"/>
  <c r="A27" i="13"/>
  <c r="Q26" i="13"/>
  <c r="R26" i="13" s="1"/>
  <c r="K26" i="13"/>
  <c r="L26" i="13" s="1"/>
  <c r="J26" i="13"/>
  <c r="J23" i="13" s="1"/>
  <c r="A26" i="13"/>
  <c r="Q25" i="13"/>
  <c r="Q23" i="13" s="1"/>
  <c r="L25" i="13"/>
  <c r="K25" i="13"/>
  <c r="J25" i="13"/>
  <c r="A25" i="13"/>
  <c r="Q24" i="13"/>
  <c r="R24" i="13" s="1"/>
  <c r="K24" i="13"/>
  <c r="L24" i="13" s="1"/>
  <c r="J24" i="13"/>
  <c r="A24" i="13"/>
  <c r="P23" i="13"/>
  <c r="P10" i="13" s="1"/>
  <c r="P97" i="13" s="1"/>
  <c r="K23" i="13"/>
  <c r="L23" i="13" s="1"/>
  <c r="I23" i="13"/>
  <c r="I10" i="13" s="1"/>
  <c r="I97" i="13" s="1"/>
  <c r="A23" i="13"/>
  <c r="R21" i="13"/>
  <c r="Q21" i="13"/>
  <c r="L21" i="13"/>
  <c r="K21" i="13"/>
  <c r="J21" i="13"/>
  <c r="A21" i="13"/>
  <c r="R20" i="13"/>
  <c r="Q20" i="13"/>
  <c r="K20" i="13"/>
  <c r="L20" i="13" s="1"/>
  <c r="J20" i="13"/>
  <c r="J18" i="13" s="1"/>
  <c r="A20" i="13"/>
  <c r="R19" i="13"/>
  <c r="Q19" i="13"/>
  <c r="Q18" i="13" s="1"/>
  <c r="L19" i="13"/>
  <c r="K19" i="13"/>
  <c r="K18" i="13" s="1"/>
  <c r="L18" i="13" s="1"/>
  <c r="J19" i="13"/>
  <c r="A19" i="13"/>
  <c r="P18" i="13"/>
  <c r="I18" i="13"/>
  <c r="A18" i="13"/>
  <c r="Q16" i="13"/>
  <c r="R16" i="13" s="1"/>
  <c r="K16" i="13"/>
  <c r="L16" i="13" s="1"/>
  <c r="J16" i="13"/>
  <c r="A16" i="13"/>
  <c r="R15" i="13"/>
  <c r="Q15" i="13"/>
  <c r="K15" i="13"/>
  <c r="L15" i="13" s="1"/>
  <c r="J15" i="13"/>
  <c r="A15" i="13"/>
  <c r="Q14" i="13"/>
  <c r="R14" i="13" s="1"/>
  <c r="K14" i="13"/>
  <c r="L14" i="13" s="1"/>
  <c r="J14" i="13"/>
  <c r="A14" i="13"/>
  <c r="Q13" i="13"/>
  <c r="Q12" i="13" s="1"/>
  <c r="K13" i="13"/>
  <c r="K12" i="13" s="1"/>
  <c r="J13" i="13"/>
  <c r="J12" i="13" s="1"/>
  <c r="A13" i="13"/>
  <c r="P12" i="13"/>
  <c r="I12" i="13"/>
  <c r="A12" i="13"/>
  <c r="A10" i="13"/>
  <c r="AV27" i="8" l="1"/>
  <c r="AV24" i="8"/>
  <c r="Q14" i="18"/>
  <c r="AV30" i="8"/>
  <c r="AV21" i="8"/>
  <c r="L47" i="13"/>
  <c r="J10" i="13"/>
  <c r="J97" i="13" s="1"/>
  <c r="L12" i="13"/>
  <c r="K10" i="13"/>
  <c r="Q10" i="13"/>
  <c r="L30" i="13"/>
  <c r="K86" i="13"/>
  <c r="L86" i="13" s="1"/>
  <c r="L13" i="13"/>
  <c r="R25" i="13"/>
  <c r="L49" i="13"/>
  <c r="K58" i="13"/>
  <c r="L58" i="13" s="1"/>
  <c r="L67" i="13"/>
  <c r="R94" i="13"/>
  <c r="Q47" i="13"/>
  <c r="Q45" i="13" s="1"/>
  <c r="R13" i="13"/>
  <c r="Q65" i="13"/>
  <c r="AV8" i="8" l="1"/>
  <c r="AW8" i="8" s="1"/>
  <c r="AW11" i="8" s="1"/>
  <c r="AV11" i="8" s="1"/>
  <c r="Q97" i="13"/>
  <c r="L10" i="13"/>
  <c r="K45" i="13"/>
  <c r="L45" i="13" s="1"/>
  <c r="AW12" i="8" l="1"/>
  <c r="AW13" i="8" s="1"/>
  <c r="K97" i="13"/>
  <c r="L97" i="13" s="1"/>
  <c r="AV12" i="8" l="1"/>
  <c r="AW15" i="8"/>
  <c r="AW16" i="8" s="1"/>
  <c r="AS86" i="11"/>
  <c r="AS85" i="11"/>
  <c r="AS84" i="11"/>
  <c r="AS83" i="11"/>
  <c r="AS82" i="11"/>
  <c r="AS81" i="11"/>
  <c r="AS80" i="11"/>
  <c r="AS79" i="11"/>
  <c r="AS78" i="11"/>
  <c r="AS75" i="11"/>
  <c r="AS74" i="11"/>
  <c r="AS73" i="11"/>
  <c r="AS72" i="11"/>
  <c r="AS71" i="11"/>
  <c r="AS70" i="11"/>
  <c r="AS69" i="11"/>
  <c r="AS68" i="11"/>
  <c r="AS67" i="11"/>
  <c r="AS66" i="11"/>
  <c r="AS65" i="11"/>
  <c r="AS64" i="11"/>
  <c r="AS63" i="11"/>
  <c r="AS62" i="11"/>
  <c r="AS61" i="11"/>
  <c r="AS60" i="11"/>
  <c r="AS59" i="11"/>
  <c r="AS58" i="11"/>
  <c r="AS57" i="11"/>
  <c r="AS55" i="11"/>
  <c r="AS54" i="11"/>
  <c r="AS53" i="11"/>
  <c r="AS52" i="11"/>
  <c r="AS51" i="11"/>
  <c r="AS49" i="11"/>
  <c r="AS48" i="11"/>
  <c r="AS47" i="11"/>
  <c r="AS46" i="11"/>
  <c r="AS45" i="11"/>
  <c r="AS44" i="11"/>
  <c r="AS43" i="11"/>
  <c r="AS42" i="11"/>
  <c r="AS41" i="11"/>
  <c r="AS37" i="11"/>
  <c r="AS36" i="11"/>
  <c r="AS35" i="11"/>
  <c r="AS34" i="11"/>
  <c r="AS33" i="11"/>
  <c r="AS32" i="11"/>
  <c r="AS31" i="11"/>
  <c r="AS30" i="11"/>
  <c r="AS29" i="11"/>
  <c r="AS28" i="11"/>
  <c r="AS27" i="11"/>
  <c r="AS26" i="11"/>
  <c r="AS25" i="11"/>
  <c r="AS23" i="11"/>
  <c r="AS22" i="11"/>
  <c r="AS21" i="11"/>
  <c r="AS20" i="11"/>
  <c r="AS19" i="11"/>
  <c r="AS17" i="11"/>
  <c r="AS16" i="11"/>
  <c r="AS15" i="11"/>
  <c r="AS13" i="11"/>
  <c r="AS12" i="11"/>
  <c r="AS11" i="11"/>
  <c r="AS10" i="11"/>
  <c r="BC6" i="8" l="1"/>
  <c r="AY32" i="8"/>
  <c r="AY31" i="8" a="1"/>
  <c r="AY31" i="8" s="1"/>
  <c r="AY29" i="8"/>
  <c r="AY28" i="8" a="1"/>
  <c r="AY28" i="8" s="1"/>
  <c r="AY26" i="8"/>
  <c r="AY25" i="8" a="1"/>
  <c r="AY25" i="8" s="1"/>
  <c r="AY23" i="8"/>
  <c r="AY22" i="8" a="1"/>
  <c r="AY22" i="8" s="1"/>
  <c r="BA14" i="8"/>
  <c r="BA10" i="8"/>
  <c r="AZ10" i="8" s="1"/>
  <c r="AY3" i="8"/>
  <c r="AZ1" i="8"/>
  <c r="BA1" i="8" s="1"/>
  <c r="AU3" i="8"/>
  <c r="AV1" i="8"/>
  <c r="AW1" i="8" s="1"/>
  <c r="AS22" i="8"/>
  <c r="AS10" i="8"/>
  <c r="AR1" i="8"/>
  <c r="AS1" i="8" s="1"/>
  <c r="AO31" i="8"/>
  <c r="AO25" i="8"/>
  <c r="AO14" i="8"/>
  <c r="AO10" i="8"/>
  <c r="AM3" i="8"/>
  <c r="AN1" i="8"/>
  <c r="AO1" i="8" s="1"/>
  <c r="AK14" i="8"/>
  <c r="AK10" i="8"/>
  <c r="AI3" i="8"/>
  <c r="AJ1" i="8"/>
  <c r="AK1" i="8" s="1"/>
  <c r="BC1" i="8" l="1"/>
  <c r="BE14" i="8"/>
  <c r="AS14" i="8"/>
  <c r="AY21" i="8"/>
  <c r="BA25" i="8"/>
  <c r="AY24" i="8"/>
  <c r="AY27" i="8"/>
  <c r="BA28" i="8"/>
  <c r="BA31" i="8"/>
  <c r="AY30" i="8"/>
  <c r="BA22" i="8"/>
  <c r="AR10" i="8"/>
  <c r="AO22" i="8"/>
  <c r="AK28" i="8"/>
  <c r="AK31" i="8"/>
  <c r="AK22" i="8"/>
  <c r="AO28" i="8"/>
  <c r="AJ10" i="8"/>
  <c r="AS28" i="8"/>
  <c r="AS31" i="8"/>
  <c r="AS25" i="8"/>
  <c r="AN10" i="8"/>
  <c r="AK25" i="8"/>
  <c r="AG22" i="8" l="1"/>
  <c r="AG14" i="8"/>
  <c r="AG7" i="8"/>
  <c r="AG6" i="8"/>
  <c r="AE3" i="8"/>
  <c r="AF1" i="8"/>
  <c r="AG1" i="8" s="1"/>
  <c r="AC14" i="8"/>
  <c r="AC7" i="8"/>
  <c r="AC6" i="8"/>
  <c r="AA3" i="8"/>
  <c r="AB1" i="8"/>
  <c r="AC1" i="8" s="1"/>
  <c r="Y14" i="8"/>
  <c r="Y7" i="8"/>
  <c r="Y6" i="8"/>
  <c r="W3" i="8"/>
  <c r="X1" i="8"/>
  <c r="Y1" i="8" s="1"/>
  <c r="U14" i="8"/>
  <c r="U7" i="8"/>
  <c r="U6" i="8"/>
  <c r="S3" i="8"/>
  <c r="T1" i="8"/>
  <c r="U1" i="8" s="1"/>
  <c r="AC10" i="8" l="1"/>
  <c r="AG10" i="8"/>
  <c r="U10" i="8"/>
  <c r="T10" i="8" s="1"/>
  <c r="AG31" i="8"/>
  <c r="AF10" i="8"/>
  <c r="AG25" i="8"/>
  <c r="AG28" i="8"/>
  <c r="AB10" i="8"/>
  <c r="AC22" i="8"/>
  <c r="AC25" i="8"/>
  <c r="AC28" i="8"/>
  <c r="AC31" i="8"/>
  <c r="Y10" i="8"/>
  <c r="X10" i="8" s="1"/>
  <c r="Y31" i="8"/>
  <c r="Y25" i="8"/>
  <c r="Y28" i="8"/>
  <c r="Y22" i="8"/>
  <c r="U22" i="8"/>
  <c r="U25" i="8"/>
  <c r="U28" i="8"/>
  <c r="U31" i="8"/>
  <c r="Q14" i="8" l="1"/>
  <c r="G31" i="8" a="1"/>
  <c r="G31" i="8" s="1"/>
  <c r="G32" i="8" s="1" a="1"/>
  <c r="G32" i="8" s="1"/>
  <c r="G28" i="8" a="1"/>
  <c r="G28" i="8" s="1"/>
  <c r="G29" i="8" s="1" a="1"/>
  <c r="G29" i="8" s="1"/>
  <c r="G25" i="8" a="1"/>
  <c r="G25" i="8" s="1"/>
  <c r="G26" i="8" s="1" a="1"/>
  <c r="G26" i="8" s="1"/>
  <c r="G22" i="8" a="1"/>
  <c r="G22" i="8" s="1"/>
  <c r="G23" i="8" s="1" a="1"/>
  <c r="G23" i="8" s="1"/>
  <c r="Q22" i="8"/>
  <c r="O3" i="8"/>
  <c r="K3" i="8"/>
  <c r="G3" i="8"/>
  <c r="P1" i="8"/>
  <c r="Q1" i="8" s="1"/>
  <c r="L1" i="8"/>
  <c r="M1" i="8" s="1"/>
  <c r="H1" i="8"/>
  <c r="Q7" i="8"/>
  <c r="Q6" i="8"/>
  <c r="I1" i="8" l="1"/>
  <c r="BC28" i="8"/>
  <c r="BC25" i="8"/>
  <c r="BE25" i="8" s="1"/>
  <c r="BC31" i="8"/>
  <c r="Q10" i="8"/>
  <c r="P10" i="8"/>
  <c r="I31" i="8"/>
  <c r="G30" i="8"/>
  <c r="G21" i="8"/>
  <c r="I22" i="8"/>
  <c r="I25" i="8"/>
  <c r="G24" i="8"/>
  <c r="G27" i="8"/>
  <c r="I28" i="8"/>
  <c r="Q31" i="8"/>
  <c r="Q25" i="8"/>
  <c r="Q28" i="8"/>
  <c r="M31" i="8"/>
  <c r="M28" i="8"/>
  <c r="M25" i="8"/>
  <c r="BE28" i="8" l="1"/>
  <c r="BC29" i="8"/>
  <c r="BC27" i="8" s="1"/>
  <c r="BC26" i="8"/>
  <c r="BC24" i="8" s="1"/>
  <c r="BC32" i="8"/>
  <c r="BC30" i="8" s="1"/>
  <c r="BE31" i="8"/>
  <c r="I14" i="8" l="1"/>
  <c r="G11" i="8"/>
  <c r="G10" i="8"/>
  <c r="I8" i="8"/>
  <c r="I7" i="8"/>
  <c r="I6" i="8"/>
  <c r="T96" i="11"/>
  <c r="BV86" i="11"/>
  <c r="BU86" i="11"/>
  <c r="BT86" i="11"/>
  <c r="BS86" i="11"/>
  <c r="BR86" i="11"/>
  <c r="BQ86" i="11"/>
  <c r="BP86" i="11"/>
  <c r="BO86" i="11"/>
  <c r="BN86" i="11"/>
  <c r="AK86" i="11"/>
  <c r="AN86" i="11"/>
  <c r="X86" i="11"/>
  <c r="W86" i="11"/>
  <c r="P86" i="11"/>
  <c r="L86" i="11"/>
  <c r="C86" i="11"/>
  <c r="BV85" i="11"/>
  <c r="BU85" i="11"/>
  <c r="BT85" i="11"/>
  <c r="BS85" i="11"/>
  <c r="BR85" i="11"/>
  <c r="BQ85" i="11"/>
  <c r="BP85" i="11"/>
  <c r="BO85" i="11"/>
  <c r="BN85" i="11"/>
  <c r="AK85" i="11"/>
  <c r="AN85" i="11"/>
  <c r="X85" i="11"/>
  <c r="W85" i="11"/>
  <c r="P85" i="11"/>
  <c r="L85" i="11"/>
  <c r="C85" i="11"/>
  <c r="BV84" i="11"/>
  <c r="BU84" i="11"/>
  <c r="BT84" i="11"/>
  <c r="BS84" i="11"/>
  <c r="BR84" i="11"/>
  <c r="BQ84" i="11"/>
  <c r="BP84" i="11"/>
  <c r="BO84" i="11"/>
  <c r="BN84" i="11"/>
  <c r="AK84" i="11"/>
  <c r="AL84" i="11"/>
  <c r="AO84" i="11" s="1"/>
  <c r="X84" i="11"/>
  <c r="W84" i="11"/>
  <c r="P84" i="11"/>
  <c r="L84" i="11"/>
  <c r="C84" i="11"/>
  <c r="BV83" i="11"/>
  <c r="BU83" i="11"/>
  <c r="BT83" i="11"/>
  <c r="BS83" i="11"/>
  <c r="BR83" i="11"/>
  <c r="BQ83" i="11"/>
  <c r="BP83" i="11"/>
  <c r="BO83" i="11"/>
  <c r="BN83" i="11"/>
  <c r="AK83" i="11"/>
  <c r="AN83" i="11"/>
  <c r="X83" i="11"/>
  <c r="W83" i="11"/>
  <c r="P83" i="11"/>
  <c r="L83" i="11"/>
  <c r="C83" i="11"/>
  <c r="BV82" i="11"/>
  <c r="BU82" i="11"/>
  <c r="BT82" i="11"/>
  <c r="BS82" i="11"/>
  <c r="BR82" i="11"/>
  <c r="BQ82" i="11"/>
  <c r="BP82" i="11"/>
  <c r="BO82" i="11"/>
  <c r="BN82" i="11"/>
  <c r="AK82" i="11"/>
  <c r="AL82" i="11"/>
  <c r="AO82" i="11" s="1"/>
  <c r="X82" i="11"/>
  <c r="W82" i="11"/>
  <c r="P82" i="11"/>
  <c r="L82" i="11"/>
  <c r="C82" i="11"/>
  <c r="BV81" i="11"/>
  <c r="BU81" i="11"/>
  <c r="BT81" i="11"/>
  <c r="BS81" i="11"/>
  <c r="BR81" i="11"/>
  <c r="BQ81" i="11"/>
  <c r="BP81" i="11"/>
  <c r="BO81" i="11"/>
  <c r="BN81" i="11"/>
  <c r="AK81" i="11"/>
  <c r="AL81" i="11"/>
  <c r="AO81" i="11" s="1"/>
  <c r="X81" i="11"/>
  <c r="W81" i="11"/>
  <c r="P81" i="11"/>
  <c r="L81" i="11"/>
  <c r="C81" i="11"/>
  <c r="BV80" i="11"/>
  <c r="BU80" i="11"/>
  <c r="BT80" i="11"/>
  <c r="BS80" i="11"/>
  <c r="BR80" i="11"/>
  <c r="BQ80" i="11"/>
  <c r="BP80" i="11"/>
  <c r="BO80" i="11"/>
  <c r="BN80" i="11"/>
  <c r="AK80" i="11"/>
  <c r="X80" i="11"/>
  <c r="W80" i="11"/>
  <c r="P80" i="11"/>
  <c r="L80" i="11"/>
  <c r="C80" i="11"/>
  <c r="BV79" i="11"/>
  <c r="BU79" i="11"/>
  <c r="BT79" i="11"/>
  <c r="BS79" i="11"/>
  <c r="BR79" i="11"/>
  <c r="BQ79" i="11"/>
  <c r="BP79" i="11"/>
  <c r="BO79" i="11"/>
  <c r="BN79" i="11"/>
  <c r="AK79" i="11"/>
  <c r="AL79" i="11"/>
  <c r="AO79" i="11" s="1"/>
  <c r="X79" i="11"/>
  <c r="W79" i="11"/>
  <c r="P79" i="11"/>
  <c r="L79" i="11"/>
  <c r="C79" i="11"/>
  <c r="BV78" i="11"/>
  <c r="BU78" i="11"/>
  <c r="BT78" i="11"/>
  <c r="BS78" i="11"/>
  <c r="BR78" i="11"/>
  <c r="BQ78" i="11"/>
  <c r="BP78" i="11"/>
  <c r="BO78" i="11"/>
  <c r="BN78" i="11"/>
  <c r="AK78" i="11"/>
  <c r="AN78" i="11"/>
  <c r="X78" i="11"/>
  <c r="W78" i="11"/>
  <c r="P78" i="11"/>
  <c r="L78" i="11"/>
  <c r="C78" i="11"/>
  <c r="AJ77" i="11"/>
  <c r="AI77" i="11"/>
  <c r="O77" i="11"/>
  <c r="N77" i="11"/>
  <c r="C77" i="11"/>
  <c r="C76" i="11"/>
  <c r="BV75" i="11"/>
  <c r="BU75" i="11"/>
  <c r="BT75" i="11"/>
  <c r="BS75" i="11"/>
  <c r="BR75" i="11"/>
  <c r="BQ75" i="11"/>
  <c r="BP75" i="11"/>
  <c r="BO75" i="11"/>
  <c r="BN75" i="11"/>
  <c r="AK75" i="11"/>
  <c r="X75" i="11"/>
  <c r="W75" i="11"/>
  <c r="P75" i="11"/>
  <c r="L75" i="11"/>
  <c r="C75" i="11"/>
  <c r="BV74" i="11"/>
  <c r="BU74" i="11"/>
  <c r="BT74" i="11"/>
  <c r="BS74" i="11"/>
  <c r="BR74" i="11"/>
  <c r="BQ74" i="11"/>
  <c r="BP74" i="11"/>
  <c r="BO74" i="11"/>
  <c r="BN74" i="11"/>
  <c r="AK74" i="11"/>
  <c r="X74" i="11"/>
  <c r="W74" i="11"/>
  <c r="P74" i="11"/>
  <c r="L74" i="11"/>
  <c r="C74" i="11"/>
  <c r="BV73" i="11"/>
  <c r="BU73" i="11"/>
  <c r="BT73" i="11"/>
  <c r="BS73" i="11"/>
  <c r="BR73" i="11"/>
  <c r="BQ73" i="11"/>
  <c r="BP73" i="11"/>
  <c r="BO73" i="11"/>
  <c r="BN73" i="11"/>
  <c r="AK73" i="11"/>
  <c r="X73" i="11"/>
  <c r="W73" i="11"/>
  <c r="P73" i="11"/>
  <c r="L73" i="11"/>
  <c r="C73" i="11"/>
  <c r="BV72" i="11"/>
  <c r="BU72" i="11"/>
  <c r="BT72" i="11"/>
  <c r="BS72" i="11"/>
  <c r="BR72" i="11"/>
  <c r="BQ72" i="11"/>
  <c r="BP72" i="11"/>
  <c r="BO72" i="11"/>
  <c r="BN72" i="11"/>
  <c r="AK72" i="11"/>
  <c r="X72" i="11"/>
  <c r="W72" i="11"/>
  <c r="P72" i="11"/>
  <c r="L72" i="11"/>
  <c r="C72" i="11"/>
  <c r="BV71" i="11"/>
  <c r="BU71" i="11"/>
  <c r="BT71" i="11"/>
  <c r="BS71" i="11"/>
  <c r="BR71" i="11"/>
  <c r="BQ71" i="11"/>
  <c r="BP71" i="11"/>
  <c r="BO71" i="11"/>
  <c r="BN71" i="11"/>
  <c r="AK71" i="11"/>
  <c r="AN71" i="11"/>
  <c r="X71" i="11"/>
  <c r="W71" i="11"/>
  <c r="P71" i="11"/>
  <c r="L71" i="11"/>
  <c r="C71" i="11"/>
  <c r="BV70" i="11"/>
  <c r="BU70" i="11"/>
  <c r="BT70" i="11"/>
  <c r="BS70" i="11"/>
  <c r="BR70" i="11"/>
  <c r="BQ70" i="11"/>
  <c r="BP70" i="11"/>
  <c r="BO70" i="11"/>
  <c r="BN70" i="11"/>
  <c r="AK70" i="11"/>
  <c r="AL70" i="11"/>
  <c r="AO70" i="11" s="1"/>
  <c r="X70" i="11"/>
  <c r="W70" i="11"/>
  <c r="P70" i="11"/>
  <c r="L70" i="11"/>
  <c r="C70" i="11"/>
  <c r="BV69" i="11"/>
  <c r="BU69" i="11"/>
  <c r="BT69" i="11"/>
  <c r="BS69" i="11"/>
  <c r="BR69" i="11"/>
  <c r="BQ69" i="11"/>
  <c r="BP69" i="11"/>
  <c r="BO69" i="11"/>
  <c r="BN69" i="11"/>
  <c r="AK69" i="11"/>
  <c r="AL69" i="11"/>
  <c r="AO69" i="11" s="1"/>
  <c r="X69" i="11"/>
  <c r="W69" i="11"/>
  <c r="P69" i="11"/>
  <c r="L69" i="11"/>
  <c r="C69" i="11"/>
  <c r="BV68" i="11"/>
  <c r="BU68" i="11"/>
  <c r="BT68" i="11"/>
  <c r="BS68" i="11"/>
  <c r="BR68" i="11"/>
  <c r="BQ68" i="11"/>
  <c r="BP68" i="11"/>
  <c r="BO68" i="11"/>
  <c r="BN68" i="11"/>
  <c r="AK68" i="11"/>
  <c r="AN68" i="11"/>
  <c r="X68" i="11"/>
  <c r="W68" i="11"/>
  <c r="P68" i="11"/>
  <c r="L68" i="11"/>
  <c r="C68" i="11"/>
  <c r="BV67" i="11"/>
  <c r="BU67" i="11"/>
  <c r="BT67" i="11"/>
  <c r="BS67" i="11"/>
  <c r="BR67" i="11"/>
  <c r="BQ67" i="11"/>
  <c r="BP67" i="11"/>
  <c r="BO67" i="11"/>
  <c r="BN67" i="11"/>
  <c r="AK67" i="11"/>
  <c r="AN67" i="11"/>
  <c r="X67" i="11"/>
  <c r="W67" i="11"/>
  <c r="P67" i="11"/>
  <c r="L67" i="11"/>
  <c r="C67" i="11"/>
  <c r="BV66" i="11"/>
  <c r="BU66" i="11"/>
  <c r="BT66" i="11"/>
  <c r="BS66" i="11"/>
  <c r="BR66" i="11"/>
  <c r="BQ66" i="11"/>
  <c r="BP66" i="11"/>
  <c r="BO66" i="11"/>
  <c r="BN66" i="11"/>
  <c r="AK66" i="11"/>
  <c r="AN66" i="11"/>
  <c r="X66" i="11"/>
  <c r="W66" i="11"/>
  <c r="P66" i="11"/>
  <c r="L66" i="11"/>
  <c r="C66" i="11"/>
  <c r="BV65" i="11"/>
  <c r="BU65" i="11"/>
  <c r="BT65" i="11"/>
  <c r="BS65" i="11"/>
  <c r="BR65" i="11"/>
  <c r="BQ65" i="11"/>
  <c r="BP65" i="11"/>
  <c r="BO65" i="11"/>
  <c r="BN65" i="11"/>
  <c r="AK65" i="11"/>
  <c r="AL65" i="11"/>
  <c r="AO65" i="11" s="1"/>
  <c r="X65" i="11"/>
  <c r="W65" i="11"/>
  <c r="P65" i="11"/>
  <c r="L65" i="11"/>
  <c r="C65" i="11"/>
  <c r="BV64" i="11"/>
  <c r="BU64" i="11"/>
  <c r="BT64" i="11"/>
  <c r="BS64" i="11"/>
  <c r="BR64" i="11"/>
  <c r="BQ64" i="11"/>
  <c r="BP64" i="11"/>
  <c r="BO64" i="11"/>
  <c r="BN64" i="11"/>
  <c r="AK64" i="11"/>
  <c r="AN64" i="11"/>
  <c r="X64" i="11"/>
  <c r="W64" i="11"/>
  <c r="P64" i="11"/>
  <c r="L64" i="11"/>
  <c r="C64" i="11"/>
  <c r="BV63" i="11"/>
  <c r="BU63" i="11"/>
  <c r="BT63" i="11"/>
  <c r="BS63" i="11"/>
  <c r="BR63" i="11"/>
  <c r="BQ63" i="11"/>
  <c r="BP63" i="11"/>
  <c r="BO63" i="11"/>
  <c r="BN63" i="11"/>
  <c r="AK63" i="11"/>
  <c r="AN63" i="11"/>
  <c r="X63" i="11"/>
  <c r="W63" i="11"/>
  <c r="P63" i="11"/>
  <c r="L63" i="11"/>
  <c r="C63" i="11"/>
  <c r="BV62" i="11"/>
  <c r="BU62" i="11"/>
  <c r="BT62" i="11"/>
  <c r="BS62" i="11"/>
  <c r="BR62" i="11"/>
  <c r="BQ62" i="11"/>
  <c r="BP62" i="11"/>
  <c r="BO62" i="11"/>
  <c r="BN62" i="11"/>
  <c r="AK62" i="11"/>
  <c r="AL62" i="11"/>
  <c r="AO62" i="11" s="1"/>
  <c r="X62" i="11"/>
  <c r="W62" i="11"/>
  <c r="P62" i="11"/>
  <c r="L62" i="11"/>
  <c r="C62" i="11"/>
  <c r="BV61" i="11"/>
  <c r="BU61" i="11"/>
  <c r="BT61" i="11"/>
  <c r="BS61" i="11"/>
  <c r="BR61" i="11"/>
  <c r="BQ61" i="11"/>
  <c r="BP61" i="11"/>
  <c r="BO61" i="11"/>
  <c r="BN61" i="11"/>
  <c r="AK61" i="11"/>
  <c r="X61" i="11"/>
  <c r="W61" i="11"/>
  <c r="P61" i="11"/>
  <c r="L61" i="11"/>
  <c r="C61" i="11"/>
  <c r="BV60" i="11"/>
  <c r="BU60" i="11"/>
  <c r="BT60" i="11"/>
  <c r="BS60" i="11"/>
  <c r="BR60" i="11"/>
  <c r="BQ60" i="11"/>
  <c r="BP60" i="11"/>
  <c r="BO60" i="11"/>
  <c r="BN60" i="11"/>
  <c r="AK60" i="11"/>
  <c r="X60" i="11"/>
  <c r="W60" i="11"/>
  <c r="P60" i="11"/>
  <c r="L60" i="11"/>
  <c r="C60" i="11"/>
  <c r="BV59" i="11"/>
  <c r="BU59" i="11"/>
  <c r="BT59" i="11"/>
  <c r="BS59" i="11"/>
  <c r="BR59" i="11"/>
  <c r="BQ59" i="11"/>
  <c r="BP59" i="11"/>
  <c r="BO59" i="11"/>
  <c r="BN59" i="11"/>
  <c r="AK59" i="11"/>
  <c r="X59" i="11"/>
  <c r="W59" i="11"/>
  <c r="P59" i="11"/>
  <c r="L59" i="11"/>
  <c r="C59" i="11"/>
  <c r="BV58" i="11"/>
  <c r="BU58" i="11"/>
  <c r="BT58" i="11"/>
  <c r="BS58" i="11"/>
  <c r="BR58" i="11"/>
  <c r="BQ58" i="11"/>
  <c r="BP58" i="11"/>
  <c r="BO58" i="11"/>
  <c r="BN58" i="11"/>
  <c r="AK58" i="11"/>
  <c r="X58" i="11"/>
  <c r="W58" i="11"/>
  <c r="P58" i="11"/>
  <c r="L58" i="11"/>
  <c r="C58" i="11"/>
  <c r="BV57" i="11"/>
  <c r="BU57" i="11"/>
  <c r="BT57" i="11"/>
  <c r="BS57" i="11"/>
  <c r="BR57" i="11"/>
  <c r="BQ57" i="11"/>
  <c r="BP57" i="11"/>
  <c r="BO57" i="11"/>
  <c r="BN57" i="11"/>
  <c r="AK57" i="11"/>
  <c r="AL57" i="11"/>
  <c r="X57" i="11"/>
  <c r="W57" i="11"/>
  <c r="P57" i="11"/>
  <c r="L57" i="11"/>
  <c r="C57" i="11"/>
  <c r="AJ56" i="11"/>
  <c r="AI56" i="11"/>
  <c r="O56" i="11"/>
  <c r="N56" i="11"/>
  <c r="C56" i="11"/>
  <c r="BV55" i="11"/>
  <c r="BU55" i="11"/>
  <c r="BT55" i="11"/>
  <c r="BS55" i="11"/>
  <c r="BR55" i="11"/>
  <c r="BQ55" i="11"/>
  <c r="BP55" i="11"/>
  <c r="BO55" i="11"/>
  <c r="BN55" i="11"/>
  <c r="AK55" i="11"/>
  <c r="AL55" i="11"/>
  <c r="AO55" i="11" s="1"/>
  <c r="X55" i="11"/>
  <c r="W55" i="11"/>
  <c r="P55" i="11"/>
  <c r="L55" i="11"/>
  <c r="C55" i="11"/>
  <c r="BV54" i="11"/>
  <c r="BU54" i="11"/>
  <c r="BT54" i="11"/>
  <c r="BS54" i="11"/>
  <c r="BR54" i="11"/>
  <c r="BQ54" i="11"/>
  <c r="BP54" i="11"/>
  <c r="BO54" i="11"/>
  <c r="BN54" i="11"/>
  <c r="AK54" i="11"/>
  <c r="X54" i="11"/>
  <c r="W54" i="11"/>
  <c r="P54" i="11"/>
  <c r="L54" i="11"/>
  <c r="C54" i="11"/>
  <c r="BV53" i="11"/>
  <c r="BU53" i="11"/>
  <c r="BT53" i="11"/>
  <c r="BS53" i="11"/>
  <c r="BR53" i="11"/>
  <c r="BQ53" i="11"/>
  <c r="BP53" i="11"/>
  <c r="BO53" i="11"/>
  <c r="BN53" i="11"/>
  <c r="AK53" i="11"/>
  <c r="X53" i="11"/>
  <c r="W53" i="11"/>
  <c r="P53" i="11"/>
  <c r="L53" i="11"/>
  <c r="C53" i="11"/>
  <c r="BV52" i="11"/>
  <c r="BU52" i="11"/>
  <c r="BT52" i="11"/>
  <c r="BS52" i="11"/>
  <c r="BR52" i="11"/>
  <c r="BQ52" i="11"/>
  <c r="BP52" i="11"/>
  <c r="BO52" i="11"/>
  <c r="BN52" i="11"/>
  <c r="AK52" i="11"/>
  <c r="AL52" i="11"/>
  <c r="X52" i="11"/>
  <c r="W52" i="11"/>
  <c r="P52" i="11"/>
  <c r="L52" i="11"/>
  <c r="C52" i="11"/>
  <c r="BV51" i="11"/>
  <c r="BU51" i="11"/>
  <c r="BT51" i="11"/>
  <c r="BS51" i="11"/>
  <c r="BR51" i="11"/>
  <c r="BQ51" i="11"/>
  <c r="BP51" i="11"/>
  <c r="BO51" i="11"/>
  <c r="BN51" i="11"/>
  <c r="AK51" i="11"/>
  <c r="AL51" i="11"/>
  <c r="AO51" i="11" s="1"/>
  <c r="X51" i="11"/>
  <c r="W51" i="11"/>
  <c r="P51" i="11"/>
  <c r="L51" i="11"/>
  <c r="C51" i="11"/>
  <c r="AJ50" i="11"/>
  <c r="AI50" i="11"/>
  <c r="O50" i="11"/>
  <c r="N50" i="11"/>
  <c r="C50" i="11"/>
  <c r="BV49" i="11"/>
  <c r="BU49" i="11"/>
  <c r="BT49" i="11"/>
  <c r="BS49" i="11"/>
  <c r="BR49" i="11"/>
  <c r="BQ49" i="11"/>
  <c r="BP49" i="11"/>
  <c r="BO49" i="11"/>
  <c r="BN49" i="11"/>
  <c r="AK49" i="11"/>
  <c r="X49" i="11"/>
  <c r="W49" i="11"/>
  <c r="P49" i="11"/>
  <c r="L49" i="11"/>
  <c r="C49" i="11"/>
  <c r="BV48" i="11"/>
  <c r="BU48" i="11"/>
  <c r="BT48" i="11"/>
  <c r="BS48" i="11"/>
  <c r="BR48" i="11"/>
  <c r="BQ48" i="11"/>
  <c r="BP48" i="11"/>
  <c r="BO48" i="11"/>
  <c r="BN48" i="11"/>
  <c r="AK48" i="11"/>
  <c r="AL48" i="11"/>
  <c r="AO48" i="11" s="1"/>
  <c r="X48" i="11"/>
  <c r="W48" i="11"/>
  <c r="P48" i="11"/>
  <c r="L48" i="11"/>
  <c r="C48" i="11"/>
  <c r="BV47" i="11"/>
  <c r="BU47" i="11"/>
  <c r="BT47" i="11"/>
  <c r="BS47" i="11"/>
  <c r="BR47" i="11"/>
  <c r="BQ47" i="11"/>
  <c r="BP47" i="11"/>
  <c r="BO47" i="11"/>
  <c r="BN47" i="11"/>
  <c r="AK47" i="11"/>
  <c r="AL47" i="11"/>
  <c r="AO47" i="11" s="1"/>
  <c r="X47" i="11"/>
  <c r="W47" i="11"/>
  <c r="P47" i="11"/>
  <c r="L47" i="11"/>
  <c r="C47" i="11"/>
  <c r="BV46" i="11"/>
  <c r="BU46" i="11"/>
  <c r="BT46" i="11"/>
  <c r="BS46" i="11"/>
  <c r="BR46" i="11"/>
  <c r="BQ46" i="11"/>
  <c r="BP46" i="11"/>
  <c r="BO46" i="11"/>
  <c r="BN46" i="11"/>
  <c r="AK46" i="11"/>
  <c r="AL46" i="11"/>
  <c r="AO46" i="11" s="1"/>
  <c r="X46" i="11"/>
  <c r="W46" i="11"/>
  <c r="P46" i="11"/>
  <c r="L46" i="11"/>
  <c r="C46" i="11"/>
  <c r="BV45" i="11"/>
  <c r="BU45" i="11"/>
  <c r="BT45" i="11"/>
  <c r="BS45" i="11"/>
  <c r="BR45" i="11"/>
  <c r="BQ45" i="11"/>
  <c r="BP45" i="11"/>
  <c r="BO45" i="11"/>
  <c r="BN45" i="11"/>
  <c r="AK45" i="11"/>
  <c r="X45" i="11"/>
  <c r="W45" i="11"/>
  <c r="P45" i="11"/>
  <c r="L45" i="11"/>
  <c r="C45" i="11"/>
  <c r="BV44" i="11"/>
  <c r="BU44" i="11"/>
  <c r="BT44" i="11"/>
  <c r="BS44" i="11"/>
  <c r="BR44" i="11"/>
  <c r="BQ44" i="11"/>
  <c r="BP44" i="11"/>
  <c r="BO44" i="11"/>
  <c r="BN44" i="11"/>
  <c r="AK44" i="11"/>
  <c r="AN44" i="11"/>
  <c r="X44" i="11"/>
  <c r="W44" i="11"/>
  <c r="P44" i="11"/>
  <c r="L44" i="11"/>
  <c r="C44" i="11"/>
  <c r="BV43" i="11"/>
  <c r="BU43" i="11"/>
  <c r="BT43" i="11"/>
  <c r="BS43" i="11"/>
  <c r="BR43" i="11"/>
  <c r="BQ43" i="11"/>
  <c r="BP43" i="11"/>
  <c r="BO43" i="11"/>
  <c r="BN43" i="11"/>
  <c r="AK43" i="11"/>
  <c r="AN43" i="11"/>
  <c r="X43" i="11"/>
  <c r="W43" i="11"/>
  <c r="P43" i="11"/>
  <c r="L43" i="11"/>
  <c r="C43" i="11"/>
  <c r="BV42" i="11"/>
  <c r="BU42" i="11"/>
  <c r="BT42" i="11"/>
  <c r="BS42" i="11"/>
  <c r="BR42" i="11"/>
  <c r="BQ42" i="11"/>
  <c r="BP42" i="11"/>
  <c r="BO42" i="11"/>
  <c r="BN42" i="11"/>
  <c r="AK42" i="11"/>
  <c r="AN42" i="11"/>
  <c r="X42" i="11"/>
  <c r="W42" i="11"/>
  <c r="P42" i="11"/>
  <c r="L42" i="11"/>
  <c r="C42" i="11"/>
  <c r="BV41" i="11"/>
  <c r="BU41" i="11"/>
  <c r="BT41" i="11"/>
  <c r="BS41" i="11"/>
  <c r="BR41" i="11"/>
  <c r="BQ41" i="11"/>
  <c r="BP41" i="11"/>
  <c r="BO41" i="11"/>
  <c r="BN41" i="11"/>
  <c r="AK41" i="11"/>
  <c r="AN41" i="11"/>
  <c r="X41" i="11"/>
  <c r="W41" i="11"/>
  <c r="P41" i="11"/>
  <c r="L41" i="11"/>
  <c r="C41" i="11"/>
  <c r="AJ40" i="11"/>
  <c r="AI40" i="11"/>
  <c r="O40" i="11"/>
  <c r="N40" i="11"/>
  <c r="C40" i="11"/>
  <c r="C39" i="11"/>
  <c r="C38" i="11"/>
  <c r="BV37" i="11"/>
  <c r="BU37" i="11"/>
  <c r="BT37" i="11"/>
  <c r="BS37" i="11"/>
  <c r="BR37" i="11"/>
  <c r="BQ37" i="11"/>
  <c r="BP37" i="11"/>
  <c r="BO37" i="11"/>
  <c r="BN37" i="11"/>
  <c r="AK37" i="11"/>
  <c r="AN37" i="11"/>
  <c r="X37" i="11"/>
  <c r="W37" i="11"/>
  <c r="P37" i="11"/>
  <c r="L37" i="11"/>
  <c r="C37" i="11"/>
  <c r="BV36" i="11"/>
  <c r="BU36" i="11"/>
  <c r="BT36" i="11"/>
  <c r="BS36" i="11"/>
  <c r="BR36" i="11"/>
  <c r="BQ36" i="11"/>
  <c r="BP36" i="11"/>
  <c r="BO36" i="11"/>
  <c r="BN36" i="11"/>
  <c r="AK36" i="11"/>
  <c r="AN36" i="11"/>
  <c r="X36" i="11"/>
  <c r="W36" i="11"/>
  <c r="P36" i="11"/>
  <c r="L36" i="11"/>
  <c r="C36" i="11"/>
  <c r="BV35" i="11"/>
  <c r="BU35" i="11"/>
  <c r="BT35" i="11"/>
  <c r="BS35" i="11"/>
  <c r="BR35" i="11"/>
  <c r="BQ35" i="11"/>
  <c r="BP35" i="11"/>
  <c r="BO35" i="11"/>
  <c r="BN35" i="11"/>
  <c r="AK35" i="11"/>
  <c r="AN35" i="11"/>
  <c r="X35" i="11"/>
  <c r="W35" i="11"/>
  <c r="P35" i="11"/>
  <c r="L35" i="11"/>
  <c r="C35" i="11"/>
  <c r="BV34" i="11"/>
  <c r="BU34" i="11"/>
  <c r="BT34" i="11"/>
  <c r="BS34" i="11"/>
  <c r="BR34" i="11"/>
  <c r="BQ34" i="11"/>
  <c r="BP34" i="11"/>
  <c r="BO34" i="11"/>
  <c r="BN34" i="11"/>
  <c r="AK34" i="11"/>
  <c r="AL34" i="11"/>
  <c r="AO34" i="11" s="1"/>
  <c r="X34" i="11"/>
  <c r="W34" i="11"/>
  <c r="P34" i="11"/>
  <c r="L34" i="11"/>
  <c r="C34" i="11"/>
  <c r="BV33" i="11"/>
  <c r="BU33" i="11"/>
  <c r="BT33" i="11"/>
  <c r="BS33" i="11"/>
  <c r="BR33" i="11"/>
  <c r="BQ33" i="11"/>
  <c r="BP33" i="11"/>
  <c r="BO33" i="11"/>
  <c r="BN33" i="11"/>
  <c r="AK33" i="11"/>
  <c r="AL33" i="11"/>
  <c r="AO33" i="11" s="1"/>
  <c r="X33" i="11"/>
  <c r="W33" i="11"/>
  <c r="P33" i="11"/>
  <c r="L33" i="11"/>
  <c r="C33" i="11"/>
  <c r="BV32" i="11"/>
  <c r="BU32" i="11"/>
  <c r="BT32" i="11"/>
  <c r="BS32" i="11"/>
  <c r="BR32" i="11"/>
  <c r="BQ32" i="11"/>
  <c r="BP32" i="11"/>
  <c r="BO32" i="11"/>
  <c r="BN32" i="11"/>
  <c r="AK32" i="11"/>
  <c r="X32" i="11"/>
  <c r="W32" i="11"/>
  <c r="P32" i="11"/>
  <c r="L32" i="11"/>
  <c r="C32" i="11"/>
  <c r="BV31" i="11"/>
  <c r="BU31" i="11"/>
  <c r="BT31" i="11"/>
  <c r="BS31" i="11"/>
  <c r="BR31" i="11"/>
  <c r="BQ31" i="11"/>
  <c r="BP31" i="11"/>
  <c r="BO31" i="11"/>
  <c r="BN31" i="11"/>
  <c r="AK31" i="11"/>
  <c r="AL31" i="11"/>
  <c r="AO31" i="11" s="1"/>
  <c r="X31" i="11"/>
  <c r="W31" i="11"/>
  <c r="AB31" i="11" s="1"/>
  <c r="P31" i="11"/>
  <c r="L31" i="11"/>
  <c r="C31" i="11"/>
  <c r="BV30" i="11"/>
  <c r="BU30" i="11"/>
  <c r="BT30" i="11"/>
  <c r="BS30" i="11"/>
  <c r="BR30" i="11"/>
  <c r="BQ30" i="11"/>
  <c r="BP30" i="11"/>
  <c r="BO30" i="11"/>
  <c r="BN30" i="11"/>
  <c r="AK30" i="11"/>
  <c r="AL30" i="11"/>
  <c r="AO30" i="11" s="1"/>
  <c r="X30" i="11"/>
  <c r="W30" i="11"/>
  <c r="AB30" i="11" s="1"/>
  <c r="P30" i="11"/>
  <c r="L30" i="11"/>
  <c r="C30" i="11"/>
  <c r="BV29" i="11"/>
  <c r="BU29" i="11"/>
  <c r="BT29" i="11"/>
  <c r="BS29" i="11"/>
  <c r="BR29" i="11"/>
  <c r="BQ29" i="11"/>
  <c r="BP29" i="11"/>
  <c r="BO29" i="11"/>
  <c r="BN29" i="11"/>
  <c r="AK29" i="11"/>
  <c r="X29" i="11"/>
  <c r="W29" i="11"/>
  <c r="AB29" i="11" s="1"/>
  <c r="P29" i="11"/>
  <c r="L29" i="11"/>
  <c r="C29" i="11"/>
  <c r="BV28" i="11"/>
  <c r="BU28" i="11"/>
  <c r="BT28" i="11"/>
  <c r="BS28" i="11"/>
  <c r="BR28" i="11"/>
  <c r="BQ28" i="11"/>
  <c r="BP28" i="11"/>
  <c r="BO28" i="11"/>
  <c r="BN28" i="11"/>
  <c r="AK28" i="11"/>
  <c r="X28" i="11"/>
  <c r="W28" i="11"/>
  <c r="P28" i="11"/>
  <c r="L28" i="11"/>
  <c r="C28" i="11"/>
  <c r="BV27" i="11"/>
  <c r="BU27" i="11"/>
  <c r="BT27" i="11"/>
  <c r="BS27" i="11"/>
  <c r="BR27" i="11"/>
  <c r="BQ27" i="11"/>
  <c r="BP27" i="11"/>
  <c r="BO27" i="11"/>
  <c r="BN27" i="11"/>
  <c r="AK27" i="11"/>
  <c r="X27" i="11"/>
  <c r="W27" i="11"/>
  <c r="P27" i="11"/>
  <c r="L27" i="11"/>
  <c r="C27" i="11"/>
  <c r="BV26" i="11"/>
  <c r="BU26" i="11"/>
  <c r="BT26" i="11"/>
  <c r="BS26" i="11"/>
  <c r="BR26" i="11"/>
  <c r="BQ26" i="11"/>
  <c r="BP26" i="11"/>
  <c r="BO26" i="11"/>
  <c r="BN26" i="11"/>
  <c r="AK26" i="11"/>
  <c r="AL26" i="11"/>
  <c r="AO26" i="11" s="1"/>
  <c r="X26" i="11"/>
  <c r="W26" i="11"/>
  <c r="P26" i="11"/>
  <c r="L26" i="11"/>
  <c r="C26" i="11"/>
  <c r="BV25" i="11"/>
  <c r="BU25" i="11"/>
  <c r="BT25" i="11"/>
  <c r="BS25" i="11"/>
  <c r="BR25" i="11"/>
  <c r="BQ25" i="11"/>
  <c r="BP25" i="11"/>
  <c r="BO25" i="11"/>
  <c r="BN25" i="11"/>
  <c r="AK25" i="11"/>
  <c r="AL25" i="11"/>
  <c r="AO25" i="11" s="1"/>
  <c r="X25" i="11"/>
  <c r="W25" i="11"/>
  <c r="P25" i="11"/>
  <c r="L25" i="11"/>
  <c r="C25" i="11"/>
  <c r="AJ24" i="11"/>
  <c r="AI24" i="11"/>
  <c r="O24" i="11"/>
  <c r="N24" i="11"/>
  <c r="C24" i="11"/>
  <c r="BV23" i="11"/>
  <c r="BU23" i="11"/>
  <c r="BT23" i="11"/>
  <c r="BS23" i="11"/>
  <c r="BR23" i="11"/>
  <c r="BQ23" i="11"/>
  <c r="BP23" i="11"/>
  <c r="BO23" i="11"/>
  <c r="BN23" i="11"/>
  <c r="AK23" i="11"/>
  <c r="X23" i="11"/>
  <c r="W23" i="11"/>
  <c r="P23" i="11"/>
  <c r="L23" i="11"/>
  <c r="C23" i="11"/>
  <c r="BV22" i="11"/>
  <c r="BU22" i="11"/>
  <c r="BT22" i="11"/>
  <c r="BS22" i="11"/>
  <c r="BR22" i="11"/>
  <c r="BQ22" i="11"/>
  <c r="BP22" i="11"/>
  <c r="BO22" i="11"/>
  <c r="BN22" i="11"/>
  <c r="AK22" i="11"/>
  <c r="AL22" i="11"/>
  <c r="AO22" i="11" s="1"/>
  <c r="X22" i="11"/>
  <c r="W22" i="11"/>
  <c r="P22" i="11"/>
  <c r="L22" i="11"/>
  <c r="C22" i="11"/>
  <c r="BV21" i="11"/>
  <c r="BU21" i="11"/>
  <c r="BT21" i="11"/>
  <c r="BS21" i="11"/>
  <c r="BR21" i="11"/>
  <c r="BQ21" i="11"/>
  <c r="BP21" i="11"/>
  <c r="BO21" i="11"/>
  <c r="BN21" i="11"/>
  <c r="AK21" i="11"/>
  <c r="X21" i="11"/>
  <c r="W21" i="11"/>
  <c r="P21" i="11"/>
  <c r="L21" i="11"/>
  <c r="C21" i="11"/>
  <c r="BV20" i="11"/>
  <c r="BU20" i="11"/>
  <c r="BT20" i="11"/>
  <c r="BS20" i="11"/>
  <c r="BR20" i="11"/>
  <c r="BQ20" i="11"/>
  <c r="BP20" i="11"/>
  <c r="BO20" i="11"/>
  <c r="BN20" i="11"/>
  <c r="AK20" i="11"/>
  <c r="X20" i="11"/>
  <c r="W20" i="11"/>
  <c r="P20" i="11"/>
  <c r="L20" i="11"/>
  <c r="C20" i="11"/>
  <c r="BV19" i="11"/>
  <c r="BU19" i="11"/>
  <c r="BT19" i="11"/>
  <c r="BS19" i="11"/>
  <c r="BR19" i="11"/>
  <c r="BQ19" i="11"/>
  <c r="BP19" i="11"/>
  <c r="BO19" i="11"/>
  <c r="BN19" i="11"/>
  <c r="AK19" i="11"/>
  <c r="AL19" i="11"/>
  <c r="X19" i="11"/>
  <c r="W19" i="11"/>
  <c r="P19" i="11"/>
  <c r="L19" i="11"/>
  <c r="C19" i="11"/>
  <c r="AJ18" i="11"/>
  <c r="AI18" i="11"/>
  <c r="O18" i="11"/>
  <c r="N18" i="11"/>
  <c r="C18" i="11"/>
  <c r="BV17" i="11"/>
  <c r="BU17" i="11"/>
  <c r="BT17" i="11"/>
  <c r="BS17" i="11"/>
  <c r="BR17" i="11"/>
  <c r="BQ17" i="11"/>
  <c r="BP17" i="11"/>
  <c r="BO17" i="11"/>
  <c r="BN17" i="11"/>
  <c r="AK17" i="11"/>
  <c r="X17" i="11"/>
  <c r="W17" i="11"/>
  <c r="P17" i="11"/>
  <c r="L17" i="11"/>
  <c r="C17" i="11"/>
  <c r="BV16" i="11"/>
  <c r="BU16" i="11"/>
  <c r="BT16" i="11"/>
  <c r="BS16" i="11"/>
  <c r="BR16" i="11"/>
  <c r="BQ16" i="11"/>
  <c r="BP16" i="11"/>
  <c r="BO16" i="11"/>
  <c r="BN16" i="11"/>
  <c r="AK16" i="11"/>
  <c r="AL16" i="11"/>
  <c r="AO16" i="11" s="1"/>
  <c r="X16" i="11"/>
  <c r="W16" i="11"/>
  <c r="P16" i="11"/>
  <c r="L16" i="11"/>
  <c r="C16" i="11"/>
  <c r="BV15" i="11"/>
  <c r="BU15" i="11"/>
  <c r="BT15" i="11"/>
  <c r="BS15" i="11"/>
  <c r="BR15" i="11"/>
  <c r="BQ15" i="11"/>
  <c r="BP15" i="11"/>
  <c r="BO15" i="11"/>
  <c r="BN15" i="11"/>
  <c r="AK15" i="11"/>
  <c r="X15" i="11"/>
  <c r="W15" i="11"/>
  <c r="P15" i="11"/>
  <c r="L15" i="11"/>
  <c r="C15" i="11"/>
  <c r="AJ14" i="11"/>
  <c r="AI14" i="11"/>
  <c r="O14" i="11"/>
  <c r="N14" i="11"/>
  <c r="C14" i="11"/>
  <c r="BV13" i="11"/>
  <c r="BU13" i="11"/>
  <c r="BT13" i="11"/>
  <c r="BS13" i="11"/>
  <c r="BR13" i="11"/>
  <c r="BQ13" i="11"/>
  <c r="BP13" i="11"/>
  <c r="BO13" i="11"/>
  <c r="BN13" i="11"/>
  <c r="AK13" i="11"/>
  <c r="AL13" i="11"/>
  <c r="AO13" i="11" s="1"/>
  <c r="X13" i="11"/>
  <c r="W13" i="11"/>
  <c r="P13" i="11"/>
  <c r="L13" i="11"/>
  <c r="C13" i="11"/>
  <c r="BV12" i="11"/>
  <c r="BU12" i="11"/>
  <c r="BT12" i="11"/>
  <c r="BS12" i="11"/>
  <c r="BR12" i="11"/>
  <c r="BQ12" i="11"/>
  <c r="BP12" i="11"/>
  <c r="BO12" i="11"/>
  <c r="BN12" i="11"/>
  <c r="AK12" i="11"/>
  <c r="AL12" i="11"/>
  <c r="AO12" i="11" s="1"/>
  <c r="X12" i="11"/>
  <c r="W12" i="11"/>
  <c r="P12" i="11"/>
  <c r="L12" i="11"/>
  <c r="C12" i="11"/>
  <c r="BV11" i="11"/>
  <c r="BU11" i="11"/>
  <c r="BT11" i="11"/>
  <c r="BS11" i="11"/>
  <c r="BR11" i="11"/>
  <c r="BQ11" i="11"/>
  <c r="BP11" i="11"/>
  <c r="BO11" i="11"/>
  <c r="BN11" i="11"/>
  <c r="AK11" i="11"/>
  <c r="X11" i="11"/>
  <c r="W11" i="11"/>
  <c r="P11" i="11"/>
  <c r="L11" i="11"/>
  <c r="C11" i="11"/>
  <c r="BV10" i="11"/>
  <c r="BU10" i="11"/>
  <c r="BT10" i="11"/>
  <c r="BS10" i="11"/>
  <c r="BR10" i="11"/>
  <c r="BQ10" i="11"/>
  <c r="BP10" i="11"/>
  <c r="BO10" i="11"/>
  <c r="BN10" i="11"/>
  <c r="AK10" i="11"/>
  <c r="X10" i="11"/>
  <c r="W10" i="11"/>
  <c r="P10" i="11"/>
  <c r="L10" i="11"/>
  <c r="C10" i="11"/>
  <c r="AJ9" i="11"/>
  <c r="AI9" i="11"/>
  <c r="O9" i="11"/>
  <c r="N9" i="11"/>
  <c r="C9" i="11"/>
  <c r="C8" i="11"/>
  <c r="AL15" i="11" l="1"/>
  <c r="G6" i="10"/>
  <c r="G12" i="8"/>
  <c r="G15" i="8" s="1"/>
  <c r="G16" i="8" s="1"/>
  <c r="AB58" i="11"/>
  <c r="AB61" i="11"/>
  <c r="AB62" i="11"/>
  <c r="AB63" i="11"/>
  <c r="AB64" i="11"/>
  <c r="AB65" i="11"/>
  <c r="AB69" i="11"/>
  <c r="AB71" i="11"/>
  <c r="AB72" i="11"/>
  <c r="AB73" i="11"/>
  <c r="AB74" i="11"/>
  <c r="BM57" i="11"/>
  <c r="CR57" i="11" s="1"/>
  <c r="BM34" i="11"/>
  <c r="CR34" i="11" s="1"/>
  <c r="BM44" i="11"/>
  <c r="CR44" i="11" s="1"/>
  <c r="AB55" i="11"/>
  <c r="AN49" i="11"/>
  <c r="G3" i="10"/>
  <c r="AN72" i="11"/>
  <c r="AN73" i="11"/>
  <c r="AB41" i="11"/>
  <c r="AB42" i="11"/>
  <c r="AB43" i="11"/>
  <c r="AB48" i="11"/>
  <c r="AB79" i="11"/>
  <c r="BM86" i="11"/>
  <c r="CR86" i="11" s="1"/>
  <c r="AB26" i="11"/>
  <c r="AN13" i="11"/>
  <c r="P18" i="11"/>
  <c r="BM59" i="11"/>
  <c r="CR59" i="11" s="1"/>
  <c r="AB85" i="11"/>
  <c r="AB28" i="11"/>
  <c r="BM61" i="11"/>
  <c r="CR61" i="11" s="1"/>
  <c r="AB20" i="11"/>
  <c r="AB21" i="11"/>
  <c r="AB22" i="11"/>
  <c r="AB23" i="11"/>
  <c r="BM31" i="11"/>
  <c r="CR31" i="11" s="1"/>
  <c r="BM67" i="11"/>
  <c r="CR67" i="11" s="1"/>
  <c r="BM73" i="11"/>
  <c r="CR73" i="11" s="1"/>
  <c r="BM75" i="11"/>
  <c r="CR75" i="11" s="1"/>
  <c r="BM47" i="11"/>
  <c r="CR47" i="11" s="1"/>
  <c r="BM60" i="11"/>
  <c r="CR60" i="11" s="1"/>
  <c r="BM28" i="11"/>
  <c r="CR28" i="11" s="1"/>
  <c r="AN20" i="11"/>
  <c r="AN21" i="11"/>
  <c r="AN23" i="11"/>
  <c r="BM17" i="11"/>
  <c r="CR17" i="11" s="1"/>
  <c r="AN58" i="11"/>
  <c r="AN59" i="11"/>
  <c r="AN60" i="11"/>
  <c r="AN61" i="11"/>
  <c r="AN62" i="11"/>
  <c r="AB67" i="11"/>
  <c r="AB70" i="11"/>
  <c r="BM81" i="11"/>
  <c r="CR81" i="11" s="1"/>
  <c r="BM16" i="11"/>
  <c r="CR16" i="11" s="1"/>
  <c r="AK24" i="11"/>
  <c r="P77" i="11"/>
  <c r="BM19" i="11"/>
  <c r="CR19" i="11" s="1"/>
  <c r="BM22" i="11"/>
  <c r="CR22" i="11" s="1"/>
  <c r="O8" i="11"/>
  <c r="BM36" i="11"/>
  <c r="CR36" i="11" s="1"/>
  <c r="BM45" i="11"/>
  <c r="CR45" i="11" s="1"/>
  <c r="BM65" i="11"/>
  <c r="CR65" i="11" s="1"/>
  <c r="BM70" i="11"/>
  <c r="CR70" i="11" s="1"/>
  <c r="BM71" i="11"/>
  <c r="CR71" i="11" s="1"/>
  <c r="BM72" i="11"/>
  <c r="CR72" i="11" s="1"/>
  <c r="BM20" i="11"/>
  <c r="CR20" i="11" s="1"/>
  <c r="BM41" i="11"/>
  <c r="CR41" i="11" s="1"/>
  <c r="AB10" i="11"/>
  <c r="AB13" i="11"/>
  <c r="AK14" i="11"/>
  <c r="BM46" i="11"/>
  <c r="CR46" i="11" s="1"/>
  <c r="BM84" i="11"/>
  <c r="CR84" i="11" s="1"/>
  <c r="AN69" i="11"/>
  <c r="AN70" i="11"/>
  <c r="BM21" i="11"/>
  <c r="CR21" i="11" s="1"/>
  <c r="AN46" i="11"/>
  <c r="BM52" i="11"/>
  <c r="CR52" i="11" s="1"/>
  <c r="BM11" i="11"/>
  <c r="CR11" i="11" s="1"/>
  <c r="BM23" i="11"/>
  <c r="CR23" i="11" s="1"/>
  <c r="AK50" i="11"/>
  <c r="AN10" i="11"/>
  <c r="AN11" i="11"/>
  <c r="AN26" i="11"/>
  <c r="AN27" i="11"/>
  <c r="AN28" i="11"/>
  <c r="AB32" i="11"/>
  <c r="AB33" i="11"/>
  <c r="AB34" i="11"/>
  <c r="AB51" i="11"/>
  <c r="AB52" i="11"/>
  <c r="AB53" i="11"/>
  <c r="AB54" i="11"/>
  <c r="AN29" i="11"/>
  <c r="AB35" i="11"/>
  <c r="AB36" i="11"/>
  <c r="AB37" i="11"/>
  <c r="P40" i="11"/>
  <c r="AB81" i="11"/>
  <c r="P9" i="11"/>
  <c r="AN54" i="11"/>
  <c r="BM62" i="11"/>
  <c r="CR62" i="11" s="1"/>
  <c r="BM78" i="11"/>
  <c r="CR78" i="11" s="1"/>
  <c r="BM26" i="11"/>
  <c r="CR26" i="11" s="1"/>
  <c r="AN51" i="11"/>
  <c r="AN80" i="11"/>
  <c r="AK18" i="11"/>
  <c r="AN17" i="11"/>
  <c r="BM54" i="11"/>
  <c r="CR54" i="11" s="1"/>
  <c r="AB57" i="11"/>
  <c r="AN81" i="11"/>
  <c r="AN33" i="11"/>
  <c r="AB11" i="11"/>
  <c r="BM43" i="11"/>
  <c r="CR43" i="11" s="1"/>
  <c r="BM74" i="11"/>
  <c r="CR74" i="11" s="1"/>
  <c r="BM33" i="11"/>
  <c r="CR33" i="11" s="1"/>
  <c r="BM48" i="11"/>
  <c r="CR48" i="11" s="1"/>
  <c r="BM49" i="11"/>
  <c r="CR49" i="11" s="1"/>
  <c r="AB66" i="11"/>
  <c r="AB78" i="11"/>
  <c r="AB80" i="11"/>
  <c r="AB49" i="11"/>
  <c r="AL21" i="11"/>
  <c r="AO21" i="11" s="1"/>
  <c r="AB60" i="11"/>
  <c r="AK40" i="11"/>
  <c r="AB68" i="11"/>
  <c r="AJ8" i="11"/>
  <c r="BM13" i="11"/>
  <c r="CR13" i="11" s="1"/>
  <c r="AB25" i="11"/>
  <c r="BM63" i="11"/>
  <c r="CR63" i="11" s="1"/>
  <c r="BM64" i="11"/>
  <c r="CR64" i="11" s="1"/>
  <c r="BM55" i="11"/>
  <c r="CR55" i="11" s="1"/>
  <c r="AB15" i="11"/>
  <c r="AB16" i="11"/>
  <c r="N39" i="11"/>
  <c r="BM58" i="11"/>
  <c r="CR58" i="11" s="1"/>
  <c r="BM79" i="11"/>
  <c r="CR79" i="11" s="1"/>
  <c r="AL80" i="11"/>
  <c r="AO80" i="11" s="1"/>
  <c r="AB82" i="11"/>
  <c r="AB83" i="11"/>
  <c r="AB84" i="11"/>
  <c r="P24" i="11"/>
  <c r="AN31" i="11"/>
  <c r="BM85" i="11"/>
  <c r="CR85" i="11" s="1"/>
  <c r="BM42" i="11"/>
  <c r="CR42" i="11" s="1"/>
  <c r="AN47" i="11"/>
  <c r="N8" i="11"/>
  <c r="BM10" i="11"/>
  <c r="CR10" i="11" s="1"/>
  <c r="AB17" i="11"/>
  <c r="AB27" i="11"/>
  <c r="BM35" i="11"/>
  <c r="CR35" i="11" s="1"/>
  <c r="AN53" i="11"/>
  <c r="O39" i="11"/>
  <c r="BM68" i="11"/>
  <c r="CR68" i="11" s="1"/>
  <c r="BM15" i="11"/>
  <c r="CR15" i="11" s="1"/>
  <c r="BM12" i="11"/>
  <c r="CR12" i="11" s="1"/>
  <c r="AI39" i="11"/>
  <c r="AB86" i="11"/>
  <c r="BM27" i="11"/>
  <c r="CR27" i="11" s="1"/>
  <c r="BM37" i="11"/>
  <c r="CR37" i="11" s="1"/>
  <c r="AB44" i="11"/>
  <c r="AB46" i="11"/>
  <c r="BM51" i="11"/>
  <c r="CR51" i="11" s="1"/>
  <c r="AK56" i="11"/>
  <c r="BM69" i="11"/>
  <c r="CR69" i="11" s="1"/>
  <c r="BM80" i="11"/>
  <c r="CR80" i="11" s="1"/>
  <c r="P50" i="11"/>
  <c r="AB59" i="11"/>
  <c r="P14" i="11"/>
  <c r="AB12" i="11"/>
  <c r="BM30" i="11"/>
  <c r="CR30" i="11" s="1"/>
  <c r="BM66" i="11"/>
  <c r="CR66" i="11" s="1"/>
  <c r="AB75" i="11"/>
  <c r="BM82" i="11"/>
  <c r="CR82" i="11" s="1"/>
  <c r="BM83" i="11"/>
  <c r="CR83" i="11" s="1"/>
  <c r="AB19" i="11"/>
  <c r="AK77" i="11"/>
  <c r="BM53" i="11"/>
  <c r="CR53" i="11" s="1"/>
  <c r="BM29" i="11"/>
  <c r="CR29" i="11" s="1"/>
  <c r="BM32" i="11"/>
  <c r="CR32" i="11" s="1"/>
  <c r="AI8" i="11"/>
  <c r="BM25" i="11"/>
  <c r="CR25" i="11" s="1"/>
  <c r="AB45" i="11"/>
  <c r="AK9" i="11"/>
  <c r="AN45" i="11"/>
  <c r="AB47" i="11"/>
  <c r="AN74" i="11"/>
  <c r="AN75" i="11"/>
  <c r="I10" i="8"/>
  <c r="AN32" i="11"/>
  <c r="G11" i="10"/>
  <c r="G4" i="10" s="1"/>
  <c r="AN16" i="11"/>
  <c r="AN25" i="11"/>
  <c r="AL61" i="11"/>
  <c r="AO61" i="11" s="1"/>
  <c r="AN34" i="11"/>
  <c r="AN15" i="11"/>
  <c r="T97" i="11"/>
  <c r="G5" i="10"/>
  <c r="AN52" i="11"/>
  <c r="AL20" i="11"/>
  <c r="AO20" i="11" s="1"/>
  <c r="AN30" i="11"/>
  <c r="I11" i="8"/>
  <c r="H11" i="8" s="1"/>
  <c r="AO15" i="11"/>
  <c r="AO19" i="11"/>
  <c r="AO57" i="11"/>
  <c r="AL42" i="11"/>
  <c r="AO42" i="11" s="1"/>
  <c r="AN65" i="11"/>
  <c r="AN84" i="11"/>
  <c r="AL45" i="11"/>
  <c r="AO45" i="11" s="1"/>
  <c r="P56" i="11"/>
  <c r="AL60" i="11"/>
  <c r="AO60" i="11" s="1"/>
  <c r="AN12" i="11"/>
  <c r="AL63" i="11"/>
  <c r="AO63" i="11" s="1"/>
  <c r="AL71" i="11"/>
  <c r="AO71" i="11" s="1"/>
  <c r="AN22" i="11"/>
  <c r="AL27" i="11"/>
  <c r="AL35" i="11"/>
  <c r="AO35" i="11" s="1"/>
  <c r="AJ39" i="11"/>
  <c r="AN48" i="11"/>
  <c r="AL53" i="11"/>
  <c r="AO53" i="11" s="1"/>
  <c r="AN82" i="11"/>
  <c r="AL29" i="11"/>
  <c r="AO29" i="11" s="1"/>
  <c r="AL17" i="11"/>
  <c r="AO17" i="11" s="1"/>
  <c r="AN19" i="11"/>
  <c r="AL32" i="11"/>
  <c r="AO32" i="11" s="1"/>
  <c r="AN79" i="11"/>
  <c r="AL10" i="11"/>
  <c r="AL43" i="11"/>
  <c r="AO43" i="11" s="1"/>
  <c r="AL58" i="11"/>
  <c r="AO58" i="11" s="1"/>
  <c r="AL66" i="11"/>
  <c r="AO66" i="11" s="1"/>
  <c r="AL74" i="11"/>
  <c r="AO74" i="11" s="1"/>
  <c r="AL85" i="11"/>
  <c r="AO85" i="11" s="1"/>
  <c r="AN55" i="11"/>
  <c r="AL68" i="11"/>
  <c r="AO68" i="11" s="1"/>
  <c r="AL37" i="11"/>
  <c r="AO37" i="11" s="1"/>
  <c r="AO52" i="11"/>
  <c r="AN57" i="11"/>
  <c r="AL23" i="11"/>
  <c r="AO23" i="11" s="1"/>
  <c r="AL49" i="11"/>
  <c r="AO49" i="11" s="1"/>
  <c r="AL64" i="11"/>
  <c r="AO64" i="11" s="1"/>
  <c r="AL72" i="11"/>
  <c r="AO72" i="11" s="1"/>
  <c r="AL83" i="11"/>
  <c r="AO83" i="11" s="1"/>
  <c r="AL41" i="11"/>
  <c r="AL28" i="11"/>
  <c r="AO28" i="11" s="1"/>
  <c r="AL36" i="11"/>
  <c r="AO36" i="11" s="1"/>
  <c r="AL54" i="11"/>
  <c r="AO54" i="11" s="1"/>
  <c r="AL44" i="11"/>
  <c r="AO44" i="11" s="1"/>
  <c r="AL59" i="11"/>
  <c r="AO59" i="11" s="1"/>
  <c r="AL67" i="11"/>
  <c r="AO67" i="11" s="1"/>
  <c r="AL75" i="11"/>
  <c r="AO75" i="11" s="1"/>
  <c r="AL78" i="11"/>
  <c r="AL86" i="11"/>
  <c r="AO86" i="11" s="1"/>
  <c r="AL73" i="11"/>
  <c r="AO73" i="11" s="1"/>
  <c r="AL11" i="11"/>
  <c r="AO11" i="11" s="1"/>
  <c r="AR23" i="8" l="1"/>
  <c r="AS23" i="8" s="1"/>
  <c r="AS21" i="8" s="1"/>
  <c r="AR21" i="8" s="1"/>
  <c r="AR26" i="8"/>
  <c r="AS26" i="8" s="1"/>
  <c r="H10" i="8"/>
  <c r="G13" i="8"/>
  <c r="L23" i="8"/>
  <c r="M23" i="8" s="1"/>
  <c r="AZ23" i="8"/>
  <c r="BA23" i="8" s="1"/>
  <c r="BA21" i="8" s="1"/>
  <c r="AZ21" i="8" s="1"/>
  <c r="AJ23" i="8"/>
  <c r="AK23" i="8" s="1"/>
  <c r="AK21" i="8" s="1"/>
  <c r="AJ21" i="8" s="1"/>
  <c r="P23" i="8"/>
  <c r="Q23" i="8" s="1"/>
  <c r="Q21" i="8" s="1"/>
  <c r="P21" i="8" s="1"/>
  <c r="T23" i="8"/>
  <c r="U23" i="8" s="1"/>
  <c r="U21" i="8" s="1"/>
  <c r="T21" i="8" s="1"/>
  <c r="P39" i="11"/>
  <c r="H23" i="8"/>
  <c r="I23" i="8" s="1"/>
  <c r="I21" i="8" s="1"/>
  <c r="X23" i="8"/>
  <c r="Y23" i="8" s="1"/>
  <c r="Y21" i="8" s="1"/>
  <c r="X21" i="8" s="1"/>
  <c r="AB23" i="8"/>
  <c r="AC23" i="8" s="1"/>
  <c r="AC21" i="8" s="1"/>
  <c r="AB21" i="8" s="1"/>
  <c r="AB96" i="11"/>
  <c r="AB97" i="11" s="1"/>
  <c r="AN23" i="8"/>
  <c r="AO23" i="8" s="1"/>
  <c r="AO21" i="8" s="1"/>
  <c r="AN21" i="8" s="1"/>
  <c r="AF23" i="8"/>
  <c r="AG23" i="8" s="1"/>
  <c r="AG21" i="8" s="1"/>
  <c r="AF21" i="8" s="1"/>
  <c r="P8" i="11"/>
  <c r="O6" i="11"/>
  <c r="AK8" i="11"/>
  <c r="AK39" i="11"/>
  <c r="AN26" i="8"/>
  <c r="AO26" i="8" s="1"/>
  <c r="AO24" i="8" s="1"/>
  <c r="AN24" i="8" s="1"/>
  <c r="AZ26" i="8"/>
  <c r="BA26" i="8" s="1"/>
  <c r="BA24" i="8" s="1"/>
  <c r="AZ24" i="8" s="1"/>
  <c r="AJ26" i="8"/>
  <c r="AK26" i="8" s="1"/>
  <c r="AK24" i="8" s="1"/>
  <c r="AJ24" i="8" s="1"/>
  <c r="AB26" i="8"/>
  <c r="AC26" i="8" s="1"/>
  <c r="AC24" i="8" s="1"/>
  <c r="AB24" i="8" s="1"/>
  <c r="X26" i="8"/>
  <c r="Y26" i="8" s="1"/>
  <c r="Y24" i="8" s="1"/>
  <c r="X24" i="8" s="1"/>
  <c r="T26" i="8"/>
  <c r="U26" i="8" s="1"/>
  <c r="U24" i="8" s="1"/>
  <c r="T24" i="8" s="1"/>
  <c r="AF26" i="8"/>
  <c r="AG26" i="8" s="1"/>
  <c r="AG24" i="8" s="1"/>
  <c r="AF24" i="8" s="1"/>
  <c r="H26" i="8"/>
  <c r="I26" i="8" s="1"/>
  <c r="I24" i="8" s="1"/>
  <c r="L26" i="8"/>
  <c r="M26" i="8" s="1"/>
  <c r="M24" i="8" s="1"/>
  <c r="L24" i="8" s="1"/>
  <c r="P26" i="8"/>
  <c r="Q26" i="8" s="1"/>
  <c r="Q24" i="8" s="1"/>
  <c r="P24" i="8" s="1"/>
  <c r="AI6" i="11"/>
  <c r="AR32" i="8"/>
  <c r="AS32" i="8" s="1"/>
  <c r="AS30" i="8" s="1"/>
  <c r="AR30" i="8" s="1"/>
  <c r="AJ32" i="8"/>
  <c r="AK32" i="8" s="1"/>
  <c r="AK30" i="8" s="1"/>
  <c r="AJ30" i="8" s="1"/>
  <c r="AZ32" i="8"/>
  <c r="BA32" i="8" s="1"/>
  <c r="BA30" i="8" s="1"/>
  <c r="AZ30" i="8" s="1"/>
  <c r="AN32" i="8"/>
  <c r="AO32" i="8" s="1"/>
  <c r="AO30" i="8" s="1"/>
  <c r="AN30" i="8" s="1"/>
  <c r="X32" i="8"/>
  <c r="Y32" i="8" s="1"/>
  <c r="Y30" i="8" s="1"/>
  <c r="X30" i="8" s="1"/>
  <c r="AB32" i="8"/>
  <c r="AC32" i="8" s="1"/>
  <c r="AC30" i="8" s="1"/>
  <c r="AB30" i="8" s="1"/>
  <c r="AF32" i="8"/>
  <c r="AG32" i="8" s="1"/>
  <c r="AG30" i="8" s="1"/>
  <c r="AF30" i="8" s="1"/>
  <c r="T32" i="8"/>
  <c r="U32" i="8" s="1"/>
  <c r="U30" i="8" s="1"/>
  <c r="T30" i="8" s="1"/>
  <c r="P32" i="8"/>
  <c r="Q32" i="8" s="1"/>
  <c r="Q30" i="8" s="1"/>
  <c r="P30" i="8" s="1"/>
  <c r="H32" i="8"/>
  <c r="I32" i="8" s="1"/>
  <c r="I30" i="8" s="1"/>
  <c r="L32" i="8"/>
  <c r="M32" i="8" s="1"/>
  <c r="M30" i="8" s="1"/>
  <c r="L30" i="8" s="1"/>
  <c r="AJ29" i="8"/>
  <c r="AK29" i="8" s="1"/>
  <c r="AK27" i="8" s="1"/>
  <c r="AJ27" i="8" s="1"/>
  <c r="AZ29" i="8"/>
  <c r="BA29" i="8" s="1"/>
  <c r="BA27" i="8" s="1"/>
  <c r="AZ27" i="8" s="1"/>
  <c r="AN29" i="8"/>
  <c r="AO29" i="8" s="1"/>
  <c r="AO27" i="8" s="1"/>
  <c r="AN27" i="8" s="1"/>
  <c r="AR29" i="8"/>
  <c r="AS29" i="8" s="1"/>
  <c r="AS27" i="8" s="1"/>
  <c r="AR27" i="8" s="1"/>
  <c r="T29" i="8"/>
  <c r="U29" i="8" s="1"/>
  <c r="U27" i="8" s="1"/>
  <c r="T27" i="8" s="1"/>
  <c r="AB29" i="8"/>
  <c r="AC29" i="8" s="1"/>
  <c r="AC27" i="8" s="1"/>
  <c r="AB27" i="8" s="1"/>
  <c r="AF29" i="8"/>
  <c r="AG29" i="8" s="1"/>
  <c r="AG27" i="8" s="1"/>
  <c r="AF27" i="8" s="1"/>
  <c r="X29" i="8"/>
  <c r="Y29" i="8" s="1"/>
  <c r="Y27" i="8" s="1"/>
  <c r="X27" i="8" s="1"/>
  <c r="P29" i="8"/>
  <c r="Q29" i="8" s="1"/>
  <c r="Q27" i="8" s="1"/>
  <c r="P27" i="8" s="1"/>
  <c r="L29" i="8"/>
  <c r="M29" i="8" s="1"/>
  <c r="M27" i="8" s="1"/>
  <c r="L27" i="8" s="1"/>
  <c r="H29" i="8"/>
  <c r="I29" i="8" s="1"/>
  <c r="I27" i="8" s="1"/>
  <c r="N6" i="11"/>
  <c r="AO50" i="11"/>
  <c r="AO14" i="11"/>
  <c r="AL14" i="11"/>
  <c r="I12" i="8"/>
  <c r="I13" i="8" s="1"/>
  <c r="H12" i="8"/>
  <c r="AO18" i="11"/>
  <c r="AO56" i="11"/>
  <c r="AL24" i="11"/>
  <c r="AO27" i="11"/>
  <c r="AO24" i="11" s="1"/>
  <c r="AO41" i="11"/>
  <c r="AO40" i="11" s="1"/>
  <c r="AL40" i="11"/>
  <c r="AL9" i="11"/>
  <c r="AO10" i="11"/>
  <c r="AO9" i="11" s="1"/>
  <c r="AO78" i="11"/>
  <c r="AO77" i="11" s="1"/>
  <c r="AL77" i="11"/>
  <c r="AL56" i="11"/>
  <c r="AL50" i="11"/>
  <c r="AL18" i="11"/>
  <c r="AJ6" i="11"/>
  <c r="AS24" i="8" l="1"/>
  <c r="AR24" i="8" s="1"/>
  <c r="AZ8" i="8"/>
  <c r="BA8" i="8" s="1"/>
  <c r="BA11" i="8" s="1"/>
  <c r="BA12" i="8" s="1"/>
  <c r="I15" i="8"/>
  <c r="I16" i="8" s="1"/>
  <c r="H30" i="8"/>
  <c r="BE30" i="8"/>
  <c r="BD30" i="8" s="1"/>
  <c r="BD32" i="8"/>
  <c r="BE32" i="8" s="1"/>
  <c r="H21" i="8"/>
  <c r="H24" i="8"/>
  <c r="BE24" i="8"/>
  <c r="BD24" i="8" s="1"/>
  <c r="BD26" i="8"/>
  <c r="BE26" i="8" s="1"/>
  <c r="T8" i="8"/>
  <c r="U8" i="8" s="1"/>
  <c r="U11" i="8" s="1"/>
  <c r="U12" i="8" s="1"/>
  <c r="H27" i="8"/>
  <c r="BE27" i="8"/>
  <c r="BD27" i="8" s="1"/>
  <c r="BD29" i="8"/>
  <c r="BE29" i="8" s="1"/>
  <c r="AR8" i="8"/>
  <c r="AS8" i="8" s="1"/>
  <c r="AS11" i="8" s="1"/>
  <c r="AK6" i="11"/>
  <c r="AJ8" i="8"/>
  <c r="AK8" i="8" s="1"/>
  <c r="AK11" i="8" s="1"/>
  <c r="AJ11" i="8" s="1"/>
  <c r="P6" i="11"/>
  <c r="AF8" i="8"/>
  <c r="AG8" i="8" s="1"/>
  <c r="AG11" i="8" s="1"/>
  <c r="AF11" i="8" s="1"/>
  <c r="P8" i="8"/>
  <c r="Q8" i="8" s="1"/>
  <c r="Q11" i="8" s="1"/>
  <c r="P11" i="8" s="1"/>
  <c r="X8" i="8"/>
  <c r="Y8" i="8" s="1"/>
  <c r="Y11" i="8" s="1"/>
  <c r="X11" i="8" s="1"/>
  <c r="AB8" i="8"/>
  <c r="AC8" i="8" s="1"/>
  <c r="AC11" i="8" s="1"/>
  <c r="AB11" i="8" s="1"/>
  <c r="AN8" i="8"/>
  <c r="AO8" i="8" s="1"/>
  <c r="AO11" i="8" s="1"/>
  <c r="AO12" i="8" s="1"/>
  <c r="AO8" i="11"/>
  <c r="AO39" i="11"/>
  <c r="AL8" i="11"/>
  <c r="AL39" i="11"/>
  <c r="AS12" i="8" l="1"/>
  <c r="AS13" i="8" s="1"/>
  <c r="AR11" i="8"/>
  <c r="T11" i="8"/>
  <c r="AZ11" i="8"/>
  <c r="AN11" i="8"/>
  <c r="AC12" i="8"/>
  <c r="AC15" i="8" s="1"/>
  <c r="AK12" i="8"/>
  <c r="AJ12" i="8" s="1"/>
  <c r="AG12" i="8"/>
  <c r="AG15" i="8" s="1"/>
  <c r="Q12" i="8"/>
  <c r="Q13" i="8" s="1"/>
  <c r="Y12" i="8"/>
  <c r="Y13" i="8" s="1"/>
  <c r="AZ12" i="8"/>
  <c r="BA15" i="8"/>
  <c r="BA13" i="8"/>
  <c r="AO6" i="11"/>
  <c r="U15" i="8"/>
  <c r="U13" i="8"/>
  <c r="T12" i="8"/>
  <c r="AO15" i="8"/>
  <c r="AO13" i="8"/>
  <c r="AN12" i="8"/>
  <c r="AL6" i="11"/>
  <c r="BC22" i="8"/>
  <c r="AB6" i="5"/>
  <c r="Q15" i="18" s="1"/>
  <c r="AK5" i="5" l="1"/>
  <c r="AS15" i="8"/>
  <c r="AS16" i="8" s="1"/>
  <c r="AR12" i="8"/>
  <c r="AF12" i="8"/>
  <c r="BA16" i="8"/>
  <c r="AG16" i="8"/>
  <c r="AC16" i="8"/>
  <c r="AO16" i="8"/>
  <c r="U16" i="8"/>
  <c r="AG13" i="8"/>
  <c r="BE22" i="8"/>
  <c r="AK15" i="8"/>
  <c r="AK13" i="8"/>
  <c r="AB12" i="8"/>
  <c r="AC13" i="8"/>
  <c r="Q15" i="8"/>
  <c r="P12" i="8"/>
  <c r="X12" i="8"/>
  <c r="Y15" i="8"/>
  <c r="BC23" i="8"/>
  <c r="BC21" i="8" s="1"/>
  <c r="M22" i="8"/>
  <c r="M21" i="8" s="1"/>
  <c r="M14" i="8"/>
  <c r="K11" i="8"/>
  <c r="K10" i="8"/>
  <c r="BC7" i="8" s="1"/>
  <c r="J37" i="9"/>
  <c r="I37" i="9"/>
  <c r="Q28" i="9"/>
  <c r="R28" i="9" s="1"/>
  <c r="K28" i="9"/>
  <c r="L28" i="9" s="1"/>
  <c r="M28" i="9" s="1"/>
  <c r="Q27" i="9"/>
  <c r="R27" i="9" s="1"/>
  <c r="L27" i="9"/>
  <c r="O27" i="9" s="1"/>
  <c r="K27" i="9"/>
  <c r="R26" i="9"/>
  <c r="Q26" i="9"/>
  <c r="K26" i="9"/>
  <c r="L26" i="9" s="1"/>
  <c r="M26" i="9" s="1"/>
  <c r="Q25" i="9"/>
  <c r="R25" i="9" s="1"/>
  <c r="K25" i="9"/>
  <c r="L25" i="9" s="1"/>
  <c r="M25" i="9" s="1"/>
  <c r="Q24" i="9"/>
  <c r="R24" i="9" s="1"/>
  <c r="K24" i="9"/>
  <c r="L24" i="9" s="1"/>
  <c r="M24" i="9" s="1"/>
  <c r="Q23" i="9"/>
  <c r="R23" i="9" s="1"/>
  <c r="K23" i="9"/>
  <c r="L23" i="9" s="1"/>
  <c r="M23" i="9" s="1"/>
  <c r="Q22" i="9"/>
  <c r="R22" i="9" s="1"/>
  <c r="K22" i="9"/>
  <c r="L22" i="9" s="1"/>
  <c r="M22" i="9" s="1"/>
  <c r="G22" i="9"/>
  <c r="H22" i="9" s="1"/>
  <c r="Q21" i="9"/>
  <c r="R21" i="9" s="1"/>
  <c r="L21" i="9"/>
  <c r="M21" i="9" s="1"/>
  <c r="K21" i="9"/>
  <c r="H21" i="9"/>
  <c r="G21" i="9"/>
  <c r="Q20" i="9"/>
  <c r="R20" i="9" s="1"/>
  <c r="K20" i="9"/>
  <c r="L20" i="9" s="1"/>
  <c r="M20" i="9" s="1"/>
  <c r="G20" i="9"/>
  <c r="H20" i="9" s="1"/>
  <c r="Q19" i="9"/>
  <c r="R19" i="9" s="1"/>
  <c r="K19" i="9"/>
  <c r="L19" i="9" s="1"/>
  <c r="G19" i="9"/>
  <c r="H19" i="9" s="1"/>
  <c r="Q18" i="9"/>
  <c r="R18" i="9" s="1"/>
  <c r="K18" i="9"/>
  <c r="L18" i="9" s="1"/>
  <c r="M18" i="9" s="1"/>
  <c r="G18" i="9"/>
  <c r="H18" i="9" s="1"/>
  <c r="Q17" i="9"/>
  <c r="R17" i="9" s="1"/>
  <c r="K17" i="9"/>
  <c r="L17" i="9" s="1"/>
  <c r="H17" i="9"/>
  <c r="G17" i="9"/>
  <c r="R16" i="9"/>
  <c r="Q16" i="9"/>
  <c r="K16" i="9"/>
  <c r="L16" i="9" s="1"/>
  <c r="M16" i="9" s="1"/>
  <c r="G16" i="9"/>
  <c r="H16" i="9" s="1"/>
  <c r="Q15" i="9"/>
  <c r="R15" i="9" s="1"/>
  <c r="K15" i="9"/>
  <c r="L15" i="9" s="1"/>
  <c r="M15" i="9" s="1"/>
  <c r="G15" i="9"/>
  <c r="H15" i="9" s="1"/>
  <c r="R14" i="9"/>
  <c r="Q14" i="9"/>
  <c r="K14" i="9"/>
  <c r="L14" i="9" s="1"/>
  <c r="M14" i="9" s="1"/>
  <c r="G14" i="9"/>
  <c r="H14" i="9" s="1"/>
  <c r="Q13" i="9"/>
  <c r="R13" i="9" s="1"/>
  <c r="K13" i="9"/>
  <c r="L13" i="9" s="1"/>
  <c r="M13" i="9" s="1"/>
  <c r="Q12" i="9"/>
  <c r="R12" i="9" s="1"/>
  <c r="L12" i="9"/>
  <c r="M12" i="9" s="1"/>
  <c r="K12" i="9"/>
  <c r="R11" i="9"/>
  <c r="Q11" i="9"/>
  <c r="K11" i="9"/>
  <c r="L11" i="9" s="1"/>
  <c r="Q10" i="9"/>
  <c r="R10" i="9" s="1"/>
  <c r="K10" i="9"/>
  <c r="L10" i="9" s="1"/>
  <c r="Q9" i="9"/>
  <c r="R9" i="9" s="1"/>
  <c r="O9" i="9"/>
  <c r="L9" i="9"/>
  <c r="M9" i="9" s="1"/>
  <c r="K9" i="9"/>
  <c r="Q8" i="9"/>
  <c r="R8" i="9" s="1"/>
  <c r="K8" i="9"/>
  <c r="L8" i="9" s="1"/>
  <c r="Q7" i="9"/>
  <c r="R7" i="9" s="1"/>
  <c r="K7" i="9"/>
  <c r="L7" i="9" s="1"/>
  <c r="H7" i="9"/>
  <c r="G7" i="9"/>
  <c r="R6" i="9"/>
  <c r="Q6" i="9"/>
  <c r="K6" i="9"/>
  <c r="L6" i="9" s="1"/>
  <c r="G6" i="9"/>
  <c r="H6" i="9" s="1"/>
  <c r="Q5" i="9"/>
  <c r="R5" i="9" s="1"/>
  <c r="K5" i="9"/>
  <c r="L5" i="9" s="1"/>
  <c r="H5" i="9"/>
  <c r="G5" i="9"/>
  <c r="BC8" i="8" l="1"/>
  <c r="BC11" i="8" s="1"/>
  <c r="Q16" i="8"/>
  <c r="Y16" i="8"/>
  <c r="AK16" i="8"/>
  <c r="BE7" i="8"/>
  <c r="BC10" i="8"/>
  <c r="BE21" i="8"/>
  <c r="BD21" i="8" s="1"/>
  <c r="BD8" i="8" s="1"/>
  <c r="BD23" i="8"/>
  <c r="BE23" i="8" s="1"/>
  <c r="L21" i="8"/>
  <c r="L8" i="8" s="1"/>
  <c r="M8" i="8" s="1"/>
  <c r="M7" i="9"/>
  <c r="O7" i="9"/>
  <c r="M8" i="9"/>
  <c r="O8" i="9"/>
  <c r="O19" i="9"/>
  <c r="M19" i="9"/>
  <c r="O5" i="9"/>
  <c r="M5" i="9"/>
  <c r="L37" i="9"/>
  <c r="M37" i="9" s="1"/>
  <c r="O10" i="9"/>
  <c r="M10" i="9"/>
  <c r="O11" i="9"/>
  <c r="M11" i="9"/>
  <c r="M6" i="9"/>
  <c r="O6" i="9"/>
  <c r="M17" i="9"/>
  <c r="O17" i="9"/>
  <c r="M27" i="9"/>
  <c r="O12" i="9"/>
  <c r="K37" i="9"/>
  <c r="BE8" i="8" l="1"/>
  <c r="BC12" i="8"/>
  <c r="O48" i="9"/>
  <c r="BC13" i="8" l="1"/>
  <c r="BC15" i="8"/>
  <c r="K12" i="8"/>
  <c r="M7" i="8"/>
  <c r="M6" i="8"/>
  <c r="BC16" i="8" l="1"/>
  <c r="M11" i="8"/>
  <c r="L11" i="8" s="1"/>
  <c r="G28" i="29" s="1" a="1"/>
  <c r="G28" i="29" s="1"/>
  <c r="BE6" i="8"/>
  <c r="M10" i="8"/>
  <c r="K15" i="8"/>
  <c r="K16" i="8" s="1"/>
  <c r="K13" i="8"/>
  <c r="L10" i="8" l="1"/>
  <c r="M12" i="8"/>
  <c r="L12" i="8" s="1"/>
  <c r="BE10" i="8"/>
  <c r="BE11" i="8"/>
  <c r="BD11" i="8" s="1"/>
  <c r="C5" i="7"/>
  <c r="C9" i="7" s="1"/>
  <c r="M13" i="8" l="1"/>
  <c r="M15" i="8"/>
  <c r="BD10" i="8"/>
  <c r="BE12" i="8"/>
  <c r="BE1" i="8" s="1"/>
  <c r="B13" i="16" l="1"/>
  <c r="F29" i="20" s="1"/>
  <c r="G29" i="20" s="1"/>
  <c r="B8" i="17"/>
  <c r="F6" i="20" s="1"/>
  <c r="G6" i="20" s="1"/>
  <c r="B4" i="16"/>
  <c r="D15" i="16"/>
  <c r="D13" i="16"/>
  <c r="D12" i="16"/>
  <c r="B12" i="16"/>
  <c r="F28" i="20" s="1"/>
  <c r="G28" i="20" s="1"/>
  <c r="D10" i="16"/>
  <c r="B12" i="17"/>
  <c r="F10" i="20" s="1"/>
  <c r="G10" i="20" s="1"/>
  <c r="B11" i="16"/>
  <c r="F27" i="20" s="1"/>
  <c r="G27" i="20" s="1"/>
  <c r="G6" i="16"/>
  <c r="D11" i="16"/>
  <c r="G7" i="16"/>
  <c r="B11" i="17"/>
  <c r="F9" i="20" s="1"/>
  <c r="G9" i="20" s="1"/>
  <c r="G11" i="16"/>
  <c r="D4" i="16"/>
  <c r="E4" i="16" s="1"/>
  <c r="G15" i="16"/>
  <c r="G14" i="16"/>
  <c r="G13" i="16"/>
  <c r="B10" i="16"/>
  <c r="F26" i="20" s="1"/>
  <c r="G26" i="20" s="1"/>
  <c r="B8" i="16"/>
  <c r="F24" i="20" s="1"/>
  <c r="G24" i="20" s="1"/>
  <c r="B7" i="17"/>
  <c r="F5" i="20" s="1"/>
  <c r="G5" i="20" s="1"/>
  <c r="G5" i="16"/>
  <c r="D6" i="16"/>
  <c r="B9" i="17"/>
  <c r="F7" i="20" s="1"/>
  <c r="G7" i="20" s="1"/>
  <c r="B10" i="17"/>
  <c r="F8" i="20" s="1"/>
  <c r="G8" i="20" s="1"/>
  <c r="G9" i="16"/>
  <c r="B13" i="17"/>
  <c r="F11" i="20" s="1"/>
  <c r="G11" i="20" s="1"/>
  <c r="D9" i="16"/>
  <c r="B14" i="17"/>
  <c r="F12" i="20" s="1"/>
  <c r="G12" i="20" s="1"/>
  <c r="D7" i="16"/>
  <c r="B15" i="17"/>
  <c r="D8" i="16"/>
  <c r="B6" i="16"/>
  <c r="F22" i="20" s="1"/>
  <c r="G22" i="20" s="1"/>
  <c r="G4" i="16"/>
  <c r="G12" i="16"/>
  <c r="B7" i="16"/>
  <c r="F23" i="20" s="1"/>
  <c r="G23" i="20" s="1"/>
  <c r="D14" i="16"/>
  <c r="B15" i="16"/>
  <c r="F31" i="20" s="1"/>
  <c r="G31" i="20" s="1"/>
  <c r="B4" i="17"/>
  <c r="B9" i="16"/>
  <c r="F25" i="20" s="1"/>
  <c r="G25" i="20" s="1"/>
  <c r="B6" i="17"/>
  <c r="F4" i="20" s="1"/>
  <c r="G4" i="20" s="1"/>
  <c r="B5" i="17"/>
  <c r="F3" i="20" s="1"/>
  <c r="G3" i="20" s="1"/>
  <c r="B14" i="16"/>
  <c r="F30" i="20" s="1"/>
  <c r="G30" i="20" s="1"/>
  <c r="G8" i="16"/>
  <c r="B5" i="16"/>
  <c r="F21" i="20" s="1"/>
  <c r="G21" i="20" s="1"/>
  <c r="G10" i="16"/>
  <c r="M16" i="8"/>
  <c r="D5" i="16"/>
  <c r="BE15" i="8"/>
  <c r="BE13" i="8"/>
  <c r="BD12" i="8"/>
  <c r="E7" i="29" l="1" a="1"/>
  <c r="E7" i="29" s="1"/>
  <c r="E13" i="29" s="1" a="1"/>
  <c r="E13" i="29" s="1"/>
  <c r="C10" i="17"/>
  <c r="C5" i="17"/>
  <c r="C8" i="17"/>
  <c r="C9" i="17"/>
  <c r="F2" i="20"/>
  <c r="C6" i="17"/>
  <c r="C13" i="17"/>
  <c r="C15" i="17"/>
  <c r="C4" i="17"/>
  <c r="C7" i="17"/>
  <c r="C14" i="17"/>
  <c r="C12" i="17"/>
  <c r="C11" i="17"/>
  <c r="H14" i="16"/>
  <c r="H9" i="16"/>
  <c r="H5" i="16"/>
  <c r="H12" i="16"/>
  <c r="H15" i="16"/>
  <c r="H7" i="16"/>
  <c r="H10" i="16"/>
  <c r="H8" i="16"/>
  <c r="H13" i="16"/>
  <c r="H4" i="16"/>
  <c r="H6" i="16"/>
  <c r="H11" i="16"/>
  <c r="C5" i="16"/>
  <c r="C4" i="16"/>
  <c r="C6" i="16"/>
  <c r="C15" i="16"/>
  <c r="C9" i="16"/>
  <c r="F20" i="20"/>
  <c r="C12" i="16"/>
  <c r="C11" i="16"/>
  <c r="C7" i="16"/>
  <c r="C8" i="16"/>
  <c r="C14" i="16"/>
  <c r="C10" i="16"/>
  <c r="C13" i="16"/>
  <c r="E14" i="16"/>
  <c r="E15" i="16"/>
  <c r="E11" i="16"/>
  <c r="E12" i="16"/>
  <c r="E13" i="16"/>
  <c r="BE16" i="8"/>
  <c r="E9" i="16"/>
  <c r="E10" i="16"/>
  <c r="E7" i="16"/>
  <c r="E8" i="16"/>
  <c r="E5" i="16"/>
  <c r="E6" i="16"/>
  <c r="E6" i="4"/>
  <c r="E10" i="29" l="1" a="1"/>
  <c r="E10" i="29" s="1"/>
  <c r="E12" i="29" a="1"/>
  <c r="E12" i="29" s="1"/>
  <c r="E11" i="29" a="1"/>
  <c r="E11" i="29" s="1"/>
  <c r="D13" i="29"/>
  <c r="E14" i="29"/>
  <c r="E17" i="29"/>
  <c r="F7" i="29" a="1"/>
  <c r="F7" i="29" s="1"/>
  <c r="B7" i="4"/>
  <c r="E7" i="4" s="1"/>
  <c r="B8" i="4" s="1"/>
  <c r="E8" i="4" s="1"/>
  <c r="B9" i="4" s="1"/>
  <c r="G20" i="20"/>
  <c r="F32" i="20"/>
  <c r="G32" i="20" s="1"/>
  <c r="F14" i="20"/>
  <c r="G2" i="20"/>
  <c r="G29" i="29" l="1"/>
  <c r="G30" i="29" s="1"/>
  <c r="N14" i="29"/>
  <c r="H7" i="29"/>
  <c r="H14" i="29"/>
  <c r="G7" i="29"/>
  <c r="F17" i="29"/>
  <c r="E9" i="4"/>
  <c r="B10" i="4" s="1"/>
  <c r="H29" i="29" l="1"/>
  <c r="F18" i="29"/>
  <c r="H17" i="29"/>
  <c r="G17" i="29"/>
  <c r="G18" i="29" s="1"/>
  <c r="D12" i="29"/>
  <c r="D11" i="29"/>
  <c r="D10" i="29"/>
  <c r="E10" i="4"/>
  <c r="B11" i="4" s="1"/>
  <c r="F12" i="29" l="1" a="1"/>
  <c r="F12" i="29" s="1"/>
  <c r="F11" i="29" a="1"/>
  <c r="F11" i="29" s="1"/>
  <c r="F10" i="29" a="1"/>
  <c r="F10" i="29" s="1"/>
  <c r="G22" i="29"/>
  <c r="F22" i="29" s="1"/>
  <c r="E11" i="4"/>
  <c r="B12" i="4" s="1"/>
  <c r="G10" i="29" l="1"/>
  <c r="N10" i="29" s="1"/>
  <c r="H10" i="29"/>
  <c r="G11" i="29"/>
  <c r="N11" i="29" s="1"/>
  <c r="P11" i="29" s="1"/>
  <c r="H11" i="29"/>
  <c r="G12" i="29"/>
  <c r="N12" i="29" s="1"/>
  <c r="P12" i="29" s="1"/>
  <c r="H12" i="29"/>
  <c r="E12" i="4"/>
  <c r="B13" i="4" s="1"/>
  <c r="G13" i="29" l="1"/>
  <c r="F13" i="29" s="1"/>
  <c r="H13" i="29" s="1"/>
  <c r="G9" i="29"/>
  <c r="F9" i="29" s="1"/>
  <c r="F8" i="29" s="1"/>
  <c r="F15" i="29" s="1"/>
  <c r="F19" i="29" s="1"/>
  <c r="P10" i="29"/>
  <c r="N9" i="29"/>
  <c r="N13" i="29" s="1"/>
  <c r="N8" i="29" s="1"/>
  <c r="N15" i="29" s="1"/>
  <c r="N19" i="29" s="1"/>
  <c r="G8" i="29"/>
  <c r="E13" i="4"/>
  <c r="B14" i="4" s="1"/>
  <c r="E14" i="4" s="1"/>
  <c r="H8" i="29" l="1"/>
  <c r="H9" i="29"/>
  <c r="G15" i="29"/>
  <c r="G16" i="29" s="1"/>
  <c r="B15" i="4"/>
  <c r="E15" i="4"/>
  <c r="G19" i="29" l="1"/>
  <c r="G20" i="29" s="1"/>
  <c r="E16" i="4"/>
  <c r="F16" i="29" l="1"/>
  <c r="H15" i="29"/>
  <c r="E17" i="4"/>
  <c r="F20" i="29" l="1"/>
  <c r="H19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G22" authorId="0" shapeId="0" xr:uid="{D7FA813D-15F4-4AA2-AAF7-88D1F84A636A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Loại trừ yếu tố công nợ và hàng tồn kho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G22" authorId="0" shapeId="0" xr:uid="{596BCBB7-A4EB-46FE-993A-970FFC37C394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Loại trừ yếu tố công nợ và hàng tồn kho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L4" authorId="0" shapeId="0" xr:uid="{6A1F95E6-6981-4F19-B439-712B72D1613A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FIFO bán hàng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AO6" authorId="0" shapeId="0" xr:uid="{40FA470D-A025-481E-8BED-149EBC8FC305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Dương là tăng lợi nhuận, âm là giảm lợi nhuận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<sst xmlns="http://schemas.openxmlformats.org/spreadsheetml/2006/main" count="2231" uniqueCount="569">
  <si>
    <t>Item</t>
  </si>
  <si>
    <t>Material</t>
  </si>
  <si>
    <t>Material Description</t>
  </si>
  <si>
    <t>Plant</t>
  </si>
  <si>
    <t>Change in Quantity</t>
  </si>
  <si>
    <t>Unit of Measure</t>
  </si>
  <si>
    <t>Value change</t>
  </si>
  <si>
    <t>Currency</t>
  </si>
  <si>
    <t>Item type</t>
  </si>
  <si>
    <t>1</t>
  </si>
  <si>
    <t>110000428</t>
  </si>
  <si>
    <t>Dây đai PET</t>
  </si>
  <si>
    <t>1101</t>
  </si>
  <si>
    <t>KG</t>
  </si>
  <si>
    <t>VND</t>
  </si>
  <si>
    <t>UP</t>
  </si>
  <si>
    <t>2</t>
  </si>
  <si>
    <t>160012269</t>
  </si>
  <si>
    <t>Phó Sản PET Zigzag Quay đầu</t>
  </si>
  <si>
    <t>3</t>
  </si>
  <si>
    <t>160012394</t>
  </si>
  <si>
    <t>Vảy PET B4_A1</t>
  </si>
  <si>
    <t>4</t>
  </si>
  <si>
    <t>160012395</t>
  </si>
  <si>
    <t>Vảy PET B4_A2</t>
  </si>
  <si>
    <t>160012396</t>
  </si>
  <si>
    <t>Vảy PET B4_A3</t>
  </si>
  <si>
    <t>160012397</t>
  </si>
  <si>
    <t>Vảy PET B4_A3.RN</t>
  </si>
  <si>
    <t>160012429</t>
  </si>
  <si>
    <t>Đầu Keo PET Sau Băm</t>
  </si>
  <si>
    <t>Month</t>
  </si>
  <si>
    <t>Grand Total</t>
  </si>
  <si>
    <t>Sum of Change in Quantity</t>
  </si>
  <si>
    <t>160012607</t>
  </si>
  <si>
    <t>Phó Sản PET Zigzag Sau Lựa</t>
  </si>
  <si>
    <t>160012268</t>
  </si>
  <si>
    <t>Phó Sản PET Tomra Cổng 2</t>
  </si>
  <si>
    <t>Nhập</t>
  </si>
  <si>
    <t>Xuất</t>
  </si>
  <si>
    <t>ĐK</t>
  </si>
  <si>
    <t>CK</t>
  </si>
  <si>
    <t>Tháng</t>
  </si>
  <si>
    <t>Tự xếp lô</t>
  </si>
  <si>
    <t>L01</t>
  </si>
  <si>
    <t>L02</t>
  </si>
  <si>
    <t>Bán T02</t>
  </si>
  <si>
    <t>Bán T03</t>
  </si>
  <si>
    <t>Tổng</t>
  </si>
  <si>
    <t>Tháng bán</t>
  </si>
  <si>
    <t>USD</t>
  </si>
  <si>
    <t>EXR</t>
  </si>
  <si>
    <t>Số tháng khấu hao</t>
  </si>
  <si>
    <t>Giá trị</t>
  </si>
  <si>
    <t>129.6-201.6 tấn/tháng</t>
  </si>
  <si>
    <t>Công suất</t>
  </si>
  <si>
    <t>Sản xuất</t>
  </si>
  <si>
    <t>kg</t>
  </si>
  <si>
    <t>Số lượng</t>
  </si>
  <si>
    <t>Giá bán</t>
  </si>
  <si>
    <t>Doanh thu</t>
  </si>
  <si>
    <t>GVHB</t>
  </si>
  <si>
    <t>Lãi gộp</t>
  </si>
  <si>
    <t>Chi phí hoa hồng</t>
  </si>
  <si>
    <t>Lãi gộp sau Cp hoa hồng</t>
  </si>
  <si>
    <t>Trước đ/c</t>
  </si>
  <si>
    <t>Điều chỉnh</t>
  </si>
  <si>
    <t>Sau đ/c</t>
  </si>
  <si>
    <t>%LG</t>
  </si>
  <si>
    <t>DÂY ĐAI PET</t>
  </si>
  <si>
    <t>THUYẾT MINH PHÓ SẢN CÓ GIÁ TRÊN SAP PHÁT SINH TỪ THÁNG 1/2023 =&gt;  THÁNG 6.2023</t>
  </si>
  <si>
    <t>Stt</t>
  </si>
  <si>
    <t>Mã</t>
  </si>
  <si>
    <t>Tên vật tư</t>
  </si>
  <si>
    <t>ĐƠN GIÁ</t>
  </si>
  <si>
    <t>Phát sinh từ T1=&gt;T6.2023</t>
  </si>
  <si>
    <t>GIÁ TRỊ</t>
  </si>
  <si>
    <t>ĐVT</t>
  </si>
  <si>
    <t>Đơn giá đang ghi nhận SAP trong 6 tháng qua</t>
  </si>
  <si>
    <t>Đơn giá phương án 2 : 
Phó sản tính theo giá thành sản xuất thực tế</t>
  </si>
  <si>
    <t>Chênh lệch PÁ 2 sv. PÁ 1</t>
  </si>
  <si>
    <t>% Chênh lệch PÁ 2 sv. PÁ 1</t>
  </si>
  <si>
    <t>Tồn trên SAP (triệu VND)</t>
  </si>
  <si>
    <t>Tính theo PA2 
(triệu VND)</t>
  </si>
  <si>
    <t>Chênh lệch</t>
  </si>
  <si>
    <t>% Chênh lệch PÁ 2 sv PÁ 1</t>
  </si>
  <si>
    <t>160012245</t>
  </si>
  <si>
    <t>Chai B2-SPL</t>
  </si>
  <si>
    <t>vnđ/kg</t>
  </si>
  <si>
    <t>PET</t>
  </si>
  <si>
    <t>160012246</t>
  </si>
  <si>
    <t>Chai B3-SPL</t>
  </si>
  <si>
    <t>160012247</t>
  </si>
  <si>
    <t>Chai B6-SPL</t>
  </si>
  <si>
    <t>160012250</t>
  </si>
  <si>
    <t>Chai B8 (chai dơ) – SPL</t>
  </si>
  <si>
    <t>160012251</t>
  </si>
  <si>
    <t>Chai B4-SPL</t>
  </si>
  <si>
    <t>160012252</t>
  </si>
  <si>
    <t>Chai B5-SPL</t>
  </si>
  <si>
    <t>Vảy PET Tách màu Torma</t>
  </si>
  <si>
    <t>Vảy PET Zigzag</t>
  </si>
  <si>
    <t>160012270</t>
  </si>
  <si>
    <t>Phó sản vảy HDPE trong loại 1</t>
  </si>
  <si>
    <t>HDPE</t>
  </si>
  <si>
    <t>160012271</t>
  </si>
  <si>
    <t>Phó sản vảy HDPE trong loại 2</t>
  </si>
  <si>
    <t>160012272</t>
  </si>
  <si>
    <t>Phó sản vảy HDPE trong to</t>
  </si>
  <si>
    <t>160012274</t>
  </si>
  <si>
    <t>Vảy HDPE Zigzag</t>
  </si>
  <si>
    <t>160012334</t>
  </si>
  <si>
    <t>Bụi sàn rung</t>
  </si>
  <si>
    <t>160012335</t>
  </si>
  <si>
    <t>Olefin (Nắp, HDPE…) B1/B8</t>
  </si>
  <si>
    <t>160012336</t>
  </si>
  <si>
    <t>Bụi cám</t>
  </si>
  <si>
    <t>160012338</t>
  </si>
  <si>
    <t>Olefin (Nắp, HDPE…) B2</t>
  </si>
  <si>
    <t>160012339</t>
  </si>
  <si>
    <t>Olefin (Nắp, HDPE…) B3</t>
  </si>
  <si>
    <t>160012340</t>
  </si>
  <si>
    <t>Olefin (Nắp, HDPE…) B5</t>
  </si>
  <si>
    <t>160012344</t>
  </si>
  <si>
    <t>Đầu keo HD thổi trong</t>
  </si>
  <si>
    <t>160012345</t>
  </si>
  <si>
    <t>Phó sản máy Meyer</t>
  </si>
  <si>
    <t>160012346</t>
  </si>
  <si>
    <t>Phó sản bụi HD ép chìm</t>
  </si>
  <si>
    <t>160012348</t>
  </si>
  <si>
    <t>Phó sản hạt HD thổi màu</t>
  </si>
  <si>
    <t>160012357</t>
  </si>
  <si>
    <t>Đầu keo PET</t>
  </si>
  <si>
    <t>160012361</t>
  </si>
  <si>
    <t>Phó sản bụi HD thổi</t>
  </si>
  <si>
    <t>800006224</t>
  </si>
  <si>
    <t>800006225</t>
  </si>
  <si>
    <t>800006226</t>
  </si>
  <si>
    <t>Nhãn, PVC, OPP…</t>
  </si>
  <si>
    <t>800006227</t>
  </si>
  <si>
    <t>800006229</t>
  </si>
  <si>
    <t>Đầu đuôi keo</t>
  </si>
  <si>
    <t>800006230</t>
  </si>
  <si>
    <t>Xả, hư</t>
  </si>
  <si>
    <t>800006231</t>
  </si>
  <si>
    <t>Đầu keo HDPE trong</t>
  </si>
  <si>
    <t>800006233</t>
  </si>
  <si>
    <t>Phế khác (dây, bao, kẽm..)</t>
  </si>
  <si>
    <r>
      <rPr>
        <b/>
        <u/>
        <sz val="16"/>
        <color rgb="FFFF0000"/>
        <rFont val="Times New Roman"/>
        <family val="1"/>
      </rPr>
      <t>Kết Luận Tổng :</t>
    </r>
    <r>
      <rPr>
        <b/>
        <sz val="16"/>
        <color rgb="FFFF0000"/>
        <rFont val="Times New Roman"/>
        <family val="1"/>
      </rPr>
      <t xml:space="preserve"> 
</t>
    </r>
    <r>
      <rPr>
        <sz val="16"/>
        <color rgb="FFFF0000"/>
        <rFont val="Times New Roman"/>
        <family val="1"/>
      </rPr>
      <t>- Ghi nhận giảm giá vốn hàng bán và tăng giá trị hàng tồn kho 20, 37 tỷ</t>
    </r>
  </si>
  <si>
    <t>Người Lập</t>
  </si>
  <si>
    <t>Giang Văn Lộc</t>
  </si>
  <si>
    <t>Giám đốc điều hành</t>
  </si>
  <si>
    <t>Giám đốc tài chính</t>
  </si>
  <si>
    <t>Kế Toán Trưởng</t>
  </si>
  <si>
    <t>Huỳnh Ngọc Thạch</t>
  </si>
  <si>
    <t>Hoàng Thị Hồng Hạnh</t>
  </si>
  <si>
    <t>Vũ Trần Đình Tùng Lâm</t>
  </si>
  <si>
    <t>GVĐV</t>
  </si>
  <si>
    <t>Đvt</t>
  </si>
  <si>
    <t>tấn</t>
  </si>
  <si>
    <t>đ/kg</t>
  </si>
  <si>
    <t>tr.đ</t>
  </si>
  <si>
    <t>Sản lượng</t>
  </si>
  <si>
    <t>ĐG</t>
  </si>
  <si>
    <t>SAP</t>
  </si>
  <si>
    <t>Giá thị trường</t>
  </si>
  <si>
    <t>ĐỀ XUẤT GIÁ PHÓ SẢN</t>
  </si>
  <si>
    <t>Phương Phương cung cấp</t>
  </si>
  <si>
    <t>STT</t>
  </si>
  <si>
    <t>Ngành</t>
  </si>
  <si>
    <t>Loại PS</t>
  </si>
  <si>
    <t>Công đoạn</t>
  </si>
  <si>
    <t>NVL chính</t>
  </si>
  <si>
    <t>CP SX</t>
  </si>
  <si>
    <t>ĐG SX</t>
  </si>
  <si>
    <t>HTK 30.04.24</t>
  </si>
  <si>
    <t>GIÁ KH SAP HIỆN TẠI</t>
  </si>
  <si>
    <t>ĐG
trước 30.06.24</t>
  </si>
  <si>
    <t>Giá PS thị trường</t>
  </si>
  <si>
    <t>Người xác nhận</t>
  </si>
  <si>
    <t>Ghi chú</t>
  </si>
  <si>
    <t>Ghi chú-Danh</t>
  </si>
  <si>
    <t>GIÁ PS TT-FINAL</t>
  </si>
  <si>
    <t>HTK 31.05.24 - SAP</t>
  </si>
  <si>
    <t>+/- FINAL vs HTK</t>
  </si>
  <si>
    <t>Tổng CP</t>
  </si>
  <si>
    <t>Băm</t>
  </si>
  <si>
    <t>Băm bình</t>
  </si>
  <si>
    <t>Rửa</t>
  </si>
  <si>
    <t>Băm + Rửa</t>
  </si>
  <si>
    <t>Băm + Rửa + Tách màu</t>
  </si>
  <si>
    <t>Rửa + Tách màu</t>
  </si>
  <si>
    <t>Tách màu</t>
  </si>
  <si>
    <t>Tạo hạt</t>
  </si>
  <si>
    <t>NC-TC</t>
  </si>
  <si>
    <t>Gtrị</t>
  </si>
  <si>
    <t>Giá thị trường khu vực Trung Tâm</t>
  </si>
  <si>
    <t>Giá thị trường khu vực Trung Tâm-Min</t>
  </si>
  <si>
    <t>Giá thị trường khu vực Trung Tâm-Max</t>
  </si>
  <si>
    <t>Giá thị trường khu vực Đông Nam Bộ 2</t>
  </si>
  <si>
    <t>Giá thị trường khu vực Miền Tây 1</t>
  </si>
  <si>
    <t>Giá thị trường khu vực Tây Nguyên</t>
  </si>
  <si>
    <t>Giá TT-Chốt</t>
  </si>
  <si>
    <t>Mã tương đương chất lượng</t>
  </si>
  <si>
    <t>SL</t>
  </si>
  <si>
    <t>Gtrị - ĐG mới</t>
  </si>
  <si>
    <t>Check-CP</t>
  </si>
  <si>
    <t>TỔNG</t>
  </si>
  <si>
    <t>A. PET</t>
  </si>
  <si>
    <t>A.1 Bụi</t>
  </si>
  <si>
    <t>Bụi</t>
  </si>
  <si>
    <t>Phó Sản PET Bụi Sàn Rung</t>
  </si>
  <si>
    <t>1,500đ - 1,800đ</t>
  </si>
  <si>
    <t>Phó Sản PET Bụi Cám</t>
  </si>
  <si>
    <t>Mã này đang tách ra 4 mã TANK (A,B 1.5k/kg; C/D: 5.5k/kg - a. Hồng)</t>
  </si>
  <si>
    <t>160012423</t>
  </si>
  <si>
    <t>Phó Sản PET Bụi Vảy</t>
  </si>
  <si>
    <t/>
  </si>
  <si>
    <t>160012430</t>
  </si>
  <si>
    <t>Phó Sản PET Bụi Xúc Bồn</t>
  </si>
  <si>
    <t>A.2 Tomra</t>
  </si>
  <si>
    <t>Tomra</t>
  </si>
  <si>
    <t>160012419</t>
  </si>
  <si>
    <t>Phó Sản PET Tomra Cổng 3</t>
  </si>
  <si>
    <t>160012608</t>
  </si>
  <si>
    <t>Phó Sản PET Tomra Cổng 3 Sau Lựa</t>
  </si>
  <si>
    <t>Anh Giang</t>
  </si>
  <si>
    <t>A.3 Zigzag PET</t>
  </si>
  <si>
    <t>Zigzag PET</t>
  </si>
  <si>
    <t>160012311</t>
  </si>
  <si>
    <t>Phó Sản PET Zigzag</t>
  </si>
  <si>
    <t>160012445</t>
  </si>
  <si>
    <t>Phó Sản PET ZigZag B5</t>
  </si>
  <si>
    <t>160012446</t>
  </si>
  <si>
    <t>Phó Sản PET ZigZag B7</t>
  </si>
  <si>
    <t>Sẽ cho quay đầu, chạy chung với vảy, giá giữ nguyên</t>
  </si>
  <si>
    <t>A.4 Khác</t>
  </si>
  <si>
    <t>Nắp HD Ép</t>
  </si>
  <si>
    <t>Phó Sản PET B1/B8 Vảy-Nắp</t>
  </si>
  <si>
    <t>4,500đ - 9,000đ</t>
  </si>
  <si>
    <t>Phó Sản PET B2 Vảy-Nắp</t>
  </si>
  <si>
    <t>Phó Sản PET B3 Vảy-Nắp</t>
  </si>
  <si>
    <t>Phó Sản PET B5 Vảy-Nắp</t>
  </si>
  <si>
    <t>160012399</t>
  </si>
  <si>
    <t>Phó Sản PET B4 Vảy-Nắp</t>
  </si>
  <si>
    <t>Hạt lẫn màu, kim loại</t>
  </si>
  <si>
    <t>160012418</t>
  </si>
  <si>
    <t>Phó Sản PET Hạt Lẫn Kim Loại</t>
  </si>
  <si>
    <t>Vảy lẫn kim loại</t>
  </si>
  <si>
    <t>160012417</t>
  </si>
  <si>
    <t>Phó Sản PET HAD</t>
  </si>
  <si>
    <t>Đầu keo</t>
  </si>
  <si>
    <t>Phó Sản PET Đầu Keo</t>
  </si>
  <si>
    <t>160012441</t>
  </si>
  <si>
    <t>Phó Sản PET Đầu Keo Dính Lưới</t>
  </si>
  <si>
    <t>Không phát sinh nữa, giá ~3000</t>
  </si>
  <si>
    <t>Vảy tạp tuyển nổi 2</t>
  </si>
  <si>
    <t>160012431</t>
  </si>
  <si>
    <t>Phó Sản PET Tuyển nổi 2</t>
  </si>
  <si>
    <t>Bụi, vảy quét nền</t>
  </si>
  <si>
    <t>160012420</t>
  </si>
  <si>
    <t>Phó Sản PET Quét Nền</t>
  </si>
  <si>
    <t>Hạt chưa kết tinh</t>
  </si>
  <si>
    <t>160012421</t>
  </si>
  <si>
    <t>Phó Sản PET Hạt Chưa Kết Tinh</t>
  </si>
  <si>
    <t>Tạp dơ cát, đá, kim loại</t>
  </si>
  <si>
    <t>160012422</t>
  </si>
  <si>
    <t>Phó Sản PET Tromel</t>
  </si>
  <si>
    <t>B. HDPE</t>
  </si>
  <si>
    <t>B.1 HD thổi ngả màu</t>
  </si>
  <si>
    <t>HD thổi ngả màu</t>
  </si>
  <si>
    <t>21,200đ - 21,500đ</t>
  </si>
  <si>
    <t>23,000đ - 24,000đ</t>
  </si>
  <si>
    <t>160012457</t>
  </si>
  <si>
    <t>Phó Sản HD Thổi Trong Vảy L1 QMT</t>
  </si>
  <si>
    <t>Anh Cảnh</t>
  </si>
  <si>
    <t>Đã tham khảo giá thị trường 10.000</t>
  </si>
  <si>
    <t>160012458</t>
  </si>
  <si>
    <t>Phó Sản HD Thổi Trong Vảy L2 QMT</t>
  </si>
  <si>
    <t>160012433</t>
  </si>
  <si>
    <t>Phó Sản HD Thổi Trắng Sữa Vảy L2</t>
  </si>
  <si>
    <t>16,000đ - 17,000đ</t>
  </si>
  <si>
    <t>160012452</t>
  </si>
  <si>
    <t>Phó Sản HD Thổi Vàng Vảy L2</t>
  </si>
  <si>
    <t>160012432</t>
  </si>
  <si>
    <t>Phó Sản HD Thổi Trắng Sữa Vảy L1</t>
  </si>
  <si>
    <t>19,000đ - 20,000đ</t>
  </si>
  <si>
    <t>160012658</t>
  </si>
  <si>
    <t>Phó Sản Bình HD Thổi Sau Lựa</t>
  </si>
  <si>
    <t>Bằng giá Phó Sản trong loại 2: 21.500</t>
  </si>
  <si>
    <t>160012451</t>
  </si>
  <si>
    <t>Phó Sản HD Thổi Vàng Vảy L1</t>
  </si>
  <si>
    <t>B.2 Nắp HD Ép</t>
  </si>
  <si>
    <t>160012611</t>
  </si>
  <si>
    <t>Phó Sản HD Ép Hỗn Hợp Cuối ST</t>
  </si>
  <si>
    <t>160012613</t>
  </si>
  <si>
    <t>Phó Sản HD Ép Olefin PET 2 ST</t>
  </si>
  <si>
    <t>Bằng giá với phó sản olefin B2: 10.500</t>
  </si>
  <si>
    <t>160012612</t>
  </si>
  <si>
    <t>Phó Sản HD Ép Olefin PET 1 ST</t>
  </si>
  <si>
    <t>160012609</t>
  </si>
  <si>
    <t>Phó Sản HD Ép Hỗn Hợp Nắp 1</t>
  </si>
  <si>
    <t>Bằng giá hỗn hợp cuối olefin: 4.000</t>
  </si>
  <si>
    <t>160012610</t>
  </si>
  <si>
    <t>Phó Sản HD Ép Hỗn Hợp Nắp 2</t>
  </si>
  <si>
    <t>B.3 Khác</t>
  </si>
  <si>
    <t>HD Thổi trong</t>
  </si>
  <si>
    <t>160012723</t>
  </si>
  <si>
    <t>Phó Sản HD Thổi Trong ST</t>
  </si>
  <si>
    <t>Đã tham khảo giá thị trường 7.000</t>
  </si>
  <si>
    <t>Phó sản Meyer</t>
  </si>
  <si>
    <t>160012352</t>
  </si>
  <si>
    <t>Đầu keo HD ép màu</t>
  </si>
  <si>
    <t>Zigzag HD thổi</t>
  </si>
  <si>
    <t>160012435</t>
  </si>
  <si>
    <t>Phó Sản HD Thổi Trắng Sữa Zigzag</t>
  </si>
  <si>
    <t xml:space="preserve">Chung mã  HD ép và HD thổi nên chưa xác định được </t>
  </si>
  <si>
    <t>Vảy to</t>
  </si>
  <si>
    <t>17,500đ - 19,000đ</t>
  </si>
  <si>
    <t xml:space="preserve"> </t>
  </si>
  <si>
    <t>160012360</t>
  </si>
  <si>
    <t>Phó sản bụi HD ép nổi</t>
  </si>
  <si>
    <t>160012351</t>
  </si>
  <si>
    <t>Đầu keo HD thổi màu</t>
  </si>
  <si>
    <t>160012455</t>
  </si>
  <si>
    <t>Phó Sản HD Thổi Vàng Zigzag</t>
  </si>
  <si>
    <t>Bằng giá Phó sản HD thổi trong ST: 7.000</t>
  </si>
  <si>
    <t>160012350</t>
  </si>
  <si>
    <t>Phó sản hạt HD ép màu</t>
  </si>
  <si>
    <t>160012436</t>
  </si>
  <si>
    <t>Phó Sản HD Thổi Trắng Sữa Bụi</t>
  </si>
  <si>
    <t>Thấp hơn giá phó sản trong loại 2 20%: 17.200</t>
  </si>
  <si>
    <t>Vảy HD chìm</t>
  </si>
  <si>
    <t>160012454</t>
  </si>
  <si>
    <t>Phó Sản HD Thổi Vàng Vảy Tuyển Nổi</t>
  </si>
  <si>
    <t>160012710</t>
  </si>
  <si>
    <t>Phó Sản HD Vảy Quét Nền</t>
  </si>
  <si>
    <t>Vảy tuyển nổi</t>
  </si>
  <si>
    <t>160012665</t>
  </si>
  <si>
    <t>Phó Sản HD Thổi Lá Vảy Tuyển Nổi</t>
  </si>
  <si>
    <t>Thấp hơn giá phó sản trong loại 2 30%: 15.000</t>
  </si>
  <si>
    <t>160012664</t>
  </si>
  <si>
    <t>Phó Sản HD Thổi Lá Zigzag</t>
  </si>
  <si>
    <t>C. PP</t>
  </si>
  <si>
    <t>PP</t>
  </si>
  <si>
    <t>160012362</t>
  </si>
  <si>
    <t>Phó sản bụi PP ép</t>
  </si>
  <si>
    <t>160012347</t>
  </si>
  <si>
    <t>Đầu keo PP màu</t>
  </si>
  <si>
    <t>Vảy PP chìm</t>
  </si>
  <si>
    <t>160012565</t>
  </si>
  <si>
    <t>Phó Sản PP Đỏ Vảy Chìm</t>
  </si>
  <si>
    <t>Thấp giá hơn pp L4 20%</t>
  </si>
  <si>
    <t>Tự tính thêm giá thành PP L4</t>
  </si>
  <si>
    <t>160012353</t>
  </si>
  <si>
    <t>Phó sản vảy PP chìm</t>
  </si>
  <si>
    <t>Zigzag PP</t>
  </si>
  <si>
    <t>160012572</t>
  </si>
  <si>
    <t>Phó Sản PP Vảy Zigzag</t>
  </si>
  <si>
    <t>Thấp giá hơn pp L4 50%</t>
  </si>
  <si>
    <t>160012566</t>
  </si>
  <si>
    <t>Phó Sản PP Dương Vảy Chìm</t>
  </si>
  <si>
    <t>160012578</t>
  </si>
  <si>
    <t>Phó Sản PP Hạt Màu Dương</t>
  </si>
  <si>
    <t>Thấp giá hơn hạt PP 40%</t>
  </si>
  <si>
    <t>160012570</t>
  </si>
  <si>
    <t>Phó Sản PP Lá Vảy Chìm</t>
  </si>
  <si>
    <t>160012581</t>
  </si>
  <si>
    <t>Phó Sản PP Hạt Màu Đen</t>
  </si>
  <si>
    <t>Check</t>
  </si>
  <si>
    <t>Có giá</t>
  </si>
  <si>
    <t>Không có giá</t>
  </si>
  <si>
    <t>X</t>
  </si>
  <si>
    <t>làm từ 160012357 | Phó Sản PET Đầu Keo (băm)</t>
  </si>
  <si>
    <t>Tháng 08 có tạo BOM và chạy giá thành lại: 8.554</t>
  </si>
  <si>
    <t>ĐG SAP T08</t>
  </si>
  <si>
    <t>Áp dụng từ:</t>
  </si>
  <si>
    <t>CÔNG TY CỔ PHẦN NHỰA TÁI CHẾ DUY TÂN</t>
  </si>
  <si>
    <t>Bộ phận: Kế toán quản trị</t>
  </si>
  <si>
    <t>NHÓM/
LOẠI PHÓ SẢN</t>
  </si>
  <si>
    <t>MÃ</t>
  </si>
  <si>
    <t>TÊN MÃ</t>
  </si>
  <si>
    <t>CÔNG ĐOẠN</t>
  </si>
  <si>
    <t>ĐƠN GIÁ SAP
TRƯỚC 30.06.23</t>
  </si>
  <si>
    <t>ĐƠN GIÁ SAP HIỆN TẠI</t>
  </si>
  <si>
    <t>GIÁ ĐỀ XUẤT</t>
  </si>
  <si>
    <t>HÀNG TỒN KHO 30.06.2024</t>
  </si>
  <si>
    <t>SỐ LƯỢNG</t>
  </si>
  <si>
    <t>GIÁ TRỊ 
(Theo Đơn giá hiện tại)</t>
  </si>
  <si>
    <t>GIÁ TRỊ
(Theo Đơn giá đề xuất)</t>
  </si>
  <si>
    <t>+/- GIÁ TRỊ</t>
  </si>
  <si>
    <t>SỐ LƯỢNG-Blocked (1399)</t>
  </si>
  <si>
    <t>SỐ LƯỢNG-CÒN LẠI</t>
  </si>
  <si>
    <r>
      <rPr>
        <b/>
        <u/>
        <sz val="13"/>
        <color theme="1"/>
        <rFont val="Aptos Narrow"/>
        <family val="2"/>
      </rPr>
      <t>Ghi chú:</t>
    </r>
    <r>
      <rPr>
        <sz val="13"/>
        <color theme="1"/>
        <rFont val="Aptos Narrow"/>
        <family val="2"/>
      </rPr>
      <t xml:space="preserve"> Nếu điều chỉnh giá phó sản, lợi nhuận công ty sẽ </t>
    </r>
    <r>
      <rPr>
        <b/>
        <sz val="13"/>
        <color theme="1"/>
        <rFont val="Aptos Narrow"/>
        <family val="2"/>
      </rPr>
      <t>giảm khoảng 19.8 tỷ</t>
    </r>
  </si>
  <si>
    <t>ĐIỀU CHỈNH NVL BOM</t>
  </si>
  <si>
    <t>BREAKDOWN SẢN LƯỢNG BÁN VỚI NVL CHÍNH (NGUYÊN TẮC: FIFO THEO THÁNG)</t>
  </si>
  <si>
    <t>Doanh thu hàng tháng</t>
  </si>
  <si>
    <t>Doanh thu LK</t>
  </si>
  <si>
    <t>LN hàng tháng</t>
  </si>
  <si>
    <t>LN LK</t>
  </si>
  <si>
    <t>8002132</t>
  </si>
  <si>
    <t>8002202</t>
  </si>
  <si>
    <t>8002277</t>
  </si>
  <si>
    <t>8002323</t>
  </si>
  <si>
    <t>8002388</t>
  </si>
  <si>
    <t>8002397</t>
  </si>
  <si>
    <t>8002481</t>
  </si>
  <si>
    <t>8002547</t>
  </si>
  <si>
    <t>8002604</t>
  </si>
  <si>
    <t>8002661</t>
  </si>
  <si>
    <t>8002779</t>
  </si>
  <si>
    <t>8002928</t>
  </si>
  <si>
    <t>8002991</t>
  </si>
  <si>
    <t>8003014</t>
  </si>
  <si>
    <t>8003094</t>
  </si>
  <si>
    <t>8003049</t>
  </si>
  <si>
    <t>8003118</t>
  </si>
  <si>
    <t>8003163</t>
  </si>
  <si>
    <t>8003240</t>
  </si>
  <si>
    <t>Các lệnh Order băm để ra đầu keo PET</t>
  </si>
  <si>
    <t>8001366</t>
  </si>
  <si>
    <t>8001455</t>
  </si>
  <si>
    <t>8001563</t>
  </si>
  <si>
    <t>8001644</t>
  </si>
  <si>
    <t>8001703</t>
  </si>
  <si>
    <t>8001836</t>
  </si>
  <si>
    <t>8001903</t>
  </si>
  <si>
    <t>8001984</t>
  </si>
  <si>
    <t>8002042</t>
  </si>
  <si>
    <t>8002085</t>
  </si>
  <si>
    <t>(đã trừ cp hoa hồng)</t>
  </si>
  <si>
    <t>Cp hoa hồng</t>
  </si>
  <si>
    <t>Cp hoa hồng LK</t>
  </si>
  <si>
    <t>SL bán hàng</t>
  </si>
  <si>
    <t>SL bán hàng LK</t>
  </si>
  <si>
    <t>Mã -SAP</t>
  </si>
  <si>
    <t>Tên hàng</t>
  </si>
  <si>
    <t>Đvt: tấn</t>
  </si>
  <si>
    <t>160012438</t>
  </si>
  <si>
    <t>Vảy PET Tomra_A1</t>
  </si>
  <si>
    <t>160012439</t>
  </si>
  <si>
    <t>Vảy PET Tomra_A3</t>
  </si>
  <si>
    <t>160012801</t>
  </si>
  <si>
    <t>Phó Sản PET GC Dây Đai</t>
  </si>
  <si>
    <t>Mã mới/tháng 8 thì chạy giá là 8.619</t>
  </si>
  <si>
    <t>Giá trung bình</t>
  </si>
  <si>
    <t>Gía cuối tháng-HTK</t>
  </si>
  <si>
    <t>Giá tồn kho</t>
  </si>
  <si>
    <t>Tháng lô</t>
  </si>
  <si>
    <t>ĐƠN GIÁ (VND/kg)</t>
  </si>
  <si>
    <t>GIÁ TRỊ (TR.Đ)</t>
  </si>
  <si>
    <t xml:space="preserve">Xuất </t>
  </si>
  <si>
    <t>Tồn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</si>
  <si>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</si>
  <si>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</si>
  <si>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</si>
  <si>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</si>
  <si>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</si>
  <si>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</si>
  <si>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</si>
  <si>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</si>
  <si>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</si>
  <si>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</si>
  <si>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</si>
  <si>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</si>
  <si>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Xuất-DTR</t>
  </si>
  <si>
    <t>Dthu-DTR</t>
  </si>
  <si>
    <t>160012787</t>
  </si>
  <si>
    <t>Phó Sản PP Trắng Sữa Bụi</t>
  </si>
  <si>
    <t>Vảy PET GC Dây Đai</t>
  </si>
  <si>
    <t>v</t>
  </si>
  <si>
    <t>Mã SKU</t>
  </si>
  <si>
    <t>Tên SKU</t>
  </si>
  <si>
    <t>Đầu năm 2025</t>
  </si>
  <si>
    <t>N24-L11</t>
  </si>
  <si>
    <t>Hao hụt</t>
  </si>
  <si>
    <t>Giá gia công</t>
  </si>
  <si>
    <r>
      <t xml:space="preserve">Ghi chú: </t>
    </r>
    <r>
      <rPr>
        <i/>
        <sz val="9"/>
        <color theme="1"/>
        <rFont val="Aptos Display"/>
        <family val="2"/>
        <scheme val="major"/>
      </rPr>
      <t>Cơ cấu theo 3 tháng đầu năm 2025</t>
    </r>
  </si>
  <si>
    <t>Đơn giá Dây đai</t>
  </si>
  <si>
    <t>Giá trị điều chỉnh</t>
  </si>
  <si>
    <t>ĐƠN GIÁ SAP</t>
  </si>
  <si>
    <t>Nguyên vật liệu</t>
  </si>
  <si>
    <t>ĐƠN GIÁ THEO THỊ TRƯỜNG</t>
  </si>
  <si>
    <t>(đồng/kg)</t>
  </si>
  <si>
    <t>%Cơ cấu Nguyên vật liệu</t>
  </si>
  <si>
    <t>Dây đai PET:</t>
  </si>
  <si>
    <t>Sản lượng-Nếu không có hao hụt</t>
  </si>
  <si>
    <t>L03</t>
  </si>
  <si>
    <t>Bán T04</t>
  </si>
  <si>
    <t>Hao hụt-FY24</t>
  </si>
  <si>
    <t>%LG-sau hoa hồng</t>
  </si>
  <si>
    <t>Phí gia công</t>
  </si>
  <si>
    <t>T03</t>
  </si>
  <si>
    <t>T04</t>
  </si>
  <si>
    <t>T01</t>
  </si>
  <si>
    <t>5</t>
  </si>
  <si>
    <t>6</t>
  </si>
  <si>
    <t>L04</t>
  </si>
  <si>
    <t>Bán T05</t>
  </si>
  <si>
    <t>L05</t>
  </si>
  <si>
    <t>Bán T06</t>
  </si>
  <si>
    <t>(tấn)</t>
  </si>
  <si>
    <t>(đ/kg)</t>
  </si>
  <si>
    <t>(tr.đ)</t>
  </si>
  <si>
    <t>Chi phí gia công</t>
  </si>
  <si>
    <t>CP bán hàng trực tiếp</t>
  </si>
  <si>
    <t>[1]</t>
  </si>
  <si>
    <t>[5]</t>
  </si>
  <si>
    <t>[2]</t>
  </si>
  <si>
    <t>[2.1]</t>
  </si>
  <si>
    <t>[2.2]</t>
  </si>
  <si>
    <t>[2] = [2.1]+[2.2]</t>
  </si>
  <si>
    <t>Doanh thu EXW</t>
  </si>
  <si>
    <t>[3]=[2]-[1]</t>
  </si>
  <si>
    <t>CHỈ TIÊU</t>
  </si>
  <si>
    <t>I. DOANH THU EXW</t>
  </si>
  <si>
    <t>II. TÍNH TOÁN ĐƠN GIÁ</t>
  </si>
  <si>
    <t>(*): Sản lượng cấu thành 750 tấn bán trong 6 tháng đầu năm 2025</t>
  </si>
  <si>
    <t>CƠ CẤU NGUYÊN LIỆU</t>
  </si>
  <si>
    <t>Đơn giá</t>
  </si>
  <si>
    <r>
      <t xml:space="preserve">Sản lượng </t>
    </r>
    <r>
      <rPr>
        <b/>
        <i/>
        <sz val="9"/>
        <color theme="0"/>
        <rFont val="Aptos Display"/>
        <family val="2"/>
        <scheme val="major"/>
      </rPr>
      <t>(*)</t>
    </r>
  </si>
  <si>
    <t>[3]</t>
  </si>
  <si>
    <t>Đơn giá đề xuất</t>
  </si>
  <si>
    <t>[4]</t>
  </si>
  <si>
    <t>[6]=[1]+[2]+[3]+[4]+[5]</t>
  </si>
  <si>
    <r>
      <t xml:space="preserve">Đơn giá </t>
    </r>
    <r>
      <rPr>
        <b/>
        <i/>
        <sz val="9"/>
        <color theme="0"/>
        <rFont val="Aptos Display"/>
        <family val="2"/>
        <scheme val="major"/>
      </rPr>
      <t>(**)</t>
    </r>
  </si>
  <si>
    <t>(**): Đơn giá đã điều chỉnh theo giá thị trường cho phó sản (đầu keo PET)</t>
  </si>
  <si>
    <t>Đơn giá theo SAP</t>
  </si>
  <si>
    <t>TH1: HIỆN TRẠNG 6 THÁNG ĐẦU NĂM 2025</t>
  </si>
  <si>
    <t>TH2: BÁN PHÓ SẢN NHƯNG VẪN ĐẢM BẢO LỢI NHUẬN</t>
  </si>
  <si>
    <t>[7] = [3]-[6]</t>
  </si>
  <si>
    <t>Lãi gộp sổ sách SAP</t>
  </si>
  <si>
    <t>Ghi chú:</t>
  </si>
  <si>
    <r>
      <rPr>
        <b/>
        <i/>
        <sz val="11"/>
        <color theme="1"/>
        <rFont val="Aptos Display"/>
        <family val="2"/>
        <scheme val="major"/>
      </rPr>
      <t>Ở cả 2 trường hợp</t>
    </r>
    <r>
      <rPr>
        <i/>
        <sz val="11"/>
        <color theme="1"/>
        <rFont val="Aptos Display"/>
        <family val="2"/>
        <scheme val="major"/>
      </rPr>
      <t>: nếu định g</t>
    </r>
    <r>
      <rPr>
        <b/>
        <i/>
        <sz val="11"/>
        <color theme="1"/>
        <rFont val="Aptos Display"/>
        <family val="2"/>
        <scheme val="major"/>
      </rPr>
      <t>iá nguyên liệu theo giá thị trường</t>
    </r>
    <r>
      <rPr>
        <i/>
        <sz val="11"/>
        <color theme="1"/>
        <rFont val="Aptos Display"/>
        <family val="2"/>
        <scheme val="major"/>
      </rPr>
      <t xml:space="preserve"> (</t>
    </r>
    <r>
      <rPr>
        <i/>
        <u/>
        <sz val="11"/>
        <color theme="1"/>
        <rFont val="Aptos Display"/>
        <family val="2"/>
        <scheme val="major"/>
      </rPr>
      <t>đầu keo PET</t>
    </r>
    <r>
      <rPr>
        <i/>
        <sz val="11"/>
        <color theme="1"/>
        <rFont val="Aptos Display"/>
        <family val="2"/>
        <scheme val="major"/>
      </rPr>
      <t xml:space="preserve">) thì </t>
    </r>
    <r>
      <rPr>
        <b/>
        <i/>
        <sz val="11"/>
        <color theme="1"/>
        <rFont val="Aptos Display"/>
        <family val="2"/>
        <scheme val="major"/>
      </rPr>
      <t>lợi nhuận</t>
    </r>
    <r>
      <rPr>
        <i/>
        <sz val="11"/>
        <color theme="1"/>
        <rFont val="Aptos Display"/>
        <family val="2"/>
        <scheme val="major"/>
      </rPr>
      <t xml:space="preserve"> mang lại là </t>
    </r>
    <r>
      <rPr>
        <b/>
        <i/>
        <sz val="11"/>
        <color theme="1"/>
        <rFont val="Aptos Display"/>
        <family val="2"/>
        <scheme val="major"/>
      </rPr>
      <t>1.4 tỷ</t>
    </r>
  </si>
  <si>
    <t>L06</t>
  </si>
  <si>
    <t>Bán T07</t>
  </si>
  <si>
    <t>L07</t>
  </si>
  <si>
    <t>Bán T08</t>
  </si>
  <si>
    <t>L08</t>
  </si>
  <si>
    <t>Bán T09</t>
  </si>
  <si>
    <t>L09</t>
  </si>
  <si>
    <t>Bán T10</t>
  </si>
  <si>
    <t>Vảy PET B4</t>
  </si>
  <si>
    <t>(tr. VND)</t>
  </si>
  <si>
    <t>Cơ cấu liệu</t>
  </si>
  <si>
    <t>Gia công</t>
  </si>
  <si>
    <r>
      <t>ĐƠN GIÁ (VND/kg)-</t>
    </r>
    <r>
      <rPr>
        <b/>
        <sz val="11"/>
        <color rgb="FFFF0000"/>
        <rFont val="Aptos Display"/>
        <family val="2"/>
        <scheme val="major"/>
      </rPr>
      <t>FULL</t>
    </r>
  </si>
  <si>
    <r>
      <t>GIÁ TRỊ (TR.Đ)-</t>
    </r>
    <r>
      <rPr>
        <b/>
        <sz val="11"/>
        <color rgb="FFFF0000"/>
        <rFont val="Aptos Display"/>
        <family val="2"/>
        <scheme val="major"/>
      </rPr>
      <t>FULL</t>
    </r>
  </si>
  <si>
    <t>Từ tháng:</t>
  </si>
  <si>
    <t>Đến tháng:</t>
  </si>
  <si>
    <t>Phó sản PET làm dây đai</t>
  </si>
  <si>
    <t>Tổng NVL</t>
  </si>
  <si>
    <t>GVHB-PL</t>
  </si>
  <si>
    <t>Tổng NVL-PL</t>
  </si>
  <si>
    <t>Giá vốn hàng bán</t>
  </si>
  <si>
    <t>Hệ số điều chỉnh</t>
  </si>
  <si>
    <t>Đầu Keo PET</t>
  </si>
  <si>
    <t>%Lãi gộp</t>
  </si>
  <si>
    <t>%Cp hoa hồng</t>
  </si>
  <si>
    <t>Lãi gộp sau hoa hồng</t>
  </si>
  <si>
    <t>%Lãi gộp sau hoa hồng</t>
  </si>
  <si>
    <t>Dòng tiền thu</t>
  </si>
  <si>
    <t>L10</t>
  </si>
  <si>
    <t>Bán T11</t>
  </si>
  <si>
    <t>Bán T12</t>
  </si>
  <si>
    <t>L11</t>
  </si>
  <si>
    <t>% giá bán</t>
  </si>
  <si>
    <t>Tỷ lệ hao hụt</t>
  </si>
  <si>
    <t>Details for Sum of Change in Quantity - Material Description: Dây đai PET, Material: 110000428, Month: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</si>
</sst>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(* #,##0.0_);_(* \(#,##0.0\);_(* &quot;-&quot;??_);_(@_)"/>
    <numFmt numFmtId="168" formatCode="0.0%;\-0.0%;;"/>
    <numFmt numFmtId="169" formatCode="00"/>
  </numFmts>
  <fonts count="101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i/>
      <sz val="9"/>
      <color rgb="FFFF33CC"/>
      <name val="Aptos Display"/>
      <family val="2"/>
      <scheme val="major"/>
    </font>
    <font>
      <sz val="16"/>
      <color rgb="FF0000FF"/>
      <name val="Times New Roman"/>
      <family val="1"/>
    </font>
    <font>
      <b/>
      <sz val="20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8"/>
      <color rgb="FF0000FF"/>
      <name val="Times New Roman"/>
      <family val="1"/>
    </font>
    <font>
      <sz val="14"/>
      <color rgb="FF0000FF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u/>
      <sz val="16"/>
      <color rgb="FFFF0000"/>
      <name val="Times New Roman"/>
      <family val="1"/>
    </font>
    <font>
      <sz val="16"/>
      <color rgb="FFFF0000"/>
      <name val="Times New Roman"/>
      <family val="1"/>
    </font>
    <font>
      <b/>
      <sz val="18"/>
      <color theme="1"/>
      <name val="Times New Roman"/>
      <family val="1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9"/>
      <color theme="7" tint="0.39997558519241921"/>
      <name val="Aptos Display"/>
      <family val="2"/>
      <scheme val="major"/>
    </font>
    <font>
      <i/>
      <sz val="9"/>
      <color theme="7" tint="0.39997558519241921"/>
      <name val="Aptos Display"/>
      <family val="2"/>
      <scheme val="major"/>
    </font>
    <font>
      <i/>
      <sz val="9"/>
      <color theme="0" tint="-0.249977111117893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b/>
      <sz val="11"/>
      <color theme="7" tint="-0.249977111117893"/>
      <name val="Aptos Display"/>
      <family val="2"/>
      <scheme val="major"/>
    </font>
    <font>
      <b/>
      <i/>
      <sz val="9"/>
      <color theme="7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b/>
      <sz val="20"/>
      <color theme="0" tint="-0.249977111117893"/>
      <name val="Aptos Narrow"/>
      <family val="2"/>
    </font>
    <font>
      <b/>
      <sz val="20"/>
      <color theme="4" tint="-0.249977111117893"/>
      <name val="Aptos Narrow"/>
      <family val="2"/>
    </font>
    <font>
      <b/>
      <sz val="20"/>
      <color rgb="FF00B0F0"/>
      <name val="Aptos Narrow"/>
      <family val="2"/>
    </font>
    <font>
      <sz val="11"/>
      <color theme="0" tint="-0.249977111117893"/>
      <name val="Aptos Narrow"/>
      <family val="2"/>
    </font>
    <font>
      <sz val="11"/>
      <color theme="1"/>
      <name val="Aptos Narrow"/>
      <family val="2"/>
    </font>
    <font>
      <sz val="11"/>
      <color rgb="FF00B0F0"/>
      <name val="Aptos Narrow"/>
      <family val="2"/>
    </font>
    <font>
      <b/>
      <sz val="11"/>
      <color theme="0" tint="-0.249977111117893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b/>
      <sz val="11"/>
      <color rgb="FF00B0F0"/>
      <name val="Aptos Narrow"/>
      <family val="2"/>
    </font>
    <font>
      <sz val="11"/>
      <color theme="0"/>
      <name val="Aptos Narrow"/>
      <family val="2"/>
    </font>
    <font>
      <i/>
      <sz val="9"/>
      <color theme="0" tint="-0.249977111117893"/>
      <name val="Aptos Narrow"/>
      <family val="2"/>
    </font>
    <font>
      <i/>
      <sz val="9"/>
      <color theme="0" tint="-0.499984740745262"/>
      <name val="Aptos Narrow"/>
      <family val="2"/>
    </font>
    <font>
      <i/>
      <sz val="9"/>
      <color theme="1"/>
      <name val="Aptos Narrow"/>
      <family val="2"/>
    </font>
    <font>
      <i/>
      <sz val="9"/>
      <color rgb="FF00B0F0"/>
      <name val="Aptos Narrow"/>
      <family val="2"/>
    </font>
    <font>
      <sz val="14"/>
      <color theme="0" tint="-0.249977111117893"/>
      <name val="Aptos Narrow"/>
      <family val="2"/>
    </font>
    <font>
      <b/>
      <sz val="14"/>
      <color theme="0" tint="-0.249977111117893"/>
      <name val="Aptos Narrow"/>
      <family val="2"/>
    </font>
    <font>
      <b/>
      <sz val="14"/>
      <color theme="0" tint="-0.499984740745262"/>
      <name val="Aptos Narrow"/>
      <family val="2"/>
    </font>
    <font>
      <b/>
      <sz val="14"/>
      <color theme="8" tint="-0.499984740745262"/>
      <name val="Aptos Narrow"/>
      <family val="2"/>
    </font>
    <font>
      <b/>
      <sz val="14"/>
      <color rgb="FF00B0F0"/>
      <name val="Aptos Narrow"/>
      <family val="2"/>
    </font>
    <font>
      <b/>
      <sz val="13"/>
      <color theme="0" tint="-0.249977111117893"/>
      <name val="Aptos Narrow"/>
      <family val="2"/>
    </font>
    <font>
      <b/>
      <sz val="13"/>
      <color theme="0" tint="-0.499984740745262"/>
      <name val="Aptos Narrow"/>
      <family val="2"/>
    </font>
    <font>
      <b/>
      <sz val="13"/>
      <color theme="8" tint="-0.499984740745262"/>
      <name val="Aptos Narrow"/>
      <family val="2"/>
    </font>
    <font>
      <b/>
      <sz val="13"/>
      <color rgb="FF00B0F0"/>
      <name val="Aptos Narrow"/>
      <family val="2"/>
    </font>
    <font>
      <b/>
      <sz val="11"/>
      <color theme="0" tint="-0.499984740745262"/>
      <name val="Aptos Narrow"/>
      <family val="2"/>
    </font>
    <font>
      <sz val="11"/>
      <color theme="0" tint="-0.499984740745262"/>
      <name val="Aptos Narrow"/>
      <family val="2"/>
    </font>
    <font>
      <i/>
      <sz val="11"/>
      <color rgb="FF00B0F0"/>
      <name val="Aptos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color theme="0" tint="-0.499984740745262"/>
      <name val="Aptos Narrow"/>
      <family val="2"/>
    </font>
    <font>
      <b/>
      <sz val="28"/>
      <color theme="4" tint="-0.249977111117893"/>
      <name val="Aptos Narrow"/>
      <family val="2"/>
    </font>
    <font>
      <b/>
      <sz val="15"/>
      <color theme="0"/>
      <name val="Aptos Narrow"/>
      <family val="2"/>
    </font>
    <font>
      <b/>
      <sz val="15"/>
      <color theme="1"/>
      <name val="Aptos Narrow"/>
      <family val="2"/>
    </font>
    <font>
      <sz val="15"/>
      <color theme="1"/>
      <name val="Aptos Narrow"/>
      <family val="2"/>
    </font>
    <font>
      <i/>
      <sz val="13"/>
      <color theme="0"/>
      <name val="Aptos Narrow"/>
      <family val="2"/>
    </font>
    <font>
      <i/>
      <sz val="13"/>
      <color theme="1"/>
      <name val="Aptos Narrow"/>
      <family val="2"/>
    </font>
    <font>
      <b/>
      <sz val="15"/>
      <color theme="0" tint="-0.499984740745262"/>
      <name val="Aptos Narrow"/>
      <family val="2"/>
    </font>
    <font>
      <b/>
      <sz val="15"/>
      <color theme="8" tint="-0.499984740745262"/>
      <name val="Aptos Narrow"/>
      <family val="2"/>
    </font>
    <font>
      <b/>
      <sz val="14"/>
      <color theme="1"/>
      <name val="Aptos Narrow"/>
      <family val="2"/>
    </font>
    <font>
      <sz val="14"/>
      <color theme="0" tint="-0.499984740745262"/>
      <name val="Aptos Narrow"/>
      <family val="2"/>
    </font>
    <font>
      <sz val="14"/>
      <color theme="1"/>
      <name val="Aptos Narrow"/>
      <family val="2"/>
    </font>
    <font>
      <b/>
      <sz val="16"/>
      <color rgb="FF0000FF"/>
      <name val="Aptos Narrow"/>
      <family val="2"/>
    </font>
    <font>
      <b/>
      <sz val="15"/>
      <color rgb="FF0070C0"/>
      <name val="Aptos Narrow"/>
      <family val="2"/>
    </font>
    <font>
      <sz val="13"/>
      <color theme="1"/>
      <name val="Aptos Narrow"/>
      <family val="2"/>
    </font>
    <font>
      <b/>
      <u/>
      <sz val="13"/>
      <color theme="1"/>
      <name val="Aptos Narrow"/>
      <family val="2"/>
    </font>
    <font>
      <b/>
      <sz val="13"/>
      <color theme="1"/>
      <name val="Aptos Narrow"/>
      <family val="2"/>
    </font>
    <font>
      <sz val="13"/>
      <color theme="4" tint="-0.249977111117893"/>
      <name val="Aptos Display"/>
      <family val="2"/>
      <scheme val="major"/>
    </font>
    <font>
      <b/>
      <u/>
      <sz val="13"/>
      <color theme="4" tint="-0.249977111117893"/>
      <name val="Aptos Display"/>
      <family val="2"/>
      <scheme val="major"/>
    </font>
    <font>
      <i/>
      <sz val="13"/>
      <color theme="4" tint="-0.249977111117893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i/>
      <sz val="11"/>
      <color theme="0" tint="-0.249977111117893"/>
      <name val="Aptos Display"/>
      <family val="2"/>
      <scheme val="major"/>
    </font>
    <font>
      <sz val="11"/>
      <color rgb="FF000000"/>
      <name val="Calibri"/>
      <family val="2"/>
    </font>
    <font>
      <sz val="11"/>
      <color rgb="FFFF0000"/>
      <name val="Aptos Display"/>
      <family val="2"/>
      <scheme val="major"/>
    </font>
    <font>
      <i/>
      <u/>
      <sz val="9"/>
      <color theme="1"/>
      <name val="Aptos Display"/>
      <family val="2"/>
      <scheme val="major"/>
    </font>
    <font>
      <sz val="11"/>
      <color theme="3" tint="0.499984740745262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b/>
      <sz val="13"/>
      <color theme="3" tint="0.249977111117893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u/>
      <sz val="11"/>
      <color theme="1"/>
      <name val="Aptos Display"/>
      <family val="2"/>
      <scheme val="major"/>
    </font>
    <font>
      <b/>
      <i/>
      <sz val="11"/>
      <color theme="1"/>
      <name val="Aptos Display"/>
      <family val="2"/>
      <scheme val="major"/>
    </font>
    <font>
      <i/>
      <u/>
      <sz val="11"/>
      <color theme="1"/>
      <name val="Aptos Display"/>
      <family val="2"/>
      <scheme val="major"/>
    </font>
    <font>
      <i/>
      <sz val="11"/>
      <color theme="4" tint="0.39997558519241921"/>
      <name val="Aptos Display"/>
      <family val="2"/>
      <scheme val="major"/>
    </font>
    <font>
      <i/>
      <sz val="9"/>
      <color theme="0"/>
      <name val="Aptos Display"/>
      <family val="2"/>
      <scheme val="major"/>
    </font>
    <font>
      <b/>
      <sz val="11"/>
      <color rgb="FFFF33CC"/>
      <name val="Aptos Display"/>
      <family val="2"/>
      <scheme val="major"/>
    </font>
    <font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i/>
      <sz val="11"/>
      <color rgb="FFFF0000"/>
      <name val="Aptos Display"/>
      <family val="2"/>
      <scheme val="maj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BE345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bgColor theme="0" tint="-4.9989318521683403E-2"/>
      </patternFill>
    </fill>
    <fill>
      <patternFill patternType="solid">
        <fgColor theme="6" tint="0.79998168889431442"/>
        <bgColor indexed="64"/>
      </patternFill>
    </fill>
    <fill>
      <patternFill patternType="lightUp">
        <bgColor theme="6" tint="0.79998168889431442"/>
      </patternFill>
    </fill>
    <fill>
      <patternFill patternType="solid">
        <fgColor rgb="FFE9EDF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1930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bgColor rgb="FFFFFF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1"/>
      </left>
      <right style="thick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n">
        <color theme="8" tint="-0.499984740745262"/>
      </bottom>
      <diagonal/>
    </border>
    <border>
      <left style="thick">
        <color auto="1"/>
      </left>
      <right style="thick">
        <color auto="1"/>
      </right>
      <top/>
      <bottom style="thin">
        <color theme="8" tint="-0.499984740745262"/>
      </bottom>
      <diagonal/>
    </border>
    <border>
      <left/>
      <right/>
      <top/>
      <bottom style="hair">
        <color theme="0" tint="-0.14996795556505021"/>
      </bottom>
      <diagonal/>
    </border>
    <border>
      <left style="thick">
        <color auto="1"/>
      </left>
      <right style="thick">
        <color auto="1"/>
      </right>
      <top/>
      <bottom style="hair">
        <color theme="0" tint="-0.14996795556505021"/>
      </bottom>
      <diagonal/>
    </border>
    <border>
      <left style="thick">
        <color auto="1"/>
      </left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ck">
        <color auto="1"/>
      </left>
      <right style="thick">
        <color auto="1"/>
      </right>
      <top style="hair">
        <color theme="0" tint="-0.1499679555650502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 style="thick">
        <color rgb="FFC00000"/>
      </right>
      <top/>
      <bottom/>
      <diagonal/>
    </border>
    <border>
      <left style="thick">
        <color rgb="FFC00000"/>
      </left>
      <right style="thick">
        <color rgb="FFC00000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C00000"/>
      </left>
      <right style="thick">
        <color rgb="FFC00000"/>
      </right>
      <top style="hair">
        <color theme="0" tint="-0.14996795556505021"/>
      </top>
      <bottom/>
      <diagonal/>
    </border>
    <border>
      <left style="thick">
        <color rgb="FFC00000"/>
      </left>
      <right style="thick">
        <color rgb="FFC00000"/>
      </right>
      <top style="thin">
        <color theme="1"/>
      </top>
      <bottom style="thin">
        <color theme="1"/>
      </bottom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rgb="FF0070C0"/>
      </left>
      <right style="thick">
        <color rgb="FF0070C0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0070C0"/>
      </left>
      <right style="thick">
        <color rgb="FF0070C0"/>
      </right>
      <top style="hair">
        <color theme="0" tint="-0.14996795556505021"/>
      </top>
      <bottom/>
      <diagonal/>
    </border>
    <border>
      <left style="thick">
        <color rgb="FF0070C0"/>
      </left>
      <right style="thick">
        <color rgb="FF0070C0"/>
      </right>
      <top style="thin">
        <color theme="1"/>
      </top>
      <bottom style="thin">
        <color theme="1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/>
      <right/>
      <top style="thick">
        <color rgb="FFC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05">
    <xf numFmtId="0" fontId="0" fillId="0" borderId="0" xfId="0"/>
    <xf numFmtId="0" fontId="0" fillId="0" borderId="0" xfId="0" applyAlignment="1">
      <alignment vertical="top"/>
    </xf>
    <xf numFmtId="164" fontId="0" fillId="0" borderId="0" xfId="1" applyNumberFormat="1" applyFont="1" applyAlignment="1">
      <alignment horizontal="right" vertical="top"/>
    </xf>
    <xf numFmtId="164" fontId="0" fillId="0" borderId="0" xfId="1" applyNumberFormat="1" applyFont="1"/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3" fillId="0" borderId="0" xfId="0" applyFont="1"/>
    <xf numFmtId="0" fontId="2" fillId="3" borderId="0" xfId="0" applyFont="1" applyFill="1" applyAlignment="1">
      <alignment horizontal="right"/>
    </xf>
    <xf numFmtId="164" fontId="3" fillId="0" borderId="0" xfId="1" applyNumberFormat="1" applyFont="1"/>
    <xf numFmtId="0" fontId="4" fillId="4" borderId="2" xfId="0" applyFont="1" applyFill="1" applyBorder="1" applyAlignment="1">
      <alignment vertical="top"/>
    </xf>
    <xf numFmtId="0" fontId="0" fillId="5" borderId="0" xfId="0" applyFill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164" fontId="0" fillId="5" borderId="0" xfId="1" applyNumberFormat="1" applyFont="1" applyFill="1"/>
    <xf numFmtId="164" fontId="3" fillId="5" borderId="0" xfId="1" applyNumberFormat="1" applyFont="1" applyFill="1"/>
    <xf numFmtId="0" fontId="3" fillId="0" borderId="3" xfId="0" applyFont="1" applyBorder="1"/>
    <xf numFmtId="164" fontId="3" fillId="0" borderId="3" xfId="1" applyNumberFormat="1" applyFont="1" applyBorder="1"/>
    <xf numFmtId="0" fontId="6" fillId="0" borderId="0" xfId="0" applyFont="1"/>
    <xf numFmtId="0" fontId="7" fillId="0" borderId="0" xfId="3" applyFont="1" applyAlignment="1">
      <alignment vertical="center"/>
    </xf>
    <xf numFmtId="0" fontId="10" fillId="0" borderId="1" xfId="3" applyFont="1" applyBorder="1" applyAlignment="1">
      <alignment horizontal="center" vertical="center"/>
    </xf>
    <xf numFmtId="165" fontId="10" fillId="0" borderId="1" xfId="4" applyNumberFormat="1" applyFont="1" applyFill="1" applyBorder="1" applyAlignment="1">
      <alignment horizontal="center" vertical="top" wrapText="1"/>
    </xf>
    <xf numFmtId="164" fontId="10" fillId="0" borderId="1" xfId="5" applyNumberFormat="1" applyFont="1" applyFill="1" applyBorder="1" applyAlignment="1">
      <alignment horizontal="center" vertical="center" wrapText="1"/>
    </xf>
    <xf numFmtId="0" fontId="10" fillId="7" borderId="2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9" fontId="10" fillId="0" borderId="1" xfId="6" applyFont="1" applyFill="1" applyBorder="1" applyAlignment="1">
      <alignment horizontal="center" vertical="center" wrapText="1"/>
    </xf>
    <xf numFmtId="0" fontId="11" fillId="0" borderId="0" xfId="3" applyFont="1" applyAlignment="1">
      <alignment vertical="top"/>
    </xf>
    <xf numFmtId="0" fontId="9" fillId="0" borderId="10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165" fontId="10" fillId="0" borderId="2" xfId="4" applyNumberFormat="1" applyFont="1" applyFill="1" applyBorder="1" applyAlignment="1">
      <alignment horizontal="center" vertical="top" wrapText="1"/>
    </xf>
    <xf numFmtId="164" fontId="10" fillId="0" borderId="2" xfId="5" applyNumberFormat="1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9" fontId="10" fillId="0" borderId="2" xfId="6" applyFont="1" applyFill="1" applyBorder="1" applyAlignment="1">
      <alignment horizontal="center" vertical="center" wrapText="1"/>
    </xf>
    <xf numFmtId="0" fontId="12" fillId="0" borderId="2" xfId="3" applyFont="1" applyBorder="1" applyAlignment="1">
      <alignment vertical="top"/>
    </xf>
    <xf numFmtId="0" fontId="13" fillId="0" borderId="2" xfId="3" applyFont="1" applyBorder="1" applyAlignment="1">
      <alignment horizontal="left" vertical="top"/>
    </xf>
    <xf numFmtId="0" fontId="13" fillId="0" borderId="2" xfId="3" applyFont="1" applyBorder="1" applyAlignment="1">
      <alignment vertical="top" wrapText="1"/>
    </xf>
    <xf numFmtId="0" fontId="13" fillId="7" borderId="2" xfId="3" applyFont="1" applyFill="1" applyBorder="1" applyAlignment="1">
      <alignment horizontal="center" vertical="top"/>
    </xf>
    <xf numFmtId="165" fontId="13" fillId="0" borderId="2" xfId="4" applyNumberFormat="1" applyFont="1" applyBorder="1" applyAlignment="1">
      <alignment vertical="top"/>
    </xf>
    <xf numFmtId="164" fontId="13" fillId="0" borderId="2" xfId="5" applyNumberFormat="1" applyFont="1" applyBorder="1" applyAlignment="1">
      <alignment vertical="top"/>
    </xf>
    <xf numFmtId="9" fontId="13" fillId="0" borderId="2" xfId="6" applyFont="1" applyBorder="1" applyAlignment="1">
      <alignment vertical="top"/>
    </xf>
    <xf numFmtId="164" fontId="12" fillId="7" borderId="2" xfId="5" applyNumberFormat="1" applyFont="1" applyFill="1" applyBorder="1" applyAlignment="1">
      <alignment vertical="top"/>
    </xf>
    <xf numFmtId="164" fontId="12" fillId="0" borderId="2" xfId="5" applyNumberFormat="1" applyFont="1" applyBorder="1" applyAlignment="1">
      <alignment vertical="top"/>
    </xf>
    <xf numFmtId="9" fontId="12" fillId="0" borderId="2" xfId="2" applyFont="1" applyBorder="1" applyAlignment="1">
      <alignment vertical="top"/>
    </xf>
    <xf numFmtId="0" fontId="12" fillId="0" borderId="0" xfId="3" applyFont="1" applyAlignment="1">
      <alignment vertical="top"/>
    </xf>
    <xf numFmtId="164" fontId="12" fillId="0" borderId="0" xfId="3" applyNumberFormat="1" applyFont="1" applyAlignment="1">
      <alignment vertical="top"/>
    </xf>
    <xf numFmtId="165" fontId="12" fillId="0" borderId="0" xfId="1" applyNumberFormat="1" applyFont="1" applyAlignment="1">
      <alignment vertical="top"/>
    </xf>
    <xf numFmtId="165" fontId="12" fillId="0" borderId="0" xfId="3" applyNumberFormat="1" applyFont="1" applyAlignment="1">
      <alignment vertical="top"/>
    </xf>
    <xf numFmtId="0" fontId="12" fillId="0" borderId="1" xfId="3" applyFont="1" applyBorder="1" applyAlignment="1">
      <alignment vertical="top"/>
    </xf>
    <xf numFmtId="0" fontId="13" fillId="0" borderId="1" xfId="3" applyFont="1" applyBorder="1" applyAlignment="1">
      <alignment horizontal="left" vertical="top"/>
    </xf>
    <xf numFmtId="0" fontId="13" fillId="0" borderId="1" xfId="3" applyFont="1" applyBorder="1" applyAlignment="1">
      <alignment vertical="top" wrapText="1"/>
    </xf>
    <xf numFmtId="165" fontId="13" fillId="0" borderId="1" xfId="4" applyNumberFormat="1" applyFont="1" applyBorder="1" applyAlignment="1">
      <alignment vertical="top"/>
    </xf>
    <xf numFmtId="164" fontId="13" fillId="0" borderId="1" xfId="5" applyNumberFormat="1" applyFont="1" applyBorder="1" applyAlignment="1">
      <alignment vertical="top"/>
    </xf>
    <xf numFmtId="9" fontId="13" fillId="0" borderId="1" xfId="6" applyFont="1" applyBorder="1" applyAlignment="1">
      <alignment vertical="top"/>
    </xf>
    <xf numFmtId="164" fontId="12" fillId="7" borderId="1" xfId="5" applyNumberFormat="1" applyFont="1" applyFill="1" applyBorder="1" applyAlignment="1">
      <alignment vertical="top"/>
    </xf>
    <xf numFmtId="164" fontId="12" fillId="0" borderId="1" xfId="5" applyNumberFormat="1" applyFont="1" applyBorder="1" applyAlignment="1">
      <alignment vertical="top"/>
    </xf>
    <xf numFmtId="0" fontId="13" fillId="0" borderId="8" xfId="3" applyFont="1" applyBorder="1" applyAlignment="1">
      <alignment horizontal="left" vertical="top"/>
    </xf>
    <xf numFmtId="9" fontId="12" fillId="0" borderId="1" xfId="6" applyFont="1" applyBorder="1" applyAlignment="1">
      <alignment vertical="top"/>
    </xf>
    <xf numFmtId="0" fontId="14" fillId="0" borderId="1" xfId="3" applyFont="1" applyBorder="1" applyAlignment="1">
      <alignment vertical="top"/>
    </xf>
    <xf numFmtId="0" fontId="15" fillId="0" borderId="9" xfId="3" applyFont="1" applyBorder="1" applyAlignment="1">
      <alignment horizontal="left" vertical="top"/>
    </xf>
    <xf numFmtId="0" fontId="15" fillId="0" borderId="9" xfId="3" applyFont="1" applyBorder="1" applyAlignment="1">
      <alignment vertical="top" wrapText="1"/>
    </xf>
    <xf numFmtId="0" fontId="15" fillId="7" borderId="9" xfId="3" applyFont="1" applyFill="1" applyBorder="1" applyAlignment="1">
      <alignment horizontal="center" vertical="top"/>
    </xf>
    <xf numFmtId="165" fontId="15" fillId="0" borderId="9" xfId="4" applyNumberFormat="1" applyFont="1" applyBorder="1" applyAlignment="1">
      <alignment vertical="top"/>
    </xf>
    <xf numFmtId="164" fontId="15" fillId="0" borderId="9" xfId="5" applyNumberFormat="1" applyFont="1" applyBorder="1" applyAlignment="1">
      <alignment vertical="top"/>
    </xf>
    <xf numFmtId="9" fontId="15" fillId="0" borderId="9" xfId="6" applyFont="1" applyBorder="1" applyAlignment="1">
      <alignment vertical="top"/>
    </xf>
    <xf numFmtId="164" fontId="14" fillId="8" borderId="9" xfId="5" applyNumberFormat="1" applyFont="1" applyFill="1" applyBorder="1" applyAlignment="1">
      <alignment vertical="top"/>
    </xf>
    <xf numFmtId="9" fontId="14" fillId="8" borderId="9" xfId="6" applyFont="1" applyFill="1" applyBorder="1" applyAlignment="1">
      <alignment vertical="top"/>
    </xf>
    <xf numFmtId="0" fontId="14" fillId="0" borderId="0" xfId="3" applyFont="1" applyAlignment="1">
      <alignment vertical="top"/>
    </xf>
    <xf numFmtId="164" fontId="15" fillId="0" borderId="0" xfId="5" applyNumberFormat="1" applyFont="1" applyBorder="1" applyAlignment="1">
      <alignment vertical="top"/>
    </xf>
    <xf numFmtId="164" fontId="15" fillId="0" borderId="0" xfId="5" applyNumberFormat="1" applyFont="1" applyBorder="1" applyAlignment="1">
      <alignment horizontal="center" vertical="top"/>
    </xf>
    <xf numFmtId="164" fontId="12" fillId="0" borderId="0" xfId="5" applyNumberFormat="1" applyFont="1" applyBorder="1" applyAlignment="1">
      <alignment vertical="top"/>
    </xf>
    <xf numFmtId="164" fontId="12" fillId="0" borderId="0" xfId="5" applyNumberFormat="1" applyFont="1" applyBorder="1" applyAlignment="1">
      <alignment horizontal="right" vertical="top"/>
    </xf>
    <xf numFmtId="0" fontId="12" fillId="0" borderId="0" xfId="3" applyFont="1" applyAlignment="1">
      <alignment horizontal="left" vertical="top"/>
    </xf>
    <xf numFmtId="164" fontId="12" fillId="0" borderId="0" xfId="5" applyNumberFormat="1" applyFont="1" applyAlignment="1">
      <alignment horizontal="center" vertical="top"/>
    </xf>
    <xf numFmtId="165" fontId="12" fillId="0" borderId="0" xfId="4" applyNumberFormat="1" applyFont="1" applyAlignment="1">
      <alignment vertical="top"/>
    </xf>
    <xf numFmtId="164" fontId="12" fillId="0" borderId="0" xfId="5" applyNumberFormat="1" applyFont="1" applyAlignment="1">
      <alignment vertical="top"/>
    </xf>
    <xf numFmtId="3" fontId="12" fillId="0" borderId="0" xfId="6" applyNumberFormat="1" applyFont="1" applyAlignment="1">
      <alignment vertical="top"/>
    </xf>
    <xf numFmtId="0" fontId="19" fillId="0" borderId="0" xfId="3" applyFont="1" applyAlignment="1">
      <alignment vertical="top"/>
    </xf>
    <xf numFmtId="0" fontId="19" fillId="0" borderId="0" xfId="3" applyFont="1" applyAlignment="1">
      <alignment horizontal="left" vertical="top"/>
    </xf>
    <xf numFmtId="164" fontId="19" fillId="0" borderId="0" xfId="5" applyNumberFormat="1" applyFont="1" applyAlignment="1">
      <alignment horizontal="center" vertical="top"/>
    </xf>
    <xf numFmtId="165" fontId="19" fillId="0" borderId="0" xfId="4" applyNumberFormat="1" applyFont="1" applyAlignment="1">
      <alignment vertical="top"/>
    </xf>
    <xf numFmtId="164" fontId="19" fillId="0" borderId="0" xfId="5" applyNumberFormat="1" applyFont="1" applyAlignment="1">
      <alignment vertical="top"/>
    </xf>
    <xf numFmtId="9" fontId="19" fillId="0" borderId="0" xfId="6" applyFont="1" applyAlignment="1">
      <alignment vertical="top"/>
    </xf>
    <xf numFmtId="164" fontId="19" fillId="0" borderId="0" xfId="3" applyNumberFormat="1" applyFont="1" applyAlignment="1">
      <alignment vertical="top"/>
    </xf>
    <xf numFmtId="9" fontId="12" fillId="0" borderId="0" xfId="6" applyFont="1" applyAlignment="1">
      <alignment vertical="top"/>
    </xf>
    <xf numFmtId="164" fontId="12" fillId="0" borderId="1" xfId="5" applyNumberFormat="1" applyFont="1" applyFill="1" applyBorder="1" applyAlignment="1">
      <alignment vertical="top"/>
    </xf>
    <xf numFmtId="164" fontId="12" fillId="0" borderId="2" xfId="5" applyNumberFormat="1" applyFont="1" applyFill="1" applyBorder="1" applyAlignment="1">
      <alignment vertical="top"/>
    </xf>
    <xf numFmtId="164" fontId="14" fillId="0" borderId="2" xfId="5" applyNumberFormat="1" applyFont="1" applyFill="1" applyBorder="1" applyAlignment="1">
      <alignment vertical="top"/>
    </xf>
    <xf numFmtId="166" fontId="6" fillId="0" borderId="0" xfId="0" applyNumberFormat="1" applyFont="1"/>
    <xf numFmtId="0" fontId="21" fillId="0" borderId="0" xfId="0" applyFont="1"/>
    <xf numFmtId="0" fontId="22" fillId="0" borderId="3" xfId="0" applyFont="1" applyBorder="1"/>
    <xf numFmtId="0" fontId="22" fillId="5" borderId="0" xfId="0" applyFont="1" applyFill="1"/>
    <xf numFmtId="0" fontId="23" fillId="0" borderId="0" xfId="0" applyFont="1"/>
    <xf numFmtId="0" fontId="24" fillId="0" borderId="0" xfId="0" applyFont="1"/>
    <xf numFmtId="164" fontId="23" fillId="0" borderId="0" xfId="1" applyNumberFormat="1" applyFont="1"/>
    <xf numFmtId="0" fontId="25" fillId="0" borderId="0" xfId="0" applyFont="1"/>
    <xf numFmtId="0" fontId="26" fillId="0" borderId="0" xfId="0" applyFont="1"/>
    <xf numFmtId="164" fontId="26" fillId="0" borderId="0" xfId="1" applyNumberFormat="1" applyFont="1"/>
    <xf numFmtId="0" fontId="0" fillId="0" borderId="11" xfId="0" applyBorder="1"/>
    <xf numFmtId="0" fontId="21" fillId="0" borderId="11" xfId="0" applyFont="1" applyBorder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29" fillId="0" borderId="11" xfId="0" applyFont="1" applyBorder="1"/>
    <xf numFmtId="0" fontId="3" fillId="0" borderId="0" xfId="0" applyFont="1" applyAlignment="1">
      <alignment horizontal="right"/>
    </xf>
    <xf numFmtId="0" fontId="31" fillId="0" borderId="0" xfId="3" applyFont="1" applyAlignment="1">
      <alignment vertical="center"/>
    </xf>
    <xf numFmtId="0" fontId="32" fillId="0" borderId="0" xfId="3" applyFont="1" applyAlignment="1">
      <alignment vertical="center"/>
    </xf>
    <xf numFmtId="0" fontId="32" fillId="0" borderId="0" xfId="3" applyFont="1" applyAlignment="1">
      <alignment horizontal="left" vertical="center" indent="2"/>
    </xf>
    <xf numFmtId="0" fontId="33" fillId="0" borderId="0" xfId="3" applyFont="1" applyAlignment="1">
      <alignment vertical="center"/>
    </xf>
    <xf numFmtId="0" fontId="34" fillId="0" borderId="0" xfId="3" applyFont="1"/>
    <xf numFmtId="0" fontId="35" fillId="0" borderId="0" xfId="3" applyFont="1"/>
    <xf numFmtId="0" fontId="36" fillId="0" borderId="0" xfId="3" applyFont="1"/>
    <xf numFmtId="0" fontId="37" fillId="0" borderId="0" xfId="3" applyFont="1" applyAlignment="1">
      <alignment vertical="center"/>
    </xf>
    <xf numFmtId="0" fontId="39" fillId="0" borderId="0" xfId="3" applyFont="1" applyAlignment="1">
      <alignment vertical="center"/>
    </xf>
    <xf numFmtId="0" fontId="38" fillId="11" borderId="0" xfId="3" applyFont="1" applyFill="1" applyAlignment="1">
      <alignment horizontal="center" vertical="center" wrapText="1"/>
    </xf>
    <xf numFmtId="0" fontId="40" fillId="0" borderId="0" xfId="3" applyFont="1" applyAlignment="1">
      <alignment vertical="center"/>
    </xf>
    <xf numFmtId="0" fontId="34" fillId="0" borderId="0" xfId="3" applyFont="1" applyAlignment="1">
      <alignment vertical="center"/>
    </xf>
    <xf numFmtId="0" fontId="35" fillId="0" borderId="0" xfId="3" applyFont="1" applyAlignment="1">
      <alignment vertical="center"/>
    </xf>
    <xf numFmtId="0" fontId="38" fillId="9" borderId="5" xfId="3" applyFont="1" applyFill="1" applyBorder="1" applyAlignment="1">
      <alignment horizontal="right" vertical="center"/>
    </xf>
    <xf numFmtId="0" fontId="38" fillId="16" borderId="0" xfId="3" applyFont="1" applyFill="1" applyAlignment="1">
      <alignment horizontal="center" vertical="center" wrapText="1"/>
    </xf>
    <xf numFmtId="0" fontId="38" fillId="11" borderId="12" xfId="3" applyFont="1" applyFill="1" applyBorder="1" applyAlignment="1">
      <alignment horizontal="center" vertical="center" wrapText="1"/>
    </xf>
    <xf numFmtId="0" fontId="41" fillId="3" borderId="0" xfId="3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0" fontId="38" fillId="3" borderId="5" xfId="3" quotePrefix="1" applyFont="1" applyFill="1" applyBorder="1" applyAlignment="1">
      <alignment horizontal="center" vertical="center"/>
    </xf>
    <xf numFmtId="0" fontId="36" fillId="0" borderId="0" xfId="3" applyFont="1" applyAlignment="1">
      <alignment vertical="center"/>
    </xf>
    <xf numFmtId="0" fontId="42" fillId="0" borderId="0" xfId="3" applyFont="1" applyAlignment="1">
      <alignment horizontal="center"/>
    </xf>
    <xf numFmtId="0" fontId="43" fillId="0" borderId="0" xfId="3" applyFont="1" applyAlignment="1">
      <alignment horizontal="center"/>
    </xf>
    <xf numFmtId="0" fontId="44" fillId="0" borderId="0" xfId="3" applyFont="1" applyAlignment="1">
      <alignment horizontal="center"/>
    </xf>
    <xf numFmtId="0" fontId="44" fillId="0" borderId="13" xfId="3" applyFont="1" applyBorder="1" applyAlignment="1">
      <alignment horizontal="center"/>
    </xf>
    <xf numFmtId="0" fontId="45" fillId="0" borderId="0" xfId="3" applyFont="1" applyAlignment="1">
      <alignment horizontal="center"/>
    </xf>
    <xf numFmtId="0" fontId="46" fillId="0" borderId="0" xfId="3" applyFont="1"/>
    <xf numFmtId="0" fontId="47" fillId="0" borderId="0" xfId="3" applyFont="1"/>
    <xf numFmtId="0" fontId="48" fillId="0" borderId="0" xfId="3" applyFont="1"/>
    <xf numFmtId="0" fontId="49" fillId="0" borderId="0" xfId="3" applyFont="1"/>
    <xf numFmtId="164" fontId="49" fillId="0" borderId="0" xfId="3" applyNumberFormat="1" applyFont="1"/>
    <xf numFmtId="164" fontId="49" fillId="0" borderId="0" xfId="4" applyNumberFormat="1" applyFont="1"/>
    <xf numFmtId="0" fontId="49" fillId="0" borderId="13" xfId="3" applyFont="1" applyBorder="1"/>
    <xf numFmtId="0" fontId="50" fillId="0" borderId="0" xfId="3" applyFont="1"/>
    <xf numFmtId="168" fontId="44" fillId="0" borderId="0" xfId="3" applyNumberFormat="1" applyFont="1" applyAlignment="1">
      <alignment horizontal="center"/>
    </xf>
    <xf numFmtId="0" fontId="51" fillId="0" borderId="0" xfId="3" applyFont="1"/>
    <xf numFmtId="0" fontId="52" fillId="0" borderId="0" xfId="3" applyFont="1" applyAlignment="1">
      <alignment horizontal="center"/>
    </xf>
    <xf numFmtId="0" fontId="53" fillId="0" borderId="0" xfId="3" applyFont="1"/>
    <xf numFmtId="164" fontId="53" fillId="0" borderId="0" xfId="3" applyNumberFormat="1" applyFont="1"/>
    <xf numFmtId="0" fontId="53" fillId="0" borderId="13" xfId="3" applyFont="1" applyBorder="1"/>
    <xf numFmtId="168" fontId="53" fillId="0" borderId="0" xfId="3" applyNumberFormat="1" applyFont="1"/>
    <xf numFmtId="0" fontId="54" fillId="0" borderId="0" xfId="3" applyFont="1"/>
    <xf numFmtId="0" fontId="37" fillId="0" borderId="0" xfId="3" applyFont="1"/>
    <xf numFmtId="0" fontId="55" fillId="0" borderId="14" xfId="3" applyFont="1" applyBorder="1" applyAlignment="1">
      <alignment horizontal="center"/>
    </xf>
    <xf numFmtId="0" fontId="39" fillId="0" borderId="14" xfId="3" applyFont="1" applyBorder="1"/>
    <xf numFmtId="0" fontId="39" fillId="0" borderId="0" xfId="3" applyFont="1"/>
    <xf numFmtId="164" fontId="39" fillId="0" borderId="14" xfId="3" applyNumberFormat="1" applyFont="1" applyBorder="1"/>
    <xf numFmtId="0" fontId="37" fillId="0" borderId="14" xfId="3" applyFont="1" applyBorder="1"/>
    <xf numFmtId="0" fontId="39" fillId="0" borderId="15" xfId="3" applyFont="1" applyBorder="1"/>
    <xf numFmtId="168" fontId="39" fillId="0" borderId="14" xfId="3" applyNumberFormat="1" applyFont="1" applyBorder="1"/>
    <xf numFmtId="0" fontId="40" fillId="0" borderId="0" xfId="3" applyFont="1"/>
    <xf numFmtId="0" fontId="56" fillId="0" borderId="14" xfId="3" applyFont="1" applyBorder="1" applyAlignment="1">
      <alignment horizontal="center"/>
    </xf>
    <xf numFmtId="0" fontId="35" fillId="0" borderId="14" xfId="3" applyFont="1" applyBorder="1"/>
    <xf numFmtId="164" fontId="35" fillId="0" borderId="14" xfId="4" applyNumberFormat="1" applyFont="1" applyBorder="1"/>
    <xf numFmtId="164" fontId="34" fillId="0" borderId="14" xfId="4" applyNumberFormat="1" applyFont="1" applyBorder="1"/>
    <xf numFmtId="164" fontId="35" fillId="0" borderId="15" xfId="4" applyNumberFormat="1" applyFont="1" applyBorder="1"/>
    <xf numFmtId="168" fontId="35" fillId="0" borderId="14" xfId="4" applyNumberFormat="1" applyFont="1" applyBorder="1"/>
    <xf numFmtId="167" fontId="36" fillId="0" borderId="0" xfId="4" applyNumberFormat="1" applyFont="1"/>
    <xf numFmtId="0" fontId="34" fillId="0" borderId="14" xfId="3" applyFont="1" applyBorder="1"/>
    <xf numFmtId="0" fontId="35" fillId="0" borderId="15" xfId="3" applyFont="1" applyBorder="1"/>
    <xf numFmtId="168" fontId="35" fillId="0" borderId="14" xfId="3" applyNumberFormat="1" applyFont="1" applyBorder="1"/>
    <xf numFmtId="164" fontId="35" fillId="17" borderId="14" xfId="4" applyNumberFormat="1" applyFont="1" applyFill="1" applyBorder="1"/>
    <xf numFmtId="0" fontId="56" fillId="0" borderId="0" xfId="3" applyFont="1"/>
    <xf numFmtId="0" fontId="35" fillId="0" borderId="13" xfId="3" applyFont="1" applyBorder="1"/>
    <xf numFmtId="168" fontId="35" fillId="0" borderId="0" xfId="3" applyNumberFormat="1" applyFont="1"/>
    <xf numFmtId="0" fontId="52" fillId="0" borderId="0" xfId="3" applyFont="1"/>
    <xf numFmtId="0" fontId="55" fillId="0" borderId="14" xfId="3" applyFont="1" applyBorder="1"/>
    <xf numFmtId="0" fontId="56" fillId="0" borderId="14" xfId="3" applyFont="1" applyBorder="1"/>
    <xf numFmtId="0" fontId="5" fillId="0" borderId="14" xfId="3" applyBorder="1"/>
    <xf numFmtId="164" fontId="35" fillId="8" borderId="14" xfId="4" applyNumberFormat="1" applyFont="1" applyFill="1" applyBorder="1"/>
    <xf numFmtId="166" fontId="35" fillId="0" borderId="0" xfId="3" applyNumberFormat="1" applyFont="1"/>
    <xf numFmtId="0" fontId="35" fillId="0" borderId="16" xfId="3" applyFont="1" applyBorder="1"/>
    <xf numFmtId="0" fontId="34" fillId="0" borderId="17" xfId="3" applyFont="1" applyBorder="1"/>
    <xf numFmtId="0" fontId="35" fillId="0" borderId="17" xfId="3" applyFont="1" applyBorder="1"/>
    <xf numFmtId="0" fontId="36" fillId="0" borderId="17" xfId="3" applyFont="1" applyBorder="1"/>
    <xf numFmtId="0" fontId="57" fillId="0" borderId="0" xfId="3" applyFont="1"/>
    <xf numFmtId="164" fontId="57" fillId="0" borderId="0" xfId="3" applyNumberFormat="1" applyFont="1"/>
    <xf numFmtId="164" fontId="35" fillId="0" borderId="0" xfId="4" applyNumberFormat="1" applyFont="1"/>
    <xf numFmtId="164" fontId="35" fillId="0" borderId="0" xfId="3" applyNumberFormat="1" applyFont="1"/>
    <xf numFmtId="0" fontId="0" fillId="8" borderId="0" xfId="0" applyFill="1"/>
    <xf numFmtId="164" fontId="0" fillId="8" borderId="0" xfId="1" applyNumberFormat="1" applyFont="1" applyFill="1"/>
    <xf numFmtId="0" fontId="2" fillId="18" borderId="5" xfId="0" applyFont="1" applyFill="1" applyBorder="1" applyAlignment="1">
      <alignment horizontal="right"/>
    </xf>
    <xf numFmtId="0" fontId="27" fillId="5" borderId="0" xfId="0" applyFont="1" applyFill="1"/>
    <xf numFmtId="0" fontId="28" fillId="5" borderId="0" xfId="0" applyFont="1" applyFill="1"/>
    <xf numFmtId="164" fontId="27" fillId="5" borderId="0" xfId="1" applyNumberFormat="1" applyFont="1" applyFill="1"/>
    <xf numFmtId="164" fontId="27" fillId="5" borderId="0" xfId="0" applyNumberFormat="1" applyFont="1" applyFill="1"/>
    <xf numFmtId="0" fontId="2" fillId="6" borderId="5" xfId="0" applyFont="1" applyFill="1" applyBorder="1" applyAlignment="1">
      <alignment horizontal="right"/>
    </xf>
    <xf numFmtId="164" fontId="35" fillId="0" borderId="0" xfId="1" applyNumberFormat="1" applyFont="1"/>
    <xf numFmtId="14" fontId="0" fillId="0" borderId="0" xfId="0" applyNumberFormat="1"/>
    <xf numFmtId="14" fontId="0" fillId="8" borderId="0" xfId="0" applyNumberFormat="1" applyFill="1"/>
    <xf numFmtId="164" fontId="71" fillId="0" borderId="14" xfId="4" applyNumberFormat="1" applyFont="1" applyBorder="1"/>
    <xf numFmtId="164" fontId="71" fillId="0" borderId="24" xfId="4" applyNumberFormat="1" applyFont="1" applyFill="1" applyBorder="1"/>
    <xf numFmtId="164" fontId="71" fillId="0" borderId="25" xfId="4" applyNumberFormat="1" applyFont="1" applyBorder="1"/>
    <xf numFmtId="164" fontId="71" fillId="0" borderId="26" xfId="4" applyNumberFormat="1" applyFont="1" applyFill="1" applyBorder="1"/>
    <xf numFmtId="164" fontId="71" fillId="0" borderId="22" xfId="4" applyNumberFormat="1" applyFont="1" applyBorder="1"/>
    <xf numFmtId="164" fontId="71" fillId="0" borderId="23" xfId="4" applyNumberFormat="1" applyFont="1" applyFill="1" applyBorder="1"/>
    <xf numFmtId="0" fontId="35" fillId="0" borderId="0" xfId="3" applyFont="1" applyAlignment="1">
      <alignment horizontal="center"/>
    </xf>
    <xf numFmtId="0" fontId="52" fillId="0" borderId="0" xfId="3" applyFont="1" applyAlignment="1">
      <alignment horizontal="left" indent="2"/>
    </xf>
    <xf numFmtId="0" fontId="60" fillId="0" borderId="0" xfId="3" applyFont="1" applyAlignment="1">
      <alignment horizontal="left" indent="2"/>
    </xf>
    <xf numFmtId="0" fontId="32" fillId="0" borderId="0" xfId="3" applyFont="1" applyAlignment="1">
      <alignment horizontal="center" vertical="center"/>
    </xf>
    <xf numFmtId="0" fontId="61" fillId="0" borderId="0" xfId="3" applyFont="1" applyAlignment="1">
      <alignment horizontal="left" vertical="center" indent="2"/>
    </xf>
    <xf numFmtId="0" fontId="63" fillId="0" borderId="0" xfId="3" applyFont="1" applyAlignment="1">
      <alignment vertical="center"/>
    </xf>
    <xf numFmtId="0" fontId="62" fillId="10" borderId="0" xfId="3" applyFont="1" applyFill="1" applyAlignment="1">
      <alignment horizontal="center" vertical="center" wrapText="1"/>
    </xf>
    <xf numFmtId="0" fontId="62" fillId="10" borderId="5" xfId="3" quotePrefix="1" applyFont="1" applyFill="1" applyBorder="1" applyAlignment="1">
      <alignment horizontal="center" vertical="center"/>
    </xf>
    <xf numFmtId="0" fontId="64" fillId="0" borderId="0" xfId="3" applyFont="1" applyAlignment="1">
      <alignment vertical="center"/>
    </xf>
    <xf numFmtId="0" fontId="62" fillId="19" borderId="0" xfId="3" applyFont="1" applyFill="1" applyAlignment="1">
      <alignment horizontal="center" vertical="center" wrapText="1"/>
    </xf>
    <xf numFmtId="0" fontId="65" fillId="9" borderId="0" xfId="3" applyFont="1" applyFill="1" applyAlignment="1">
      <alignment horizontal="center"/>
    </xf>
    <xf numFmtId="0" fontId="65" fillId="10" borderId="19" xfId="3" applyFont="1" applyFill="1" applyBorder="1" applyAlignment="1">
      <alignment horizontal="center"/>
    </xf>
    <xf numFmtId="0" fontId="65" fillId="10" borderId="0" xfId="3" applyFont="1" applyFill="1" applyAlignment="1">
      <alignment horizontal="center"/>
    </xf>
    <xf numFmtId="0" fontId="66" fillId="0" borderId="0" xfId="3" applyFont="1" applyAlignment="1">
      <alignment horizontal="center"/>
    </xf>
    <xf numFmtId="0" fontId="65" fillId="19" borderId="0" xfId="3" applyFont="1" applyFill="1" applyAlignment="1">
      <alignment horizontal="center"/>
    </xf>
    <xf numFmtId="0" fontId="44" fillId="0" borderId="19" xfId="3" applyFont="1" applyBorder="1" applyAlignment="1">
      <alignment horizontal="center"/>
    </xf>
    <xf numFmtId="0" fontId="67" fillId="0" borderId="20" xfId="3" applyFont="1" applyBorder="1" applyAlignment="1">
      <alignment horizontal="center"/>
    </xf>
    <xf numFmtId="0" fontId="68" fillId="0" borderId="20" xfId="3" applyFont="1" applyBorder="1"/>
    <xf numFmtId="0" fontId="68" fillId="0" borderId="21" xfId="3" applyFont="1" applyBorder="1"/>
    <xf numFmtId="164" fontId="68" fillId="0" borderId="20" xfId="3" applyNumberFormat="1" applyFont="1" applyBorder="1"/>
    <xf numFmtId="0" fontId="68" fillId="0" borderId="0" xfId="3" applyFont="1"/>
    <xf numFmtId="0" fontId="48" fillId="0" borderId="22" xfId="3" applyFont="1" applyBorder="1" applyAlignment="1">
      <alignment horizontal="center"/>
    </xf>
    <xf numFmtId="0" fontId="69" fillId="0" borderId="22" xfId="3" applyFont="1" applyBorder="1"/>
    <xf numFmtId="0" fontId="69" fillId="0" borderId="23" xfId="3" applyFont="1" applyBorder="1"/>
    <xf numFmtId="164" fontId="69" fillId="0" borderId="22" xfId="3" applyNumberFormat="1" applyFont="1" applyBorder="1"/>
    <xf numFmtId="0" fontId="69" fillId="0" borderId="0" xfId="3" applyFont="1"/>
    <xf numFmtId="0" fontId="70" fillId="0" borderId="14" xfId="3" applyFont="1" applyBorder="1" applyAlignment="1">
      <alignment horizontal="center"/>
    </xf>
    <xf numFmtId="0" fontId="71" fillId="0" borderId="14" xfId="3" applyFont="1" applyBorder="1"/>
    <xf numFmtId="0" fontId="71" fillId="0" borderId="0" xfId="3" applyFont="1"/>
    <xf numFmtId="0" fontId="70" fillId="0" borderId="25" xfId="3" applyFont="1" applyBorder="1" applyAlignment="1">
      <alignment horizontal="center"/>
    </xf>
    <xf numFmtId="0" fontId="71" fillId="0" borderId="25" xfId="3" applyFont="1" applyBorder="1"/>
    <xf numFmtId="0" fontId="70" fillId="0" borderId="22" xfId="3" applyFont="1" applyBorder="1" applyAlignment="1">
      <alignment horizontal="center"/>
    </xf>
    <xf numFmtId="0" fontId="71" fillId="0" borderId="22" xfId="3" applyFont="1" applyBorder="1"/>
    <xf numFmtId="0" fontId="71" fillId="0" borderId="23" xfId="3" applyFont="1" applyBorder="1"/>
    <xf numFmtId="0" fontId="70" fillId="0" borderId="0" xfId="3" applyFont="1" applyAlignment="1">
      <alignment horizontal="center"/>
    </xf>
    <xf numFmtId="0" fontId="71" fillId="0" borderId="19" xfId="3" applyFont="1" applyBorder="1"/>
    <xf numFmtId="0" fontId="48" fillId="0" borderId="0" xfId="3" applyFont="1" applyAlignment="1">
      <alignment horizontal="center"/>
    </xf>
    <xf numFmtId="0" fontId="49" fillId="0" borderId="19" xfId="3" applyFont="1" applyBorder="1"/>
    <xf numFmtId="0" fontId="71" fillId="0" borderId="0" xfId="3" applyFont="1" applyAlignment="1">
      <alignment horizontal="center"/>
    </xf>
    <xf numFmtId="0" fontId="72" fillId="0" borderId="27" xfId="3" applyFont="1" applyBorder="1" applyAlignment="1">
      <alignment horizontal="center"/>
    </xf>
    <xf numFmtId="0" fontId="72" fillId="0" borderId="27" xfId="3" applyFont="1" applyBorder="1"/>
    <xf numFmtId="0" fontId="72" fillId="0" borderId="28" xfId="3" applyFont="1" applyBorder="1"/>
    <xf numFmtId="164" fontId="72" fillId="0" borderId="27" xfId="3" applyNumberFormat="1" applyFont="1" applyBorder="1"/>
    <xf numFmtId="0" fontId="73" fillId="0" borderId="0" xfId="3" applyFont="1"/>
    <xf numFmtId="0" fontId="74" fillId="0" borderId="0" xfId="3" applyFont="1" applyAlignment="1">
      <alignment horizontal="center"/>
    </xf>
    <xf numFmtId="0" fontId="74" fillId="0" borderId="0" xfId="3" applyFont="1"/>
    <xf numFmtId="164" fontId="35" fillId="8" borderId="0" xfId="1" applyNumberFormat="1" applyFont="1" applyFill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1" fillId="0" borderId="0" xfId="0" applyFont="1"/>
    <xf numFmtId="0" fontId="82" fillId="0" borderId="0" xfId="0" applyFont="1"/>
    <xf numFmtId="0" fontId="3" fillId="0" borderId="29" xfId="0" applyFont="1" applyBorder="1" applyAlignment="1">
      <alignment horizontal="right"/>
    </xf>
    <xf numFmtId="0" fontId="82" fillId="0" borderId="27" xfId="0" applyFont="1" applyBorder="1" applyAlignment="1">
      <alignment horizontal="right"/>
    </xf>
    <xf numFmtId="0" fontId="0" fillId="0" borderId="29" xfId="0" applyBorder="1"/>
    <xf numFmtId="167" fontId="0" fillId="0" borderId="0" xfId="1" applyNumberFormat="1" applyFont="1"/>
    <xf numFmtId="0" fontId="0" fillId="0" borderId="0" xfId="0" applyAlignment="1">
      <alignment horizontal="center"/>
    </xf>
    <xf numFmtId="0" fontId="2" fillId="20" borderId="0" xfId="0" applyFont="1" applyFill="1" applyAlignment="1">
      <alignment horizontal="center"/>
    </xf>
    <xf numFmtId="0" fontId="2" fillId="20" borderId="0" xfId="0" applyFont="1" applyFill="1"/>
    <xf numFmtId="0" fontId="2" fillId="20" borderId="0" xfId="0" applyFont="1" applyFill="1" applyAlignment="1">
      <alignment horizontal="right"/>
    </xf>
    <xf numFmtId="164" fontId="3" fillId="0" borderId="0" xfId="0" applyNumberFormat="1" applyFont="1"/>
    <xf numFmtId="164" fontId="3" fillId="0" borderId="3" xfId="0" applyNumberFormat="1" applyFont="1" applyBorder="1"/>
    <xf numFmtId="164" fontId="26" fillId="0" borderId="0" xfId="1" applyNumberFormat="1" applyFont="1" applyFill="1"/>
    <xf numFmtId="164" fontId="29" fillId="0" borderId="0" xfId="1" applyNumberFormat="1" applyFont="1"/>
    <xf numFmtId="164" fontId="0" fillId="0" borderId="0" xfId="1" applyNumberFormat="1" applyFont="1" applyFill="1"/>
    <xf numFmtId="43" fontId="0" fillId="0" borderId="0" xfId="0" applyNumberFormat="1"/>
    <xf numFmtId="0" fontId="3" fillId="5" borderId="30" xfId="0" applyFont="1" applyFill="1" applyBorder="1"/>
    <xf numFmtId="0" fontId="4" fillId="21" borderId="2" xfId="0" applyFont="1" applyFill="1" applyBorder="1" applyAlignment="1">
      <alignment vertical="top"/>
    </xf>
    <xf numFmtId="0" fontId="80" fillId="22" borderId="0" xfId="0" applyFont="1" applyFill="1"/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0" xfId="0" applyFill="1" applyAlignment="1">
      <alignment horizontal="right"/>
    </xf>
    <xf numFmtId="0" fontId="3" fillId="22" borderId="0" xfId="0" applyFont="1" applyFill="1" applyAlignment="1">
      <alignment horizontal="right"/>
    </xf>
    <xf numFmtId="0" fontId="3" fillId="22" borderId="3" xfId="0" applyFont="1" applyFill="1" applyBorder="1"/>
    <xf numFmtId="164" fontId="3" fillId="22" borderId="3" xfId="1" applyNumberFormat="1" applyFont="1" applyFill="1" applyBorder="1"/>
    <xf numFmtId="164" fontId="3" fillId="22" borderId="3" xfId="0" applyNumberFormat="1" applyFont="1" applyFill="1" applyBorder="1"/>
    <xf numFmtId="164" fontId="0" fillId="22" borderId="0" xfId="1" applyNumberFormat="1" applyFont="1" applyFill="1"/>
    <xf numFmtId="164" fontId="3" fillId="22" borderId="0" xfId="0" applyNumberFormat="1" applyFont="1" applyFill="1"/>
    <xf numFmtId="164" fontId="3" fillId="5" borderId="30" xfId="0" applyNumberFormat="1" applyFont="1" applyFill="1" applyBorder="1"/>
    <xf numFmtId="0" fontId="0" fillId="23" borderId="0" xfId="0" applyFill="1"/>
    <xf numFmtId="0" fontId="3" fillId="24" borderId="30" xfId="0" applyFont="1" applyFill="1" applyBorder="1"/>
    <xf numFmtId="164" fontId="3" fillId="24" borderId="30" xfId="0" applyNumberFormat="1" applyFont="1" applyFill="1" applyBorder="1"/>
    <xf numFmtId="0" fontId="0" fillId="24" borderId="0" xfId="0" applyFill="1"/>
    <xf numFmtId="164" fontId="0" fillId="24" borderId="0" xfId="1" applyNumberFormat="1" applyFont="1" applyFill="1"/>
    <xf numFmtId="0" fontId="0" fillId="25" borderId="0" xfId="0" applyFill="1"/>
    <xf numFmtId="164" fontId="0" fillId="23" borderId="0" xfId="1" applyNumberFormat="1" applyFont="1" applyFill="1"/>
    <xf numFmtId="164" fontId="0" fillId="5" borderId="0" xfId="0" applyNumberFormat="1" applyFill="1"/>
    <xf numFmtId="164" fontId="3" fillId="5" borderId="0" xfId="0" applyNumberFormat="1" applyFont="1" applyFill="1"/>
    <xf numFmtId="0" fontId="83" fillId="26" borderId="31" xfId="0" applyFont="1" applyFill="1" applyBorder="1" applyAlignment="1">
      <alignment horizontal="left" vertical="center" wrapText="1"/>
    </xf>
    <xf numFmtId="17" fontId="83" fillId="26" borderId="31" xfId="0" applyNumberFormat="1" applyFont="1" applyFill="1" applyBorder="1" applyAlignment="1">
      <alignment horizontal="left" vertical="center" wrapText="1"/>
    </xf>
    <xf numFmtId="164" fontId="83" fillId="26" borderId="31" xfId="1" applyNumberFormat="1" applyFont="1" applyFill="1" applyBorder="1" applyAlignment="1">
      <alignment horizontal="right" vertical="center" wrapText="1"/>
    </xf>
    <xf numFmtId="0" fontId="83" fillId="26" borderId="0" xfId="0" applyFont="1" applyFill="1" applyAlignment="1">
      <alignment horizontal="left" vertical="center" wrapText="1"/>
    </xf>
    <xf numFmtId="166" fontId="0" fillId="0" borderId="0" xfId="1" applyNumberFormat="1" applyFont="1"/>
    <xf numFmtId="164" fontId="0" fillId="25" borderId="0" xfId="1" applyNumberFormat="1" applyFont="1" applyFill="1"/>
    <xf numFmtId="0" fontId="2" fillId="27" borderId="0" xfId="0" applyFont="1" applyFill="1"/>
    <xf numFmtId="0" fontId="2" fillId="27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164" fontId="84" fillId="5" borderId="0" xfId="1" applyNumberFormat="1" applyFont="1" applyFill="1"/>
    <xf numFmtId="0" fontId="84" fillId="23" borderId="0" xfId="0" applyFont="1" applyFill="1"/>
    <xf numFmtId="164" fontId="84" fillId="23" borderId="0" xfId="1" applyNumberFormat="1" applyFont="1" applyFill="1"/>
    <xf numFmtId="164" fontId="0" fillId="28" borderId="0" xfId="1" applyNumberFormat="1" applyFont="1" applyFill="1"/>
    <xf numFmtId="164" fontId="23" fillId="28" borderId="0" xfId="1" applyNumberFormat="1" applyFont="1" applyFill="1"/>
    <xf numFmtId="164" fontId="0" fillId="28" borderId="0" xfId="0" applyNumberFormat="1" applyFill="1"/>
    <xf numFmtId="166" fontId="3" fillId="0" borderId="0" xfId="0" applyNumberFormat="1" applyFont="1"/>
    <xf numFmtId="166" fontId="0" fillId="22" borderId="0" xfId="0" applyNumberFormat="1" applyFill="1"/>
    <xf numFmtId="166" fontId="0" fillId="0" borderId="0" xfId="0" applyNumberFormat="1"/>
    <xf numFmtId="169" fontId="0" fillId="0" borderId="14" xfId="0" applyNumberFormat="1" applyBorder="1" applyAlignment="1">
      <alignment horizontal="center"/>
    </xf>
    <xf numFmtId="0" fontId="0" fillId="0" borderId="14" xfId="0" applyBorder="1"/>
    <xf numFmtId="164" fontId="0" fillId="0" borderId="14" xfId="1" applyNumberFormat="1" applyFont="1" applyBorder="1"/>
    <xf numFmtId="0" fontId="2" fillId="29" borderId="0" xfId="0" applyFont="1" applyFill="1" applyAlignment="1">
      <alignment horizontal="center" vertical="center"/>
    </xf>
    <xf numFmtId="0" fontId="85" fillId="0" borderId="0" xfId="0" applyFont="1"/>
    <xf numFmtId="166" fontId="0" fillId="0" borderId="14" xfId="0" applyNumberFormat="1" applyBorder="1"/>
    <xf numFmtId="0" fontId="0" fillId="0" borderId="0" xfId="0" applyAlignment="1">
      <alignment vertical="center"/>
    </xf>
    <xf numFmtId="164" fontId="0" fillId="0" borderId="0" xfId="1" applyNumberFormat="1" applyFont="1" applyAlignment="1">
      <alignment vertical="center"/>
    </xf>
    <xf numFmtId="0" fontId="25" fillId="0" borderId="0" xfId="0" applyFont="1" applyAlignment="1">
      <alignment horizontal="center"/>
    </xf>
    <xf numFmtId="169" fontId="3" fillId="0" borderId="32" xfId="0" applyNumberFormat="1" applyFont="1" applyBorder="1" applyAlignment="1">
      <alignment horizontal="center"/>
    </xf>
    <xf numFmtId="0" fontId="3" fillId="0" borderId="32" xfId="0" applyFont="1" applyBorder="1"/>
    <xf numFmtId="166" fontId="3" fillId="0" borderId="32" xfId="1" applyNumberFormat="1" applyFont="1" applyBorder="1"/>
    <xf numFmtId="164" fontId="3" fillId="0" borderId="32" xfId="1" applyNumberFormat="1" applyFont="1" applyBorder="1"/>
    <xf numFmtId="169" fontId="86" fillId="0" borderId="25" xfId="0" applyNumberFormat="1" applyFont="1" applyBorder="1" applyAlignment="1">
      <alignment horizontal="center"/>
    </xf>
    <xf numFmtId="0" fontId="86" fillId="0" borderId="25" xfId="0" applyFont="1" applyBorder="1"/>
    <xf numFmtId="0" fontId="86" fillId="0" borderId="0" xfId="0" applyFont="1"/>
    <xf numFmtId="164" fontId="86" fillId="0" borderId="25" xfId="1" applyNumberFormat="1" applyFont="1" applyBorder="1"/>
    <xf numFmtId="164" fontId="3" fillId="5" borderId="7" xfId="0" applyNumberFormat="1" applyFont="1" applyFill="1" applyBorder="1"/>
    <xf numFmtId="0" fontId="2" fillId="29" borderId="0" xfId="0" applyFont="1" applyFill="1" applyAlignment="1">
      <alignment horizontal="center" vertical="center" wrapText="1"/>
    </xf>
    <xf numFmtId="0" fontId="25" fillId="0" borderId="34" xfId="0" applyFont="1" applyBorder="1" applyAlignment="1">
      <alignment horizontal="center"/>
    </xf>
    <xf numFmtId="164" fontId="0" fillId="0" borderId="35" xfId="1" applyNumberFormat="1" applyFont="1" applyBorder="1"/>
    <xf numFmtId="164" fontId="86" fillId="0" borderId="36" xfId="1" applyNumberFormat="1" applyFont="1" applyBorder="1"/>
    <xf numFmtId="164" fontId="3" fillId="0" borderId="37" xfId="1" applyNumberFormat="1" applyFont="1" applyBorder="1"/>
    <xf numFmtId="0" fontId="0" fillId="0" borderId="38" xfId="0" applyBorder="1"/>
    <xf numFmtId="0" fontId="2" fillId="30" borderId="0" xfId="0" applyFont="1" applyFill="1" applyAlignment="1">
      <alignment horizontal="center" vertical="center" wrapText="1"/>
    </xf>
    <xf numFmtId="0" fontId="2" fillId="30" borderId="33" xfId="0" applyFont="1" applyFill="1" applyBorder="1" applyAlignment="1">
      <alignment horizontal="center" vertical="center" wrapText="1"/>
    </xf>
    <xf numFmtId="0" fontId="2" fillId="30" borderId="39" xfId="0" applyFont="1" applyFill="1" applyBorder="1" applyAlignment="1">
      <alignment horizontal="center" vertical="center" wrapText="1"/>
    </xf>
    <xf numFmtId="0" fontId="25" fillId="0" borderId="40" xfId="0" applyFont="1" applyBorder="1" applyAlignment="1">
      <alignment horizontal="center"/>
    </xf>
    <xf numFmtId="164" fontId="0" fillId="0" borderId="41" xfId="1" applyNumberFormat="1" applyFont="1" applyBorder="1"/>
    <xf numFmtId="164" fontId="86" fillId="0" borderId="42" xfId="1" applyNumberFormat="1" applyFont="1" applyBorder="1"/>
    <xf numFmtId="164" fontId="3" fillId="0" borderId="43" xfId="1" applyNumberFormat="1" applyFont="1" applyBorder="1"/>
    <xf numFmtId="0" fontId="0" fillId="0" borderId="44" xfId="0" applyBorder="1"/>
    <xf numFmtId="10" fontId="0" fillId="0" borderId="0" xfId="0" applyNumberFormat="1"/>
    <xf numFmtId="0" fontId="2" fillId="31" borderId="0" xfId="0" applyFont="1" applyFill="1" applyAlignment="1">
      <alignment horizontal="centerContinuous"/>
    </xf>
    <xf numFmtId="0" fontId="2" fillId="32" borderId="0" xfId="0" applyFont="1" applyFill="1" applyAlignment="1">
      <alignment horizontal="centerContinuous"/>
    </xf>
    <xf numFmtId="0" fontId="0" fillId="28" borderId="0" xfId="0" applyFill="1" applyAlignment="1">
      <alignment horizontal="right"/>
    </xf>
    <xf numFmtId="164" fontId="87" fillId="0" borderId="0" xfId="0" applyNumberFormat="1" applyFont="1"/>
    <xf numFmtId="164" fontId="25" fillId="0" borderId="0" xfId="1" applyNumberFormat="1" applyFont="1" applyAlignment="1">
      <alignment horizontal="center"/>
    </xf>
    <xf numFmtId="11" fontId="29" fillId="0" borderId="0" xfId="0" applyNumberFormat="1" applyFont="1"/>
    <xf numFmtId="0" fontId="88" fillId="0" borderId="0" xfId="0" applyFont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89" fillId="4" borderId="0" xfId="0" applyFont="1" applyFill="1" applyAlignment="1">
      <alignment horizontal="center" vertical="center"/>
    </xf>
    <xf numFmtId="0" fontId="91" fillId="0" borderId="14" xfId="0" applyFont="1" applyBorder="1" applyAlignment="1">
      <alignment horizontal="center"/>
    </xf>
    <xf numFmtId="0" fontId="3" fillId="5" borderId="0" xfId="0" applyFont="1" applyFill="1" applyAlignment="1">
      <alignment vertical="center"/>
    </xf>
    <xf numFmtId="0" fontId="90" fillId="5" borderId="0" xfId="0" applyFont="1" applyFill="1" applyAlignment="1">
      <alignment horizontal="center" vertical="center"/>
    </xf>
    <xf numFmtId="164" fontId="3" fillId="5" borderId="0" xfId="1" applyNumberFormat="1" applyFont="1" applyFill="1" applyAlignment="1">
      <alignment vertical="center"/>
    </xf>
    <xf numFmtId="0" fontId="90" fillId="5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right" vertical="center"/>
    </xf>
    <xf numFmtId="0" fontId="0" fillId="0" borderId="34" xfId="0" applyBorder="1" applyAlignment="1">
      <alignment vertical="center"/>
    </xf>
    <xf numFmtId="0" fontId="2" fillId="33" borderId="33" xfId="0" applyFont="1" applyFill="1" applyBorder="1" applyAlignment="1">
      <alignment horizontal="center" vertical="center" wrapText="1"/>
    </xf>
    <xf numFmtId="0" fontId="2" fillId="33" borderId="0" xfId="0" applyFont="1" applyFill="1" applyAlignment="1">
      <alignment horizontal="center" vertical="center"/>
    </xf>
    <xf numFmtId="164" fontId="3" fillId="34" borderId="0" xfId="1" applyNumberFormat="1" applyFont="1" applyFill="1" applyAlignment="1">
      <alignment vertical="center"/>
    </xf>
    <xf numFmtId="0" fontId="3" fillId="0" borderId="14" xfId="0" applyFont="1" applyBorder="1" applyAlignment="1">
      <alignment vertical="center"/>
    </xf>
    <xf numFmtId="0" fontId="90" fillId="0" borderId="14" xfId="0" applyFont="1" applyBorder="1" applyAlignment="1">
      <alignment horizontal="center" vertical="center"/>
    </xf>
    <xf numFmtId="164" fontId="3" fillId="0" borderId="14" xfId="1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91" fillId="0" borderId="14" xfId="0" applyFont="1" applyBorder="1" applyAlignment="1">
      <alignment horizontal="center" vertical="center"/>
    </xf>
    <xf numFmtId="164" fontId="1" fillId="0" borderId="14" xfId="1" applyNumberFormat="1" applyFont="1" applyBorder="1" applyAlignment="1">
      <alignment vertical="center"/>
    </xf>
    <xf numFmtId="164" fontId="0" fillId="0" borderId="14" xfId="1" applyNumberFormat="1" applyFont="1" applyBorder="1" applyAlignment="1">
      <alignment vertical="center"/>
    </xf>
    <xf numFmtId="0" fontId="2" fillId="4" borderId="0" xfId="0" applyFont="1" applyFill="1" applyAlignment="1">
      <alignment horizontal="right" vertical="center" wrapText="1"/>
    </xf>
    <xf numFmtId="0" fontId="3" fillId="35" borderId="0" xfId="0" applyFont="1" applyFill="1"/>
    <xf numFmtId="164" fontId="3" fillId="35" borderId="0" xfId="0" applyNumberFormat="1" applyFont="1" applyFill="1"/>
    <xf numFmtId="0" fontId="0" fillId="0" borderId="45" xfId="0" applyBorder="1"/>
    <xf numFmtId="0" fontId="90" fillId="35" borderId="0" xfId="0" applyFont="1" applyFill="1" applyAlignment="1">
      <alignment horizontal="center"/>
    </xf>
    <xf numFmtId="0" fontId="92" fillId="0" borderId="0" xfId="0" applyFont="1"/>
    <xf numFmtId="164" fontId="1" fillId="22" borderId="0" xfId="1" applyNumberFormat="1" applyFont="1" applyFill="1"/>
    <xf numFmtId="0" fontId="3" fillId="0" borderId="14" xfId="0" applyFont="1" applyBorder="1"/>
    <xf numFmtId="0" fontId="95" fillId="0" borderId="0" xfId="0" applyFont="1"/>
    <xf numFmtId="0" fontId="3" fillId="0" borderId="14" xfId="0" applyFont="1" applyBorder="1" applyAlignment="1">
      <alignment horizontal="center"/>
    </xf>
    <xf numFmtId="0" fontId="2" fillId="32" borderId="5" xfId="0" applyFont="1" applyFill="1" applyBorder="1" applyAlignment="1">
      <alignment horizontal="center"/>
    </xf>
    <xf numFmtId="164" fontId="3" fillId="0" borderId="14" xfId="0" applyNumberFormat="1" applyFont="1" applyBorder="1"/>
    <xf numFmtId="0" fontId="96" fillId="32" borderId="0" xfId="0" applyFont="1" applyFill="1" applyAlignment="1">
      <alignment horizontal="center" vertical="center"/>
    </xf>
    <xf numFmtId="0" fontId="96" fillId="32" borderId="0" xfId="0" applyFont="1" applyFill="1" applyAlignment="1">
      <alignment horizontal="center"/>
    </xf>
    <xf numFmtId="164" fontId="0" fillId="0" borderId="14" xfId="0" applyNumberFormat="1" applyBorder="1"/>
    <xf numFmtId="0" fontId="97" fillId="0" borderId="14" xfId="0" applyFont="1" applyBorder="1"/>
    <xf numFmtId="0" fontId="98" fillId="0" borderId="14" xfId="0" applyFont="1" applyBorder="1"/>
    <xf numFmtId="43" fontId="0" fillId="0" borderId="0" xfId="1" applyFont="1"/>
    <xf numFmtId="0" fontId="0" fillId="37" borderId="0" xfId="0" applyFill="1"/>
    <xf numFmtId="0" fontId="3" fillId="15" borderId="30" xfId="0" applyFont="1" applyFill="1" applyBorder="1"/>
    <xf numFmtId="164" fontId="3" fillId="15" borderId="30" xfId="0" applyNumberFormat="1" applyFont="1" applyFill="1" applyBorder="1"/>
    <xf numFmtId="0" fontId="0" fillId="15" borderId="0" xfId="0" applyFill="1"/>
    <xf numFmtId="164" fontId="84" fillId="15" borderId="0" xfId="1" applyNumberFormat="1" applyFont="1" applyFill="1"/>
    <xf numFmtId="164" fontId="0" fillId="15" borderId="0" xfId="1" applyNumberFormat="1" applyFont="1" applyFill="1"/>
    <xf numFmtId="0" fontId="84" fillId="15" borderId="0" xfId="0" applyFont="1" applyFill="1"/>
    <xf numFmtId="0" fontId="3" fillId="36" borderId="30" xfId="0" applyFont="1" applyFill="1" applyBorder="1"/>
    <xf numFmtId="164" fontId="3" fillId="36" borderId="30" xfId="1" applyNumberFormat="1" applyFont="1" applyFill="1" applyBorder="1"/>
    <xf numFmtId="0" fontId="0" fillId="36" borderId="0" xfId="0" applyFill="1"/>
    <xf numFmtId="164" fontId="0" fillId="36" borderId="0" xfId="1" applyNumberFormat="1" applyFont="1" applyFill="1"/>
    <xf numFmtId="0" fontId="3" fillId="24" borderId="46" xfId="0" applyFont="1" applyFill="1" applyBorder="1"/>
    <xf numFmtId="0" fontId="3" fillId="24" borderId="47" xfId="0" applyFont="1" applyFill="1" applyBorder="1"/>
    <xf numFmtId="0" fontId="3" fillId="24" borderId="48" xfId="0" applyFont="1" applyFill="1" applyBorder="1"/>
    <xf numFmtId="0" fontId="3" fillId="24" borderId="49" xfId="0" applyFont="1" applyFill="1" applyBorder="1"/>
    <xf numFmtId="0" fontId="0" fillId="27" borderId="0" xfId="0" applyFill="1"/>
    <xf numFmtId="167" fontId="29" fillId="0" borderId="0" xfId="1" applyNumberFormat="1" applyFont="1"/>
    <xf numFmtId="0" fontId="3" fillId="0" borderId="25" xfId="0" applyFont="1" applyBorder="1" applyAlignment="1">
      <alignment horizontal="center"/>
    </xf>
    <xf numFmtId="0" fontId="3" fillId="0" borderId="25" xfId="0" applyFont="1" applyBorder="1"/>
    <xf numFmtId="0" fontId="97" fillId="0" borderId="25" xfId="0" applyFont="1" applyBorder="1"/>
    <xf numFmtId="164" fontId="3" fillId="0" borderId="25" xfId="0" applyNumberFormat="1" applyFont="1" applyBorder="1"/>
    <xf numFmtId="164" fontId="3" fillId="0" borderId="25" xfId="1" applyNumberFormat="1" applyFont="1" applyBorder="1"/>
    <xf numFmtId="166" fontId="95" fillId="0" borderId="14" xfId="0" applyNumberFormat="1" applyFont="1" applyBorder="1"/>
    <xf numFmtId="43" fontId="29" fillId="0" borderId="0" xfId="1" applyFont="1"/>
    <xf numFmtId="0" fontId="3" fillId="35" borderId="22" xfId="0" applyFont="1" applyFill="1" applyBorder="1" applyAlignment="1">
      <alignment horizontal="center"/>
    </xf>
    <xf numFmtId="0" fontId="3" fillId="35" borderId="22" xfId="0" applyFont="1" applyFill="1" applyBorder="1"/>
    <xf numFmtId="0" fontId="97" fillId="35" borderId="22" xfId="0" applyFont="1" applyFill="1" applyBorder="1"/>
    <xf numFmtId="164" fontId="3" fillId="35" borderId="22" xfId="1" applyNumberFormat="1" applyFont="1" applyFill="1" applyBorder="1"/>
    <xf numFmtId="164" fontId="3" fillId="35" borderId="22" xfId="0" applyNumberFormat="1" applyFont="1" applyFill="1" applyBorder="1"/>
    <xf numFmtId="0" fontId="3" fillId="35" borderId="32" xfId="0" applyFont="1" applyFill="1" applyBorder="1" applyAlignment="1">
      <alignment horizontal="center"/>
    </xf>
    <xf numFmtId="0" fontId="3" fillId="35" borderId="32" xfId="0" applyFont="1" applyFill="1" applyBorder="1"/>
    <xf numFmtId="0" fontId="97" fillId="35" borderId="32" xfId="0" applyFont="1" applyFill="1" applyBorder="1"/>
    <xf numFmtId="164" fontId="3" fillId="35" borderId="32" xfId="0" applyNumberFormat="1" applyFont="1" applyFill="1" applyBorder="1"/>
    <xf numFmtId="164" fontId="3" fillId="35" borderId="32" xfId="1" applyNumberFormat="1" applyFont="1" applyFill="1" applyBorder="1"/>
    <xf numFmtId="43" fontId="3" fillId="0" borderId="0" xfId="1" applyFont="1"/>
    <xf numFmtId="0" fontId="95" fillId="0" borderId="14" xfId="0" applyFont="1" applyBorder="1" applyAlignment="1">
      <alignment horizontal="center"/>
    </xf>
    <xf numFmtId="0" fontId="95" fillId="0" borderId="14" xfId="0" applyFont="1" applyBorder="1"/>
    <xf numFmtId="164" fontId="95" fillId="0" borderId="14" xfId="1" applyNumberFormat="1" applyFont="1" applyBorder="1"/>
    <xf numFmtId="0" fontId="6" fillId="0" borderId="22" xfId="0" applyFont="1" applyBorder="1"/>
    <xf numFmtId="166" fontId="6" fillId="0" borderId="22" xfId="0" applyNumberFormat="1" applyFont="1" applyBorder="1"/>
    <xf numFmtId="164" fontId="95" fillId="0" borderId="0" xfId="1" applyNumberFormat="1" applyFont="1"/>
    <xf numFmtId="164" fontId="95" fillId="0" borderId="0" xfId="0" applyNumberFormat="1" applyFont="1"/>
    <xf numFmtId="43" fontId="0" fillId="0" borderId="11" xfId="1" applyFont="1" applyBorder="1"/>
    <xf numFmtId="166" fontId="3" fillId="0" borderId="14" xfId="0" applyNumberFormat="1" applyFont="1" applyBorder="1"/>
    <xf numFmtId="0" fontId="0" fillId="38" borderId="0" xfId="0" applyFill="1" applyAlignment="1">
      <alignment horizontal="center"/>
    </xf>
    <xf numFmtId="0" fontId="0" fillId="38" borderId="0" xfId="0" applyFill="1"/>
    <xf numFmtId="164" fontId="0" fillId="38" borderId="0" xfId="1" applyNumberFormat="1" applyFont="1" applyFill="1"/>
    <xf numFmtId="164" fontId="0" fillId="38" borderId="0" xfId="0" applyNumberFormat="1" applyFill="1"/>
    <xf numFmtId="43" fontId="3" fillId="0" borderId="0" xfId="0" applyNumberFormat="1" applyFont="1"/>
    <xf numFmtId="164" fontId="0" fillId="37" borderId="0" xfId="1" applyNumberFormat="1" applyFont="1" applyFill="1"/>
    <xf numFmtId="9" fontId="0" fillId="0" borderId="0" xfId="0" applyNumberFormat="1"/>
    <xf numFmtId="9" fontId="3" fillId="35" borderId="22" xfId="0" applyNumberFormat="1" applyFont="1" applyFill="1" applyBorder="1"/>
    <xf numFmtId="9" fontId="3" fillId="35" borderId="22" xfId="1" applyNumberFormat="1" applyFont="1" applyFill="1" applyBorder="1"/>
    <xf numFmtId="9" fontId="3" fillId="0" borderId="14" xfId="0" applyNumberFormat="1" applyFont="1" applyBorder="1"/>
    <xf numFmtId="9" fontId="95" fillId="0" borderId="14" xfId="1" applyNumberFormat="1" applyFont="1" applyBorder="1"/>
    <xf numFmtId="9" fontId="3" fillId="0" borderId="25" xfId="0" applyNumberFormat="1" applyFont="1" applyBorder="1"/>
    <xf numFmtId="9" fontId="3" fillId="35" borderId="32" xfId="0" applyNumberFormat="1" applyFont="1" applyFill="1" applyBorder="1"/>
    <xf numFmtId="9" fontId="6" fillId="0" borderId="22" xfId="0" applyNumberFormat="1" applyFont="1" applyBorder="1"/>
    <xf numFmtId="9" fontId="0" fillId="0" borderId="14" xfId="1" applyNumberFormat="1" applyFont="1" applyBorder="1"/>
    <xf numFmtId="9" fontId="3" fillId="35" borderId="32" xfId="1" applyNumberFormat="1" applyFont="1" applyFill="1" applyBorder="1"/>
    <xf numFmtId="9" fontId="0" fillId="38" borderId="0" xfId="0" applyNumberFormat="1" applyFill="1"/>
    <xf numFmtId="43" fontId="95" fillId="0" borderId="0" xfId="1" applyFont="1"/>
    <xf numFmtId="43" fontId="95" fillId="28" borderId="0" xfId="1" applyFont="1" applyFill="1"/>
    <xf numFmtId="0" fontId="95" fillId="28" borderId="0" xfId="0" applyFont="1" applyFill="1"/>
    <xf numFmtId="164" fontId="100" fillId="0" borderId="14" xfId="1" applyNumberFormat="1" applyFont="1" applyBorder="1"/>
    <xf numFmtId="164" fontId="99" fillId="0" borderId="14" xfId="0" applyNumberFormat="1" applyFont="1" applyBorder="1"/>
    <xf numFmtId="9" fontId="0" fillId="0" borderId="0" xfId="2" applyFont="1"/>
    <xf numFmtId="0" fontId="84" fillId="8" borderId="0" xfId="0" applyFont="1" applyFill="1"/>
    <xf numFmtId="164" fontId="99" fillId="8" borderId="14" xfId="0" applyNumberFormat="1" applyFont="1" applyFill="1" applyBorder="1"/>
    <xf numFmtId="166" fontId="99" fillId="8" borderId="0" xfId="0" applyNumberFormat="1" applyFont="1" applyFill="1"/>
    <xf numFmtId="166" fontId="3" fillId="8" borderId="14" xfId="0" applyNumberFormat="1" applyFont="1" applyFill="1" applyBorder="1"/>
    <xf numFmtId="164" fontId="99" fillId="8" borderId="25" xfId="1" applyNumberFormat="1" applyFont="1" applyFill="1" applyBorder="1"/>
    <xf numFmtId="0" fontId="84" fillId="22" borderId="0" xfId="0" applyFont="1" applyFill="1"/>
    <xf numFmtId="10" fontId="0" fillId="0" borderId="0" xfId="2" applyNumberFormat="1" applyFont="1"/>
    <xf numFmtId="10" fontId="84" fillId="8" borderId="0" xfId="2" applyNumberFormat="1" applyFont="1" applyFill="1"/>
    <xf numFmtId="164" fontId="84" fillId="39" borderId="0" xfId="1" applyNumberFormat="1" applyFont="1" applyFill="1"/>
    <xf numFmtId="0" fontId="84" fillId="39" borderId="0" xfId="0" applyFont="1" applyFill="1"/>
    <xf numFmtId="0" fontId="2" fillId="30" borderId="4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 wrapText="1"/>
    </xf>
    <xf numFmtId="0" fontId="2" fillId="30" borderId="0" xfId="0" applyFont="1" applyFill="1" applyAlignment="1">
      <alignment vertical="center" wrapText="1"/>
    </xf>
    <xf numFmtId="0" fontId="3" fillId="0" borderId="3" xfId="0" applyFont="1" applyBorder="1" applyAlignment="1">
      <alignment horizontal="center"/>
    </xf>
    <xf numFmtId="0" fontId="2" fillId="18" borderId="4" xfId="0" applyFont="1" applyFill="1" applyBorder="1" applyAlignment="1">
      <alignment horizontal="center"/>
    </xf>
    <xf numFmtId="0" fontId="2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2" fillId="6" borderId="4" xfId="0" applyFont="1" applyFill="1" applyBorder="1" applyAlignment="1">
      <alignment horizontal="center"/>
    </xf>
    <xf numFmtId="0" fontId="2" fillId="32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/>
    </xf>
    <xf numFmtId="2" fontId="16" fillId="0" borderId="1" xfId="5" applyNumberFormat="1" applyFont="1" applyBorder="1" applyAlignment="1">
      <alignment horizontal="left" vertical="top" wrapText="1"/>
    </xf>
    <xf numFmtId="164" fontId="15" fillId="0" borderId="0" xfId="5" applyNumberFormat="1" applyFont="1" applyBorder="1" applyAlignment="1">
      <alignment horizontal="center" vertical="top"/>
    </xf>
    <xf numFmtId="0" fontId="8" fillId="0" borderId="6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0" fontId="10" fillId="0" borderId="7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0" fontId="10" fillId="7" borderId="9" xfId="3" applyFont="1" applyFill="1" applyBorder="1" applyAlignment="1">
      <alignment horizontal="center" vertical="center" wrapText="1"/>
    </xf>
    <xf numFmtId="0" fontId="10" fillId="7" borderId="2" xfId="3" applyFont="1" applyFill="1" applyBorder="1" applyAlignment="1">
      <alignment horizontal="center" vertical="center" wrapText="1"/>
    </xf>
    <xf numFmtId="0" fontId="38" fillId="9" borderId="0" xfId="3" applyFont="1" applyFill="1" applyAlignment="1">
      <alignment horizontal="center" vertical="center"/>
    </xf>
    <xf numFmtId="0" fontId="38" fillId="3" borderId="4" xfId="3" applyFont="1" applyFill="1" applyBorder="1" applyAlignment="1">
      <alignment horizontal="center" vertical="center"/>
    </xf>
    <xf numFmtId="0" fontId="38" fillId="10" borderId="0" xfId="3" applyFont="1" applyFill="1" applyAlignment="1">
      <alignment horizontal="center" vertical="center"/>
    </xf>
    <xf numFmtId="0" fontId="38" fillId="9" borderId="4" xfId="3" applyFont="1" applyFill="1" applyBorder="1" applyAlignment="1">
      <alignment horizontal="center" vertical="center"/>
    </xf>
    <xf numFmtId="0" fontId="38" fillId="9" borderId="0" xfId="3" applyFont="1" applyFill="1" applyAlignment="1">
      <alignment horizontal="center" vertical="center" wrapText="1"/>
    </xf>
    <xf numFmtId="0" fontId="38" fillId="11" borderId="4" xfId="3" applyFont="1" applyFill="1" applyBorder="1" applyAlignment="1">
      <alignment horizontal="center" vertical="center" wrapText="1"/>
    </xf>
    <xf numFmtId="0" fontId="38" fillId="11" borderId="0" xfId="3" applyFont="1" applyFill="1" applyAlignment="1">
      <alignment horizontal="center" vertical="center" wrapText="1"/>
    </xf>
    <xf numFmtId="0" fontId="38" fillId="12" borderId="0" xfId="3" applyFont="1" applyFill="1" applyAlignment="1">
      <alignment horizontal="center" vertical="center" wrapText="1"/>
    </xf>
    <xf numFmtId="0" fontId="38" fillId="3" borderId="0" xfId="3" applyFont="1" applyFill="1" applyAlignment="1">
      <alignment horizontal="center" vertical="center"/>
    </xf>
    <xf numFmtId="0" fontId="39" fillId="15" borderId="0" xfId="3" applyFont="1" applyFill="1" applyAlignment="1">
      <alignment horizontal="right" vertical="center"/>
    </xf>
    <xf numFmtId="0" fontId="38" fillId="3" borderId="4" xfId="3" quotePrefix="1" applyFont="1" applyFill="1" applyBorder="1" applyAlignment="1">
      <alignment horizontal="center" vertical="center"/>
    </xf>
    <xf numFmtId="0" fontId="39" fillId="13" borderId="0" xfId="3" applyFont="1" applyFill="1" applyAlignment="1">
      <alignment horizontal="right" vertical="center"/>
    </xf>
    <xf numFmtId="0" fontId="39" fillId="14" borderId="0" xfId="3" applyFont="1" applyFill="1" applyAlignment="1">
      <alignment horizontal="right" vertical="center"/>
    </xf>
    <xf numFmtId="0" fontId="38" fillId="3" borderId="0" xfId="3" applyFont="1" applyFill="1" applyAlignment="1">
      <alignment vertical="center"/>
    </xf>
    <xf numFmtId="0" fontId="39" fillId="5" borderId="0" xfId="3" applyFont="1" applyFill="1" applyAlignment="1">
      <alignment horizontal="right" vertical="center"/>
    </xf>
    <xf numFmtId="0" fontId="62" fillId="9" borderId="0" xfId="3" applyFont="1" applyFill="1" applyAlignment="1">
      <alignment horizontal="center" vertical="center" wrapText="1"/>
    </xf>
    <xf numFmtId="0" fontId="62" fillId="10" borderId="18" xfId="3" applyFont="1" applyFill="1" applyBorder="1" applyAlignment="1">
      <alignment horizontal="center" vertical="center"/>
    </xf>
    <xf numFmtId="0" fontId="62" fillId="10" borderId="19" xfId="3" applyFont="1" applyFill="1" applyBorder="1" applyAlignment="1">
      <alignment horizontal="center" vertical="center"/>
    </xf>
    <xf numFmtId="0" fontId="62" fillId="10" borderId="4" xfId="3" applyFont="1" applyFill="1" applyBorder="1" applyAlignment="1">
      <alignment horizontal="center" vertical="center"/>
    </xf>
    <xf numFmtId="0" fontId="62" fillId="9" borderId="0" xfId="3" applyFont="1" applyFill="1" applyAlignment="1">
      <alignment horizontal="center" vertical="center"/>
    </xf>
  </cellXfs>
  <cellStyles count="7">
    <cellStyle name="Comma" xfId="1" builtinId="3"/>
    <cellStyle name="Comma 2" xfId="4" xr:uid="{73794715-16E9-435B-8CD6-D2AA2B073A29}"/>
    <cellStyle name="Comma 3" xfId="5" xr:uid="{18DBBC79-44A9-41EB-8B40-BA9E24F3FA81}"/>
    <cellStyle name="Normal" xfId="0" builtinId="0"/>
    <cellStyle name="Normal 2" xfId="3" xr:uid="{71F66795-E06E-40C9-AE2F-491CA17EA130}"/>
    <cellStyle name="Percent" xfId="2" builtinId="5"/>
    <cellStyle name="Percent 2" xfId="6" xr:uid="{96A4D3A8-6A80-467D-8E71-1AC1B0F04891}"/>
  </cellStyles>
  <dxfs count="25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64" formatCode="_(* #,##0_);_(* \(#,##0\);_(* &quot;-&quot;??_);_(@_)"/>
    </dxf>
    <dxf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64" formatCode="_(* #,##0_);_(* \(#,##0\);_(* &quot;-&quot;??_);_(@_)"/>
    </dxf>
  </dxfs>
  <tableStyles count="0" defaultTableStyle="TableStyleMedium2" defaultPivotStyle="PivotStyleLight16"/>
  <colors>
    <mruColors>
      <color rgb="FFFFFF99"/>
      <color rgb="FF0000FF"/>
      <color rgb="FFFF33CC"/>
      <color rgb="FFBE3455"/>
      <color rgb="FF1193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136272823599257"/>
          <c:y val="0.19129828366756851"/>
          <c:w val="0.64863727176400743"/>
          <c:h val="0.80007999338516234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'Trình bày'!$C$9</c:f>
              <c:strCache>
                <c:ptCount val="1"/>
                <c:pt idx="0">
                  <c:v>Nguyên vật liệu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58D2833-B020-4FBE-B360-777D240108AD}" type="CELLRANG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AC183408-DCA5-463C-9BD8-EC0534781AFA}" type="SERIESNAM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FED58E8D-B4DB-403E-922A-029DC5400A5F}" type="VALU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768512530737393"/>
                      <c:h val="0.211466167220787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E43-40A3-9FAD-2041B8CBD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bày'!$F$9</c:f>
              <c:numCache>
                <c:formatCode>_(* #,##0_);_(* \(#,##0\);_(* "-"??_);_(@_)</c:formatCode>
                <c:ptCount val="1"/>
                <c:pt idx="0">
                  <c:v>10621.116732492324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bày'!$H$9</c15:f>
                <c15:dlblRangeCache>
                  <c:ptCount val="1"/>
                  <c:pt idx="0">
                    <c:v>57%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E43-40A3-9FAD-2041B8CBD781}"/>
            </c:ext>
          </c:extLst>
        </c:ser>
        <c:ser>
          <c:idx val="6"/>
          <c:order val="6"/>
          <c:tx>
            <c:strRef>
              <c:f>'Trình bày'!$C$13</c:f>
              <c:strCache>
                <c:ptCount val="1"/>
                <c:pt idx="0">
                  <c:v>Hao hụt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E003442-698B-487F-925B-D4403B255C7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CC8E819-E99A-4A37-8E3D-FB561BAFBBC3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CF63EC22-ACC3-4501-B1FB-3094438DBB5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65653372568585"/>
                      <c:h val="0.1016321880881046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E43-40A3-9FAD-2041B8CBD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bày'!$F$13</c:f>
              <c:numCache>
                <c:formatCode>_(* #,##0_);_(* \(#,##0\);_(* "-"??_);_(@_)</c:formatCode>
                <c:ptCount val="1"/>
                <c:pt idx="0">
                  <c:v>430.81727702081781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bày'!$H$13</c15:f>
                <c15:dlblRangeCache>
                  <c:ptCount val="1"/>
                  <c:pt idx="0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E43-40A3-9FAD-2041B8CBD781}"/>
            </c:ext>
          </c:extLst>
        </c:ser>
        <c:ser>
          <c:idx val="7"/>
          <c:order val="7"/>
          <c:tx>
            <c:strRef>
              <c:f>'Trình bày'!$C$14</c:f>
              <c:strCache>
                <c:ptCount val="1"/>
                <c:pt idx="0">
                  <c:v>Gia công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440023072670903E-3"/>
                  <c:y val="3.203229880753361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77B9D1C-9C31-4EEC-9663-22F9D530AD00}" type="CELLRANG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AA4F71A2-479E-4F22-B5E6-317348688339}" type="SERIESNAM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32CE76D8-97D0-4ACD-8EE6-693D9B8229E1}" type="VALU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620029962426798"/>
                      <c:h val="0.1463434009780742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3E43-40A3-9FAD-2041B8CBD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bày'!$F$14</c:f>
              <c:numCache>
                <c:formatCode>_(* #,##0_);_(* \(#,##0\);_(* "-"??_);_(@_)</c:formatCode>
                <c:ptCount val="1"/>
                <c:pt idx="0">
                  <c:v>5000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bày'!$H$14</c15:f>
                <c15:dlblRangeCache>
                  <c:ptCount val="1"/>
                  <c:pt idx="0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E43-40A3-9FAD-2041B8CBD781}"/>
            </c:ext>
          </c:extLst>
        </c:ser>
        <c:ser>
          <c:idx val="10"/>
          <c:order val="10"/>
          <c:tx>
            <c:strRef>
              <c:f>'Trình bày'!$C$17</c:f>
              <c:strCache>
                <c:ptCount val="1"/>
                <c:pt idx="0">
                  <c:v>Chi phí hoa hồng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D8AB44B-1047-4390-AE93-9F6149C4D33A}" type="CELLRANG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370E1FD7-AFDC-444B-BB43-3E2A5D8A5AE1}" type="SERIESNAM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5C16F53E-01BA-4184-B98D-7F0F9B1AE809}" type="VALU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378079062096583"/>
                      <c:h val="0.117790900624243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3E43-40A3-9FAD-2041B8CBD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bày'!$F$17</c:f>
              <c:numCache>
                <c:formatCode>_(* #,##0_);_(* \(#,##0\);_(* "-"??_);_(@_)</c:formatCode>
                <c:ptCount val="1"/>
                <c:pt idx="0">
                  <c:v>1350.0971502590673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bày'!$H$17</c15:f>
                <c15:dlblRangeCache>
                  <c:ptCount val="1"/>
                  <c:pt idx="0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3E43-40A3-9FAD-2041B8CBD781}"/>
            </c:ext>
          </c:extLst>
        </c:ser>
        <c:ser>
          <c:idx val="12"/>
          <c:order val="12"/>
          <c:tx>
            <c:strRef>
              <c:f>'Trình bày'!$C$19</c:f>
              <c:strCache>
                <c:ptCount val="1"/>
                <c:pt idx="0">
                  <c:v>Lãi gộp sau hoa hồng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526489509145003E-3"/>
                  <c:y val="-7.529608254595274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3FC4C36-123F-4D71-B69C-9ACEB584ABA6}" type="CELLRANG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941968DD-A0C7-45B8-A0A3-9EB7427ADD2A}" type="SERIESNAM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[SERIES NAME]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3C120B1C-6C11-4052-9B6A-6D0BEE0F0C52}" type="VALU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 sz="1100" baseline="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5323057449348272"/>
                      <c:h val="8.529080041987936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3E43-40A3-9FAD-2041B8CBD7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bày'!$F$19</c:f>
              <c:numCache>
                <c:formatCode>_(* #,##0_);_(* \(#,##0\);_(* "-"??_);_(@_)</c:formatCode>
                <c:ptCount val="1"/>
                <c:pt idx="0">
                  <c:v>1098.9403428184633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bày'!$H$19</c15:f>
                <c15:dlblRangeCache>
                  <c:ptCount val="1"/>
                  <c:pt idx="0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3E43-40A3-9FAD-2041B8CB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45547071"/>
        <c:axId val="945536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'Trình bày'!$C$7</c15:sqref>
                        </c15:formulaRef>
                      </c:ext>
                    </c:extLst>
                    <c:strCache>
                      <c:ptCount val="1"/>
                      <c:pt idx="0">
                        <c:v>Doanh thu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'Trình bày'!$F$7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18500.971502590673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E43-40A3-9FAD-2041B8CBD78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bày'!$C$8</c15:sqref>
                        </c15:formulaRef>
                      </c:ext>
                    </c:extLst>
                    <c:strCache>
                      <c:ptCount val="1"/>
                      <c:pt idx="0">
                        <c:v>Giá vốn hàng bán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16051.934009513143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43-40A3-9FAD-2041B8CBD78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bày'!$C$10</c15:sqref>
                        </c15:formulaRef>
                      </c:ext>
                    </c:extLst>
                    <c:strCache>
                      <c:ptCount val="1"/>
                      <c:pt idx="0">
                        <c:v>Đầu keo PET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8940.9858783812615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E43-40A3-9FAD-2041B8CBD78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bày'!$C$11</c15:sqref>
                        </c15:formulaRef>
                      </c:ext>
                    </c:extLst>
                    <c:strCache>
                      <c:ptCount val="1"/>
                      <c:pt idx="0">
                        <c:v>Phó sản PET làm dây đai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9215.6108949030622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E43-40A3-9FAD-2041B8CBD78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bày'!$C$12</c15:sqref>
                        </c15:formulaRef>
                      </c:ext>
                    </c:extLst>
                    <c:strCache>
                      <c:ptCount val="1"/>
                      <c:pt idx="0">
                        <c:v>Vảy PET B4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22386.570701983015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E43-40A3-9FAD-2041B8CBD78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bày'!$C$15</c15:sqref>
                        </c15:formulaRef>
                      </c:ext>
                    </c:extLst>
                    <c:strCache>
                      <c:ptCount val="1"/>
                      <c:pt idx="0">
                        <c:v>Lãi gộp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2449.0374930775306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E43-40A3-9FAD-2041B8CBD78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bày'!$C$16</c15:sqref>
                        </c15:formulaRef>
                      </c:ext>
                    </c:extLst>
                    <c:strCache>
                      <c:ptCount val="1"/>
                      <c:pt idx="0">
                        <c:v>%Lãi gộp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bày'!$F$16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0.13237345361753539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E43-40A3-9FAD-2041B8CBD781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bày'!$C$18</c15:sqref>
                        </c15:formulaRef>
                      </c:ext>
                    </c:extLst>
                    <c:strCache>
                      <c:ptCount val="1"/>
                      <c:pt idx="0">
                        <c:v>%Cp hoa hồng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bày'!$F$18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7.2974392186378675E-2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E43-40A3-9FAD-2041B8CBD781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bày'!$C$20</c15:sqref>
                        </c15:formulaRef>
                      </c:ext>
                    </c:extLst>
                    <c:strCache>
                      <c:ptCount val="1"/>
                      <c:pt idx="0">
                        <c:v>%Lãi gộp sau hoa hồng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bày'!$F$20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5.9399061431156717E-2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3E43-40A3-9FAD-2041B8CBD781}"/>
                  </c:ext>
                </c:extLst>
              </c15:ser>
            </c15:filteredBarSeries>
          </c:ext>
        </c:extLst>
      </c:barChart>
      <c:catAx>
        <c:axId val="945547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536031"/>
        <c:crosses val="autoZero"/>
        <c:auto val="1"/>
        <c:lblAlgn val="ctr"/>
        <c:lblOffset val="100"/>
        <c:noMultiLvlLbl val="0"/>
      </c:catAx>
      <c:valAx>
        <c:axId val="945536031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4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136272823599257"/>
          <c:y val="0.19129828366756851"/>
          <c:w val="0.64863727176400743"/>
          <c:h val="0.80007999338516234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'Trình bày (2)'!$C$9</c:f>
              <c:strCache>
                <c:ptCount val="1"/>
                <c:pt idx="0">
                  <c:v>Nguyên vật liệu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B03D754-1FBD-4370-907C-4A92ABDF96E0}" type="CELLRANG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543AB63B-489C-40A0-B6D5-1CC3D29D961B}" type="SERIESNAM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012EFEC2-95A9-4001-A5FF-092C34702FBE}" type="VALUE">
                      <a:rPr lang="en-US" baseline="0"/>
                      <a:pPr>
                        <a:defRPr sz="12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768512530737393"/>
                      <c:h val="0.2114661672207874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9E5-4F54-93C7-7F6F8236F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 (2)'!$F$9</c:f>
              <c:numCache>
                <c:formatCode>_(* #,##0_);_(* \(#,##0\);_(* "-"??_);_(@_)</c:formatCode>
                <c:ptCount val="1"/>
                <c:pt idx="0">
                  <c:v>10621.116732492324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 (2)'!$H$9</c15:f>
                <c15:dlblRangeCache>
                  <c:ptCount val="1"/>
                  <c:pt idx="0">
                    <c:v>57%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9E5-4F54-93C7-7F6F8236FA99}"/>
            </c:ext>
          </c:extLst>
        </c:ser>
        <c:ser>
          <c:idx val="6"/>
          <c:order val="6"/>
          <c:tx>
            <c:strRef>
              <c:f>'Trình bày (2)'!$C$13</c:f>
              <c:strCache>
                <c:ptCount val="1"/>
                <c:pt idx="0">
                  <c:v>Hao hụt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23A0C69-3352-490F-BA31-B4443B6B854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7353E55-4CE1-4356-8DE1-168BF9341267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4F551763-B9F8-46E5-B6D6-190487B5E54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65653372568585"/>
                      <c:h val="0.1016321880881046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E5-4F54-93C7-7F6F8236F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 (2)'!$F$13</c:f>
              <c:numCache>
                <c:formatCode>_(* #,##0_);_(* \(#,##0\);_(* "-"??_);_(@_)</c:formatCode>
                <c:ptCount val="1"/>
                <c:pt idx="0">
                  <c:v>430.81727702081781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 (2)'!$H$13</c15:f>
                <c15:dlblRangeCache>
                  <c:ptCount val="1"/>
                  <c:pt idx="0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19E5-4F54-93C7-7F6F8236FA99}"/>
            </c:ext>
          </c:extLst>
        </c:ser>
        <c:ser>
          <c:idx val="7"/>
          <c:order val="7"/>
          <c:tx>
            <c:strRef>
              <c:f>'Trình bày (2)'!$C$14</c:f>
              <c:strCache>
                <c:ptCount val="1"/>
                <c:pt idx="0">
                  <c:v>Gia công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440023072670903E-3"/>
                  <c:y val="3.203229880753361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8A6A08F-5529-4EDD-87E9-CF8BCA374A36}" type="CELLRANG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84A2C400-4B17-4590-9D13-458DE3997FF1}" type="SERIESNAM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014CABF1-EB1A-48C9-9AB5-F4823B03A9F1}" type="VALUE">
                      <a:rPr lang="en-US" baseline="0"/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620029962426798"/>
                      <c:h val="0.1463434009780742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9E5-4F54-93C7-7F6F8236F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 (2)'!$F$14</c:f>
              <c:numCache>
                <c:formatCode>_(* #,##0_);_(* \(#,##0\);_(* "-"??_);_(@_)</c:formatCode>
                <c:ptCount val="1"/>
                <c:pt idx="0">
                  <c:v>5000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 (2)'!$H$14</c15:f>
                <c15:dlblRangeCache>
                  <c:ptCount val="1"/>
                  <c:pt idx="0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19E5-4F54-93C7-7F6F8236FA99}"/>
            </c:ext>
          </c:extLst>
        </c:ser>
        <c:ser>
          <c:idx val="10"/>
          <c:order val="10"/>
          <c:tx>
            <c:strRef>
              <c:f>'Trình bày (2)'!$C$17</c:f>
              <c:strCache>
                <c:ptCount val="1"/>
                <c:pt idx="0">
                  <c:v>Chi phí hoa hồng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B7E77D8-D4FF-4E82-87AD-422B0AAA1928}" type="CELLRANG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[CELLRANGE]</a:t>
                    </a:fld>
                    <a:r>
                      <a:rPr lang="en-US" baseline="0"/>
                      <a:t>, </a:t>
                    </a:r>
                    <a:fld id="{FE7ECA8B-2AF1-4743-8AE5-DA1C3A43D9C8}" type="SERIESNAM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/>
                      <a:t>, </a:t>
                    </a:r>
                    <a:fld id="{FF8BB97B-B230-47D3-852C-E281A2C5F200}" type="VALUE">
                      <a:rPr lang="en-US" baseline="0"/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378079062096583"/>
                      <c:h val="0.117790900624243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9E5-4F54-93C7-7F6F8236F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 (2)'!$F$17</c:f>
              <c:numCache>
                <c:formatCode>_(* #,##0_);_(* \(#,##0\);_(* "-"??_);_(@_)</c:formatCode>
                <c:ptCount val="1"/>
                <c:pt idx="0">
                  <c:v>1350.0971502590673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 (2)'!$H$17</c15:f>
                <c15:dlblRangeCache>
                  <c:ptCount val="1"/>
                  <c:pt idx="0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19E5-4F54-93C7-7F6F8236FA99}"/>
            </c:ext>
          </c:extLst>
        </c:ser>
        <c:ser>
          <c:idx val="12"/>
          <c:order val="12"/>
          <c:tx>
            <c:strRef>
              <c:f>'Trình bày (2)'!$C$19</c:f>
              <c:strCache>
                <c:ptCount val="1"/>
                <c:pt idx="0">
                  <c:v>Lãi gộp sau hoa hồng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9.526489509145003E-3"/>
                  <c:y val="-7.529608254595274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81F8552-DC1F-444F-979B-7E834ED61B39}" type="CELLRANG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A5335C9B-3CE7-447B-AC26-FB33B2A4A1A7}" type="SERIESNAM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[SERIES NAME]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B384771B-50A2-491E-AD1D-61722AEDE6E5}" type="VALUE">
                      <a:rPr lang="en-US" sz="1100" baseline="0">
                        <a:solidFill>
                          <a:srgbClr val="FF0000"/>
                        </a:solidFill>
                      </a:rPr>
                      <a:pPr>
                        <a:defRPr sz="1100" b="1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 sz="1100" baseline="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5323057449348272"/>
                      <c:h val="8.529080041987936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9E5-4F54-93C7-7F6F8236F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'Trình bày (2)'!$F$19</c:f>
              <c:numCache>
                <c:formatCode>_(* #,##0_);_(* \(#,##0\);_(* "-"??_);_(@_)</c:formatCode>
                <c:ptCount val="1"/>
                <c:pt idx="0">
                  <c:v>1098.9403428184633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'Trình bày (2)'!$H$19</c15:f>
                <c15:dlblRangeCache>
                  <c:ptCount val="1"/>
                  <c:pt idx="0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19E5-4F54-93C7-7F6F8236F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945547071"/>
        <c:axId val="945536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'Trình bày (2)'!$C$7</c15:sqref>
                        </c15:formulaRef>
                      </c:ext>
                    </c:extLst>
                    <c:strCache>
                      <c:ptCount val="1"/>
                      <c:pt idx="0">
                        <c:v>Doanh thu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'Trình bày (2)'!$F$7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18500.971502590673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19E5-4F54-93C7-7F6F8236FA9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(2)'!$C$8</c15:sqref>
                        </c15:formulaRef>
                      </c:ext>
                    </c:extLst>
                    <c:strCache>
                      <c:ptCount val="1"/>
                      <c:pt idx="0">
                        <c:v>Giá vốn hàng bán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16051.934009513143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19E5-4F54-93C7-7F6F8236FA9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(2)'!$C$10</c15:sqref>
                        </c15:formulaRef>
                      </c:ext>
                    </c:extLst>
                    <c:strCache>
                      <c:ptCount val="1"/>
                      <c:pt idx="0">
                        <c:v>Đầu keo PET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8940.9858783812615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19E5-4F54-93C7-7F6F8236FA9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(2)'!$C$11</c15:sqref>
                        </c15:formulaRef>
                      </c:ext>
                    </c:extLst>
                    <c:strCache>
                      <c:ptCount val="1"/>
                      <c:pt idx="0">
                        <c:v>Phó sản PET làm dây đai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9215.6108949030622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19E5-4F54-93C7-7F6F8236FA9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(2)'!$C$12</c15:sqref>
                        </c15:formulaRef>
                      </c:ext>
                    </c:extLst>
                    <c:strCache>
                      <c:ptCount val="1"/>
                      <c:pt idx="0">
                        <c:v>Vảy PET B4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22386.570701983015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19E5-4F54-93C7-7F6F8236FA9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(2)'!$C$15</c15:sqref>
                        </c15:formulaRef>
                      </c:ext>
                    </c:extLst>
                    <c:strCache>
                      <c:ptCount val="1"/>
                      <c:pt idx="0">
                        <c:v>Lãi gộp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"/>
                      <c:pt idx="0">
                        <c:v>2449.0374930775306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19E5-4F54-93C7-7F6F8236FA9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(2)'!$C$16</c15:sqref>
                        </c15:formulaRef>
                      </c:ext>
                    </c:extLst>
                    <c:strCache>
                      <c:ptCount val="1"/>
                      <c:pt idx="0">
                        <c:v>%Lãi gộp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(2)'!$F$16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0.13237345361753539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19E5-4F54-93C7-7F6F8236FA9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(2)'!$C$18</c15:sqref>
                        </c15:formulaRef>
                      </c:ext>
                    </c:extLst>
                    <c:strCache>
                      <c:ptCount val="1"/>
                      <c:pt idx="0">
                        <c:v>%Cp hoa hồng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(2)'!$F$18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7.2974392186378675E-2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19E5-4F54-93C7-7F6F8236FA99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(2)'!$C$20</c15:sqref>
                        </c15:formulaRef>
                      </c:ext>
                    </c:extLst>
                    <c:strCache>
                      <c:ptCount val="1"/>
                      <c:pt idx="0">
                        <c:v>%Lãi gộp sau hoa hồng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'Trình bày (2)'!$F$20</c15:sqref>
                        </c15:formulaRef>
                      </c:ext>
                    </c:extLst>
                    <c:numCache>
                      <c:formatCode>0.0%</c:formatCode>
                      <c:ptCount val="1"/>
                      <c:pt idx="0">
                        <c:v>5.9399061431156717E-2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19E5-4F54-93C7-7F6F8236FA99}"/>
                  </c:ext>
                </c:extLst>
              </c15:ser>
            </c15:filteredBarSeries>
          </c:ext>
        </c:extLst>
      </c:barChart>
      <c:catAx>
        <c:axId val="945547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5536031"/>
        <c:crosses val="autoZero"/>
        <c:auto val="1"/>
        <c:lblAlgn val="ctr"/>
        <c:lblOffset val="100"/>
        <c:noMultiLvlLbl val="0"/>
      </c:catAx>
      <c:valAx>
        <c:axId val="945536031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4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100464</xdr:colOff>
      <xdr:row>3</xdr:row>
      <xdr:rowOff>147995</xdr:rowOff>
    </xdr:from>
    <xdr:to>
      <xdr:col>23</xdr:col>
      <xdr:colOff>511874</xdr:colOff>
      <xdr:row>27</xdr:row>
      <xdr:rowOff>136037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F3B2B-CFD1-F29D-0779-26840591B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8326" y="515857"/>
          <a:ext cx="8998470" cy="4408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176560</xdr:colOff>
      <xdr:row>5</xdr:row>
      <xdr:rowOff>85125</xdr:rowOff>
    </xdr:from>
    <xdr:to>
      <xdr:col>7</xdr:col>
      <xdr:colOff>159880</xdr:colOff>
      <xdr:row>11</xdr:row>
      <xdr:rowOff>168586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35F86-4483-CCBE-F385-DACF4028C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5706" y="998905"/>
          <a:ext cx="1960757" cy="1183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201448</xdr:colOff>
      <xdr:row>19</xdr:row>
      <xdr:rowOff>61310</xdr:rowOff>
    </xdr:from>
    <xdr:to>
      <xdr:col>23</xdr:col>
      <xdr:colOff>38516</xdr:colOff>
      <xdr:row>36</xdr:row>
      <xdr:rowOff>108375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3640C-8F63-E1B7-C13E-91ADCA937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9586" y="3389586"/>
          <a:ext cx="6808928" cy="31738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316523</xdr:colOff>
      <xdr:row>1</xdr:row>
      <xdr:rowOff>128954</xdr:rowOff>
    </xdr:from>
    <xdr:to>
      <xdr:col>8</xdr:col>
      <xdr:colOff>152400</xdr:colOff>
      <xdr:row>27</xdr:row>
      <xdr:rowOff>52754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452A219-7B68-6F31-C231-704CB2B5CD14}"/>
            </a:ext>
          </a:extLst>
        </xdr:cNvPr>
        <xdr:cNvSpPr/>
      </xdr:nvSpPr>
      <xdr:spPr>
        <a:xfrm>
          <a:off x="3176954" y="310662"/>
          <a:ext cx="3862754" cy="5146430"/>
        </a:xfrm>
        <a:prstGeom prst="roundRect">
          <a:avLst>
            <a:gd name="adj" fmla="val 2149"/>
          </a:avLst>
        </a:prstGeom>
        <a:noFill/>
        <a:ln w="381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650631</xdr:colOff>
      <xdr:row>1</xdr:row>
      <xdr:rowOff>111369</xdr:rowOff>
    </xdr:from>
    <xdr:to>
      <xdr:col>13</xdr:col>
      <xdr:colOff>105508</xdr:colOff>
      <xdr:row>27</xdr:row>
      <xdr:rowOff>35169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C9EB2F3-DF9B-4B27-9540-25746D54786D}"/>
            </a:ext>
          </a:extLst>
        </xdr:cNvPr>
        <xdr:cNvSpPr/>
      </xdr:nvSpPr>
      <xdr:spPr>
        <a:xfrm>
          <a:off x="7537939" y="293077"/>
          <a:ext cx="3862754" cy="5146430"/>
        </a:xfrm>
        <a:prstGeom prst="roundRect">
          <a:avLst>
            <a:gd name="adj" fmla="val 2149"/>
          </a:avLst>
        </a:prstGeom>
        <a:noFill/>
        <a:ln w="38100"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246185</xdr:colOff>
      <xdr:row>21</xdr:row>
      <xdr:rowOff>17585</xdr:rowOff>
    </xdr:from>
    <xdr:to>
      <xdr:col>8</xdr:col>
      <xdr:colOff>64477</xdr:colOff>
      <xdr:row>21</xdr:row>
      <xdr:rowOff>263770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D1503D3-0444-052A-0114-4CA44E2B4C3C}"/>
            </a:ext>
          </a:extLst>
        </xdr:cNvPr>
        <xdr:cNvSpPr/>
      </xdr:nvSpPr>
      <xdr:spPr>
        <a:xfrm>
          <a:off x="6254262" y="4179277"/>
          <a:ext cx="697523" cy="246185"/>
        </a:xfrm>
        <a:prstGeom prst="ellipse">
          <a:avLst/>
        </a:prstGeom>
        <a:noFill/>
        <a:ln>
          <a:solidFill>
            <a:schemeClr val="accent2">
              <a:lumMod val="75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562709</xdr:colOff>
      <xdr:row>21</xdr:row>
      <xdr:rowOff>36636</xdr:rowOff>
    </xdr:from>
    <xdr:to>
      <xdr:col>11</xdr:col>
      <xdr:colOff>14656</xdr:colOff>
      <xdr:row>21</xdr:row>
      <xdr:rowOff>282821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C80A9F3-7388-E426-34A6-C83E45611454}"/>
            </a:ext>
          </a:extLst>
        </xdr:cNvPr>
        <xdr:cNvSpPr/>
      </xdr:nvSpPr>
      <xdr:spPr>
        <a:xfrm>
          <a:off x="8893421" y="4300905"/>
          <a:ext cx="697523" cy="246185"/>
        </a:xfrm>
        <a:prstGeom prst="ellipse">
          <a:avLst/>
        </a:prstGeom>
        <a:noFill/>
        <a:ln>
          <a:solidFill>
            <a:schemeClr val="accent2">
              <a:lumMod val="75000"/>
            </a:schemeClr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594947</xdr:colOff>
      <xdr:row>21</xdr:row>
      <xdr:rowOff>263770</xdr:rowOff>
    </xdr:from>
    <xdr:to>
      <xdr:col>7</xdr:col>
      <xdr:colOff>594947</xdr:colOff>
      <xdr:row>23</xdr:row>
      <xdr:rowOff>17584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43DB7DA-D50D-0B04-7D4B-B18639EBF2E7}"/>
            </a:ext>
          </a:extLst>
        </xdr:cNvPr>
        <xdr:cNvCxnSpPr>
          <a:stCxn id="4" idx="4"/>
        </xdr:cNvCxnSpPr>
      </xdr:nvCxnSpPr>
      <xdr:spPr>
        <a:xfrm>
          <a:off x="6603024" y="4425462"/>
          <a:ext cx="0" cy="257907"/>
        </a:xfrm>
        <a:prstGeom prst="line">
          <a:avLst/>
        </a:prstGeom>
        <a:ln w="285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911471</xdr:colOff>
      <xdr:row>21</xdr:row>
      <xdr:rowOff>282821</xdr:rowOff>
    </xdr:from>
    <xdr:to>
      <xdr:col>10</xdr:col>
      <xdr:colOff>911471</xdr:colOff>
      <xdr:row>23</xdr:row>
      <xdr:rowOff>24911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DD71039-72CF-0671-932E-B42FDF512AF8}"/>
            </a:ext>
          </a:extLst>
        </xdr:cNvPr>
        <xdr:cNvCxnSpPr>
          <a:stCxn id="5" idx="4"/>
        </xdr:cNvCxnSpPr>
      </xdr:nvCxnSpPr>
      <xdr:spPr>
        <a:xfrm>
          <a:off x="9242183" y="4547090"/>
          <a:ext cx="0" cy="247648"/>
        </a:xfrm>
        <a:prstGeom prst="line">
          <a:avLst/>
        </a:prstGeom>
        <a:ln w="285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586154</xdr:colOff>
      <xdr:row>23</xdr:row>
      <xdr:rowOff>11723</xdr:rowOff>
    </xdr:from>
    <xdr:to>
      <xdr:col>10</xdr:col>
      <xdr:colOff>915865</xdr:colOff>
      <xdr:row>23</xdr:row>
      <xdr:rowOff>14654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9134DE2C-DCCA-4617-8B97-96C5D46B245B}"/>
            </a:ext>
          </a:extLst>
        </xdr:cNvPr>
        <xdr:cNvCxnSpPr/>
      </xdr:nvCxnSpPr>
      <xdr:spPr>
        <a:xfrm flipH="1" flipV="1">
          <a:off x="5854212" y="4781550"/>
          <a:ext cx="3392365" cy="2931"/>
        </a:xfrm>
        <a:prstGeom prst="line">
          <a:avLst/>
        </a:prstGeom>
        <a:ln w="285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328246</xdr:colOff>
      <xdr:row>23</xdr:row>
      <xdr:rowOff>5861</xdr:rowOff>
    </xdr:from>
    <xdr:to>
      <xdr:col>9</xdr:col>
      <xdr:colOff>328246</xdr:colOff>
      <xdr:row>24</xdr:row>
      <xdr:rowOff>93785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A591565-4F7A-B280-8E3F-5138B4AFE278}"/>
            </a:ext>
          </a:extLst>
        </xdr:cNvPr>
        <xdr:cNvCxnSpPr/>
      </xdr:nvCxnSpPr>
      <xdr:spPr>
        <a:xfrm>
          <a:off x="7977554" y="4671646"/>
          <a:ext cx="0" cy="269631"/>
        </a:xfrm>
        <a:prstGeom prst="line">
          <a:avLst/>
        </a:prstGeom>
        <a:ln w="28575"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328246</xdr:colOff>
      <xdr:row>24</xdr:row>
      <xdr:rowOff>93785</xdr:rowOff>
    </xdr:from>
    <xdr:to>
      <xdr:col>9</xdr:col>
      <xdr:colOff>1078523</xdr:colOff>
      <xdr:row>24</xdr:row>
      <xdr:rowOff>93785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9F86BD1-D658-4F12-9BEE-2FE6BD3E903A}"/>
            </a:ext>
          </a:extLst>
        </xdr:cNvPr>
        <xdr:cNvCxnSpPr/>
      </xdr:nvCxnSpPr>
      <xdr:spPr>
        <a:xfrm>
          <a:off x="7977554" y="4941277"/>
          <a:ext cx="750277" cy="0"/>
        </a:xfrm>
        <a:prstGeom prst="straightConnector1">
          <a:avLst/>
        </a:prstGeom>
        <a:ln w="28575"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674077</xdr:colOff>
      <xdr:row>24</xdr:row>
      <xdr:rowOff>169985</xdr:rowOff>
    </xdr:from>
    <xdr:to>
      <xdr:col>10</xdr:col>
      <xdr:colOff>64477</xdr:colOff>
      <xdr:row>26</xdr:row>
      <xdr:rowOff>46892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1A0A9DC-AB25-E54D-C135-1F2422D7EA63}"/>
            </a:ext>
          </a:extLst>
        </xdr:cNvPr>
        <xdr:cNvSpPr txBox="1"/>
      </xdr:nvSpPr>
      <xdr:spPr>
        <a:xfrm>
          <a:off x="6277708" y="5017477"/>
          <a:ext cx="1266092" cy="2403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FF33CC"/>
              </a:solidFill>
            </a:rPr>
            <a:t>10.3 tỷ</a:t>
          </a:r>
          <a:r>
            <a:rPr lang="en-US" sz="1100" b="1" baseline="0">
              <a:solidFill>
                <a:srgbClr val="FF33CC"/>
              </a:solidFill>
            </a:rPr>
            <a:t> trừ 12.7 tỷ</a:t>
          </a:r>
          <a:endParaRPr lang="en-US" sz="1100" b="1">
            <a:solidFill>
              <a:srgbClr val="FF33CC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308739</xdr:colOff>
      <xdr:row>3</xdr:row>
      <xdr:rowOff>172055</xdr:rowOff>
    </xdr:from>
    <xdr:to>
      <xdr:col>12</xdr:col>
      <xdr:colOff>197069</xdr:colOff>
      <xdr:row>21</xdr:row>
      <xdr:rowOff>138275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2AA47F-D31A-4BE0-B2CC-EBD32AACE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0.46174</cdr:x>
      <cdr:y>0</cdr:y>
    </cdr:from>
    <cdr:to>
      <cdr:x>0.88707</cdr:x>
      <cdr:y>0.10316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0F97B4-A9A1-60FE-D20B-0225792D7E70}"/>
            </a:ext>
          </a:extLst>
        </cdr:cNvPr>
        <cdr:cNvSpPr txBox="1"/>
      </cdr:nvSpPr>
      <cdr:spPr>
        <a:xfrm xmlns:a="http://schemas.openxmlformats.org/drawingml/2006/main">
          <a:off x="1149569" y="0"/>
          <a:ext cx="1058917" cy="321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0000FF"/>
              </a:solidFill>
            </a:rPr>
            <a:t>GIÁ</a:t>
          </a:r>
          <a:r>
            <a:rPr lang="en-US" sz="1300" b="1" kern="1200" baseline="0">
              <a:solidFill>
                <a:srgbClr val="0000FF"/>
              </a:solidFill>
            </a:rPr>
            <a:t> BÁN</a:t>
          </a:r>
          <a:endParaRPr lang="en-US" sz="13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0.4934</cdr:x>
      <cdr:y>0.06526</cdr:y>
    </cdr:from>
    <cdr:to>
      <cdr:x>0.86069</cdr:x>
      <cdr:y>0.16632</cdr:y>
    </cdr:to>
    <cdr:sp macro="" textlink="'Trình bày'!$F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43A5B06-C9DB-BC44-054D-AFDA11B70FB3}"/>
            </a:ext>
          </a:extLst>
        </cdr:cNvPr>
        <cdr:cNvSpPr txBox="1"/>
      </cdr:nvSpPr>
      <cdr:spPr>
        <a:xfrm xmlns:a="http://schemas.openxmlformats.org/drawingml/2006/main">
          <a:off x="1228397" y="203638"/>
          <a:ext cx="914400" cy="315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407190B6-A9F4-4291-8157-41689E11F671}" type="TxLink">
            <a:rPr lang="en-US" sz="1800" b="1" i="0" u="none" strike="noStrike" kern="1200">
              <a:solidFill>
                <a:srgbClr val="0000FF"/>
              </a:solidFill>
              <a:latin typeface="Aptos Display"/>
            </a:rPr>
            <a:pPr algn="ctr"/>
            <a:t> 18,501 </a:t>
          </a:fld>
          <a:endParaRPr lang="en-US" sz="1800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0.80475</cdr:x>
      <cdr:y>0.09684</cdr:y>
    </cdr:from>
    <cdr:to>
      <cdr:x>1</cdr:x>
      <cdr:y>0.17895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D2200F-7EA9-9023-4901-BA9522E4BA0B}"/>
            </a:ext>
          </a:extLst>
        </cdr:cNvPr>
        <cdr:cNvSpPr txBox="1"/>
      </cdr:nvSpPr>
      <cdr:spPr>
        <a:xfrm xmlns:a="http://schemas.openxmlformats.org/drawingml/2006/main">
          <a:off x="2003535" y="302172"/>
          <a:ext cx="486103" cy="256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 baseline="0">
              <a:solidFill>
                <a:srgbClr val="0000FF"/>
              </a:solidFill>
            </a:rPr>
            <a:t>đ/kg</a:t>
          </a:r>
          <a:endParaRPr lang="en-US" sz="900" i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</cdr:x>
      <cdr:y>0.36996</cdr:y>
    </cdr:from>
    <cdr:to>
      <cdr:x>0.4591</cdr:x>
      <cdr:y>0.47312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A1A29FD-5EDA-4910-F63E-B0654985ABAC}"/>
            </a:ext>
          </a:extLst>
        </cdr:cNvPr>
        <cdr:cNvSpPr txBox="1"/>
      </cdr:nvSpPr>
      <cdr:spPr>
        <a:xfrm xmlns:a="http://schemas.openxmlformats.org/drawingml/2006/main">
          <a:off x="0" y="1154386"/>
          <a:ext cx="1143001" cy="321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0000FF"/>
              </a:solidFill>
            </a:rPr>
            <a:t>GIÁ</a:t>
          </a:r>
          <a:r>
            <a:rPr lang="en-US" sz="1300" b="1" kern="1200" baseline="0">
              <a:solidFill>
                <a:srgbClr val="0000FF"/>
              </a:solidFill>
            </a:rPr>
            <a:t> THÀNH</a:t>
          </a:r>
          <a:endParaRPr lang="en-US" sz="13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0.02568</cdr:x>
      <cdr:y>0.4626</cdr:y>
    </cdr:from>
    <cdr:to>
      <cdr:x>0.39296</cdr:x>
      <cdr:y>0.56365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4BACB94-3DD6-78B1-C8E0-0C435ECDE84E}"/>
            </a:ext>
          </a:extLst>
        </cdr:cNvPr>
        <cdr:cNvSpPr txBox="1"/>
      </cdr:nvSpPr>
      <cdr:spPr>
        <a:xfrm xmlns:a="http://schemas.openxmlformats.org/drawingml/2006/main">
          <a:off x="63938" y="1443421"/>
          <a:ext cx="914400" cy="315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 sz="1800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0.00528</cdr:x>
      <cdr:y>0.41895</cdr:y>
    </cdr:from>
    <cdr:to>
      <cdr:x>0.46174</cdr:x>
      <cdr:y>0.60211</cdr:y>
    </cdr:to>
    <cdr:sp macro="" textlink="'Trình bày'!$G$31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D6A8092-0652-6F14-A98E-66B850E7FD71}"/>
            </a:ext>
          </a:extLst>
        </cdr:cNvPr>
        <cdr:cNvSpPr txBox="1"/>
      </cdr:nvSpPr>
      <cdr:spPr>
        <a:xfrm xmlns:a="http://schemas.openxmlformats.org/drawingml/2006/main">
          <a:off x="13138" y="1307224"/>
          <a:ext cx="1136432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A9F24A9-3C73-4D9C-998F-B07D365F0EB6}" type="TxLink">
            <a:rPr lang="en-US" sz="1700" b="1" i="0" u="none" strike="noStrike" kern="1200">
              <a:solidFill>
                <a:srgbClr val="0000FF"/>
              </a:solidFill>
              <a:latin typeface="Aptos Display"/>
            </a:rPr>
            <a:pPr algn="ctr"/>
            <a:t> </a:t>
          </a:fld>
          <a:endParaRPr lang="en-US" sz="17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</cdr:x>
      <cdr:y>0.55312</cdr:y>
    </cdr:from>
    <cdr:to>
      <cdr:x>0.46174</cdr:x>
      <cdr:y>0.63523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8311C3E-9807-52A5-6C56-11D2182C37AE}"/>
            </a:ext>
          </a:extLst>
        </cdr:cNvPr>
        <cdr:cNvSpPr txBox="1"/>
      </cdr:nvSpPr>
      <cdr:spPr>
        <a:xfrm xmlns:a="http://schemas.openxmlformats.org/drawingml/2006/main">
          <a:off x="0" y="1725886"/>
          <a:ext cx="1149570" cy="256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i="1" kern="1200" baseline="0">
              <a:solidFill>
                <a:srgbClr val="0000FF"/>
              </a:solidFill>
            </a:rPr>
            <a:t>đ/kg</a:t>
          </a:r>
          <a:endParaRPr lang="en-US" sz="900" i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0.04383</cdr:x>
      <cdr:y>0.43873</cdr:y>
    </cdr:from>
    <cdr:to>
      <cdr:x>0.41112</cdr:x>
      <cdr:y>0.53979</cdr:y>
    </cdr:to>
    <cdr:sp macro="" textlink="'Trình bày'!$F$8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C6D087D-0376-2D97-8CE7-8C3CDB6321EA}"/>
            </a:ext>
          </a:extLst>
        </cdr:cNvPr>
        <cdr:cNvSpPr txBox="1"/>
      </cdr:nvSpPr>
      <cdr:spPr>
        <a:xfrm xmlns:a="http://schemas.openxmlformats.org/drawingml/2006/main">
          <a:off x="109415" y="1369646"/>
          <a:ext cx="916925" cy="3154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B416F49-44AB-41B4-BD6C-CCD1436529EB}" type="TxLink">
            <a:rPr lang="en-US" sz="1800" b="1" i="0" u="none" strike="noStrike" kern="1200">
              <a:solidFill>
                <a:srgbClr val="0000FF"/>
              </a:solidFill>
              <a:latin typeface="Aptos Display"/>
            </a:rPr>
            <a:pPr algn="ctr"/>
            <a:t> 16,052 </a:t>
          </a:fld>
          <a:endParaRPr lang="en-US" sz="1800" kern="1200">
            <a:solidFill>
              <a:srgbClr val="0000FF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308739</xdr:colOff>
      <xdr:row>3</xdr:row>
      <xdr:rowOff>172055</xdr:rowOff>
    </xdr:from>
    <xdr:to>
      <xdr:col>12</xdr:col>
      <xdr:colOff>197069</xdr:colOff>
      <xdr:row>21</xdr:row>
      <xdr:rowOff>138275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EF2F4-348C-46A9-B61C-50EB93436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0.46174</cdr:x>
      <cdr:y>0</cdr:y>
    </cdr:from>
    <cdr:to>
      <cdr:x>0.88707</cdr:x>
      <cdr:y>0.10316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D0F97B4-A9A1-60FE-D20B-0225792D7E70}"/>
            </a:ext>
          </a:extLst>
        </cdr:cNvPr>
        <cdr:cNvSpPr txBox="1"/>
      </cdr:nvSpPr>
      <cdr:spPr>
        <a:xfrm xmlns:a="http://schemas.openxmlformats.org/drawingml/2006/main">
          <a:off x="1149569" y="0"/>
          <a:ext cx="1058917" cy="321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300" b="1" kern="1200">
              <a:solidFill>
                <a:srgbClr val="0000FF"/>
              </a:solidFill>
            </a:rPr>
            <a:t>GIÁ</a:t>
          </a:r>
          <a:r>
            <a:rPr lang="en-US" sz="1300" b="1" kern="1200" baseline="0">
              <a:solidFill>
                <a:srgbClr val="0000FF"/>
              </a:solidFill>
            </a:rPr>
            <a:t> BÁN</a:t>
          </a:r>
          <a:endParaRPr lang="en-US" sz="13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0.4934</cdr:x>
      <cdr:y>0.06526</cdr:y>
    </cdr:from>
    <cdr:to>
      <cdr:x>0.86069</cdr:x>
      <cdr:y>0.16632</cdr:y>
    </cdr:to>
    <cdr:sp macro="" textlink="'Trình bày (2)'!$F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43A5B06-C9DB-BC44-054D-AFDA11B70FB3}"/>
            </a:ext>
          </a:extLst>
        </cdr:cNvPr>
        <cdr:cNvSpPr txBox="1"/>
      </cdr:nvSpPr>
      <cdr:spPr>
        <a:xfrm xmlns:a="http://schemas.openxmlformats.org/drawingml/2006/main">
          <a:off x="1228397" y="203638"/>
          <a:ext cx="914400" cy="315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407190B6-A9F4-4291-8157-41689E11F671}" type="TxLink">
            <a:rPr lang="en-US" sz="1800" b="1" i="0" u="none" strike="noStrike" kern="1200">
              <a:solidFill>
                <a:srgbClr val="0000FF"/>
              </a:solidFill>
              <a:latin typeface="Aptos Display"/>
            </a:rPr>
            <a:pPr algn="ctr"/>
            <a:t> 18,501 </a:t>
          </a:fld>
          <a:endParaRPr lang="en-US" sz="1800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0.80475</cdr:x>
      <cdr:y>0.09684</cdr:y>
    </cdr:from>
    <cdr:to>
      <cdr:x>1</cdr:x>
      <cdr:y>0.17895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D2200F-7EA9-9023-4901-BA9522E4BA0B}"/>
            </a:ext>
          </a:extLst>
        </cdr:cNvPr>
        <cdr:cNvSpPr txBox="1"/>
      </cdr:nvSpPr>
      <cdr:spPr>
        <a:xfrm xmlns:a="http://schemas.openxmlformats.org/drawingml/2006/main">
          <a:off x="2003535" y="302172"/>
          <a:ext cx="486103" cy="256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 kern="1200" baseline="0">
              <a:solidFill>
                <a:srgbClr val="0000FF"/>
              </a:solidFill>
            </a:rPr>
            <a:t>đ/kg</a:t>
          </a:r>
          <a:endParaRPr lang="en-US" sz="900" i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</cdr:x>
      <cdr:y>0.36996</cdr:y>
    </cdr:from>
    <cdr:to>
      <cdr:x>0.4591</cdr:x>
      <cdr:y>0.47312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BA1A29FD-5EDA-4910-F63E-B0654985ABAC}"/>
            </a:ext>
          </a:extLst>
        </cdr:cNvPr>
        <cdr:cNvSpPr txBox="1"/>
      </cdr:nvSpPr>
      <cdr:spPr>
        <a:xfrm xmlns:a="http://schemas.openxmlformats.org/drawingml/2006/main">
          <a:off x="0" y="1154386"/>
          <a:ext cx="1143001" cy="321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300" b="1" kern="1200">
              <a:solidFill>
                <a:srgbClr val="0000FF"/>
              </a:solidFill>
            </a:rPr>
            <a:t>GIÁ</a:t>
          </a:r>
          <a:r>
            <a:rPr lang="en-US" sz="1300" b="1" kern="1200" baseline="0">
              <a:solidFill>
                <a:srgbClr val="0000FF"/>
              </a:solidFill>
            </a:rPr>
            <a:t> THÀNH</a:t>
          </a:r>
          <a:endParaRPr lang="en-US" sz="13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0.02568</cdr:x>
      <cdr:y>0.4626</cdr:y>
    </cdr:from>
    <cdr:to>
      <cdr:x>0.39296</cdr:x>
      <cdr:y>0.56365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4BACB94-3DD6-78B1-C8E0-0C435ECDE84E}"/>
            </a:ext>
          </a:extLst>
        </cdr:cNvPr>
        <cdr:cNvSpPr txBox="1"/>
      </cdr:nvSpPr>
      <cdr:spPr>
        <a:xfrm xmlns:a="http://schemas.openxmlformats.org/drawingml/2006/main">
          <a:off x="63938" y="1443421"/>
          <a:ext cx="914400" cy="315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 sz="1800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0.00528</cdr:x>
      <cdr:y>0.41895</cdr:y>
    </cdr:from>
    <cdr:to>
      <cdr:x>0.46174</cdr:x>
      <cdr:y>0.60211</cdr:y>
    </cdr:to>
    <cdr:sp macro="" textlink="'Trình bày (2)'!$G$31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1D6A8092-0652-6F14-A98E-66B850E7FD71}"/>
            </a:ext>
          </a:extLst>
        </cdr:cNvPr>
        <cdr:cNvSpPr txBox="1"/>
      </cdr:nvSpPr>
      <cdr:spPr>
        <a:xfrm xmlns:a="http://schemas.openxmlformats.org/drawingml/2006/main">
          <a:off x="13138" y="1307224"/>
          <a:ext cx="1136432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3A9F24A9-3C73-4D9C-998F-B07D365F0EB6}" type="TxLink">
            <a:rPr lang="en-US" sz="1700" b="1" i="0" u="none" strike="noStrike" kern="1200">
              <a:solidFill>
                <a:srgbClr val="0000FF"/>
              </a:solidFill>
              <a:latin typeface="Aptos Display"/>
            </a:rPr>
            <a:pPr algn="ctr"/>
            <a:t> </a:t>
          </a:fld>
          <a:endParaRPr lang="en-US" sz="17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</cdr:x>
      <cdr:y>0.55312</cdr:y>
    </cdr:from>
    <cdr:to>
      <cdr:x>0.46174</cdr:x>
      <cdr:y>0.63523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8311C3E-9807-52A5-6C56-11D2182C37AE}"/>
            </a:ext>
          </a:extLst>
        </cdr:cNvPr>
        <cdr:cNvSpPr txBox="1"/>
      </cdr:nvSpPr>
      <cdr:spPr>
        <a:xfrm xmlns:a="http://schemas.openxmlformats.org/drawingml/2006/main">
          <a:off x="0" y="1725886"/>
          <a:ext cx="1149570" cy="2561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 i="1" kern="1200" baseline="0">
              <a:solidFill>
                <a:srgbClr val="0000FF"/>
              </a:solidFill>
            </a:rPr>
            <a:t>đ/kg</a:t>
          </a:r>
          <a:endParaRPr lang="en-US" sz="900" i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0.04383</cdr:x>
      <cdr:y>0.43873</cdr:y>
    </cdr:from>
    <cdr:to>
      <cdr:x>0.41112</cdr:x>
      <cdr:y>0.53979</cdr:y>
    </cdr:to>
    <cdr:sp macro="" textlink="'Trình bày (2)'!$F$8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C6D087D-0376-2D97-8CE7-8C3CDB6321EA}"/>
            </a:ext>
          </a:extLst>
        </cdr:cNvPr>
        <cdr:cNvSpPr txBox="1"/>
      </cdr:nvSpPr>
      <cdr:spPr>
        <a:xfrm xmlns:a="http://schemas.openxmlformats.org/drawingml/2006/main">
          <a:off x="109415" y="1369646"/>
          <a:ext cx="916925" cy="3154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B416F49-44AB-41B4-BD6C-CCD1436529EB}" type="TxLink">
            <a:rPr lang="en-US" sz="1800" b="1" i="0" u="none" strike="noStrike" kern="1200">
              <a:solidFill>
                <a:srgbClr val="0000FF"/>
              </a:solidFill>
              <a:latin typeface="Aptos Display"/>
            </a:rPr>
            <a:pPr algn="ctr"/>
            <a:t> 16,052 </a:t>
          </a:fld>
          <a:endParaRPr lang="en-US" sz="1800" kern="1200">
            <a:solidFill>
              <a:srgbClr val="0000FF"/>
            </a:solidFill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308263</xdr:colOff>
      <xdr:row>1</xdr:row>
      <xdr:rowOff>6399</xdr:rowOff>
    </xdr:from>
    <xdr:to>
      <xdr:col>10</xdr:col>
      <xdr:colOff>156688</xdr:colOff>
      <xdr:row>12</xdr:row>
      <xdr:rowOff>155863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32FAC-51A1-7F02-69CE-DFC87A799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0963" y="189972"/>
          <a:ext cx="4115625" cy="2168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</xdr:colOff>
      <xdr:row>0</xdr:row>
      <xdr:rowOff>106167</xdr:rowOff>
    </xdr:from>
    <xdr:ext cx="1158148" cy="261938"/>
    <xdr:pic>
      <xdr:nvPicPr>
        <xdr:cNvPr id="2" name="Picture 1">
          <a:extLst>
            <a:ext uri="{FF2B5EF4-FFF2-40B4-BE49-F238E27FC236}">
              <a16:creationId xmlns:a16="http://schemas.microsoft.com/office/drawing/2014/main" id="{98F75F2B-6890-4FCC-8812-C3585985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290" y="106167"/>
          <a:ext cx="1158148" cy="26193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264695</xdr:colOff>
      <xdr:row>2</xdr:row>
      <xdr:rowOff>20053</xdr:rowOff>
    </xdr:from>
    <xdr:to>
      <xdr:col>1</xdr:col>
      <xdr:colOff>264695</xdr:colOff>
      <xdr:row>3</xdr:row>
      <xdr:rowOff>12031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0BA967B-3D31-B17E-81F6-5D5458BDFABC}"/>
            </a:ext>
          </a:extLst>
        </xdr:cNvPr>
        <xdr:cNvCxnSpPr/>
      </xdr:nvCxnSpPr>
      <xdr:spPr>
        <a:xfrm>
          <a:off x="974558" y="389021"/>
          <a:ext cx="0" cy="1764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268705</xdr:colOff>
      <xdr:row>4</xdr:row>
      <xdr:rowOff>4010</xdr:rowOff>
    </xdr:from>
    <xdr:to>
      <xdr:col>1</xdr:col>
      <xdr:colOff>268705</xdr:colOff>
      <xdr:row>4</xdr:row>
      <xdr:rowOff>180473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43A4D27-73FF-4181-9312-3C8763BF294C}"/>
            </a:ext>
          </a:extLst>
        </xdr:cNvPr>
        <xdr:cNvCxnSpPr/>
      </xdr:nvCxnSpPr>
      <xdr:spPr>
        <a:xfrm>
          <a:off x="978568" y="741947"/>
          <a:ext cx="0" cy="1764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34451</xdr:rowOff>
    </xdr:from>
    <xdr:ext cx="1472806" cy="351031"/>
    <xdr:pic>
      <xdr:nvPicPr>
        <xdr:cNvPr id="2" name="Picture 1">
          <a:extLst>
            <a:ext uri="{FF2B5EF4-FFF2-40B4-BE49-F238E27FC236}">
              <a16:creationId xmlns:a16="http://schemas.microsoft.com/office/drawing/2014/main" id="{531711C0-4F4A-4361-8F51-34F95314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451"/>
          <a:ext cx="1472806" cy="351031"/>
        </a:xfrm>
        <a:prstGeom prst="rect">
          <a:avLst/>
        </a:prstGeom>
      </xdr:spPr>
    </xdr:pic>
    <xdr:clientData/>
  </xdr:oneCellAnchor>
  <xdr:oneCellAnchor>
    <xdr:from>
      <xdr:col>9</xdr:col>
      <xdr:colOff>9634</xdr:colOff>
      <xdr:row>100</xdr:row>
      <xdr:rowOff>56810</xdr:rowOff>
    </xdr:from>
    <xdr:ext cx="2638611" cy="240912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81FB0D-6A90-4014-933D-50CF104BBCCC}"/>
            </a:ext>
          </a:extLst>
        </xdr:cNvPr>
        <xdr:cNvSpPr txBox="1"/>
      </xdr:nvSpPr>
      <xdr:spPr>
        <a:xfrm>
          <a:off x="10235674" y="22223390"/>
          <a:ext cx="2638611" cy="2409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300" b="0">
              <a:latin typeface="Aptos Narrow" panose="020B0004020202020204" pitchFamily="34" charset="0"/>
            </a:rPr>
            <a:t>Ngày</a:t>
          </a:r>
          <a:r>
            <a:rPr lang="en-US" sz="1300" b="0" baseline="0">
              <a:latin typeface="Aptos Narrow" panose="020B0004020202020204" pitchFamily="34" charset="0"/>
            </a:rPr>
            <a:t> 15 tháng 07 năm 2024</a:t>
          </a:r>
          <a:endParaRPr lang="en-US" sz="1300" b="0">
            <a:latin typeface="Aptos Narrow" panose="020B0004020202020204" pitchFamily="34" charset="0"/>
          </a:endParaRPr>
        </a:p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r>
            <a:rPr lang="en-US" sz="1500" b="1">
              <a:latin typeface="Aptos Narrow" panose="020B0004020202020204" pitchFamily="34" charset="0"/>
            </a:rPr>
            <a:t>KẾ</a:t>
          </a:r>
          <a:r>
            <a:rPr lang="en-US" sz="1500" b="1" baseline="0">
              <a:latin typeface="Aptos Narrow" panose="020B0004020202020204" pitchFamily="34" charset="0"/>
            </a:rPr>
            <a:t> TOÁN QUẢN TRỊ</a:t>
          </a: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r>
            <a:rPr lang="en-US" sz="1500" b="1" baseline="0">
              <a:latin typeface="Aptos Narrow" panose="020B0004020202020204" pitchFamily="34" charset="0"/>
            </a:rPr>
            <a:t>LƯU THỊ MINH TÂM</a:t>
          </a:r>
          <a:endParaRPr lang="en-US" sz="1500" b="1">
            <a:latin typeface="Aptos Narrow" panose="020B0004020202020204" pitchFamily="34" charset="0"/>
          </a:endParaRPr>
        </a:p>
      </xdr:txBody>
    </xdr:sp>
    <xdr:clientData/>
  </xdr:oneCellAnchor>
  <xdr:oneCellAnchor>
    <xdr:from>
      <xdr:col>0</xdr:col>
      <xdr:colOff>48743</xdr:colOff>
      <xdr:row>100</xdr:row>
      <xdr:rowOff>56810</xdr:rowOff>
    </xdr:from>
    <xdr:ext cx="2638611" cy="244041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A745A7-573C-4287-8A9F-81B4C1B0DAF4}"/>
            </a:ext>
          </a:extLst>
        </xdr:cNvPr>
        <xdr:cNvSpPr txBox="1"/>
      </xdr:nvSpPr>
      <xdr:spPr>
        <a:xfrm>
          <a:off x="48743" y="22223390"/>
          <a:ext cx="2638611" cy="2440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r>
            <a:rPr lang="en-US" sz="1500" b="1">
              <a:latin typeface="Aptos Narrow" panose="020B0004020202020204" pitchFamily="34" charset="0"/>
            </a:rPr>
            <a:t>PHÊ</a:t>
          </a:r>
          <a:r>
            <a:rPr lang="en-US" sz="1500" b="1" baseline="0">
              <a:latin typeface="Aptos Narrow" panose="020B0004020202020204" pitchFamily="34" charset="0"/>
            </a:rPr>
            <a:t> DUYỆT</a:t>
          </a: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r>
            <a:rPr lang="en-US" sz="1500" b="1" baseline="0">
              <a:latin typeface="Aptos Narrow" panose="020B0004020202020204" pitchFamily="34" charset="0"/>
            </a:rPr>
            <a:t>TRẦN DUY HY</a:t>
          </a:r>
          <a:endParaRPr lang="en-US" sz="1500" b="1">
            <a:latin typeface="Aptos Narrow" panose="020B0004020202020204" pitchFamily="34" charset="0"/>
          </a:endParaRPr>
        </a:p>
      </xdr:txBody>
    </xdr:sp>
    <xdr:clientData/>
  </xdr:oneCellAnchor>
  <xdr:oneCellAnchor>
    <xdr:from>
      <xdr:col>3</xdr:col>
      <xdr:colOff>1188082</xdr:colOff>
      <xdr:row>100</xdr:row>
      <xdr:rowOff>60620</xdr:rowOff>
    </xdr:from>
    <xdr:ext cx="2638611" cy="244041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7FF7FCD-F4F3-41FE-8CF4-72D5DBB12D72}"/>
            </a:ext>
          </a:extLst>
        </xdr:cNvPr>
        <xdr:cNvSpPr txBox="1"/>
      </xdr:nvSpPr>
      <xdr:spPr>
        <a:xfrm>
          <a:off x="3443602" y="22227200"/>
          <a:ext cx="2638611" cy="2440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r>
            <a:rPr lang="en-US" sz="1500" b="1">
              <a:latin typeface="Aptos Narrow" panose="020B0004020202020204" pitchFamily="34" charset="0"/>
            </a:rPr>
            <a:t>GIÁM</a:t>
          </a:r>
          <a:r>
            <a:rPr lang="en-US" sz="1500" b="1" baseline="0">
              <a:latin typeface="Aptos Narrow" panose="020B0004020202020204" pitchFamily="34" charset="0"/>
            </a:rPr>
            <a:t> ĐỐC TÀI CHÍNH</a:t>
          </a: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r>
            <a:rPr lang="en-US" sz="1500" b="1" baseline="0">
              <a:latin typeface="Aptos Narrow" panose="020B0004020202020204" pitchFamily="34" charset="0"/>
            </a:rPr>
            <a:t>HOÀNG THỊ HỒNG HẠNH</a:t>
          </a:r>
          <a:endParaRPr lang="en-US" sz="1500" b="1">
            <a:latin typeface="Aptos Narrow" panose="020B0004020202020204" pitchFamily="34" charset="0"/>
          </a:endParaRPr>
        </a:p>
      </xdr:txBody>
    </xdr:sp>
    <xdr:clientData/>
  </xdr:oneCellAnchor>
  <xdr:oneCellAnchor>
    <xdr:from>
      <xdr:col>5</xdr:col>
      <xdr:colOff>84339</xdr:colOff>
      <xdr:row>100</xdr:row>
      <xdr:rowOff>60620</xdr:rowOff>
    </xdr:from>
    <xdr:ext cx="2638611" cy="244041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060F84-8963-4696-AFC1-56F7FCD24143}"/>
            </a:ext>
          </a:extLst>
        </xdr:cNvPr>
        <xdr:cNvSpPr txBox="1"/>
      </xdr:nvSpPr>
      <xdr:spPr>
        <a:xfrm>
          <a:off x="6843279" y="22227200"/>
          <a:ext cx="2638611" cy="2440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endParaRPr lang="en-US" sz="1500" b="1">
            <a:latin typeface="Aptos Narrow" panose="020B0004020202020204" pitchFamily="34" charset="0"/>
          </a:endParaRPr>
        </a:p>
        <a:p>
          <a:pPr algn="ctr"/>
          <a:r>
            <a:rPr lang="en-US" sz="1500" b="1">
              <a:latin typeface="Aptos Narrow" panose="020B0004020202020204" pitchFamily="34" charset="0"/>
            </a:rPr>
            <a:t>GIÁM</a:t>
          </a:r>
          <a:r>
            <a:rPr lang="en-US" sz="1500" b="1" baseline="0">
              <a:latin typeface="Aptos Narrow" panose="020B0004020202020204" pitchFamily="34" charset="0"/>
            </a:rPr>
            <a:t> ĐỐC ĐIỀU HÀNH</a:t>
          </a: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endParaRPr lang="en-US" sz="1500" baseline="0">
            <a:latin typeface="Aptos Narrow" panose="020B0004020202020204" pitchFamily="34" charset="0"/>
          </a:endParaRPr>
        </a:p>
        <a:p>
          <a:pPr algn="ctr"/>
          <a:r>
            <a:rPr lang="en-US" sz="1500" b="1" baseline="0">
              <a:latin typeface="Aptos Narrow" panose="020B0004020202020204" pitchFamily="34" charset="0"/>
            </a:rPr>
            <a:t>HUỲNH NGỌC THẠCH</a:t>
          </a:r>
          <a:endParaRPr lang="en-US" sz="1500" b="1">
            <a:latin typeface="Aptos Narrow" panose="020B00040202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h, Hoàng Duy" refreshedDate="46029.475957870367" createdVersion="8" refreshedVersion="8" minRefreshableVersion="3" recordCount="54" xr:uid="{2F9AD092-3FC4-4196-B80B-E18545B806C2}">
  <cacheSource type="worksheet">
    <worksheetSource name="Table1"/>
  </cacheSource>
  <cacheFields count="14">
    <cacheField name="Month" numFmtId="0">
      <sharedItems containsSemiMixedTypes="0" containsString="0" containsNumber="1" containsInteger="1" minValue="1" maxValue="12" count="12">
        <n v="2"/>
        <n v="3"/>
        <n v="4"/>
        <n v="5"/>
        <n v="6"/>
        <n v="7"/>
        <n v="8"/>
        <n v="9"/>
        <n v="10"/>
        <n v="11"/>
        <n v="12"/>
        <n v="1" u="1"/>
      </sharedItems>
    </cacheField>
    <cacheField name="Item" numFmtId="0">
      <sharedItems/>
    </cacheField>
    <cacheField name="Material" numFmtId="0">
      <sharedItems count="10">
        <s v="110000428"/>
        <s v="160012396"/>
        <s v="160012429"/>
        <s v="160012801"/>
        <s v="160012394"/>
        <s v="160012395"/>
        <s v="160012269"/>
        <s v="160012268"/>
        <s v="160012397" u="1"/>
        <s v="160012607" u="1"/>
      </sharedItems>
    </cacheField>
    <cacheField name="Material Description" numFmtId="0">
      <sharedItems count="11">
        <s v="Dây đai PET"/>
        <s v="Vảy PET B4_A3"/>
        <s v="Đầu Keo PET Sau Băm"/>
        <s v="Vảy PET GC Dây Đai"/>
        <s v="Vảy PET B4_A1"/>
        <s v="Vảy PET B4_A2"/>
        <s v="Phó Sản PET Zigzag Quay đầu"/>
        <s v="Phó Sản PET Tomra Cổng 2"/>
        <s v="Vảy PET B4_A3.RN" u="1"/>
        <s v="Phó Sản PET Zigzag Sau Lựa" u="1"/>
        <s v="Phó Sản PET GC Dây Đai" u="1"/>
      </sharedItems>
    </cacheField>
    <cacheField name="Plant" numFmtId="0">
      <sharedItems/>
    </cacheField>
    <cacheField name="Change in Quantity" numFmtId="164">
      <sharedItems containsSemiMixedTypes="0" containsString="0" containsNumber="1" minValue="-149136" maxValue="218000"/>
    </cacheField>
    <cacheField name="Unit of Measure" numFmtId="0">
      <sharedItems/>
    </cacheField>
    <cacheField name="Value change" numFmtId="164">
      <sharedItems containsSemiMixedTypes="0" containsString="0" containsNumber="1" containsInteger="1" minValue="-2130477564" maxValue="3270000000"/>
    </cacheField>
    <cacheField name="Currency" numFmtId="0">
      <sharedItems/>
    </cacheField>
    <cacheField name="Item type" numFmtId="0">
      <sharedItems/>
    </cacheField>
    <cacheField name="Tự xếp lô" numFmtId="0">
      <sharedItems/>
    </cacheField>
    <cacheField name="Giá trung bình" numFmtId="164">
      <sharedItems containsMixedTypes="1" containsNumber="1" minValue="8555.1724137931033" maxValue="22614"/>
    </cacheField>
    <cacheField name="Giá tồn kho" numFmtId="164">
      <sharedItems containsSemiMixedTypes="0" containsString="0" containsNumber="1" minValue="0" maxValue="117385824.13793105"/>
    </cacheField>
    <cacheField name="Giá trị điều chỉnh" numFmtId="164">
      <sharedItems containsSemiMixedTypes="0" containsString="0" containsNumber="1" minValue="-2180306984.0686846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s v="1"/>
    <x v="0"/>
    <x v="0"/>
    <s v="1101"/>
    <n v="108000"/>
    <s v="KG"/>
    <n v="1620000000"/>
    <s v="VND"/>
    <s v="UP"/>
    <s v="L01"/>
    <n v="15000"/>
    <n v="0"/>
    <n v="0"/>
  </r>
  <r>
    <x v="0"/>
    <s v="2"/>
    <x v="1"/>
    <x v="1"/>
    <s v="1101"/>
    <n v="-16527"/>
    <s v="KG"/>
    <n v="-370221327"/>
    <s v="VND"/>
    <s v="UP"/>
    <s v="L01"/>
    <n v="22401"/>
    <n v="22400.043950892203"/>
    <n v="-370205526.3763954"/>
  </r>
  <r>
    <x v="0"/>
    <s v="3"/>
    <x v="2"/>
    <x v="2"/>
    <s v="1101"/>
    <n v="-41058"/>
    <s v="KG"/>
    <n v="-922819608"/>
    <s v="VND"/>
    <s v="UP"/>
    <s v="L01"/>
    <n v="22476"/>
    <n v="23190.490550174873"/>
    <n v="-952155161.00907993"/>
  </r>
  <r>
    <x v="0"/>
    <s v="4"/>
    <x v="3"/>
    <x v="3"/>
    <s v="1101"/>
    <n v="-50415"/>
    <s v="KG"/>
    <n v="-433619415"/>
    <s v="VND"/>
    <s v="UP"/>
    <s v="L01"/>
    <n v="8601"/>
    <n v="9029.1861611698041"/>
    <n v="-455206420.31537569"/>
  </r>
  <r>
    <x v="0"/>
    <s v="1"/>
    <x v="0"/>
    <x v="0"/>
    <s v="1101"/>
    <n v="180000"/>
    <s v="KG"/>
    <n v="2700000000"/>
    <s v="VND"/>
    <s v="UP"/>
    <s v="L01"/>
    <n v="15000"/>
    <n v="0"/>
    <n v="0"/>
  </r>
  <r>
    <x v="0"/>
    <s v="2"/>
    <x v="1"/>
    <x v="1"/>
    <s v="1101"/>
    <n v="-18106"/>
    <s v="KG"/>
    <n v="-405592506"/>
    <s v="VND"/>
    <s v="UP"/>
    <s v="L01"/>
    <n v="22401"/>
    <n v="22400.043950892203"/>
    <n v="-405575195.77485424"/>
  </r>
  <r>
    <x v="0"/>
    <s v="3"/>
    <x v="2"/>
    <x v="2"/>
    <s v="1101"/>
    <n v="-20162"/>
    <s v="KG"/>
    <n v="-453161112"/>
    <s v="VND"/>
    <s v="UP"/>
    <s v="L01"/>
    <n v="22476"/>
    <n v="23190.490550174873"/>
    <n v="-467566670.47262579"/>
  </r>
  <r>
    <x v="0"/>
    <s v="4"/>
    <x v="3"/>
    <x v="3"/>
    <s v="1101"/>
    <n v="-149136"/>
    <s v="KG"/>
    <n v="-1282718736"/>
    <s v="VND"/>
    <s v="UP"/>
    <s v="L01"/>
    <n v="8601"/>
    <n v="9029.1861611698041"/>
    <n v="-1346576707.3322198"/>
  </r>
  <r>
    <x v="1"/>
    <s v="1"/>
    <x v="0"/>
    <x v="0"/>
    <s v="1101"/>
    <n v="170000"/>
    <s v="KG"/>
    <n v="2550000000"/>
    <s v="VND"/>
    <s v="UP"/>
    <s v="L02"/>
    <n v="15000"/>
    <n v="0"/>
    <n v="0"/>
  </r>
  <r>
    <x v="1"/>
    <s v="2"/>
    <x v="1"/>
    <x v="1"/>
    <s v="1101"/>
    <n v="-9865"/>
    <s v="KG"/>
    <n v="-220985865"/>
    <s v="VND"/>
    <s v="UP"/>
    <s v="L02"/>
    <n v="22401"/>
    <n v="22400.902244468823"/>
    <n v="-220984900.64168495"/>
  </r>
  <r>
    <x v="1"/>
    <s v="3"/>
    <x v="2"/>
    <x v="2"/>
    <s v="1101"/>
    <n v="-40258"/>
    <s v="KG"/>
    <n v="-904838808"/>
    <s v="VND"/>
    <s v="UP"/>
    <s v="L02"/>
    <n v="22476"/>
    <n v="24292.212439609946"/>
    <n v="-977955888.39381719"/>
  </r>
  <r>
    <x v="1"/>
    <s v="4"/>
    <x v="3"/>
    <x v="3"/>
    <s v="1101"/>
    <n v="-126677"/>
    <s v="KG"/>
    <n v="-1089548877"/>
    <s v="VND"/>
    <s v="UP"/>
    <s v="L02"/>
    <n v="8601"/>
    <n v="8790.6146024388381"/>
    <n v="-1113568685.9931448"/>
  </r>
  <r>
    <x v="2"/>
    <s v="1"/>
    <x v="0"/>
    <x v="0"/>
    <s v="1101"/>
    <n v="119000"/>
    <s v="KG"/>
    <n v="1785000000"/>
    <s v="VND"/>
    <s v="UP"/>
    <s v="L03"/>
    <n v="15000"/>
    <n v="0"/>
    <n v="0"/>
  </r>
  <r>
    <x v="2"/>
    <s v="2"/>
    <x v="1"/>
    <x v="1"/>
    <s v="1101"/>
    <n v="-9955"/>
    <s v="KG"/>
    <n v="-223001955"/>
    <s v="VND"/>
    <s v="UP"/>
    <s v="L03"/>
    <n v="22401"/>
    <n v="22400.979963549446"/>
    <n v="-223001755.53713474"/>
  </r>
  <r>
    <x v="2"/>
    <s v="3"/>
    <x v="2"/>
    <x v="2"/>
    <s v="1101"/>
    <n v="-40038"/>
    <s v="KG"/>
    <n v="-899894088"/>
    <s v="VND"/>
    <s v="UP"/>
    <s v="L03"/>
    <n v="22476"/>
    <n v="23906.276136363635"/>
    <n v="-957159483.9477272"/>
  </r>
  <r>
    <x v="2"/>
    <s v="4"/>
    <x v="3"/>
    <x v="3"/>
    <s v="1101"/>
    <n v="-74807"/>
    <s v="KG"/>
    <n v="-643415007"/>
    <s v="VND"/>
    <s v="UP"/>
    <s v="L03"/>
    <n v="8601"/>
    <n v="9324.9408283909106"/>
    <n v="-697570848.54943883"/>
  </r>
  <r>
    <x v="2"/>
    <s v="1"/>
    <x v="0"/>
    <x v="0"/>
    <s v="1101"/>
    <n v="1000"/>
    <s v="KG"/>
    <n v="15000000"/>
    <s v="VND"/>
    <s v="UP"/>
    <s v="L03"/>
    <n v="15000"/>
    <n v="0"/>
    <n v="0"/>
  </r>
  <r>
    <x v="3"/>
    <s v="1"/>
    <x v="0"/>
    <x v="0"/>
    <s v="1101"/>
    <n v="70000"/>
    <s v="KG"/>
    <n v="1050000000"/>
    <s v="VND"/>
    <s v="UP"/>
    <s v="L04"/>
    <n v="15000"/>
    <n v="0"/>
    <n v="0"/>
  </r>
  <r>
    <x v="3"/>
    <s v="2"/>
    <x v="4"/>
    <x v="4"/>
    <s v="1101"/>
    <n v="-1983"/>
    <s v="KG"/>
    <n v="-37700796"/>
    <s v="VND"/>
    <s v="UP"/>
    <s v="L04"/>
    <n v="19012"/>
    <n v="28951.970986460346"/>
    <n v="-57411758.466150865"/>
  </r>
  <r>
    <x v="3"/>
    <s v="3"/>
    <x v="5"/>
    <x v="5"/>
    <s v="1101"/>
    <n v="-997"/>
    <s v="KG"/>
    <n v="-22546158"/>
    <s v="VND"/>
    <s v="UP"/>
    <s v="L04"/>
    <n v="22614"/>
    <n v="22614"/>
    <n v="-22546158"/>
  </r>
  <r>
    <x v="3"/>
    <s v="4"/>
    <x v="1"/>
    <x v="1"/>
    <s v="1101"/>
    <n v="-5445"/>
    <s v="KG"/>
    <n v="-121973445"/>
    <s v="VND"/>
    <s v="UP"/>
    <s v="L04"/>
    <n v="22401"/>
    <n v="22400.979902009796"/>
    <n v="-121973335.56644334"/>
  </r>
  <r>
    <x v="3"/>
    <s v="5"/>
    <x v="2"/>
    <x v="2"/>
    <s v="1101"/>
    <n v="-46254"/>
    <s v="KG"/>
    <n v="-1039604904"/>
    <s v="VND"/>
    <s v="UP"/>
    <s v="L04"/>
    <n v="22476"/>
    <n v="23591.764168772428"/>
    <n v="-1091213459.8623998"/>
  </r>
  <r>
    <x v="3"/>
    <s v="6"/>
    <x v="3"/>
    <x v="3"/>
    <s v="1101"/>
    <n v="-18121"/>
    <s v="KG"/>
    <n v="-155858721"/>
    <s v="VND"/>
    <s v="UP"/>
    <s v="L04"/>
    <n v="8601"/>
    <n v="9360.7065592164981"/>
    <n v="-169625363.55956218"/>
  </r>
  <r>
    <x v="4"/>
    <s v="1"/>
    <x v="0"/>
    <x v="0"/>
    <s v="1101"/>
    <n v="102000"/>
    <s v="KG"/>
    <n v="1530000000"/>
    <s v="VND"/>
    <s v="UP"/>
    <s v="L05"/>
    <n v="15000"/>
    <n v="0"/>
    <n v="0"/>
  </r>
  <r>
    <x v="4"/>
    <s v="2"/>
    <x v="1"/>
    <x v="1"/>
    <s v="1101"/>
    <n v="-19936"/>
    <s v="KG"/>
    <n v="-446586336"/>
    <s v="VND"/>
    <s v="UP"/>
    <s v="L05"/>
    <n v="22401"/>
    <n v="22400.998827353142"/>
    <n v="-446586312.62211221"/>
  </r>
  <r>
    <x v="4"/>
    <s v="3"/>
    <x v="2"/>
    <x v="2"/>
    <s v="1101"/>
    <n v="-49329"/>
    <s v="KG"/>
    <n v="-1108718604"/>
    <s v="VND"/>
    <s v="UP"/>
    <s v="L05"/>
    <n v="22476"/>
    <n v="23294.586502918555"/>
    <n v="-1149098657.6024694"/>
  </r>
  <r>
    <x v="4"/>
    <s v="4"/>
    <x v="3"/>
    <x v="3"/>
    <s v="1101"/>
    <n v="-36812"/>
    <s v="KG"/>
    <n v="-316620012"/>
    <s v="VND"/>
    <s v="UP"/>
    <s v="L05"/>
    <n v="8601"/>
    <n v="9223.877736937844"/>
    <n v="-339549387.2521559"/>
  </r>
  <r>
    <x v="5"/>
    <s v="1"/>
    <x v="0"/>
    <x v="0"/>
    <s v="1101"/>
    <n v="40000"/>
    <s v="KG"/>
    <n v="600000000"/>
    <s v="VND"/>
    <s v="UP"/>
    <s v="L06"/>
    <n v="15000"/>
    <n v="0"/>
    <n v="0"/>
  </r>
  <r>
    <x v="5"/>
    <s v="2"/>
    <x v="2"/>
    <x v="2"/>
    <s v="1101"/>
    <n v="-25970"/>
    <s v="KG"/>
    <n v="-583701720"/>
    <s v="VND"/>
    <s v="UP"/>
    <s v="L06"/>
    <n v="22476"/>
    <n v="23238.633656652361"/>
    <n v="-603507316.06326175"/>
  </r>
  <r>
    <x v="5"/>
    <s v="3"/>
    <x v="3"/>
    <x v="3"/>
    <s v="1101"/>
    <n v="-15630"/>
    <s v="KG"/>
    <n v="-134433630"/>
    <s v="VND"/>
    <s v="UP"/>
    <s v="L06"/>
    <n v="8601"/>
    <n v="9251.478564596011"/>
    <n v="-144600609.96463564"/>
  </r>
  <r>
    <x v="6"/>
    <s v="1"/>
    <x v="0"/>
    <x v="0"/>
    <s v="1101"/>
    <n v="116000"/>
    <s v="KG"/>
    <n v="1740000000"/>
    <s v="VND"/>
    <s v="UP"/>
    <s v="L07"/>
    <n v="15000"/>
    <n v="0"/>
    <n v="0"/>
  </r>
  <r>
    <x v="6"/>
    <s v="2"/>
    <x v="1"/>
    <x v="1"/>
    <s v="1101"/>
    <n v="-10155"/>
    <s v="KG"/>
    <n v="-227482155"/>
    <s v="VND"/>
    <s v="UP"/>
    <s v="L07"/>
    <n v="22401"/>
    <n v="22400.999505584645"/>
    <n v="-227482149.97921208"/>
  </r>
  <r>
    <x v="6"/>
    <s v="3"/>
    <x v="2"/>
    <x v="2"/>
    <s v="1101"/>
    <n v="-45000"/>
    <s v="KG"/>
    <n v="-1011420000"/>
    <s v="VND"/>
    <s v="UP"/>
    <s v="L07"/>
    <n v="22476"/>
    <n v="23155.300513409962"/>
    <n v="-1041988523.1034483"/>
  </r>
  <r>
    <x v="6"/>
    <s v="4"/>
    <x v="3"/>
    <x v="3"/>
    <s v="1101"/>
    <n v="-69805"/>
    <s v="KG"/>
    <n v="-600392805"/>
    <s v="VND"/>
    <s v="UP"/>
    <s v="L07"/>
    <n v="8601"/>
    <n v="9225.8646743982627"/>
    <n v="-644011483.5963707"/>
  </r>
  <r>
    <x v="6"/>
    <s v="1"/>
    <x v="0"/>
    <x v="0"/>
    <s v="1101"/>
    <n v="0"/>
    <s v="KG"/>
    <n v="0"/>
    <s v="VND"/>
    <s v="UP"/>
    <s v="L07"/>
    <e v="#DIV/0!"/>
    <n v="0"/>
    <n v="0"/>
  </r>
  <r>
    <x v="6"/>
    <s v="2"/>
    <x v="6"/>
    <x v="6"/>
    <s v="1101"/>
    <n v="-0.28999999999999998"/>
    <s v="KG"/>
    <n v="-5566"/>
    <s v="VND"/>
    <s v="UP"/>
    <s v="L07"/>
    <n v="19193.103448275862"/>
    <n v="19191.68583690987"/>
    <n v="-5565.5888927038623"/>
  </r>
  <r>
    <x v="6"/>
    <s v="1"/>
    <x v="0"/>
    <x v="0"/>
    <s v="1101"/>
    <n v="0"/>
    <s v="KG"/>
    <n v="0"/>
    <s v="VND"/>
    <s v="UP"/>
    <s v="L07"/>
    <e v="#DIV/0!"/>
    <n v="0"/>
    <n v="0"/>
  </r>
  <r>
    <x v="6"/>
    <s v="2"/>
    <x v="7"/>
    <x v="7"/>
    <s v="1101"/>
    <n v="-0.28999999999999998"/>
    <s v="KG"/>
    <n v="-2481"/>
    <s v="VND"/>
    <s v="UP"/>
    <s v="L07"/>
    <n v="8555.1724137931033"/>
    <n v="117385824.13793105"/>
    <n v="-34041889"/>
  </r>
  <r>
    <x v="7"/>
    <s v="1"/>
    <x v="0"/>
    <x v="0"/>
    <s v="1101"/>
    <n v="200000"/>
    <s v="KG"/>
    <n v="3000000000"/>
    <s v="VND"/>
    <s v="UP"/>
    <s v="L08"/>
    <n v="15000"/>
    <n v="0"/>
    <n v="0"/>
  </r>
  <r>
    <x v="7"/>
    <s v="2"/>
    <x v="1"/>
    <x v="1"/>
    <s v="1101"/>
    <n v="-30011"/>
    <s v="KG"/>
    <n v="-672276411"/>
    <s v="VND"/>
    <s v="UP"/>
    <s v="L08"/>
    <n v="22401"/>
    <n v="22400.999859231226"/>
    <n v="-672276406.77538836"/>
  </r>
  <r>
    <x v="7"/>
    <s v="3"/>
    <x v="2"/>
    <x v="2"/>
    <s v="1101"/>
    <n v="-94789"/>
    <s v="KG"/>
    <n v="-2130477564"/>
    <s v="VND"/>
    <s v="UP"/>
    <s v="L08"/>
    <n v="22476"/>
    <n v="23001.687791502016"/>
    <n v="-2180306984.0686846"/>
  </r>
  <r>
    <x v="7"/>
    <s v="4"/>
    <x v="3"/>
    <x v="3"/>
    <s v="1101"/>
    <n v="-83200"/>
    <s v="KG"/>
    <n v="-715603200"/>
    <s v="VND"/>
    <s v="UP"/>
    <s v="L08"/>
    <n v="8601"/>
    <n v="9249.6540389080092"/>
    <n v="-769571216.03714633"/>
  </r>
  <r>
    <x v="8"/>
    <s v="1"/>
    <x v="0"/>
    <x v="0"/>
    <s v="1101"/>
    <n v="218000"/>
    <s v="KG"/>
    <n v="3270000000"/>
    <s v="VND"/>
    <s v="UP"/>
    <s v="L09"/>
    <n v="15000"/>
    <n v="0"/>
    <n v="0"/>
  </r>
  <r>
    <x v="8"/>
    <s v="2"/>
    <x v="1"/>
    <x v="1"/>
    <s v="1101"/>
    <n v="-31480"/>
    <s v="KG"/>
    <n v="-705183480"/>
    <s v="VND"/>
    <s v="UP"/>
    <s v="L09"/>
    <n v="22401"/>
    <n v="22400.999956335549"/>
    <n v="-705183478.6254431"/>
  </r>
  <r>
    <x v="8"/>
    <s v="3"/>
    <x v="2"/>
    <x v="2"/>
    <s v="1101"/>
    <n v="-80896"/>
    <s v="KG"/>
    <n v="-1818218496"/>
    <s v="VND"/>
    <s v="UP"/>
    <s v="L09"/>
    <n v="22476"/>
    <n v="23151.734980494148"/>
    <n v="-1872882752.9820545"/>
  </r>
  <r>
    <x v="8"/>
    <s v="4"/>
    <x v="3"/>
    <x v="3"/>
    <s v="1101"/>
    <n v="-114344"/>
    <s v="KG"/>
    <n v="-983472744"/>
    <s v="VND"/>
    <s v="UP"/>
    <s v="L09"/>
    <n v="8601"/>
    <n v="9483.9794869916514"/>
    <n v="-1084436150.4605734"/>
  </r>
  <r>
    <x v="9"/>
    <s v="1"/>
    <x v="0"/>
    <x v="0"/>
    <s v="1101"/>
    <n v="195000"/>
    <s v="KG"/>
    <n v="2925000000"/>
    <s v="VND"/>
    <s v="UP"/>
    <s v="L10"/>
    <n v="15000"/>
    <n v="0"/>
    <n v="0"/>
  </r>
  <r>
    <x v="9"/>
    <s v="2"/>
    <x v="1"/>
    <x v="1"/>
    <s v="1101"/>
    <n v="-29599"/>
    <s v="KG"/>
    <n v="-663047199"/>
    <s v="VND"/>
    <s v="UP"/>
    <s v="L10"/>
    <n v="22401"/>
    <n v="22400.999941606311"/>
    <n v="-663047197.27160525"/>
  </r>
  <r>
    <x v="9"/>
    <s v="3"/>
    <x v="2"/>
    <x v="2"/>
    <s v="1101"/>
    <n v="-29856"/>
    <s v="KG"/>
    <n v="-671043456"/>
    <s v="VND"/>
    <s v="UP"/>
    <s v="L10"/>
    <n v="22476"/>
    <n v="22970.668592967068"/>
    <n v="-685812281.51162481"/>
  </r>
  <r>
    <x v="9"/>
    <s v="4"/>
    <x v="3"/>
    <x v="3"/>
    <s v="1101"/>
    <n v="-143345"/>
    <s v="KG"/>
    <n v="-1232910345"/>
    <s v="VND"/>
    <s v="UP"/>
    <s v="L10"/>
    <n v="8601"/>
    <n v="10113.060991983226"/>
    <n v="-1449656727.8958354"/>
  </r>
  <r>
    <x v="10"/>
    <s v="1"/>
    <x v="0"/>
    <x v="0"/>
    <s v="1101"/>
    <n v="186000"/>
    <s v="KG"/>
    <n v="2790000000"/>
    <s v="VND"/>
    <s v="UP"/>
    <s v="L11"/>
    <n v="15000"/>
    <n v="0"/>
    <n v="0"/>
  </r>
  <r>
    <x v="10"/>
    <s v="2"/>
    <x v="1"/>
    <x v="1"/>
    <s v="1101"/>
    <n v="-18220.16"/>
    <s v="KG"/>
    <n v="-408149804"/>
    <s v="VND"/>
    <s v="UP"/>
    <s v="L11"/>
    <n v="22400.999991218519"/>
    <n v="0"/>
    <n v="0"/>
  </r>
  <r>
    <x v="10"/>
    <s v="3"/>
    <x v="2"/>
    <x v="2"/>
    <s v="1101"/>
    <n v="-70184"/>
    <s v="KG"/>
    <n v="-1577455584"/>
    <s v="VND"/>
    <s v="UP"/>
    <s v="L11"/>
    <n v="22476"/>
    <n v="0"/>
    <n v="0"/>
  </r>
  <r>
    <x v="10"/>
    <s v="4"/>
    <x v="3"/>
    <x v="3"/>
    <s v="1101"/>
    <n v="-105039"/>
    <s v="KG"/>
    <n v="-903440439"/>
    <s v="VND"/>
    <s v="UP"/>
    <s v="L11"/>
    <n v="860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26795-9280-49D5-8021-9215B454D9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N13" firstHeaderRow="1" firstDataRow="2" firstDataCol="2"/>
  <pivotFields count="14">
    <pivotField axis="axisCol" compact="0" outline="0" showAll="0">
      <items count="13">
        <item m="1"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axis="axisRow" compact="0" outline="0" showAll="0" defaultSubtotal="0">
      <items count="10">
        <item x="0"/>
        <item x="6"/>
        <item x="4"/>
        <item x="5"/>
        <item x="1"/>
        <item m="1" x="8"/>
        <item x="2"/>
        <item m="1" x="9"/>
        <item x="7"/>
        <item x="3"/>
      </items>
    </pivotField>
    <pivotField axis="axisRow" compact="0" outline="0" showAll="0">
      <items count="12">
        <item x="2"/>
        <item x="0"/>
        <item x="6"/>
        <item x="4"/>
        <item x="5"/>
        <item x="1"/>
        <item m="1" x="8"/>
        <item m="1" x="9"/>
        <item x="7"/>
        <item m="1" x="10"/>
        <item x="3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2"/>
    <field x="3"/>
  </rowFields>
  <rowItems count="9">
    <i>
      <x/>
      <x v="1"/>
    </i>
    <i>
      <x v="1"/>
      <x v="2"/>
    </i>
    <i>
      <x v="2"/>
      <x v="3"/>
    </i>
    <i>
      <x v="3"/>
      <x v="4"/>
    </i>
    <i>
      <x v="4"/>
      <x v="5"/>
    </i>
    <i>
      <x v="6"/>
      <x/>
    </i>
    <i>
      <x v="8"/>
      <x v="8"/>
    </i>
    <i>
      <x v="9"/>
      <x v="10"/>
    </i>
    <i t="grand">
      <x/>
    </i>
  </rowItems>
  <colFields count="1">
    <field x="0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hange in Quantity" fld="5" baseField="0" baseItem="0"/>
  </dataFields>
  <formats count="8">
    <format dxfId="24">
      <pivotArea outline="0" collapsedLevelsAreSubtotals="1" fieldPosition="0"/>
    </format>
    <format dxfId="23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22">
      <pivotArea dataOnly="0" labelOnly="1" outline="0" fieldPosition="0">
        <references count="1">
          <reference field="0" count="1" defaultSubtotal="1">
            <x v="2"/>
          </reference>
        </references>
      </pivotArea>
    </format>
    <format dxfId="21">
      <pivotArea dataOnly="0" labelOnly="1" outline="0" fieldPosition="0">
        <references count="1">
          <reference field="0" count="1" defaultSubtotal="1">
            <x v="3"/>
          </reference>
        </references>
      </pivotArea>
    </format>
    <format dxfId="20">
      <pivotArea dataOnly="0" labelOnly="1" outline="0" fieldPosition="0">
        <references count="1">
          <reference field="0" count="1" defaultSubtotal="1">
            <x v="4"/>
          </reference>
        </references>
      </pivotArea>
    </format>
    <format dxfId="19">
      <pivotArea dataOnly="0" labelOnly="1" outline="0" fieldPosition="0">
        <references count="1">
          <reference field="0" count="1" defaultSubtotal="1">
            <x v="5"/>
          </reference>
        </references>
      </pivotArea>
    </format>
    <format dxfId="18">
      <pivotArea dataOnly="0" labelOnly="1" outline="0" fieldPosition="0">
        <references count="1">
          <reference field="0" count="1" defaultSubtotal="1">
            <x v="6"/>
          </reference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ADB453-A2D4-4011-9DA1-A84D822E55D4}" name="Table2" displayName="Table2" ref="A3:N5" totalsRowShown="0">
  <autoFilter ref="A3:N5" xr:uid="{AEADB453-A2D4-4011-9DA1-A84D822E55D4}"/>
  <tableColumns count="14">
    <tableColumn id="1" xr3:uid="{48F8D1C3-F0C5-4AF1-855E-4FE2C1DC9F7D}" name="Month"/>
    <tableColumn id="2" xr3:uid="{415CFD7D-2400-4703-8248-9D66EAE2C0DD}" name="Item"/>
    <tableColumn id="3" xr3:uid="{7BAC6406-4BE6-417B-85CF-D9EE60C1432E}" name="Material"/>
    <tableColumn id="4" xr3:uid="{3EBDF87D-AEC6-4504-AFD9-82F4D316A840}" name="Material Description"/>
    <tableColumn id="5" xr3:uid="{F8549D44-70FB-432D-BE61-D6F959DC333E}" name="Plant"/>
    <tableColumn id="6" xr3:uid="{E191F62E-DDDB-4BB0-819C-830346107943}" name="Change in Quantity"/>
    <tableColumn id="7" xr3:uid="{53E366C2-11A6-4E88-87E4-1B9AC38FCD8F}" name="Unit of Measure"/>
    <tableColumn id="8" xr3:uid="{3FC37AF4-858C-43FA-B959-579BC2AA2583}" name="Value change"/>
    <tableColumn id="9" xr3:uid="{4651D042-4AA4-4AD4-BFDB-EF0721B43600}" name="Currency"/>
    <tableColumn id="10" xr3:uid="{42A70874-D67A-4614-B84E-E081DDA129FA}" name="Item type"/>
    <tableColumn id="11" xr3:uid="{FB2295B9-7411-4C23-9BB6-375E38548BC0}" name="Tự xếp lô"/>
    <tableColumn id="12" xr3:uid="{970E7807-6E58-4542-9729-4CA536306F0F}" name="Giá trung bình"/>
    <tableColumn id="13" xr3:uid="{2FD303FA-173D-4024-9087-09B57F4B6A7A}" name="Giá tồn kho"/>
    <tableColumn id="14" xr3:uid="{1CD0B59F-DDB6-454A-83F3-2C77BDE809F3}" name="Giá trị điều chỉn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5A4D0-B5AB-4599-9224-DF52B2BE8D0B}" name="Table1" displayName="Table1" ref="A2:N56" totalsRowShown="0" headerRowDxfId="16" headerRowBorderDxfId="15" tableBorderDxfId="14">
  <autoFilter ref="A2:N56" xr:uid="{C285A4D0-B5AB-4599-9224-DF52B2BE8D0B}"/>
  <tableColumns count="14">
    <tableColumn id="1" xr3:uid="{F677320E-6244-46EA-B83E-ED7E19BC8DA7}" name="Month" dataDxfId="13"/>
    <tableColumn id="2" xr3:uid="{5BAB4F73-A5FB-4960-BE75-43BFC8F479B5}" name="Item"/>
    <tableColumn id="3" xr3:uid="{2C987736-E92E-4561-850B-B2FF07E3BB1D}" name="Material"/>
    <tableColumn id="4" xr3:uid="{1CF25B7A-ACED-405C-B0E4-A2A73D6C4FA2}" name="Material Description"/>
    <tableColumn id="5" xr3:uid="{EDEB6AD8-6E8E-46B4-9933-E063F57761FE}" name="Plant"/>
    <tableColumn id="6" xr3:uid="{73D5F68E-3F71-40D8-98F7-8B68A75F03C6}" name="Change in Quantity" dataDxfId="12" dataCellStyle="Comma"/>
    <tableColumn id="7" xr3:uid="{A6D7523F-7274-4CE4-B689-4D8E54135937}" name="Unit of Measure"/>
    <tableColumn id="8" xr3:uid="{5FE41D4F-D724-4864-B4EA-744F63384FD5}" name="Value change" dataDxfId="11" dataCellStyle="Comma"/>
    <tableColumn id="9" xr3:uid="{EED52A2D-2FAA-4528-AE73-DDDA047F3441}" name="Currency"/>
    <tableColumn id="10" xr3:uid="{40EF3D03-1F9E-42B9-93EF-2C9669671AD9}" name="Item type"/>
    <tableColumn id="11" xr3:uid="{37CCB828-00FF-4CE1-A624-7A71828A292F}" name="Tự xếp lô"/>
    <tableColumn id="12" xr3:uid="{59496463-DA69-4675-887D-3C72630D867B}" name="Giá trung bình" dataDxfId="10" dataCellStyle="Comma">
      <calculatedColumnFormula>Table1[[#This Row],[Value change]]/Table1[[#This Row],[Change in Quantity]]</calculatedColumnFormula>
    </tableColumn>
    <tableColumn id="13" xr3:uid="{64B995E6-655C-4AD1-87D6-6AC7C1C8F329}" name="Giá tồn kho" dataDxfId="9" dataCellStyle="Comma">
      <calculatedColumnFormula array="1">SUMPRODUCT($S$3:$AD$12*($Q$3:$Q$12=Table1[[#This Row],[Material]])*($S$2:$AD$2=Table1[[#This Row],[Month]]))</calculatedColumnFormula>
    </tableColumn>
    <tableColumn id="14" xr3:uid="{B88DECBB-92FA-47BD-989D-FE9E86D98C09}" name="Giá trị điều chỉnh" dataDxfId="8" dataCellStyle="Comma">
      <calculatedColumnFormula>IF(Table1[[#This Row],[Change in Quantity]]&gt;0,0,Table1[[#This Row],[Change in Quantity]]*Table1[[#This Row],[Giá tồn kho]])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169C-69E8-440E-BA79-E09086E7A559}">
  <sheetPr>
    <tabColor rgb="FF00B0F0"/>
  </sheetPr>
  <dimension ref="A1"/>
  <sheetViews>
    <sheetView workbookViewId="0">
      <selection activeCell="J36" sqref="J3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B704-9C2E-42FC-A1D6-5CF15244F7E5}">
  <dimension ref="A1:J15"/>
  <sheetViews>
    <sheetView showGridLines="0" zoomScaleNormal="100" workbookViewId="0">
      <selection activeCell="C5" sqref="C5"/>
    </sheetView>
  </sheetViews>
  <sheetFormatPr defaultRowHeight="14.5" x14ac:dyDescent="0.35"/>
  <cols>
    <col min="2" max="2" width="19.25" bestFit="1" customWidth="1"/>
    <col min="3" max="3" width="12.08203125" bestFit="1" customWidth="1"/>
    <col min="4" max="4" width="15.33203125" customWidth="1"/>
    <col min="6" max="6" width="1" customWidth="1"/>
    <col min="7" max="7" width="11.33203125" bestFit="1" customWidth="1"/>
    <col min="8" max="8" width="14.25" bestFit="1" customWidth="1"/>
  </cols>
  <sheetData>
    <row r="1" spans="1:10" x14ac:dyDescent="0.35">
      <c r="D1" t="s">
        <v>430</v>
      </c>
      <c r="E1" t="s">
        <v>430</v>
      </c>
    </row>
    <row r="2" spans="1:10" s="9" customFormat="1" x14ac:dyDescent="0.35">
      <c r="B2" s="253" t="s">
        <v>396</v>
      </c>
      <c r="C2" s="253" t="s">
        <v>397</v>
      </c>
      <c r="D2" s="253" t="s">
        <v>398</v>
      </c>
      <c r="E2" s="253" t="s">
        <v>399</v>
      </c>
      <c r="G2" s="253" t="s">
        <v>431</v>
      </c>
      <c r="H2" s="253" t="s">
        <v>432</v>
      </c>
    </row>
    <row r="3" spans="1:10" s="252" customFormat="1" x14ac:dyDescent="0.35">
      <c r="B3" s="254" t="s">
        <v>161</v>
      </c>
      <c r="C3" s="254" t="s">
        <v>161</v>
      </c>
      <c r="D3" s="254" t="s">
        <v>161</v>
      </c>
      <c r="E3" s="254" t="s">
        <v>161</v>
      </c>
      <c r="G3" s="254" t="s">
        <v>161</v>
      </c>
      <c r="H3" s="254" t="s">
        <v>161</v>
      </c>
    </row>
    <row r="4" spans="1:10" x14ac:dyDescent="0.35">
      <c r="A4">
        <v>1</v>
      </c>
      <c r="B4" s="3">
        <f>SUMIFS('Điều chỉnh'!$G$10:$BE$10,'Điều chỉnh'!$G$1:$BE$1,'Slide 1'!$A4,'Điều chỉnh'!$G$4:$BE$4,"Sau đ/c")</f>
        <v>0</v>
      </c>
      <c r="C4" s="6">
        <f>SUM(B$4:B4)</f>
        <v>0</v>
      </c>
      <c r="D4" s="3">
        <f>SUMIFS('Điều chỉnh'!$G$15:$BE$15,'Điều chỉnh'!$G$1:$BE$1,'Slide 1'!$A4,'Điều chỉnh'!$G$4:$BE$4,"Sau đ/c")</f>
        <v>0</v>
      </c>
      <c r="E4" s="6">
        <f>SUM(D$4:D4)</f>
        <v>0</v>
      </c>
      <c r="G4" s="3">
        <f>SUMIFS('Điều chỉnh'!$G$14:$BE$14,'Điều chỉnh'!$G$1:$BE$1,'Slide 1'!$A4,'Điều chỉnh'!$G$4:$BE$4,"Sau đ/c")</f>
        <v>0</v>
      </c>
      <c r="H4" s="6">
        <f>SUM(G$4:G4)</f>
        <v>0</v>
      </c>
    </row>
    <row r="5" spans="1:10" x14ac:dyDescent="0.35">
      <c r="A5">
        <v>2</v>
      </c>
      <c r="B5" s="3">
        <f>SUMIFS('Điều chỉnh'!$G$10:$BE$10,'Điều chỉnh'!$G$1:$BE$1,'Slide 1'!$A5,'Điều chỉnh'!$G$4:$BE$4,"Sau đ/c")</f>
        <v>7465.5</v>
      </c>
      <c r="C5" s="6">
        <f>SUM(B$4:B5)</f>
        <v>7465.5</v>
      </c>
      <c r="D5" s="3">
        <f>SUMIFS('Điều chỉnh'!$G$15:$BE$15,'Điều chỉnh'!$G$1:$BE$1,'Slide 1'!$A5,'Điều chỉnh'!$G$4:$BE$4,"Sau đ/c")</f>
        <v>810.58177019322852</v>
      </c>
      <c r="E5" s="6">
        <f>SUM(D$4:D5)</f>
        <v>810.58177019322852</v>
      </c>
      <c r="G5" s="3">
        <f>SUMIFS('Điều chỉnh'!$G$14:$BE$14,'Điều chỉnh'!$G$1:$BE$1,'Slide 1'!$A5,'Điều chỉnh'!$G$4:$BE$4,"Sau đ/c")</f>
        <v>553.54999999999995</v>
      </c>
      <c r="H5" s="6">
        <f>SUM(G$4:G5)</f>
        <v>553.54999999999995</v>
      </c>
      <c r="J5" s="6">
        <v>0</v>
      </c>
    </row>
    <row r="6" spans="1:10" x14ac:dyDescent="0.35">
      <c r="A6">
        <v>3</v>
      </c>
      <c r="B6" s="3">
        <f>SUMIFS('Điều chỉnh'!$G$10:$BE$10,'Điều chỉnh'!$G$1:$BE$1,'Slide 1'!$A6,'Điều chỉnh'!$G$4:$BE$4,"Sau đ/c")</f>
        <v>2755</v>
      </c>
      <c r="C6" s="6">
        <f>SUM(B$4:B6)</f>
        <v>10220.5</v>
      </c>
      <c r="D6" s="3">
        <f>SUMIFS('Điều chỉnh'!$G$15:$BE$15,'Điều chỉnh'!$G$1:$BE$1,'Slide 1'!$A6,'Điều chỉnh'!$G$4:$BE$4,"Sau đ/c")</f>
        <v>421.15387771460701</v>
      </c>
      <c r="E6" s="6">
        <f>SUM(D$4:D6)</f>
        <v>1231.7356479078355</v>
      </c>
      <c r="G6" s="3">
        <f>SUMIFS('Điều chỉnh'!$G$14:$BE$14,'Điều chỉnh'!$G$1:$BE$1,'Slide 1'!$A6,'Điều chỉnh'!$G$4:$BE$4,"Sau đ/c")</f>
        <v>205.5</v>
      </c>
      <c r="H6" s="6">
        <f>SUM(G$4:G6)</f>
        <v>759.05</v>
      </c>
      <c r="J6" s="6">
        <v>0</v>
      </c>
    </row>
    <row r="7" spans="1:10" x14ac:dyDescent="0.35">
      <c r="A7">
        <v>4</v>
      </c>
      <c r="B7" s="3">
        <f>SUMIFS('Điều chỉnh'!$G$10:$BE$10,'Điều chỉnh'!$G$1:$BE$1,'Slide 1'!$A7,'Điều chỉnh'!$G$4:$BE$4,"Sau đ/c")</f>
        <v>2242.5</v>
      </c>
      <c r="C7" s="6">
        <f>SUM(B$4:B7)</f>
        <v>12463</v>
      </c>
      <c r="D7" s="3">
        <f>SUMIFS('Điều chỉnh'!$G$15:$BE$15,'Điều chỉnh'!$G$1:$BE$1,'Slide 1'!$A7,'Điều chỉnh'!$G$4:$BE$4,"Sau đ/c")</f>
        <v>197.16732685817192</v>
      </c>
      <c r="E7" s="6">
        <f>SUM(D$4:D7)</f>
        <v>1428.9029747660074</v>
      </c>
      <c r="G7" s="3">
        <f>SUMIFS('Điều chỉnh'!$G$14:$BE$14,'Điều chỉnh'!$G$1:$BE$1,'Slide 1'!$A7,'Điều chỉnh'!$G$4:$BE$4,"Sau đ/c")</f>
        <v>164.25</v>
      </c>
      <c r="H7" s="6">
        <f>SUM(G$4:G7)</f>
        <v>923.3</v>
      </c>
      <c r="J7" s="6">
        <v>0</v>
      </c>
    </row>
    <row r="8" spans="1:10" x14ac:dyDescent="0.35">
      <c r="A8">
        <v>5</v>
      </c>
      <c r="B8" s="3">
        <f>SUMIFS('Điều chỉnh'!$G$10:$BE$10,'Điều chỉnh'!$G$1:$BE$1,'Slide 1'!$A8,'Điều chỉnh'!$G$4:$BE$4,"Sau đ/c")</f>
        <v>1360</v>
      </c>
      <c r="C8" s="6">
        <f>SUM(B$4:B8)</f>
        <v>13823</v>
      </c>
      <c r="D8" s="3">
        <f>SUMIFS('Điều chỉnh'!$G$15:$BE$15,'Điều chỉnh'!$G$1:$BE$1,'Slide 1'!$A8,'Điều chỉnh'!$G$4:$BE$4,"Sau đ/c")</f>
        <v>-87.625128991264774</v>
      </c>
      <c r="E8" s="6">
        <f>SUM(D$4:D8)</f>
        <v>1341.2778457747427</v>
      </c>
      <c r="G8" s="3">
        <f>SUMIFS('Điều chỉnh'!$G$14:$BE$14,'Điều chỉnh'!$G$1:$BE$1,'Slide 1'!$A8,'Điều chỉnh'!$G$4:$BE$4,"Sau đ/c")</f>
        <v>96</v>
      </c>
      <c r="H8" s="6">
        <f>SUM(G$4:G8)</f>
        <v>1019.3</v>
      </c>
      <c r="J8" s="6">
        <v>0</v>
      </c>
    </row>
    <row r="9" spans="1:10" x14ac:dyDescent="0.35">
      <c r="A9">
        <v>6</v>
      </c>
      <c r="B9" s="3">
        <f>SUMIFS('Điều chỉnh'!$G$10:$BE$10,'Điều chỉnh'!$G$1:$BE$1,'Slide 1'!$A9,'Điều chỉnh'!$G$4:$BE$4,"Sau đ/c")</f>
        <v>1780</v>
      </c>
      <c r="C9" s="6">
        <f>SUM(B$4:B9)</f>
        <v>15603</v>
      </c>
      <c r="D9" s="3">
        <f>SUMIFS('Điều chỉnh'!$G$15:$BE$15,'Điều chỉnh'!$G$1:$BE$1,'Slide 1'!$A9,'Điều chỉnh'!$G$4:$BE$4,"Sau đ/c")</f>
        <v>97.091750247918981</v>
      </c>
      <c r="E9" s="6">
        <f>SUM(D$4:D9)</f>
        <v>1438.3695960226617</v>
      </c>
      <c r="G9" s="3">
        <f>SUMIFS('Điều chỉnh'!$G$14:$BE$14,'Điều chỉnh'!$G$1:$BE$1,'Slide 1'!$A9,'Điều chỉnh'!$G$4:$BE$4,"Sau đ/c")</f>
        <v>128</v>
      </c>
      <c r="H9" s="6">
        <f>SUM(G$4:G9)</f>
        <v>1147.3</v>
      </c>
      <c r="J9" s="6">
        <v>0</v>
      </c>
    </row>
    <row r="10" spans="1:10" x14ac:dyDescent="0.35">
      <c r="A10">
        <v>7</v>
      </c>
      <c r="B10" s="3">
        <f>SUMIFS('Điều chỉnh'!$G$10:$BE$10,'Điều chỉnh'!$G$1:$BE$1,'Slide 1'!$A10,'Điều chỉnh'!$G$4:$BE$4,"Sau đ/c")</f>
        <v>340</v>
      </c>
      <c r="C10" s="6">
        <f>SUM(B$4:B10)</f>
        <v>15943</v>
      </c>
      <c r="D10" s="3">
        <f>SUMIFS('Điều chỉnh'!$G$15:$BE$15,'Điều chỉnh'!$G$1:$BE$1,'Slide 1'!$A10,'Điều chỉnh'!$G$4:$BE$4,"Sau đ/c")</f>
        <v>-19.778940254417705</v>
      </c>
      <c r="E10" s="6">
        <f>SUM(D$4:D10)</f>
        <v>1418.590655768244</v>
      </c>
      <c r="G10" s="3">
        <f>SUMIFS('Điều chỉnh'!$G$14:$BE$14,'Điều chỉnh'!$G$1:$BE$1,'Slide 1'!$A10,'Điều chỉnh'!$G$4:$BE$4,"Sau đ/c")</f>
        <v>24</v>
      </c>
      <c r="H10" s="6">
        <f>SUM(G$4:G10)</f>
        <v>1171.3</v>
      </c>
      <c r="J10" s="6">
        <v>32.319143815297934</v>
      </c>
    </row>
    <row r="11" spans="1:10" x14ac:dyDescent="0.35">
      <c r="A11">
        <v>8</v>
      </c>
      <c r="B11" s="3">
        <f>SUMIFS('Điều chỉnh'!$G$10:$BE$10,'Điều chỉnh'!$G$1:$BE$1,'Slide 1'!$A11,'Điều chỉnh'!$G$4:$BE$4,"Sau đ/c")</f>
        <v>1456</v>
      </c>
      <c r="C11" s="6">
        <f>SUM(B$4:B11)</f>
        <v>17399</v>
      </c>
      <c r="D11" s="3">
        <f>SUMIFS('Điều chỉnh'!$G$15:$BE$15,'Điều chỉnh'!$G$1:$BE$1,'Slide 1'!$A11,'Điều chỉnh'!$G$4:$BE$4,"Sau đ/c")</f>
        <v>185.52895525082923</v>
      </c>
      <c r="E11" s="6">
        <f>SUM(D$4:D11)</f>
        <v>1604.1196110190733</v>
      </c>
      <c r="G11" s="3">
        <f>SUMIFS('Điều chỉnh'!$G$14:$BE$14,'Điều chỉnh'!$G$1:$BE$1,'Slide 1'!$A11,'Điều chỉnh'!$G$4:$BE$4,"Sau đ/c")</f>
        <v>105.6</v>
      </c>
      <c r="H11" s="6">
        <f>SUM(G$4:G11)</f>
        <v>1276.8999999999999</v>
      </c>
      <c r="J11" s="6">
        <v>0</v>
      </c>
    </row>
    <row r="12" spans="1:10" x14ac:dyDescent="0.35">
      <c r="A12">
        <v>9</v>
      </c>
      <c r="B12" s="3">
        <f>SUMIFS('Điều chỉnh'!$G$10:$BE$10,'Điều chỉnh'!$G$1:$BE$1,'Slide 1'!$A12,'Điều chỉnh'!$G$4:$BE$4,"Sau đ/c")</f>
        <v>4056.5</v>
      </c>
      <c r="C12" s="6">
        <f>SUM(B$4:B12)</f>
        <v>21455.5</v>
      </c>
      <c r="D12" s="3">
        <f>SUMIFS('Điều chỉnh'!$G$15:$BE$15,'Điều chỉnh'!$G$1:$BE$1,'Slide 1'!$A12,'Điều chỉnh'!$G$4:$BE$4,"Sau đ/c")</f>
        <v>99.271436613402898</v>
      </c>
      <c r="E12" s="6">
        <f>SUM(D$4:D12)</f>
        <v>1703.3910476324763</v>
      </c>
      <c r="G12" s="3">
        <f>SUMIFS('Điều chỉnh'!$G$14:$BE$14,'Điều chỉnh'!$G$1:$BE$1,'Slide 1'!$A12,'Điều chỉnh'!$G$4:$BE$4,"Sau đ/c")</f>
        <v>295.64999999999998</v>
      </c>
      <c r="H12" s="6">
        <f>SUM(G$4:G12)</f>
        <v>1572.5499999999997</v>
      </c>
      <c r="J12" s="6">
        <v>0</v>
      </c>
    </row>
    <row r="13" spans="1:10" x14ac:dyDescent="0.35">
      <c r="A13">
        <v>10</v>
      </c>
      <c r="B13" s="3">
        <f>SUMIFS('Điều chỉnh'!$G$10:$BE$10,'Điều chỉnh'!$G$1:$BE$1,'Slide 1'!$A13,'Điều chỉnh'!$G$4:$BE$4,"Sau đ/c")</f>
        <v>2456</v>
      </c>
      <c r="C13" s="6">
        <f>SUM(B$4:B13)</f>
        <v>23911.5</v>
      </c>
      <c r="D13" s="3">
        <f>SUMIFS('Điều chỉnh'!$G$15:$BE$15,'Điều chỉnh'!$G$1:$BE$1,'Slide 1'!$A13,'Điều chỉnh'!$G$4:$BE$4,"Sau đ/c")</f>
        <v>73.634925671624728</v>
      </c>
      <c r="E13" s="6">
        <f>SUM(D$4:D13)</f>
        <v>1777.0259733041012</v>
      </c>
      <c r="G13" s="3">
        <f>SUMIFS('Điều chỉnh'!$G$14:$BE$14,'Điều chỉnh'!$G$1:$BE$1,'Slide 1'!$A13,'Điều chỉnh'!$G$4:$BE$4,"Sau đ/c")</f>
        <v>176.60000000000002</v>
      </c>
      <c r="H13" s="6">
        <f>SUM(G$4:G13)</f>
        <v>1749.1499999999996</v>
      </c>
      <c r="J13" s="6">
        <v>0</v>
      </c>
    </row>
    <row r="14" spans="1:10" x14ac:dyDescent="0.35">
      <c r="A14">
        <v>11</v>
      </c>
      <c r="B14" s="3">
        <f>SUMIFS('Điều chỉnh'!$G$10:$BE$10,'Điều chỉnh'!$G$1:$BE$1,'Slide 1'!$A14,'Điều chỉnh'!$G$4:$BE$4,"Sau đ/c")</f>
        <v>2869</v>
      </c>
      <c r="C14" s="6">
        <f>SUM(B$4:B14)</f>
        <v>26780.5</v>
      </c>
      <c r="D14" s="3">
        <f>SUMIFS('Điều chỉnh'!$G$15:$BE$15,'Điều chỉnh'!$G$1:$BE$1,'Slide 1'!$A14,'Điều chỉnh'!$G$4:$BE$4,"Sau đ/c")</f>
        <v>168.24298627522975</v>
      </c>
      <c r="E14" s="6">
        <f>SUM(D$4:D14)</f>
        <v>1945.2689595793308</v>
      </c>
      <c r="G14" s="3">
        <f>SUMIFS('Điều chỉnh'!$G$14:$BE$14,'Điều chỉnh'!$G$1:$BE$1,'Slide 1'!$A14,'Điều chỉnh'!$G$4:$BE$4,"Sau đ/c")</f>
        <v>206.9</v>
      </c>
      <c r="H14" s="6">
        <f>SUM(G$4:G14)</f>
        <v>1956.0499999999997</v>
      </c>
      <c r="J14" s="6">
        <v>0</v>
      </c>
    </row>
    <row r="15" spans="1:10" x14ac:dyDescent="0.35">
      <c r="A15">
        <v>12</v>
      </c>
      <c r="B15" s="3">
        <f>SUMIFS('Điều chỉnh'!$G$10:$BE$10,'Điều chỉnh'!$G$1:$BE$1,'Slide 1'!$A15,'Điều chỉnh'!$G$4:$BE$4,"Sau đ/c")</f>
        <v>1785</v>
      </c>
      <c r="C15" s="6">
        <f>SUM(B$4:B15)</f>
        <v>28565.5</v>
      </c>
      <c r="D15" s="3">
        <f>SUMIFS('Điều chỉnh'!$G$15:$BE$15,'Điều chỉnh'!$G$1:$BE$1,'Slide 1'!$A15,'Điều chỉnh'!$G$4:$BE$4,"Sau đ/c")</f>
        <v>-248.50507026763398</v>
      </c>
      <c r="E15" s="6">
        <f>SUM(D$4:D15)</f>
        <v>1696.7638893116969</v>
      </c>
      <c r="G15" s="3">
        <f>SUMIFS('Điều chỉnh'!$G$14:$BE$14,'Điều chỉnh'!$G$1:$BE$1,'Slide 1'!$A15,'Điều chỉnh'!$G$4:$BE$4,"Sau đ/c")</f>
        <v>128.5</v>
      </c>
      <c r="H15" s="6">
        <f>SUM(G$4:G15)</f>
        <v>2084.5499999999997</v>
      </c>
      <c r="J15" s="6">
        <v>-248.50507026763398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822A-F23D-450F-AE1B-5882881C2963}">
  <dimension ref="A2:C15"/>
  <sheetViews>
    <sheetView showGridLines="0" zoomScale="205" zoomScaleNormal="205" workbookViewId="0">
      <selection activeCell="J36" sqref="J36"/>
    </sheetView>
  </sheetViews>
  <sheetFormatPr defaultRowHeight="14.5" x14ac:dyDescent="0.35"/>
  <cols>
    <col min="2" max="2" width="9.75" bestFit="1" customWidth="1"/>
    <col min="3" max="3" width="12.08203125" bestFit="1" customWidth="1"/>
  </cols>
  <sheetData>
    <row r="2" spans="1:3" x14ac:dyDescent="0.35">
      <c r="B2" s="255" t="s">
        <v>433</v>
      </c>
      <c r="C2" s="255" t="s">
        <v>434</v>
      </c>
    </row>
    <row r="3" spans="1:3" s="102" customFormat="1" x14ac:dyDescent="0.35">
      <c r="B3" s="254" t="s">
        <v>159</v>
      </c>
      <c r="C3" s="254" t="s">
        <v>159</v>
      </c>
    </row>
    <row r="4" spans="1:3" x14ac:dyDescent="0.35">
      <c r="A4">
        <v>1</v>
      </c>
      <c r="B4" s="3">
        <f>SUMIFS('Điều chỉnh'!$G$6:$BE$6,'Điều chỉnh'!$G$1:$BE$1,'Slide 1'!$A4,'Điều chỉnh'!$G$4:$BE$4,"Sau đ/c")</f>
        <v>0</v>
      </c>
      <c r="C4" s="256">
        <f>SUM(B$4:B4)</f>
        <v>0</v>
      </c>
    </row>
    <row r="5" spans="1:3" x14ac:dyDescent="0.35">
      <c r="A5">
        <v>2</v>
      </c>
      <c r="B5" s="3">
        <f>SUMIFS('Điều chỉnh'!$G$6:$BE$6,'Điều chỉnh'!$G$1:$BE$1,'Slide 1'!$A5,'Điều chỉnh'!$G$4:$BE$4,"Sau đ/c")</f>
        <v>386</v>
      </c>
      <c r="C5" s="256">
        <f>SUM(B$4:B5)</f>
        <v>386</v>
      </c>
    </row>
    <row r="6" spans="1:3" x14ac:dyDescent="0.35">
      <c r="A6">
        <v>3</v>
      </c>
      <c r="B6" s="3">
        <f>SUMIFS('Điều chỉnh'!$G$6:$BE$6,'Điều chỉnh'!$G$1:$BE$1,'Slide 1'!$A6,'Điều chỉnh'!$G$4:$BE$4,"Sau đ/c")</f>
        <v>140</v>
      </c>
      <c r="C6" s="256">
        <f>SUM(B$4:B6)</f>
        <v>526</v>
      </c>
    </row>
    <row r="7" spans="1:3" x14ac:dyDescent="0.35">
      <c r="A7">
        <v>4</v>
      </c>
      <c r="B7" s="3">
        <f>SUMIFS('Điều chỉnh'!$G$6:$BE$6,'Điều chỉnh'!$G$1:$BE$1,'Slide 1'!$A7,'Điều chỉnh'!$G$4:$BE$4,"Sau đ/c")</f>
        <v>120</v>
      </c>
      <c r="C7" s="256">
        <f>SUM(B$4:B7)</f>
        <v>646</v>
      </c>
    </row>
    <row r="8" spans="1:3" x14ac:dyDescent="0.35">
      <c r="A8">
        <v>5</v>
      </c>
      <c r="B8" s="3">
        <f>SUMIFS('Điều chỉnh'!$G$6:$BE$6,'Điều chỉnh'!$G$1:$BE$1,'Slide 1'!$A8,'Điều chỉnh'!$G$4:$BE$4,"Sau đ/c")</f>
        <v>80</v>
      </c>
      <c r="C8" s="256">
        <f>SUM(B$4:B8)</f>
        <v>726</v>
      </c>
    </row>
    <row r="9" spans="1:3" x14ac:dyDescent="0.35">
      <c r="A9">
        <v>6</v>
      </c>
      <c r="B9" s="3">
        <f>SUMIFS('Điều chỉnh'!$G$6:$BE$6,'Điều chỉnh'!$G$1:$BE$1,'Slide 1'!$A9,'Điều chỉnh'!$G$4:$BE$4,"Sau đ/c")</f>
        <v>100</v>
      </c>
      <c r="C9" s="256">
        <f>SUM(B$4:B9)</f>
        <v>826</v>
      </c>
    </row>
    <row r="10" spans="1:3" x14ac:dyDescent="0.35">
      <c r="A10">
        <v>7</v>
      </c>
      <c r="B10" s="3">
        <f>SUMIFS('Điều chỉnh'!$G$6:$BE$6,'Điều chỉnh'!$G$1:$BE$1,'Slide 1'!$A10,'Điều chỉnh'!$G$4:$BE$4,"Sau đ/c")</f>
        <v>20</v>
      </c>
      <c r="C10" s="256">
        <f>SUM(B$4:B10)</f>
        <v>846</v>
      </c>
    </row>
    <row r="11" spans="1:3" x14ac:dyDescent="0.35">
      <c r="A11">
        <v>8</v>
      </c>
      <c r="B11" s="3">
        <f>SUMIFS('Điều chỉnh'!$G$6:$BE$6,'Điều chỉnh'!$G$1:$BE$1,'Slide 1'!$A11,'Điều chỉnh'!$G$4:$BE$4,"Sau đ/c")</f>
        <v>80</v>
      </c>
      <c r="C11" s="256">
        <f>SUM(B$4:B11)</f>
        <v>926</v>
      </c>
    </row>
    <row r="12" spans="1:3" x14ac:dyDescent="0.35">
      <c r="A12">
        <v>9</v>
      </c>
      <c r="B12" s="3">
        <f>SUMIFS('Điều chỉnh'!$G$6:$BE$6,'Điều chỉnh'!$G$1:$BE$1,'Slide 1'!$A12,'Điều chỉnh'!$G$4:$BE$4,"Sau đ/c")</f>
        <v>220</v>
      </c>
      <c r="C12" s="256">
        <f>SUM(B$4:B12)</f>
        <v>1146</v>
      </c>
    </row>
    <row r="13" spans="1:3" x14ac:dyDescent="0.35">
      <c r="A13">
        <v>10</v>
      </c>
      <c r="B13" s="3">
        <f>SUMIFS('Điều chỉnh'!$G$6:$BE$6,'Điều chỉnh'!$G$1:$BE$1,'Slide 1'!$A13,'Điều chỉnh'!$G$4:$BE$4,"Sau đ/c")</f>
        <v>138</v>
      </c>
      <c r="C13" s="256">
        <f>SUM(B$4:B13)</f>
        <v>1284</v>
      </c>
    </row>
    <row r="14" spans="1:3" x14ac:dyDescent="0.35">
      <c r="A14">
        <v>11</v>
      </c>
      <c r="B14" s="3">
        <f>SUMIFS('Điều chỉnh'!$G$6:$BE$6,'Điều chỉnh'!$G$1:$BE$1,'Slide 1'!$A14,'Điều chỉnh'!$G$4:$BE$4,"Sau đ/c")</f>
        <v>160</v>
      </c>
      <c r="C14" s="256">
        <f>SUM(B$4:B14)</f>
        <v>1444</v>
      </c>
    </row>
    <row r="15" spans="1:3" x14ac:dyDescent="0.35">
      <c r="A15">
        <v>12</v>
      </c>
      <c r="B15" s="3">
        <f>SUMIFS('Điều chỉnh'!$G$6:$BE$6,'Điều chỉnh'!$G$1:$BE$1,'Slide 1'!$A15,'Điều chỉnh'!$G$4:$BE$4,"Sau đ/c")</f>
        <v>100</v>
      </c>
      <c r="C15" s="256">
        <f>SUM(B$4:B15)</f>
        <v>1544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8C83-D4AC-455B-8BAB-8982690A3B66}">
  <dimension ref="B2:R15"/>
  <sheetViews>
    <sheetView showGridLines="0" zoomScale="115" zoomScaleNormal="115" workbookViewId="0">
      <selection activeCell="J36" sqref="J36"/>
    </sheetView>
  </sheetViews>
  <sheetFormatPr defaultRowHeight="14.5" x14ac:dyDescent="0.35"/>
  <cols>
    <col min="1" max="1" width="4.75" customWidth="1"/>
    <col min="2" max="2" width="6.75" customWidth="1"/>
    <col min="3" max="3" width="12.25" customWidth="1"/>
    <col min="4" max="4" width="24.75" customWidth="1"/>
    <col min="5" max="16" width="9.25" customWidth="1"/>
    <col min="17" max="17" width="11.33203125" bestFit="1" customWidth="1"/>
  </cols>
  <sheetData>
    <row r="2" spans="2:18" x14ac:dyDescent="0.35">
      <c r="B2" s="251" t="s">
        <v>437</v>
      </c>
    </row>
    <row r="3" spans="2:18" x14ac:dyDescent="0.35">
      <c r="B3" s="258" t="s">
        <v>168</v>
      </c>
      <c r="C3" s="259" t="s">
        <v>435</v>
      </c>
      <c r="D3" s="259" t="s">
        <v>436</v>
      </c>
      <c r="E3" s="259">
        <v>1</v>
      </c>
      <c r="F3" s="259">
        <v>2</v>
      </c>
      <c r="G3" s="259">
        <v>3</v>
      </c>
      <c r="H3" s="259">
        <v>4</v>
      </c>
      <c r="I3" s="259">
        <v>5</v>
      </c>
      <c r="J3" s="259">
        <v>6</v>
      </c>
      <c r="K3" s="259">
        <v>7</v>
      </c>
      <c r="L3" s="259">
        <v>8</v>
      </c>
      <c r="M3" s="259">
        <v>9</v>
      </c>
      <c r="N3" s="259">
        <v>10</v>
      </c>
      <c r="O3" s="259">
        <v>11</v>
      </c>
      <c r="P3" s="259">
        <v>12</v>
      </c>
      <c r="Q3" s="260" t="s">
        <v>48</v>
      </c>
    </row>
    <row r="4" spans="2:18" x14ac:dyDescent="0.35">
      <c r="B4" s="257">
        <v>1</v>
      </c>
      <c r="C4" t="s">
        <v>29</v>
      </c>
      <c r="D4" t="s">
        <v>30</v>
      </c>
      <c r="E4" s="3" cm="1">
        <f t="array" ref="E4">-SUMPRODUCT('Bán hàng-Break-down BOM'!$D$6:$AA$15*('Bán hàng-Break-down BOM'!$D$3:$AA$3=E$3)*('Bán hàng-Break-down BOM'!$B$6:$B$15=$C4))/10^3</f>
        <v>0</v>
      </c>
      <c r="F4" s="3" cm="1">
        <f t="array" ref="F4">-SUMPRODUCT('Bán hàng-Break-down BOM'!$D$6:$AA$15*('Bán hàng-Break-down BOM'!$D$3:$AA$3=F$3)*('Bán hàng-Break-down BOM'!$B$6:$B$15=$C4))/10^3</f>
        <v>101.33477490740741</v>
      </c>
      <c r="G4" s="3" cm="1">
        <f t="array" ref="G4">-SUMPRODUCT('Bán hàng-Break-down BOM'!$D$6:$AA$15*('Bán hàng-Break-down BOM'!$D$3:$AA$3=G$3)*('Bán hàng-Break-down BOM'!$B$6:$B$15=$C4))/10^3</f>
        <v>32.518983114379083</v>
      </c>
      <c r="H4" s="3" cm="1">
        <f t="array" ref="H4">-SUMPRODUCT('Bán hàng-Break-down BOM'!$D$6:$AA$15*('Bán hàng-Break-down BOM'!$D$3:$AA$3=H$3)*('Bán hàng-Break-down BOM'!$B$6:$B$15=$C4))/10^3</f>
        <v>34.597627941176469</v>
      </c>
      <c r="I4" s="3" cm="1">
        <f t="array" ref="I4">-SUMPRODUCT('Bán hàng-Break-down BOM'!$D$6:$AA$15*('Bán hàng-Break-down BOM'!$D$3:$AA$3=I$3)*('Bán hàng-Break-down BOM'!$B$6:$B$15=$C4))/10^3</f>
        <v>34.484032428571432</v>
      </c>
      <c r="J4" s="3" cm="1">
        <f t="array" ref="J4">-SUMPRODUCT('Bán hàng-Break-down BOM'!$D$6:$AA$15*('Bán hàng-Break-down BOM'!$D$3:$AA$3=J$3)*('Bán hàng-Break-down BOM'!$B$6:$B$15=$C4))/10^3</f>
        <v>56.54272633613445</v>
      </c>
      <c r="K4" s="3" cm="1">
        <f t="array" ref="K4">-SUMPRODUCT('Bán hàng-Break-down BOM'!$D$6:$AA$15*('Bán hàng-Break-down BOM'!$D$3:$AA$3=K$3)*('Bán hàng-Break-down BOM'!$B$6:$B$15=$C4))/10^3</f>
        <v>9.6723529411764702</v>
      </c>
      <c r="L4" s="3" cm="1">
        <f t="array" ref="L4">-SUMPRODUCT('Bán hàng-Break-down BOM'!$D$6:$AA$15*('Bán hàng-Break-down BOM'!$D$3:$AA$3=L$3)*('Bán hàng-Break-down BOM'!$B$6:$B$15=$C4))/10^3</f>
        <v>44.183690121703854</v>
      </c>
      <c r="M4" s="3" cm="1">
        <f t="array" ref="M4">-SUMPRODUCT('Bán hàng-Break-down BOM'!$D$6:$AA$15*('Bán hàng-Break-down BOM'!$D$3:$AA$3=M$3)*('Bán hàng-Break-down BOM'!$B$6:$B$15=$C4))/10^3</f>
        <v>95.306965072413789</v>
      </c>
      <c r="N4" s="3" cm="1">
        <f t="array" ref="N4">-SUMPRODUCT('Bán hàng-Break-down BOM'!$D$6:$AA$15*('Bán hàng-Break-down BOM'!$D$3:$AA$3=N$3)*('Bán hàng-Break-down BOM'!$B$6:$B$15=$C4))/10^3</f>
        <v>59.868353953211006</v>
      </c>
      <c r="O4" s="3" cm="1">
        <f t="array" ref="O4">-SUMPRODUCT('Bán hàng-Break-down BOM'!$D$6:$AA$15*('Bán hàng-Break-down BOM'!$D$3:$AA$3=O$3)*('Bán hàng-Break-down BOM'!$B$6:$B$15=$C4))/10^3</f>
        <v>59.373211009174312</v>
      </c>
      <c r="P4" s="3" cm="1">
        <f t="array" ref="P4">-SUMPRODUCT('Bán hàng-Break-down BOM'!$D$6:$AA$15*('Bán hàng-Break-down BOM'!$D$3:$AA$3=P$3)*('Bán hàng-Break-down BOM'!$B$6:$B$15=$C4))/10^3</f>
        <v>16.221904214537762</v>
      </c>
      <c r="Q4" s="261">
        <f>SUM(E4:P4)</f>
        <v>544.10462203988595</v>
      </c>
    </row>
    <row r="5" spans="2:18" x14ac:dyDescent="0.35">
      <c r="B5" s="257">
        <v>2</v>
      </c>
      <c r="C5" t="s">
        <v>17</v>
      </c>
      <c r="D5" t="s">
        <v>18</v>
      </c>
      <c r="E5" s="3" cm="1">
        <f t="array" ref="E5">-SUMPRODUCT('Bán hàng-Break-down BOM'!$D$6:$AA$15*('Bán hàng-Break-down BOM'!$D$3:$AA$3=E$3)*('Bán hàng-Break-down BOM'!$B$6:$B$15=$C5))/10^3</f>
        <v>0</v>
      </c>
      <c r="F5" s="3" cm="1">
        <f t="array" ref="F5">-SUMPRODUCT('Bán hàng-Break-down BOM'!$D$6:$AA$15*('Bán hàng-Break-down BOM'!$D$3:$AA$3=F$3)*('Bán hàng-Break-down BOM'!$B$6:$B$15=$C5))/10^3</f>
        <v>0</v>
      </c>
      <c r="G5" s="3" cm="1">
        <f t="array" ref="G5">-SUMPRODUCT('Bán hàng-Break-down BOM'!$D$6:$AA$15*('Bán hàng-Break-down BOM'!$D$3:$AA$3=G$3)*('Bán hàng-Break-down BOM'!$B$6:$B$15=$C5))/10^3</f>
        <v>0</v>
      </c>
      <c r="H5" s="3" cm="1">
        <f t="array" ref="H5">-SUMPRODUCT('Bán hàng-Break-down BOM'!$D$6:$AA$15*('Bán hàng-Break-down BOM'!$D$3:$AA$3=H$3)*('Bán hàng-Break-down BOM'!$B$6:$B$15=$C5))/10^3</f>
        <v>0</v>
      </c>
      <c r="I5" s="3" cm="1">
        <f t="array" ref="I5">-SUMPRODUCT('Bán hàng-Break-down BOM'!$D$6:$AA$15*('Bán hàng-Break-down BOM'!$D$3:$AA$3=I$3)*('Bán hàng-Break-down BOM'!$B$6:$B$15=$C5))/10^3</f>
        <v>0</v>
      </c>
      <c r="J5" s="3" cm="1">
        <f t="array" ref="J5">-SUMPRODUCT('Bán hàng-Break-down BOM'!$D$6:$AA$15*('Bán hàng-Break-down BOM'!$D$3:$AA$3=J$3)*('Bán hàng-Break-down BOM'!$B$6:$B$15=$C5))/10^3</f>
        <v>0</v>
      </c>
      <c r="K5" s="3" cm="1">
        <f t="array" ref="K5">-SUMPRODUCT('Bán hàng-Break-down BOM'!$D$6:$AA$15*('Bán hàng-Break-down BOM'!$D$3:$AA$3=K$3)*('Bán hàng-Break-down BOM'!$B$6:$B$15=$C5))/10^3</f>
        <v>0</v>
      </c>
      <c r="L5" s="3" cm="1">
        <f t="array" ref="L5">-SUMPRODUCT('Bán hàng-Break-down BOM'!$D$6:$AA$15*('Bán hàng-Break-down BOM'!$D$3:$AA$3=L$3)*('Bán hàng-Break-down BOM'!$B$6:$B$15=$C5))/10^3</f>
        <v>2.9549999999999997E-5</v>
      </c>
      <c r="M5" s="3" cm="1">
        <f t="array" ref="M5">-SUMPRODUCT('Bán hàng-Break-down BOM'!$D$6:$AA$15*('Bán hàng-Break-down BOM'!$D$3:$AA$3=M$3)*('Bán hàng-Break-down BOM'!$B$6:$B$15=$C5))/10^3</f>
        <v>2.6044999999999996E-4</v>
      </c>
      <c r="N5" s="3" cm="1">
        <f t="array" ref="N5">-SUMPRODUCT('Bán hàng-Break-down BOM'!$D$6:$AA$15*('Bán hàng-Break-down BOM'!$D$3:$AA$3=N$3)*('Bán hàng-Break-down BOM'!$B$6:$B$15=$C5))/10^3</f>
        <v>0</v>
      </c>
      <c r="O5" s="3" cm="1">
        <f t="array" ref="O5">-SUMPRODUCT('Bán hàng-Break-down BOM'!$D$6:$AA$15*('Bán hàng-Break-down BOM'!$D$3:$AA$3=O$3)*('Bán hàng-Break-down BOM'!$B$6:$B$15=$C5))/10^3</f>
        <v>0</v>
      </c>
      <c r="P5" s="3" cm="1">
        <f t="array" ref="P5">-SUMPRODUCT('Bán hàng-Break-down BOM'!$D$6:$AA$15*('Bán hàng-Break-down BOM'!$D$3:$AA$3=P$3)*('Bán hàng-Break-down BOM'!$B$6:$B$15=$C5))/10^3</f>
        <v>0</v>
      </c>
      <c r="Q5" s="261">
        <f t="shared" ref="Q5:Q12" si="0">SUM(E5:P5)</f>
        <v>2.8999999999999995E-4</v>
      </c>
    </row>
    <row r="6" spans="2:18" x14ac:dyDescent="0.35">
      <c r="B6" s="257">
        <v>3</v>
      </c>
      <c r="C6" t="s">
        <v>36</v>
      </c>
      <c r="D6" t="s">
        <v>37</v>
      </c>
      <c r="E6" s="3" cm="1">
        <f t="array" ref="E6">-SUMPRODUCT('Bán hàng-Break-down BOM'!$D$6:$AA$15*('Bán hàng-Break-down BOM'!$D$3:$AA$3=E$3)*('Bán hàng-Break-down BOM'!$B$6:$B$15=$C6))/10^3</f>
        <v>0</v>
      </c>
      <c r="F6" s="3" cm="1">
        <f t="array" ref="F6">-SUMPRODUCT('Bán hàng-Break-down BOM'!$D$6:$AA$15*('Bán hàng-Break-down BOM'!$D$3:$AA$3=F$3)*('Bán hàng-Break-down BOM'!$B$6:$B$15=$C6))/10^3</f>
        <v>0</v>
      </c>
      <c r="G6" s="3" cm="1">
        <f t="array" ref="G6">-SUMPRODUCT('Bán hàng-Break-down BOM'!$D$6:$AA$15*('Bán hàng-Break-down BOM'!$D$3:$AA$3=G$3)*('Bán hàng-Break-down BOM'!$B$6:$B$15=$C6))/10^3</f>
        <v>0</v>
      </c>
      <c r="H6" s="3" cm="1">
        <f t="array" ref="H6">-SUMPRODUCT('Bán hàng-Break-down BOM'!$D$6:$AA$15*('Bán hàng-Break-down BOM'!$D$3:$AA$3=H$3)*('Bán hàng-Break-down BOM'!$B$6:$B$15=$C6))/10^3</f>
        <v>0</v>
      </c>
      <c r="I6" s="3" cm="1">
        <f t="array" ref="I6">-SUMPRODUCT('Bán hàng-Break-down BOM'!$D$6:$AA$15*('Bán hàng-Break-down BOM'!$D$3:$AA$3=I$3)*('Bán hàng-Break-down BOM'!$B$6:$B$15=$C6))/10^3</f>
        <v>0</v>
      </c>
      <c r="J6" s="3" cm="1">
        <f t="array" ref="J6">-SUMPRODUCT('Bán hàng-Break-down BOM'!$D$6:$AA$15*('Bán hàng-Break-down BOM'!$D$3:$AA$3=J$3)*('Bán hàng-Break-down BOM'!$B$6:$B$15=$C6))/10^3</f>
        <v>0</v>
      </c>
      <c r="K6" s="3" cm="1">
        <f t="array" ref="K6">-SUMPRODUCT('Bán hàng-Break-down BOM'!$D$6:$AA$15*('Bán hàng-Break-down BOM'!$D$3:$AA$3=K$3)*('Bán hàng-Break-down BOM'!$B$6:$B$15=$C6))/10^3</f>
        <v>0</v>
      </c>
      <c r="L6" s="3" cm="1">
        <f t="array" ref="L6">-SUMPRODUCT('Bán hàng-Break-down BOM'!$D$6:$AA$15*('Bán hàng-Break-down BOM'!$D$3:$AA$3=L$3)*('Bán hàng-Break-down BOM'!$B$6:$B$15=$C6))/10^3</f>
        <v>2.9549999999999997E-5</v>
      </c>
      <c r="M6" s="3" cm="1">
        <f t="array" ref="M6">-SUMPRODUCT('Bán hàng-Break-down BOM'!$D$6:$AA$15*('Bán hàng-Break-down BOM'!$D$3:$AA$3=M$3)*('Bán hàng-Break-down BOM'!$B$6:$B$15=$C6))/10^3</f>
        <v>2.6044999999999996E-4</v>
      </c>
      <c r="N6" s="3" cm="1">
        <f t="array" ref="N6">-SUMPRODUCT('Bán hàng-Break-down BOM'!$D$6:$AA$15*('Bán hàng-Break-down BOM'!$D$3:$AA$3=N$3)*('Bán hàng-Break-down BOM'!$B$6:$B$15=$C6))/10^3</f>
        <v>0</v>
      </c>
      <c r="O6" s="3" cm="1">
        <f t="array" ref="O6">-SUMPRODUCT('Bán hàng-Break-down BOM'!$D$6:$AA$15*('Bán hàng-Break-down BOM'!$D$3:$AA$3=O$3)*('Bán hàng-Break-down BOM'!$B$6:$B$15=$C6))/10^3</f>
        <v>0</v>
      </c>
      <c r="P6" s="3" cm="1">
        <f t="array" ref="P6">-SUMPRODUCT('Bán hàng-Break-down BOM'!$D$6:$AA$15*('Bán hàng-Break-down BOM'!$D$3:$AA$3=P$3)*('Bán hàng-Break-down BOM'!$B$6:$B$15=$C6))/10^3</f>
        <v>0</v>
      </c>
      <c r="Q6" s="261">
        <f t="shared" si="0"/>
        <v>2.8999999999999995E-4</v>
      </c>
    </row>
    <row r="7" spans="2:18" x14ac:dyDescent="0.35">
      <c r="B7" s="257">
        <v>4</v>
      </c>
      <c r="C7" t="s">
        <v>25</v>
      </c>
      <c r="D7" t="s">
        <v>26</v>
      </c>
      <c r="E7" s="3" cm="1">
        <f t="array" ref="E7">-SUMPRODUCT('Bán hàng-Break-down BOM'!$D$6:$AA$15*('Bán hàng-Break-down BOM'!$D$3:$AA$3=E$3)*('Bán hàng-Break-down BOM'!$B$6:$B$15=$C7))/10^3</f>
        <v>0</v>
      </c>
      <c r="F7" s="3" cm="1">
        <f t="array" ref="F7">-SUMPRODUCT('Bán hàng-Break-down BOM'!$D$6:$AA$15*('Bán hàng-Break-down BOM'!$D$3:$AA$3=F$3)*('Bán hàng-Break-down BOM'!$B$6:$B$15=$C7))/10^3</f>
        <v>43.351619529320992</v>
      </c>
      <c r="G7" s="3" cm="1">
        <f t="array" ref="G7">-SUMPRODUCT('Bán hàng-Break-down BOM'!$D$6:$AA$15*('Bán hàng-Break-down BOM'!$D$3:$AA$3=G$3)*('Bán hàng-Break-down BOM'!$B$6:$B$15=$C7))/10^3</f>
        <v>9.7531435498365973</v>
      </c>
      <c r="H7" s="3" cm="1">
        <f t="array" ref="H7">-SUMPRODUCT('Bán hàng-Break-down BOM'!$D$6:$AA$15*('Bán hàng-Break-down BOM'!$D$3:$AA$3=H$3)*('Bán hàng-Break-down BOM'!$B$6:$B$15=$C7))/10^3</f>
        <v>8.5544931862745113</v>
      </c>
      <c r="I7" s="3" cm="1">
        <f t="array" ref="I7">-SUMPRODUCT('Bán hàng-Break-down BOM'!$D$6:$AA$15*('Bán hàng-Break-down BOM'!$D$3:$AA$3=I$3)*('Bán hàng-Break-down BOM'!$B$6:$B$15=$C7))/10^3</f>
        <v>6.5134548809523816</v>
      </c>
      <c r="J7" s="3" cm="1">
        <f t="array" ref="J7">-SUMPRODUCT('Bán hàng-Break-down BOM'!$D$6:$AA$15*('Bán hàng-Break-down BOM'!$D$3:$AA$3=J$3)*('Bán hàng-Break-down BOM'!$B$6:$B$15=$C7))/10^3</f>
        <v>14.11131605042017</v>
      </c>
      <c r="K7" s="3" cm="1">
        <f t="array" ref="K7">-SUMPRODUCT('Bán hàng-Break-down BOM'!$D$6:$AA$15*('Bán hàng-Break-down BOM'!$D$3:$AA$3=K$3)*('Bán hàng-Break-down BOM'!$B$6:$B$15=$C7))/10^3</f>
        <v>3.9090196078431374</v>
      </c>
      <c r="L7" s="3" cm="1">
        <f t="array" ref="L7">-SUMPRODUCT('Bán hàng-Break-down BOM'!$D$6:$AA$15*('Bán hàng-Break-down BOM'!$D$3:$AA$3=L$3)*('Bán hàng-Break-down BOM'!$B$6:$B$15=$C7))/10^3</f>
        <v>6.5425681102096007</v>
      </c>
      <c r="M7" s="3" cm="1">
        <f t="array" ref="M7">-SUMPRODUCT('Bán hàng-Break-down BOM'!$D$6:$AA$15*('Bán hàng-Break-down BOM'!$D$3:$AA$3=M$3)*('Bán hàng-Break-down BOM'!$B$6:$B$15=$C7))/10^3</f>
        <v>26.499610617241377</v>
      </c>
      <c r="N7" s="3" cm="1">
        <f t="array" ref="N7">-SUMPRODUCT('Bán hàng-Break-down BOM'!$D$6:$AA$15*('Bán hàng-Break-down BOM'!$D$3:$AA$3=N$3)*('Bán hàng-Break-down BOM'!$B$6:$B$15=$C7))/10^3</f>
        <v>20.403435404587157</v>
      </c>
      <c r="O7" s="3" cm="1">
        <f t="array" ref="O7">-SUMPRODUCT('Bán hàng-Break-down BOM'!$D$6:$AA$15*('Bán hàng-Break-down BOM'!$D$3:$AA$3=O$3)*('Bán hàng-Break-down BOM'!$B$6:$B$15=$C7))/10^3</f>
        <v>23.104587155963301</v>
      </c>
      <c r="P7" s="3" cm="1">
        <f t="array" ref="P7">-SUMPRODUCT('Bán hàng-Break-down BOM'!$D$6:$AA$15*('Bán hàng-Break-down BOM'!$D$3:$AA$3=P$3)*('Bán hàng-Break-down BOM'!$B$6:$B$15=$C7))/10^3</f>
        <v>15.148100570218775</v>
      </c>
      <c r="Q7" s="261">
        <f t="shared" si="0"/>
        <v>177.89134866286804</v>
      </c>
    </row>
    <row r="8" spans="2:18" x14ac:dyDescent="0.35">
      <c r="B8" s="257">
        <v>5</v>
      </c>
      <c r="C8" t="s">
        <v>442</v>
      </c>
      <c r="D8" t="s">
        <v>469</v>
      </c>
      <c r="E8" s="3" cm="1">
        <f t="array" ref="E8">-SUMPRODUCT('Bán hàng-Break-down BOM'!$D$6:$AA$15*('Bán hàng-Break-down BOM'!$D$3:$AA$3=E$3)*('Bán hàng-Break-down BOM'!$B$6:$B$15=$C8))/10^3</f>
        <v>0</v>
      </c>
      <c r="F8" s="3" cm="1">
        <f t="array" ref="F8">-SUMPRODUCT('Bán hàng-Break-down BOM'!$D$6:$AA$15*('Bán hàng-Break-down BOM'!$D$3:$AA$3=F$3)*('Bán hàng-Break-down BOM'!$B$6:$B$15=$C8))/10^3</f>
        <v>251.62408822376543</v>
      </c>
      <c r="G8" s="3" cm="1">
        <f t="array" ref="G8">-SUMPRODUCT('Bán hàng-Break-down BOM'!$D$6:$AA$15*('Bán hàng-Break-down BOM'!$D$3:$AA$3=G$3)*('Bán hàng-Break-down BOM'!$B$6:$B$15=$C8))/10^3</f>
        <v>102.95371750245098</v>
      </c>
      <c r="H8" s="3" cm="1">
        <f t="array" ref="H8">-SUMPRODUCT('Bán hàng-Break-down BOM'!$D$6:$AA$15*('Bán hàng-Break-down BOM'!$D$3:$AA$3=H$3)*('Bán hàng-Break-down BOM'!$B$6:$B$15=$C8))/10^3</f>
        <v>81.647878872549015</v>
      </c>
      <c r="I8" s="3" cm="1">
        <f t="array" ref="I8">-SUMPRODUCT('Bán hàng-Break-down BOM'!$D$6:$AA$15*('Bán hàng-Break-down BOM'!$D$3:$AA$3=I$3)*('Bán hàng-Break-down BOM'!$B$6:$B$15=$C8))/10^3</f>
        <v>41.188461261904763</v>
      </c>
      <c r="J8" s="3" cm="1">
        <f t="array" ref="J8">-SUMPRODUCT('Bán hàng-Break-down BOM'!$D$6:$AA$15*('Bán hàng-Break-down BOM'!$D$3:$AA$3=J$3)*('Bán hàng-Break-down BOM'!$B$6:$B$15=$C8))/10^3</f>
        <v>31.378426100840333</v>
      </c>
      <c r="K8" s="3" cm="1">
        <f t="array" ref="K8">-SUMPRODUCT('Bán hàng-Break-down BOM'!$D$6:$AA$15*('Bán hàng-Break-down BOM'!$D$3:$AA$3=K$3)*('Bán hàng-Break-down BOM'!$B$6:$B$15=$C8))/10^3</f>
        <v>7.2180392156862752</v>
      </c>
      <c r="L8" s="3" cm="1">
        <f t="array" ref="L8">-SUMPRODUCT('Bán hàng-Break-down BOM'!$D$6:$AA$15*('Bán hàng-Break-down BOM'!$D$3:$AA$3=L$3)*('Bán hàng-Break-down BOM'!$B$6:$B$15=$C8))/10^3</f>
        <v>32.91310604800541</v>
      </c>
      <c r="M8" s="3" cm="1">
        <f t="array" ref="M8">-SUMPRODUCT('Bán hàng-Break-down BOM'!$D$6:$AA$15*('Bán hàng-Break-down BOM'!$D$3:$AA$3=M$3)*('Bán hàng-Break-down BOM'!$B$6:$B$15=$C8))/10^3</f>
        <v>110.87323120689653</v>
      </c>
      <c r="N8" s="3" cm="1">
        <f t="array" ref="N8">-SUMPRODUCT('Bán hàng-Break-down BOM'!$D$6:$AA$15*('Bán hàng-Break-down BOM'!$D$3:$AA$3=N$3)*('Bán hàng-Break-down BOM'!$B$6:$B$15=$C8))/10^3</f>
        <v>63.24821064220184</v>
      </c>
      <c r="O8" s="3" cm="1">
        <f t="array" ref="O8">-SUMPRODUCT('Bán hàng-Break-down BOM'!$D$6:$AA$15*('Bán hàng-Break-down BOM'!$D$3:$AA$3=O$3)*('Bán hàng-Break-down BOM'!$B$6:$B$15=$C8))/10^3</f>
        <v>83.922201834862378</v>
      </c>
      <c r="P8" s="3" cm="1">
        <f t="array" ref="P8">-SUMPRODUCT('Bán hàng-Break-down BOM'!$D$6:$AA$15*('Bán hàng-Break-down BOM'!$D$3:$AA$3=P$3)*('Bán hàng-Break-down BOM'!$B$6:$B$15=$C8))/10^3</f>
        <v>72.629995215243468</v>
      </c>
      <c r="Q8" s="261">
        <f t="shared" si="0"/>
        <v>879.59735612440636</v>
      </c>
    </row>
    <row r="9" spans="2:18" x14ac:dyDescent="0.35">
      <c r="B9" s="257">
        <v>6</v>
      </c>
      <c r="C9" t="s">
        <v>27</v>
      </c>
      <c r="D9" t="s">
        <v>28</v>
      </c>
      <c r="E9" s="3" cm="1">
        <f t="array" ref="E9">-SUMPRODUCT('Bán hàng-Break-down BOM'!$D$6:$AA$15*('Bán hàng-Break-down BOM'!$D$3:$AA$3=E$3)*('Bán hàng-Break-down BOM'!$B$6:$B$15=$C9))/10^3</f>
        <v>0</v>
      </c>
      <c r="F9" s="3" cm="1">
        <f t="array" ref="F9">-SUMPRODUCT('Bán hàng-Break-down BOM'!$D$6:$AA$15*('Bán hàng-Break-down BOM'!$D$3:$AA$3=F$3)*('Bán hàng-Break-down BOM'!$B$6:$B$15=$C9))/10^3</f>
        <v>0</v>
      </c>
      <c r="G9" s="3" cm="1">
        <f t="array" ref="G9">-SUMPRODUCT('Bán hàng-Break-down BOM'!$D$6:$AA$15*('Bán hàng-Break-down BOM'!$D$3:$AA$3=G$3)*('Bán hàng-Break-down BOM'!$B$6:$B$15=$C9))/10^3</f>
        <v>0</v>
      </c>
      <c r="H9" s="3" cm="1">
        <f t="array" ref="H9">-SUMPRODUCT('Bán hàng-Break-down BOM'!$D$6:$AA$15*('Bán hàng-Break-down BOM'!$D$3:$AA$3=H$3)*('Bán hàng-Break-down BOM'!$B$6:$B$15=$C9))/10^3</f>
        <v>0</v>
      </c>
      <c r="I9" s="3" cm="1">
        <f t="array" ref="I9">-SUMPRODUCT('Bán hàng-Break-down BOM'!$D$6:$AA$15*('Bán hàng-Break-down BOM'!$D$3:$AA$3=I$3)*('Bán hàng-Break-down BOM'!$B$6:$B$15=$C9))/10^3</f>
        <v>0</v>
      </c>
      <c r="J9" s="3" cm="1">
        <f t="array" ref="J9">-SUMPRODUCT('Bán hàng-Break-down BOM'!$D$6:$AA$15*('Bán hàng-Break-down BOM'!$D$3:$AA$3=J$3)*('Bán hàng-Break-down BOM'!$B$6:$B$15=$C9))/10^3</f>
        <v>0</v>
      </c>
      <c r="K9" s="3" cm="1">
        <f t="array" ref="K9">-SUMPRODUCT('Bán hàng-Break-down BOM'!$D$6:$AA$15*('Bán hàng-Break-down BOM'!$D$3:$AA$3=K$3)*('Bán hàng-Break-down BOM'!$B$6:$B$15=$C9))/10^3</f>
        <v>0</v>
      </c>
      <c r="L9" s="3" cm="1">
        <f t="array" ref="L9">-SUMPRODUCT('Bán hàng-Break-down BOM'!$D$6:$AA$15*('Bán hàng-Break-down BOM'!$D$3:$AA$3=L$3)*('Bán hàng-Break-down BOM'!$B$6:$B$15=$C9))/10^3</f>
        <v>0</v>
      </c>
      <c r="M9" s="3" cm="1">
        <f t="array" ref="M9">-SUMPRODUCT('Bán hàng-Break-down BOM'!$D$6:$AA$15*('Bán hàng-Break-down BOM'!$D$3:$AA$3=M$3)*('Bán hàng-Break-down BOM'!$B$6:$B$15=$C9))/10^3</f>
        <v>0</v>
      </c>
      <c r="N9" s="3" cm="1">
        <f t="array" ref="N9">-SUMPRODUCT('Bán hàng-Break-down BOM'!$D$6:$AA$15*('Bán hàng-Break-down BOM'!$D$3:$AA$3=N$3)*('Bán hàng-Break-down BOM'!$B$6:$B$15=$C9))/10^3</f>
        <v>0</v>
      </c>
      <c r="O9" s="3" cm="1">
        <f t="array" ref="O9">-SUMPRODUCT('Bán hàng-Break-down BOM'!$D$6:$AA$15*('Bán hàng-Break-down BOM'!$D$3:$AA$3=O$3)*('Bán hàng-Break-down BOM'!$B$6:$B$15=$C9))/10^3</f>
        <v>0</v>
      </c>
      <c r="P9" s="3" cm="1">
        <f t="array" ref="P9">-SUMPRODUCT('Bán hàng-Break-down BOM'!$D$6:$AA$15*('Bán hàng-Break-down BOM'!$D$3:$AA$3=P$3)*('Bán hàng-Break-down BOM'!$B$6:$B$15=$C9))/10^3</f>
        <v>0</v>
      </c>
      <c r="Q9" s="261">
        <f t="shared" si="0"/>
        <v>0</v>
      </c>
    </row>
    <row r="10" spans="2:18" x14ac:dyDescent="0.35">
      <c r="B10" s="257">
        <v>7</v>
      </c>
      <c r="C10" t="s">
        <v>34</v>
      </c>
      <c r="D10" t="s">
        <v>35</v>
      </c>
      <c r="E10" s="3" cm="1">
        <f t="array" ref="E10">-SUMPRODUCT('Bán hàng-Break-down BOM'!$D$6:$AA$15*('Bán hàng-Break-down BOM'!$D$3:$AA$3=E$3)*('Bán hàng-Break-down BOM'!$B$6:$B$15=$C10))/10^3</f>
        <v>0</v>
      </c>
      <c r="F10" s="3" cm="1">
        <f t="array" ref="F10">-SUMPRODUCT('Bán hàng-Break-down BOM'!$D$6:$AA$15*('Bán hàng-Break-down BOM'!$D$3:$AA$3=F$3)*('Bán hàng-Break-down BOM'!$B$6:$B$15=$C10))/10^3</f>
        <v>0</v>
      </c>
      <c r="G10" s="3" cm="1">
        <f t="array" ref="G10">-SUMPRODUCT('Bán hàng-Break-down BOM'!$D$6:$AA$15*('Bán hàng-Break-down BOM'!$D$3:$AA$3=G$3)*('Bán hàng-Break-down BOM'!$B$6:$B$15=$C10))/10^3</f>
        <v>0</v>
      </c>
      <c r="H10" s="3" cm="1">
        <f t="array" ref="H10">-SUMPRODUCT('Bán hàng-Break-down BOM'!$D$6:$AA$15*('Bán hàng-Break-down BOM'!$D$3:$AA$3=H$3)*('Bán hàng-Break-down BOM'!$B$6:$B$15=$C10))/10^3</f>
        <v>0</v>
      </c>
      <c r="I10" s="3" cm="1">
        <f t="array" ref="I10">-SUMPRODUCT('Bán hàng-Break-down BOM'!$D$6:$AA$15*('Bán hàng-Break-down BOM'!$D$3:$AA$3=I$3)*('Bán hàng-Break-down BOM'!$B$6:$B$15=$C10))/10^3</f>
        <v>0</v>
      </c>
      <c r="J10" s="3" cm="1">
        <f t="array" ref="J10">-SUMPRODUCT('Bán hàng-Break-down BOM'!$D$6:$AA$15*('Bán hàng-Break-down BOM'!$D$3:$AA$3=J$3)*('Bán hàng-Break-down BOM'!$B$6:$B$15=$C10))/10^3</f>
        <v>0</v>
      </c>
      <c r="K10" s="3" cm="1">
        <f t="array" ref="K10">-SUMPRODUCT('Bán hàng-Break-down BOM'!$D$6:$AA$15*('Bán hàng-Break-down BOM'!$D$3:$AA$3=K$3)*('Bán hàng-Break-down BOM'!$B$6:$B$15=$C10))/10^3</f>
        <v>0</v>
      </c>
      <c r="L10" s="3" cm="1">
        <f t="array" ref="L10">-SUMPRODUCT('Bán hàng-Break-down BOM'!$D$6:$AA$15*('Bán hàng-Break-down BOM'!$D$3:$AA$3=L$3)*('Bán hàng-Break-down BOM'!$B$6:$B$15=$C10))/10^3</f>
        <v>0</v>
      </c>
      <c r="M10" s="3" cm="1">
        <f t="array" ref="M10">-SUMPRODUCT('Bán hàng-Break-down BOM'!$D$6:$AA$15*('Bán hàng-Break-down BOM'!$D$3:$AA$3=M$3)*('Bán hàng-Break-down BOM'!$B$6:$B$15=$C10))/10^3</f>
        <v>0</v>
      </c>
      <c r="N10" s="3" cm="1">
        <f t="array" ref="N10">-SUMPRODUCT('Bán hàng-Break-down BOM'!$D$6:$AA$15*('Bán hàng-Break-down BOM'!$D$3:$AA$3=N$3)*('Bán hàng-Break-down BOM'!$B$6:$B$15=$C10))/10^3</f>
        <v>0</v>
      </c>
      <c r="O10" s="3" cm="1">
        <f t="array" ref="O10">-SUMPRODUCT('Bán hàng-Break-down BOM'!$D$6:$AA$15*('Bán hàng-Break-down BOM'!$D$3:$AA$3=O$3)*('Bán hàng-Break-down BOM'!$B$6:$B$15=$C10))/10^3</f>
        <v>0</v>
      </c>
      <c r="P10" s="3" cm="1">
        <f t="array" ref="P10">-SUMPRODUCT('Bán hàng-Break-down BOM'!$D$6:$AA$15*('Bán hàng-Break-down BOM'!$D$3:$AA$3=P$3)*('Bán hàng-Break-down BOM'!$B$6:$B$15=$C10))/10^3</f>
        <v>0</v>
      </c>
      <c r="Q10" s="261">
        <f t="shared" si="0"/>
        <v>0</v>
      </c>
    </row>
    <row r="11" spans="2:18" x14ac:dyDescent="0.35">
      <c r="B11" s="257">
        <v>8</v>
      </c>
      <c r="C11" t="s">
        <v>23</v>
      </c>
      <c r="D11" t="s">
        <v>24</v>
      </c>
      <c r="E11" s="3" cm="1">
        <f t="array" ref="E11">-SUMPRODUCT('Bán hàng-Break-down BOM'!$D$6:$AA$15*('Bán hàng-Break-down BOM'!$D$3:$AA$3=E$3)*('Bán hàng-Break-down BOM'!$B$6:$B$15=$C11))/10^3</f>
        <v>0</v>
      </c>
      <c r="F11" s="3" cm="1">
        <f t="array" ref="F11">-SUMPRODUCT('Bán hàng-Break-down BOM'!$D$6:$AA$15*('Bán hàng-Break-down BOM'!$D$3:$AA$3=F$3)*('Bán hàng-Break-down BOM'!$B$6:$B$15=$C11))/10^3</f>
        <v>1.9209572839506173</v>
      </c>
      <c r="G11" s="3" cm="1">
        <f t="array" ref="G11">-SUMPRODUCT('Bán hàng-Break-down BOM'!$D$6:$AA$15*('Bán hàng-Break-down BOM'!$D$3:$AA$3=G$3)*('Bán hàng-Break-down BOM'!$B$6:$B$15=$C11))/10^3</f>
        <v>0</v>
      </c>
      <c r="H11" s="3" cm="1">
        <f t="array" ref="H11">-SUMPRODUCT('Bán hàng-Break-down BOM'!$D$6:$AA$15*('Bán hàng-Break-down BOM'!$D$3:$AA$3=H$3)*('Bán hàng-Break-down BOM'!$B$6:$B$15=$C11))/10^3</f>
        <v>0</v>
      </c>
      <c r="I11" s="3" cm="1">
        <f t="array" ref="I11">-SUMPRODUCT('Bán hàng-Break-down BOM'!$D$6:$AA$15*('Bán hàng-Break-down BOM'!$D$3:$AA$3=I$3)*('Bán hàng-Break-down BOM'!$B$6:$B$15=$C11))/10^3</f>
        <v>0.33926485714285715</v>
      </c>
      <c r="J11" s="3" cm="1">
        <f t="array" ref="J11">-SUMPRODUCT('Bán hàng-Break-down BOM'!$D$6:$AA$15*('Bán hàng-Break-down BOM'!$D$3:$AA$3=J$3)*('Bán hàng-Break-down BOM'!$B$6:$B$15=$C11))/10^3</f>
        <v>0.65773514285714285</v>
      </c>
      <c r="K11" s="3" cm="1">
        <f t="array" ref="K11">-SUMPRODUCT('Bán hàng-Break-down BOM'!$D$6:$AA$15*('Bán hàng-Break-down BOM'!$D$3:$AA$3=K$3)*('Bán hàng-Break-down BOM'!$B$6:$B$15=$C11))/10^3</f>
        <v>0</v>
      </c>
      <c r="L11" s="3" cm="1">
        <f t="array" ref="L11">-SUMPRODUCT('Bán hàng-Break-down BOM'!$D$6:$AA$15*('Bán hàng-Break-down BOM'!$D$3:$AA$3=L$3)*('Bán hàng-Break-down BOM'!$B$6:$B$15=$C11))/10^3</f>
        <v>0</v>
      </c>
      <c r="M11" s="3" cm="1">
        <f t="array" ref="M11">-SUMPRODUCT('Bán hàng-Break-down BOM'!$D$6:$AA$15*('Bán hàng-Break-down BOM'!$D$3:$AA$3=M$3)*('Bán hàng-Break-down BOM'!$B$6:$B$15=$C11))/10^3</f>
        <v>0</v>
      </c>
      <c r="N11" s="3" cm="1">
        <f t="array" ref="N11">-SUMPRODUCT('Bán hàng-Break-down BOM'!$D$6:$AA$15*('Bán hàng-Break-down BOM'!$D$3:$AA$3=N$3)*('Bán hàng-Break-down BOM'!$B$6:$B$15=$C11))/10^3</f>
        <v>0</v>
      </c>
      <c r="O11" s="3" cm="1">
        <f t="array" ref="O11">-SUMPRODUCT('Bán hàng-Break-down BOM'!$D$6:$AA$15*('Bán hàng-Break-down BOM'!$D$3:$AA$3=O$3)*('Bán hàng-Break-down BOM'!$B$6:$B$15=$C11))/10^3</f>
        <v>0</v>
      </c>
      <c r="P11" s="3" cm="1">
        <f t="array" ref="P11">-SUMPRODUCT('Bán hàng-Break-down BOM'!$D$6:$AA$15*('Bán hàng-Break-down BOM'!$D$3:$AA$3=P$3)*('Bán hàng-Break-down BOM'!$B$6:$B$15=$C11))/10^3</f>
        <v>0</v>
      </c>
      <c r="Q11" s="261">
        <f t="shared" si="0"/>
        <v>2.9179572839506172</v>
      </c>
    </row>
    <row r="12" spans="2:18" x14ac:dyDescent="0.35">
      <c r="B12" s="257">
        <v>9</v>
      </c>
      <c r="C12" t="s">
        <v>20</v>
      </c>
      <c r="D12" t="s">
        <v>21</v>
      </c>
      <c r="E12" s="3" cm="1">
        <f t="array" ref="E12">-SUMPRODUCT('Bán hàng-Break-down BOM'!$D$6:$AA$15*('Bán hàng-Break-down BOM'!$D$3:$AA$3=E$3)*('Bán hàng-Break-down BOM'!$B$6:$B$15=$C12))/10^3</f>
        <v>0</v>
      </c>
      <c r="F12" s="3" cm="1">
        <f t="array" ref="F12">-SUMPRODUCT('Bán hàng-Break-down BOM'!$D$6:$AA$15*('Bán hàng-Break-down BOM'!$D$3:$AA$3=F$3)*('Bán hàng-Break-down BOM'!$B$6:$B$15=$C12))/10^3</f>
        <v>0</v>
      </c>
      <c r="G12" s="3" cm="1">
        <f t="array" ref="G12">-SUMPRODUCT('Bán hàng-Break-down BOM'!$D$6:$AA$15*('Bán hàng-Break-down BOM'!$D$3:$AA$3=G$3)*('Bán hàng-Break-down BOM'!$B$6:$B$15=$C12))/10^3</f>
        <v>0</v>
      </c>
      <c r="H12" s="3" cm="1">
        <f t="array" ref="H12">-SUMPRODUCT('Bán hàng-Break-down BOM'!$D$6:$AA$15*('Bán hàng-Break-down BOM'!$D$3:$AA$3=H$3)*('Bán hàng-Break-down BOM'!$B$6:$B$15=$C12))/10^3</f>
        <v>0</v>
      </c>
      <c r="I12" s="3" cm="1">
        <f t="array" ref="I12">-SUMPRODUCT('Bán hàng-Break-down BOM'!$D$6:$AA$15*('Bán hàng-Break-down BOM'!$D$3:$AA$3=I$3)*('Bán hàng-Break-down BOM'!$B$6:$B$15=$C12))/10^3</f>
        <v>0.67478657142857135</v>
      </c>
      <c r="J12" s="3" cm="1">
        <f t="array" ref="J12">-SUMPRODUCT('Bán hàng-Break-down BOM'!$D$6:$AA$15*('Bán hàng-Break-down BOM'!$D$3:$AA$3=J$3)*('Bán hàng-Break-down BOM'!$B$6:$B$15=$C12))/10^3</f>
        <v>1.3082134285714286</v>
      </c>
      <c r="K12" s="3" cm="1">
        <f t="array" ref="K12">-SUMPRODUCT('Bán hàng-Break-down BOM'!$D$6:$AA$15*('Bán hàng-Break-down BOM'!$D$3:$AA$3=K$3)*('Bán hàng-Break-down BOM'!$B$6:$B$15=$C12))/10^3</f>
        <v>0</v>
      </c>
      <c r="L12" s="3" cm="1">
        <f t="array" ref="L12">-SUMPRODUCT('Bán hàng-Break-down BOM'!$D$6:$AA$15*('Bán hàng-Break-down BOM'!$D$3:$AA$3=L$3)*('Bán hàng-Break-down BOM'!$B$6:$B$15=$C12))/10^3</f>
        <v>0</v>
      </c>
      <c r="M12" s="3" cm="1">
        <f t="array" ref="M12">-SUMPRODUCT('Bán hàng-Break-down BOM'!$D$6:$AA$15*('Bán hàng-Break-down BOM'!$D$3:$AA$3=M$3)*('Bán hàng-Break-down BOM'!$B$6:$B$15=$C12))/10^3</f>
        <v>0</v>
      </c>
      <c r="N12" s="3" cm="1">
        <f t="array" ref="N12">-SUMPRODUCT('Bán hàng-Break-down BOM'!$D$6:$AA$15*('Bán hàng-Break-down BOM'!$D$3:$AA$3=N$3)*('Bán hàng-Break-down BOM'!$B$6:$B$15=$C12))/10^3</f>
        <v>0</v>
      </c>
      <c r="O12" s="3" cm="1">
        <f t="array" ref="O12">-SUMPRODUCT('Bán hàng-Break-down BOM'!$D$6:$AA$15*('Bán hàng-Break-down BOM'!$D$3:$AA$3=O$3)*('Bán hàng-Break-down BOM'!$B$6:$B$15=$C12))/10^3</f>
        <v>0</v>
      </c>
      <c r="P12" s="3" cm="1">
        <f t="array" ref="P12">-SUMPRODUCT('Bán hàng-Break-down BOM'!$D$6:$AA$15*('Bán hàng-Break-down BOM'!$D$3:$AA$3=P$3)*('Bán hàng-Break-down BOM'!$B$6:$B$15=$C12))/10^3</f>
        <v>0</v>
      </c>
      <c r="Q12" s="261">
        <f t="shared" si="0"/>
        <v>1.9830000000000001</v>
      </c>
    </row>
    <row r="13" spans="2:18" ht="15" thickBot="1" x14ac:dyDescent="0.4">
      <c r="B13" s="257">
        <v>10</v>
      </c>
      <c r="C13" t="s">
        <v>467</v>
      </c>
      <c r="D13" t="s">
        <v>468</v>
      </c>
      <c r="E13" s="3" cm="1">
        <f t="array" ref="E13">-SUMPRODUCT('Bán hàng-Break-down BOM'!$D$6:$AA$15*('Bán hàng-Break-down BOM'!$D$3:$AA$3=E$3)*('Bán hàng-Break-down BOM'!$B$6:$B$15=$C13))/10^3</f>
        <v>0</v>
      </c>
      <c r="F13" s="3" cm="1">
        <f t="array" ref="F13">-SUMPRODUCT('Bán hàng-Break-down BOM'!$D$6:$AA$15*('Bán hàng-Break-down BOM'!$D$3:$AA$3=F$3)*('Bán hàng-Break-down BOM'!$B$6:$B$15=$C13))/10^3</f>
        <v>0.13337851851851851</v>
      </c>
      <c r="G13" s="3" cm="1">
        <f t="array" ref="G13">-SUMPRODUCT('Bán hàng-Break-down BOM'!$D$6:$AA$15*('Bán hàng-Break-down BOM'!$D$3:$AA$3=G$3)*('Bán hàng-Break-down BOM'!$B$6:$B$15=$C13))/10^3</f>
        <v>0</v>
      </c>
      <c r="H13" s="3" cm="1">
        <f t="array" ref="H13">-SUMPRODUCT('Bán hàng-Break-down BOM'!$D$6:$AA$15*('Bán hàng-Break-down BOM'!$D$3:$AA$3=H$3)*('Bán hàng-Break-down BOM'!$B$6:$B$15=$C13))/10^3</f>
        <v>0</v>
      </c>
      <c r="I13" s="3" cm="1">
        <f t="array" ref="I13">-SUMPRODUCT('Bán hàng-Break-down BOM'!$D$6:$AA$15*('Bán hàng-Break-down BOM'!$D$3:$AA$3=I$3)*('Bán hàng-Break-down BOM'!$B$6:$B$15=$C13))/10^3</f>
        <v>0</v>
      </c>
      <c r="J13" s="3" cm="1">
        <f t="array" ref="J13">-SUMPRODUCT('Bán hàng-Break-down BOM'!$D$6:$AA$15*('Bán hàng-Break-down BOM'!$D$3:$AA$3=J$3)*('Bán hàng-Break-down BOM'!$B$6:$B$15=$C13))/10^3</f>
        <v>0</v>
      </c>
      <c r="K13" s="3" cm="1">
        <f t="array" ref="K13">-SUMPRODUCT('Bán hàng-Break-down BOM'!$D$6:$AA$15*('Bán hàng-Break-down BOM'!$D$3:$AA$3=K$3)*('Bán hàng-Break-down BOM'!$B$6:$B$15=$C13))/10^3</f>
        <v>0</v>
      </c>
      <c r="L13" s="3" cm="1">
        <f t="array" ref="L13">-SUMPRODUCT('Bán hàng-Break-down BOM'!$D$6:$AA$15*('Bán hàng-Break-down BOM'!$D$3:$AA$3=L$3)*('Bán hàng-Break-down BOM'!$B$6:$B$15=$C13))/10^3</f>
        <v>0</v>
      </c>
      <c r="M13" s="3" cm="1">
        <f t="array" ref="M13">-SUMPRODUCT('Bán hàng-Break-down BOM'!$D$6:$AA$15*('Bán hàng-Break-down BOM'!$D$3:$AA$3=M$3)*('Bán hàng-Break-down BOM'!$B$6:$B$15=$C13))/10^3</f>
        <v>0</v>
      </c>
      <c r="N13" s="3" cm="1">
        <f t="array" ref="N13">-SUMPRODUCT('Bán hàng-Break-down BOM'!$D$6:$AA$15*('Bán hàng-Break-down BOM'!$D$3:$AA$3=N$3)*('Bán hàng-Break-down BOM'!$B$6:$B$15=$C13))/10^3</f>
        <v>0</v>
      </c>
      <c r="O13" s="3" cm="1">
        <f t="array" ref="O13">-SUMPRODUCT('Bán hàng-Break-down BOM'!$D$6:$AA$15*('Bán hàng-Break-down BOM'!$D$3:$AA$3=O$3)*('Bán hàng-Break-down BOM'!$B$6:$B$15=$C13))/10^3</f>
        <v>0</v>
      </c>
      <c r="P13" s="3" cm="1">
        <f t="array" ref="P13">-SUMPRODUCT('Bán hàng-Break-down BOM'!$D$6:$AA$15*('Bán hàng-Break-down BOM'!$D$3:$AA$3=P$3)*('Bán hàng-Break-down BOM'!$B$6:$B$15=$C13))/10^3</f>
        <v>0</v>
      </c>
      <c r="Q13" s="261">
        <f t="shared" ref="Q13" si="1">SUM(E13:P13)</f>
        <v>0.13337851851851851</v>
      </c>
    </row>
    <row r="14" spans="2:18" ht="15" thickBot="1" x14ac:dyDescent="0.4">
      <c r="B14" s="466" t="s">
        <v>207</v>
      </c>
      <c r="C14" s="466"/>
      <c r="D14" s="466"/>
      <c r="E14" s="262">
        <f>SUM(E4:E13)</f>
        <v>0</v>
      </c>
      <c r="F14" s="262">
        <f t="shared" ref="F14:Q14" si="2">SUM(F4:F13)</f>
        <v>398.36481846296289</v>
      </c>
      <c r="G14" s="262">
        <f t="shared" si="2"/>
        <v>145.22584416666666</v>
      </c>
      <c r="H14" s="262">
        <f t="shared" si="2"/>
        <v>124.8</v>
      </c>
      <c r="I14" s="262">
        <f t="shared" si="2"/>
        <v>83.2</v>
      </c>
      <c r="J14" s="262">
        <f t="shared" si="2"/>
        <v>103.99841705882353</v>
      </c>
      <c r="K14" s="262">
        <f t="shared" si="2"/>
        <v>20.799411764705884</v>
      </c>
      <c r="L14" s="262">
        <f t="shared" si="2"/>
        <v>83.639423379918867</v>
      </c>
      <c r="M14" s="262">
        <f t="shared" si="2"/>
        <v>232.68032779655169</v>
      </c>
      <c r="N14" s="262">
        <f t="shared" si="2"/>
        <v>143.51999999999998</v>
      </c>
      <c r="O14" s="262">
        <f>SUM(O4:O13)</f>
        <v>166.39999999999998</v>
      </c>
      <c r="P14" s="262">
        <f t="shared" si="2"/>
        <v>104</v>
      </c>
      <c r="Q14" s="262">
        <f t="shared" si="2"/>
        <v>1606.6282426296295</v>
      </c>
      <c r="R14" s="266"/>
    </row>
    <row r="15" spans="2:18" x14ac:dyDescent="0.35">
      <c r="Q15" s="6">
        <f>Q14+SUM('Bán hàng-Break-down BOM'!AB6:AB15)/10^3</f>
        <v>0</v>
      </c>
    </row>
  </sheetData>
  <mergeCells count="1">
    <mergeCell ref="B14:D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4F24-DF78-47A6-9D1F-445C6ACA1621}">
  <sheetPr>
    <tabColor rgb="FFBE3455"/>
  </sheetPr>
  <dimension ref="A1:L35"/>
  <sheetViews>
    <sheetView showGridLines="0" zoomScale="130" zoomScaleNormal="130" workbookViewId="0">
      <selection activeCell="E20" sqref="E20"/>
    </sheetView>
  </sheetViews>
  <sheetFormatPr defaultRowHeight="14.5" x14ac:dyDescent="0.35"/>
  <cols>
    <col min="1" max="1" width="10.33203125" style="102" bestFit="1" customWidth="1"/>
    <col min="2" max="2" width="21" customWidth="1"/>
    <col min="3" max="3" width="13.33203125" customWidth="1"/>
    <col min="4" max="4" width="12.5" customWidth="1"/>
    <col min="5" max="5" width="11.25" customWidth="1"/>
    <col min="6" max="6" width="12.75" customWidth="1"/>
    <col min="7" max="7" width="0.5" customWidth="1"/>
    <col min="8" max="8" width="10.75" customWidth="1"/>
    <col min="9" max="9" width="11.83203125" customWidth="1"/>
    <col min="10" max="10" width="10.5" bestFit="1" customWidth="1"/>
    <col min="11" max="11" width="15.58203125" bestFit="1" customWidth="1"/>
    <col min="12" max="12" width="9.33203125" bestFit="1" customWidth="1"/>
  </cols>
  <sheetData>
    <row r="1" spans="1:12" x14ac:dyDescent="0.35">
      <c r="A1" s="102" t="s">
        <v>10</v>
      </c>
      <c r="B1" t="s">
        <v>11</v>
      </c>
    </row>
    <row r="3" spans="1:12" s="9" customFormat="1" ht="17" x14ac:dyDescent="0.4">
      <c r="A3" s="103"/>
      <c r="B3" s="346" t="s">
        <v>515</v>
      </c>
    </row>
    <row r="4" spans="1:12" s="9" customFormat="1" ht="9.65" customHeight="1" x14ac:dyDescent="0.35">
      <c r="A4" s="103"/>
    </row>
    <row r="5" spans="1:12" ht="29.5" customHeight="1" x14ac:dyDescent="0.35">
      <c r="B5" s="347" t="s">
        <v>514</v>
      </c>
      <c r="C5" s="349" t="s">
        <v>180</v>
      </c>
      <c r="D5" s="347" t="s">
        <v>162</v>
      </c>
      <c r="E5" s="347" t="s">
        <v>519</v>
      </c>
      <c r="F5" s="347" t="s">
        <v>53</v>
      </c>
    </row>
    <row r="6" spans="1:12" s="96" customFormat="1" ht="12" x14ac:dyDescent="0.3">
      <c r="C6" s="315"/>
      <c r="D6" s="315" t="s">
        <v>501</v>
      </c>
      <c r="E6" s="344" t="s">
        <v>502</v>
      </c>
      <c r="F6" s="315" t="s">
        <v>503</v>
      </c>
    </row>
    <row r="7" spans="1:12" x14ac:dyDescent="0.35">
      <c r="A7" s="103"/>
      <c r="B7" s="360" t="s">
        <v>60</v>
      </c>
      <c r="C7" s="361" t="s">
        <v>506</v>
      </c>
      <c r="D7" s="362">
        <v>826</v>
      </c>
      <c r="E7" s="362">
        <v>18889.830508474577</v>
      </c>
      <c r="F7" s="362">
        <f>D7*E7/10^3</f>
        <v>15603</v>
      </c>
    </row>
    <row r="8" spans="1:12" x14ac:dyDescent="0.35">
      <c r="A8" s="103"/>
      <c r="B8" s="360" t="s">
        <v>505</v>
      </c>
      <c r="C8" s="361" t="s">
        <v>511</v>
      </c>
      <c r="D8" s="362"/>
      <c r="E8" s="362">
        <f>SUM(E9:E10)</f>
        <v>6388.9830508474579</v>
      </c>
      <c r="F8" s="362">
        <f>SUM(F9:F10)</f>
        <v>5277.3</v>
      </c>
    </row>
    <row r="9" spans="1:12" x14ac:dyDescent="0.35">
      <c r="B9" s="363" t="s">
        <v>504</v>
      </c>
      <c r="C9" s="364" t="s">
        <v>509</v>
      </c>
      <c r="D9" s="365">
        <f>D7</f>
        <v>826</v>
      </c>
      <c r="E9" s="365">
        <v>5000</v>
      </c>
      <c r="F9" s="366">
        <f>D9*E9/10^3</f>
        <v>4130</v>
      </c>
    </row>
    <row r="10" spans="1:12" x14ac:dyDescent="0.35">
      <c r="B10" s="363" t="s">
        <v>63</v>
      </c>
      <c r="C10" s="364" t="s">
        <v>510</v>
      </c>
      <c r="D10" s="366">
        <f>D9</f>
        <v>826</v>
      </c>
      <c r="E10" s="366">
        <f>(E7-E9)*10%</f>
        <v>1388.9830508474579</v>
      </c>
      <c r="F10" s="366">
        <f>D10*E10/10^3</f>
        <v>1147.3000000000002</v>
      </c>
    </row>
    <row r="11" spans="1:12" ht="20.5" customHeight="1" x14ac:dyDescent="0.35">
      <c r="B11" s="351" t="s">
        <v>512</v>
      </c>
      <c r="C11" s="352" t="s">
        <v>513</v>
      </c>
      <c r="D11" s="353">
        <f>D7</f>
        <v>826</v>
      </c>
      <c r="E11" s="353">
        <f>E7-E8</f>
        <v>12500.847457627118</v>
      </c>
      <c r="F11" s="359">
        <f>D11*E11/10^3</f>
        <v>10325.700000000001</v>
      </c>
    </row>
    <row r="12" spans="1:12" x14ac:dyDescent="0.35">
      <c r="D12" s="3"/>
      <c r="E12" s="3"/>
    </row>
    <row r="13" spans="1:12" ht="17" x14ac:dyDescent="0.4">
      <c r="B13" s="346" t="s">
        <v>516</v>
      </c>
      <c r="D13" s="3"/>
      <c r="E13" s="3"/>
    </row>
    <row r="14" spans="1:12" ht="15" thickBot="1" x14ac:dyDescent="0.4">
      <c r="D14" s="3"/>
      <c r="E14" s="3"/>
    </row>
    <row r="15" spans="1:12" ht="25.15" customHeight="1" thickTop="1" x14ac:dyDescent="0.35">
      <c r="B15" s="347" t="s">
        <v>518</v>
      </c>
      <c r="C15" s="349" t="s">
        <v>180</v>
      </c>
      <c r="D15" s="348" t="s">
        <v>520</v>
      </c>
      <c r="E15" s="348" t="s">
        <v>525</v>
      </c>
      <c r="F15" s="348" t="s">
        <v>53</v>
      </c>
      <c r="H15" s="357" t="s">
        <v>522</v>
      </c>
      <c r="I15" s="358" t="s">
        <v>60</v>
      </c>
      <c r="K15" s="355" t="s">
        <v>527</v>
      </c>
      <c r="L15" s="355" t="s">
        <v>53</v>
      </c>
    </row>
    <row r="16" spans="1:12" s="96" customFormat="1" ht="12" x14ac:dyDescent="0.3">
      <c r="C16" s="315"/>
      <c r="D16" s="315" t="s">
        <v>501</v>
      </c>
      <c r="E16" s="344" t="s">
        <v>502</v>
      </c>
      <c r="F16" s="315" t="s">
        <v>503</v>
      </c>
      <c r="H16" s="326" t="s">
        <v>502</v>
      </c>
      <c r="I16" s="315" t="s">
        <v>503</v>
      </c>
      <c r="K16" s="344" t="s">
        <v>502</v>
      </c>
      <c r="L16" s="315" t="s">
        <v>503</v>
      </c>
    </row>
    <row r="17" spans="1:12" x14ac:dyDescent="0.35">
      <c r="A17" s="102" t="s">
        <v>20</v>
      </c>
      <c r="B17" s="308" t="s">
        <v>21</v>
      </c>
      <c r="C17" s="350" t="s">
        <v>506</v>
      </c>
      <c r="D17" s="309">
        <v>1.9830000000000001</v>
      </c>
      <c r="E17" s="309">
        <f>K17</f>
        <v>28951.970986460346</v>
      </c>
      <c r="F17" s="309">
        <f>D17*E17/10^3</f>
        <v>57.411758466150864</v>
      </c>
      <c r="G17" s="3"/>
      <c r="H17" s="327">
        <f>$F$11*F17/$F$22/D17*10^3</f>
        <v>33719.055422934398</v>
      </c>
      <c r="I17" s="309">
        <f>D17*H17/10^3</f>
        <v>66.864886903678908</v>
      </c>
      <c r="J17" s="3"/>
      <c r="K17" s="309">
        <v>28951.970986460346</v>
      </c>
      <c r="L17" s="309">
        <f>D17*K17/10^3</f>
        <v>57.411758466150864</v>
      </c>
    </row>
    <row r="18" spans="1:12" x14ac:dyDescent="0.35">
      <c r="A18" s="102" t="s">
        <v>23</v>
      </c>
      <c r="B18" s="308" t="s">
        <v>24</v>
      </c>
      <c r="C18" s="350" t="s">
        <v>508</v>
      </c>
      <c r="D18" s="309">
        <v>2.9179572839506172</v>
      </c>
      <c r="E18" s="309">
        <f>K18</f>
        <v>22614</v>
      </c>
      <c r="F18" s="309">
        <f t="shared" ref="F18:F21" si="0">D18*E18/10^3</f>
        <v>65.986686019259253</v>
      </c>
      <c r="H18" s="327">
        <f t="shared" ref="H18:H21" si="1">$F$11*F18/$F$22/D18*10^3</f>
        <v>26337.506337334999</v>
      </c>
      <c r="I18" s="309">
        <f t="shared" ref="I18:I21" si="2">D18*H18/10^3</f>
        <v>76.851718458122193</v>
      </c>
      <c r="K18" s="309">
        <v>22614</v>
      </c>
      <c r="L18" s="309">
        <f>D18*K18/10^3</f>
        <v>65.986686019259253</v>
      </c>
    </row>
    <row r="19" spans="1:12" x14ac:dyDescent="0.35">
      <c r="A19" s="102" t="s">
        <v>25</v>
      </c>
      <c r="B19" s="308" t="s">
        <v>26</v>
      </c>
      <c r="C19" s="350" t="s">
        <v>521</v>
      </c>
      <c r="D19" s="309">
        <v>82.284027196804658</v>
      </c>
      <c r="E19" s="309">
        <f>K19</f>
        <v>22400.569012183092</v>
      </c>
      <c r="F19" s="309">
        <f t="shared" si="0"/>
        <v>1843.2090298223734</v>
      </c>
      <c r="H19" s="327">
        <f t="shared" si="1"/>
        <v>26088.932887515799</v>
      </c>
      <c r="I19" s="309">
        <f t="shared" si="2"/>
        <v>2146.7024632519615</v>
      </c>
      <c r="K19" s="309">
        <v>22400.569012183092</v>
      </c>
      <c r="L19" s="309">
        <f>D19*K19/10^3</f>
        <v>1843.2090298223734</v>
      </c>
    </row>
    <row r="20" spans="1:12" x14ac:dyDescent="0.35">
      <c r="A20" s="102" t="s">
        <v>29</v>
      </c>
      <c r="B20" s="308" t="s">
        <v>30</v>
      </c>
      <c r="C20" s="350" t="s">
        <v>523</v>
      </c>
      <c r="D20" s="309">
        <v>259.47814472766879</v>
      </c>
      <c r="E20" s="309">
        <v>8935</v>
      </c>
      <c r="F20" s="309">
        <f t="shared" si="0"/>
        <v>2318.4372231417206</v>
      </c>
      <c r="H20" s="327">
        <f t="shared" si="1"/>
        <v>10406.191700897156</v>
      </c>
      <c r="I20" s="309">
        <f t="shared" si="2"/>
        <v>2700.1793162292583</v>
      </c>
      <c r="K20" s="309">
        <v>23598.367438446046</v>
      </c>
      <c r="L20" s="309">
        <f>D20*K20/10^3</f>
        <v>6123.2606015298097</v>
      </c>
    </row>
    <row r="21" spans="1:12" x14ac:dyDescent="0.35">
      <c r="A21" s="102" t="s">
        <v>442</v>
      </c>
      <c r="B21" s="308" t="s">
        <v>469</v>
      </c>
      <c r="C21" s="350" t="s">
        <v>507</v>
      </c>
      <c r="D21" s="309">
        <v>508.79257196151053</v>
      </c>
      <c r="E21" s="309">
        <f>K21</f>
        <v>9003.3610842000253</v>
      </c>
      <c r="F21" s="309">
        <f t="shared" si="0"/>
        <v>4580.8432423283048</v>
      </c>
      <c r="H21" s="327">
        <f t="shared" si="1"/>
        <v>10485.808773876073</v>
      </c>
      <c r="I21" s="309">
        <f t="shared" si="2"/>
        <v>5335.1016151569802</v>
      </c>
      <c r="K21" s="309">
        <f>9040.32171775628-36.9606335562544</f>
        <v>9003.3610842000253</v>
      </c>
      <c r="L21" s="309">
        <f>D21*K21/10^3</f>
        <v>4580.8432423283048</v>
      </c>
    </row>
    <row r="22" spans="1:12" ht="24.65" customHeight="1" x14ac:dyDescent="0.35">
      <c r="B22" s="351" t="s">
        <v>48</v>
      </c>
      <c r="C22" s="354" t="s">
        <v>524</v>
      </c>
      <c r="D22" s="353">
        <f>SUM(D17:D21)</f>
        <v>855.45570116993463</v>
      </c>
      <c r="E22" s="353">
        <f>IFERROR(F22/D22*10^3,0)</f>
        <v>10363.93576856485</v>
      </c>
      <c r="F22" s="353">
        <f>SUM(F17:F21)</f>
        <v>8865.8879397778092</v>
      </c>
      <c r="G22" s="314"/>
      <c r="H22" s="356"/>
      <c r="I22" s="359">
        <f>SUM(I17:I21)</f>
        <v>10325.700000000001</v>
      </c>
      <c r="J22" s="3"/>
      <c r="K22" s="353">
        <f>IFERROR(L22/D22*10^3,0)</f>
        <v>14811.65103095021</v>
      </c>
      <c r="L22" s="353">
        <f>SUM(L17:L21)</f>
        <v>12670.711318165897</v>
      </c>
    </row>
    <row r="23" spans="1:12" ht="15" thickBot="1" x14ac:dyDescent="0.4">
      <c r="H23" s="330"/>
      <c r="L23" s="266"/>
    </row>
    <row r="24" spans="1:12" ht="15" thickTop="1" x14ac:dyDescent="0.35">
      <c r="B24" s="251" t="s">
        <v>517</v>
      </c>
    </row>
    <row r="25" spans="1:12" x14ac:dyDescent="0.35">
      <c r="A25" s="345"/>
      <c r="B25" s="251" t="s">
        <v>526</v>
      </c>
    </row>
    <row r="31" spans="1:12" x14ac:dyDescent="0.35">
      <c r="B31" t="s">
        <v>30</v>
      </c>
      <c r="C31" s="3">
        <v>23598.367438446046</v>
      </c>
    </row>
    <row r="32" spans="1:12" x14ac:dyDescent="0.35">
      <c r="B32" t="s">
        <v>21</v>
      </c>
      <c r="C32" s="3">
        <v>28951.970986460346</v>
      </c>
    </row>
    <row r="33" spans="2:3" x14ac:dyDescent="0.35">
      <c r="B33" t="s">
        <v>24</v>
      </c>
      <c r="C33" s="3">
        <v>22614</v>
      </c>
    </row>
    <row r="34" spans="2:3" x14ac:dyDescent="0.35">
      <c r="B34" t="s">
        <v>26</v>
      </c>
      <c r="C34" s="3">
        <v>22400.569012183092</v>
      </c>
    </row>
    <row r="35" spans="2:3" x14ac:dyDescent="0.35">
      <c r="B35" t="s">
        <v>469</v>
      </c>
      <c r="C35" s="3">
        <v>9040.3217177562838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42E1-F7C4-4034-B89C-FCB71AD515C5}">
  <sheetPr>
    <tabColor rgb="FFBE3455"/>
  </sheetPr>
  <dimension ref="A1:R43"/>
  <sheetViews>
    <sheetView showGridLines="0" topLeftCell="B1" zoomScale="130" zoomScaleNormal="130" workbookViewId="0">
      <selection activeCell="E20" sqref="E20"/>
    </sheetView>
  </sheetViews>
  <sheetFormatPr defaultRowHeight="14.5" x14ac:dyDescent="0.35"/>
  <cols>
    <col min="1" max="1" width="10.33203125" style="102" hidden="1" customWidth="1"/>
    <col min="2" max="2" width="2" style="102" customWidth="1"/>
    <col min="3" max="3" width="21" customWidth="1"/>
    <col min="5" max="5" width="13.33203125" customWidth="1"/>
    <col min="6" max="6" width="12.5" customWidth="1"/>
    <col min="7" max="7" width="11.25" customWidth="1"/>
    <col min="8" max="8" width="12.75" customWidth="1"/>
    <col min="9" max="9" width="11.08203125" customWidth="1"/>
    <col min="10" max="10" width="16.25" customWidth="1"/>
    <col min="11" max="11" width="16.33203125" customWidth="1"/>
    <col min="12" max="12" width="10.5" bestFit="1" customWidth="1"/>
    <col min="13" max="13" width="15.58203125" bestFit="1" customWidth="1"/>
    <col min="14" max="14" width="9.33203125" bestFit="1" customWidth="1"/>
    <col min="17" max="17" width="11" bestFit="1" customWidth="1"/>
    <col min="18" max="18" width="7.33203125" bestFit="1" customWidth="1"/>
  </cols>
  <sheetData>
    <row r="1" spans="1:18" x14ac:dyDescent="0.35">
      <c r="A1" s="102" t="s">
        <v>10</v>
      </c>
      <c r="C1" t="s">
        <v>11</v>
      </c>
    </row>
    <row r="3" spans="1:18" s="9" customFormat="1" ht="17" x14ac:dyDescent="0.4">
      <c r="A3" s="103"/>
      <c r="B3" s="103"/>
      <c r="E3" s="346" t="s">
        <v>528</v>
      </c>
      <c r="J3" s="346" t="s">
        <v>529</v>
      </c>
    </row>
    <row r="4" spans="1:18" s="9" customFormat="1" ht="9.65" customHeight="1" x14ac:dyDescent="0.35">
      <c r="A4" s="103"/>
      <c r="B4" s="103"/>
    </row>
    <row r="5" spans="1:18" ht="29.5" customHeight="1" x14ac:dyDescent="0.35">
      <c r="C5" s="347" t="s">
        <v>514</v>
      </c>
      <c r="E5" s="349" t="s">
        <v>180</v>
      </c>
      <c r="F5" s="347" t="s">
        <v>162</v>
      </c>
      <c r="G5" s="347" t="s">
        <v>519</v>
      </c>
      <c r="H5" s="347" t="s">
        <v>53</v>
      </c>
    </row>
    <row r="6" spans="1:18" s="96" customFormat="1" ht="12" x14ac:dyDescent="0.3">
      <c r="E6" s="315"/>
      <c r="F6" s="315" t="s">
        <v>501</v>
      </c>
      <c r="G6" s="344" t="s">
        <v>502</v>
      </c>
      <c r="H6" s="315" t="s">
        <v>503</v>
      </c>
    </row>
    <row r="7" spans="1:18" x14ac:dyDescent="0.35">
      <c r="A7" s="103"/>
      <c r="B7" s="103"/>
      <c r="C7" s="360" t="s">
        <v>60</v>
      </c>
      <c r="E7" s="361" t="s">
        <v>506</v>
      </c>
      <c r="F7" s="362">
        <v>826</v>
      </c>
      <c r="G7" s="362">
        <v>18889.830508474577</v>
      </c>
      <c r="H7" s="362">
        <f>F7*G7/10^3</f>
        <v>15603</v>
      </c>
    </row>
    <row r="8" spans="1:18" x14ac:dyDescent="0.35">
      <c r="A8" s="103"/>
      <c r="B8" s="103"/>
      <c r="C8" s="360" t="s">
        <v>505</v>
      </c>
      <c r="E8" s="361" t="s">
        <v>511</v>
      </c>
      <c r="F8" s="362"/>
      <c r="G8" s="362">
        <f>SUM(G9:G10)</f>
        <v>6388.9830508474579</v>
      </c>
      <c r="H8" s="362">
        <f>SUM(H9:H10)</f>
        <v>5277.3</v>
      </c>
    </row>
    <row r="9" spans="1:18" x14ac:dyDescent="0.35">
      <c r="C9" s="363" t="s">
        <v>504</v>
      </c>
      <c r="E9" s="364" t="s">
        <v>509</v>
      </c>
      <c r="F9" s="365">
        <f>F7</f>
        <v>826</v>
      </c>
      <c r="G9" s="365">
        <v>5000</v>
      </c>
      <c r="H9" s="366">
        <f>F9*G9/10^3</f>
        <v>4130</v>
      </c>
    </row>
    <row r="10" spans="1:18" x14ac:dyDescent="0.35">
      <c r="C10" s="363" t="s">
        <v>63</v>
      </c>
      <c r="E10" s="364" t="s">
        <v>510</v>
      </c>
      <c r="F10" s="366">
        <f>F9</f>
        <v>826</v>
      </c>
      <c r="G10" s="366">
        <f>(G7-G9)*10%</f>
        <v>1388.9830508474579</v>
      </c>
      <c r="H10" s="366">
        <f>F10*G10/10^3</f>
        <v>1147.3000000000002</v>
      </c>
    </row>
    <row r="11" spans="1:18" ht="20.5" customHeight="1" x14ac:dyDescent="0.35">
      <c r="C11" s="351" t="s">
        <v>512</v>
      </c>
      <c r="E11" s="352" t="s">
        <v>513</v>
      </c>
      <c r="F11" s="353">
        <f>F7</f>
        <v>826</v>
      </c>
      <c r="G11" s="353">
        <f>G7-G8</f>
        <v>12500.847457627118</v>
      </c>
      <c r="H11" s="359">
        <f>F11*G11/10^3</f>
        <v>10325.700000000001</v>
      </c>
    </row>
    <row r="12" spans="1:18" x14ac:dyDescent="0.35">
      <c r="F12" s="3"/>
      <c r="G12" s="3"/>
    </row>
    <row r="13" spans="1:18" x14ac:dyDescent="0.35">
      <c r="F13" s="3"/>
      <c r="G13" s="3"/>
    </row>
    <row r="14" spans="1:18" ht="15" thickBot="1" x14ac:dyDescent="0.4">
      <c r="F14" s="3"/>
      <c r="G14" s="3"/>
    </row>
    <row r="15" spans="1:18" ht="25.15" customHeight="1" thickTop="1" x14ac:dyDescent="0.35">
      <c r="C15" s="347" t="s">
        <v>518</v>
      </c>
      <c r="E15" s="349" t="s">
        <v>180</v>
      </c>
      <c r="F15" s="348" t="s">
        <v>520</v>
      </c>
      <c r="G15" s="367" t="s">
        <v>527</v>
      </c>
      <c r="H15" s="348" t="s">
        <v>53</v>
      </c>
      <c r="J15" s="357" t="s">
        <v>522</v>
      </c>
      <c r="K15" s="358" t="s">
        <v>60</v>
      </c>
      <c r="Q15" s="348" t="s">
        <v>525</v>
      </c>
      <c r="R15" s="348" t="s">
        <v>53</v>
      </c>
    </row>
    <row r="16" spans="1:18" s="96" customFormat="1" ht="12" x14ac:dyDescent="0.3">
      <c r="E16" s="315"/>
      <c r="F16" s="315" t="s">
        <v>501</v>
      </c>
      <c r="G16" s="344" t="s">
        <v>502</v>
      </c>
      <c r="H16" s="315" t="s">
        <v>503</v>
      </c>
      <c r="J16" s="326" t="s">
        <v>502</v>
      </c>
      <c r="K16" s="315" t="s">
        <v>503</v>
      </c>
      <c r="Q16" s="344" t="s">
        <v>502</v>
      </c>
      <c r="R16" s="315" t="s">
        <v>503</v>
      </c>
    </row>
    <row r="17" spans="1:18" x14ac:dyDescent="0.35">
      <c r="A17" s="102" t="s">
        <v>20</v>
      </c>
      <c r="C17" s="308" t="s">
        <v>21</v>
      </c>
      <c r="E17" s="350" t="s">
        <v>506</v>
      </c>
      <c r="F17" s="309">
        <v>1.9830000000000001</v>
      </c>
      <c r="G17" s="309">
        <v>28951.970986460346</v>
      </c>
      <c r="H17" s="309">
        <f>F17*G17/10^3</f>
        <v>57.411758466150864</v>
      </c>
      <c r="I17" s="3"/>
      <c r="J17" s="327">
        <f>$H$11*R17/$R$22/F17*10^3</f>
        <v>33719.055422934398</v>
      </c>
      <c r="K17" s="309">
        <f>F17*J17/10^3</f>
        <v>66.864886903678908</v>
      </c>
      <c r="L17" s="3"/>
      <c r="Q17" s="309">
        <f>G17</f>
        <v>28951.970986460346</v>
      </c>
      <c r="R17" s="309">
        <f>F17*Q17/10^3</f>
        <v>57.411758466150864</v>
      </c>
    </row>
    <row r="18" spans="1:18" x14ac:dyDescent="0.35">
      <c r="A18" s="102" t="s">
        <v>23</v>
      </c>
      <c r="C18" s="308" t="s">
        <v>24</v>
      </c>
      <c r="E18" s="350" t="s">
        <v>508</v>
      </c>
      <c r="F18" s="309">
        <v>2.9179572839506172</v>
      </c>
      <c r="G18" s="309">
        <v>22614</v>
      </c>
      <c r="H18" s="309">
        <f>F18*G18/10^3</f>
        <v>65.986686019259253</v>
      </c>
      <c r="J18" s="327">
        <f>$H$11*R18/$R$22/F18*10^3</f>
        <v>26337.506337334999</v>
      </c>
      <c r="K18" s="309">
        <f t="shared" ref="K18:K21" si="0">F18*J18/10^3</f>
        <v>76.851718458122193</v>
      </c>
      <c r="Q18" s="309">
        <f>G18</f>
        <v>22614</v>
      </c>
      <c r="R18" s="309">
        <f>F18*Q18/10^3</f>
        <v>65.986686019259253</v>
      </c>
    </row>
    <row r="19" spans="1:18" x14ac:dyDescent="0.35">
      <c r="A19" s="102" t="s">
        <v>25</v>
      </c>
      <c r="C19" s="308" t="s">
        <v>26</v>
      </c>
      <c r="E19" s="350" t="s">
        <v>521</v>
      </c>
      <c r="F19" s="309">
        <v>82.284027196804658</v>
      </c>
      <c r="G19" s="309">
        <v>22400.569012183092</v>
      </c>
      <c r="H19" s="309">
        <f>F19*G19/10^3</f>
        <v>1843.2090298223734</v>
      </c>
      <c r="J19" s="327">
        <f>$H$11*R19/$R$22/F19*10^3</f>
        <v>26088.932887515799</v>
      </c>
      <c r="K19" s="309">
        <f t="shared" si="0"/>
        <v>2146.7024632519615</v>
      </c>
      <c r="Q19" s="309">
        <f>G19</f>
        <v>22400.569012183092</v>
      </c>
      <c r="R19" s="309">
        <f>F19*Q19/10^3</f>
        <v>1843.2090298223734</v>
      </c>
    </row>
    <row r="20" spans="1:18" x14ac:dyDescent="0.35">
      <c r="A20" s="102" t="s">
        <v>29</v>
      </c>
      <c r="C20" s="308" t="s">
        <v>30</v>
      </c>
      <c r="E20" s="350" t="s">
        <v>523</v>
      </c>
      <c r="F20" s="309">
        <v>259.47814472766879</v>
      </c>
      <c r="G20" s="309">
        <v>23598.367438446046</v>
      </c>
      <c r="H20" s="309">
        <f>F20*G20/10^3</f>
        <v>6123.2606015298097</v>
      </c>
      <c r="J20" s="327">
        <f>$H$11*R20/$R$22/F20*10^3</f>
        <v>10406.191700897156</v>
      </c>
      <c r="K20" s="309">
        <f t="shared" si="0"/>
        <v>2700.1793162292583</v>
      </c>
      <c r="Q20" s="309">
        <v>8935</v>
      </c>
      <c r="R20" s="309">
        <f>F20*Q20/10^3</f>
        <v>2318.4372231417206</v>
      </c>
    </row>
    <row r="21" spans="1:18" x14ac:dyDescent="0.35">
      <c r="A21" s="102" t="s">
        <v>442</v>
      </c>
      <c r="C21" s="308" t="s">
        <v>469</v>
      </c>
      <c r="E21" s="350" t="s">
        <v>507</v>
      </c>
      <c r="F21" s="309">
        <v>508.79257196151053</v>
      </c>
      <c r="G21" s="309">
        <f>9040.32171775628-36.9606335562544</f>
        <v>9003.3610842000253</v>
      </c>
      <c r="H21" s="309">
        <f>F21*G21/10^3</f>
        <v>4580.8432423283048</v>
      </c>
      <c r="J21" s="327">
        <f>$H$11*R21/$R$22/F21*10^3</f>
        <v>10485.808773876073</v>
      </c>
      <c r="K21" s="309">
        <f t="shared" si="0"/>
        <v>5335.1016151569802</v>
      </c>
      <c r="Q21" s="309">
        <f>G21</f>
        <v>9003.3610842000253</v>
      </c>
      <c r="R21" s="309">
        <f>F21*Q21/10^3</f>
        <v>4580.8432423283048</v>
      </c>
    </row>
    <row r="22" spans="1:18" ht="24.65" customHeight="1" thickBot="1" x14ac:dyDescent="0.4">
      <c r="C22" s="351" t="s">
        <v>48</v>
      </c>
      <c r="E22" s="354" t="s">
        <v>524</v>
      </c>
      <c r="F22" s="353">
        <f>SUM(F17:F21)</f>
        <v>855.45570116993463</v>
      </c>
      <c r="G22" s="353">
        <f>IFERROR(H22/F22*10^3,0)</f>
        <v>14811.65103095021</v>
      </c>
      <c r="H22" s="353">
        <f>SUM(H17:H21)</f>
        <v>12670.711318165897</v>
      </c>
      <c r="I22" s="314"/>
      <c r="J22" s="356"/>
      <c r="K22" s="359">
        <f>SUM(K17:K21)</f>
        <v>10325.700000000001</v>
      </c>
      <c r="L22" s="3"/>
      <c r="Q22" s="353">
        <f>IFERROR(R22/F22*10^3,0)</f>
        <v>10363.93576856485</v>
      </c>
      <c r="R22" s="353">
        <f>SUM(R17:R21)</f>
        <v>8865.8879397778092</v>
      </c>
    </row>
    <row r="23" spans="1:18" ht="15" thickTop="1" x14ac:dyDescent="0.35">
      <c r="J23" s="370"/>
      <c r="N23" s="266"/>
    </row>
    <row r="24" spans="1:18" x14ac:dyDescent="0.35">
      <c r="Q24" s="251" t="s">
        <v>526</v>
      </c>
    </row>
    <row r="25" spans="1:18" x14ac:dyDescent="0.35">
      <c r="A25" s="345"/>
      <c r="B25" s="345"/>
      <c r="C25" s="368" t="s">
        <v>531</v>
      </c>
      <c r="E25" s="371" t="s">
        <v>530</v>
      </c>
      <c r="F25" s="368"/>
      <c r="G25" s="368"/>
      <c r="H25" s="369">
        <f>H11-H22</f>
        <v>-2345.0113181658962</v>
      </c>
      <c r="K25" s="369">
        <f>K22-H22</f>
        <v>-2345.0113181658962</v>
      </c>
    </row>
    <row r="31" spans="1:18" x14ac:dyDescent="0.35">
      <c r="C31" s="372" t="s">
        <v>532</v>
      </c>
      <c r="E31" s="3"/>
    </row>
    <row r="32" spans="1:18" x14ac:dyDescent="0.35">
      <c r="C32" s="251" t="s">
        <v>517</v>
      </c>
      <c r="E32" s="3"/>
    </row>
    <row r="33" spans="3:5" x14ac:dyDescent="0.35">
      <c r="C33" s="251" t="s">
        <v>533</v>
      </c>
      <c r="E33" s="3"/>
    </row>
    <row r="34" spans="3:5" x14ac:dyDescent="0.35">
      <c r="E34" s="3"/>
    </row>
    <row r="35" spans="3:5" x14ac:dyDescent="0.35">
      <c r="E35" s="3"/>
    </row>
    <row r="42" spans="3:5" x14ac:dyDescent="0.35">
      <c r="C42" s="251"/>
    </row>
    <row r="43" spans="3:5" x14ac:dyDescent="0.35">
      <c r="C43" s="25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0BED-CE32-4A18-92BA-70C1280EAFB9}">
  <sheetPr>
    <tabColor rgb="FF00B0F0"/>
  </sheetPr>
  <dimension ref="A1"/>
  <sheetViews>
    <sheetView workbookViewId="0">
      <selection activeCell="E42" sqref="E42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1E42-4380-48D9-B01C-2107BA96B3D3}">
  <sheetPr>
    <tabColor rgb="FFC00000"/>
  </sheetPr>
  <dimension ref="A1:BI38"/>
  <sheetViews>
    <sheetView showGridLines="0" zoomScale="85" zoomScaleNormal="85" workbookViewId="0">
      <pane xSplit="6" ySplit="5" topLeftCell="AV28" activePane="bottomRight" state="frozen"/>
      <selection activeCell="BD26" sqref="BD26"/>
      <selection pane="topRight" activeCell="BD26" sqref="BD26"/>
      <selection pane="bottomLeft" activeCell="BD26" sqref="BD26"/>
      <selection pane="bottomRight" activeCell="E29" sqref="E29"/>
    </sheetView>
  </sheetViews>
  <sheetFormatPr defaultRowHeight="14.5" outlineLevelRow="1" x14ac:dyDescent="0.35"/>
  <cols>
    <col min="2" max="2" width="8.5" style="102"/>
    <col min="3" max="3" width="14.33203125" customWidth="1"/>
    <col min="4" max="4" width="29.08203125" customWidth="1"/>
    <col min="5" max="5" width="4" style="90" bestFit="1" customWidth="1"/>
    <col min="6" max="6" width="0.5" customWidth="1"/>
    <col min="7" max="7" width="11.33203125" customWidth="1"/>
    <col min="8" max="8" width="11.5" customWidth="1"/>
    <col min="9" max="9" width="14.25" bestFit="1" customWidth="1"/>
    <col min="10" max="10" width="0.5" customWidth="1"/>
    <col min="11" max="11" width="13.25" customWidth="1"/>
    <col min="12" max="12" width="11.5" customWidth="1"/>
    <col min="13" max="13" width="11.08203125" customWidth="1"/>
    <col min="14" max="14" width="0.5" customWidth="1"/>
    <col min="15" max="15" width="13.25" customWidth="1"/>
    <col min="16" max="16" width="11.5" customWidth="1"/>
    <col min="17" max="17" width="11.08203125" customWidth="1"/>
    <col min="18" max="18" width="0.5" customWidth="1"/>
    <col min="19" max="19" width="13.25" customWidth="1"/>
    <col min="20" max="20" width="11.5" customWidth="1"/>
    <col min="21" max="21" width="11.08203125" customWidth="1"/>
    <col min="22" max="22" width="0.5" customWidth="1"/>
    <col min="23" max="23" width="13.25" customWidth="1"/>
    <col min="24" max="24" width="11.5" customWidth="1"/>
    <col min="25" max="25" width="11.08203125" customWidth="1"/>
    <col min="26" max="26" width="0.5" customWidth="1"/>
    <col min="27" max="27" width="13.25" customWidth="1"/>
    <col min="28" max="28" width="11.5" customWidth="1"/>
    <col min="29" max="29" width="11.08203125" customWidth="1"/>
    <col min="30" max="30" width="0.5" customWidth="1"/>
    <col min="31" max="31" width="13.25" customWidth="1"/>
    <col min="32" max="32" width="11.5" customWidth="1"/>
    <col min="33" max="33" width="11.08203125" customWidth="1"/>
    <col min="34" max="34" width="0.5" customWidth="1"/>
    <col min="35" max="35" width="13.25" customWidth="1"/>
    <col min="36" max="36" width="11.5" customWidth="1"/>
    <col min="37" max="37" width="11.08203125" customWidth="1"/>
    <col min="38" max="38" width="0.5" customWidth="1"/>
    <col min="39" max="39" width="13.25" customWidth="1"/>
    <col min="40" max="40" width="11.5" customWidth="1"/>
    <col min="41" max="41" width="11.08203125" customWidth="1"/>
    <col min="42" max="42" width="0.5" customWidth="1"/>
    <col min="43" max="43" width="13.25" customWidth="1"/>
    <col min="44" max="44" width="11.5" customWidth="1"/>
    <col min="45" max="45" width="11.08203125" customWidth="1"/>
    <col min="46" max="46" width="0.5" customWidth="1"/>
    <col min="47" max="47" width="13.25" customWidth="1"/>
    <col min="48" max="48" width="11.5" customWidth="1"/>
    <col min="49" max="49" width="11.08203125" customWidth="1"/>
    <col min="50" max="50" width="0.5" customWidth="1"/>
    <col min="51" max="51" width="13.25" customWidth="1"/>
    <col min="52" max="52" width="11.5" customWidth="1"/>
    <col min="53" max="53" width="11.08203125" customWidth="1"/>
    <col min="54" max="54" width="0.5" customWidth="1"/>
    <col min="55" max="55" width="13.25" customWidth="1"/>
    <col min="56" max="56" width="11.5" customWidth="1"/>
    <col min="57" max="57" width="11.08203125" customWidth="1"/>
    <col min="58" max="58" width="0.75" customWidth="1"/>
    <col min="59" max="59" width="10.08203125" bestFit="1" customWidth="1"/>
    <col min="60" max="60" width="11" bestFit="1" customWidth="1"/>
  </cols>
  <sheetData>
    <row r="1" spans="2:61" s="102" customFormat="1" x14ac:dyDescent="0.35">
      <c r="E1" s="96"/>
      <c r="G1" s="102">
        <v>1</v>
      </c>
      <c r="H1" s="102">
        <f>G1</f>
        <v>1</v>
      </c>
      <c r="I1" s="102">
        <f>H1</f>
        <v>1</v>
      </c>
      <c r="K1" s="102">
        <v>2</v>
      </c>
      <c r="L1" s="102">
        <f>K1</f>
        <v>2</v>
      </c>
      <c r="M1" s="102">
        <f>L1</f>
        <v>2</v>
      </c>
      <c r="O1" s="102">
        <v>3</v>
      </c>
      <c r="P1" s="102">
        <f>O1</f>
        <v>3</v>
      </c>
      <c r="Q1" s="102">
        <f>P1</f>
        <v>3</v>
      </c>
      <c r="S1" s="102">
        <v>4</v>
      </c>
      <c r="T1" s="102">
        <f>S1</f>
        <v>4</v>
      </c>
      <c r="U1" s="102">
        <f>T1</f>
        <v>4</v>
      </c>
      <c r="W1" s="102">
        <v>5</v>
      </c>
      <c r="X1" s="102">
        <f>W1</f>
        <v>5</v>
      </c>
      <c r="Y1" s="102">
        <f>X1</f>
        <v>5</v>
      </c>
      <c r="AA1" s="102">
        <v>6</v>
      </c>
      <c r="AB1" s="102">
        <f>AA1</f>
        <v>6</v>
      </c>
      <c r="AC1" s="102">
        <f>AB1</f>
        <v>6</v>
      </c>
      <c r="AE1" s="102">
        <v>7</v>
      </c>
      <c r="AF1" s="102">
        <f>AE1</f>
        <v>7</v>
      </c>
      <c r="AG1" s="102">
        <f>AF1</f>
        <v>7</v>
      </c>
      <c r="AI1" s="102">
        <v>8</v>
      </c>
      <c r="AJ1" s="102">
        <f>AI1</f>
        <v>8</v>
      </c>
      <c r="AK1" s="102">
        <f>AJ1</f>
        <v>8</v>
      </c>
      <c r="AM1" s="102">
        <v>9</v>
      </c>
      <c r="AN1" s="102">
        <f>AM1</f>
        <v>9</v>
      </c>
      <c r="AO1" s="102">
        <f>AN1</f>
        <v>9</v>
      </c>
      <c r="AQ1" s="102">
        <v>10</v>
      </c>
      <c r="AR1" s="102">
        <f>AQ1</f>
        <v>10</v>
      </c>
      <c r="AS1" s="102">
        <f>AR1</f>
        <v>10</v>
      </c>
      <c r="AU1" s="102">
        <v>11</v>
      </c>
      <c r="AV1" s="102">
        <f>AU1</f>
        <v>11</v>
      </c>
      <c r="AW1" s="102">
        <f>AV1</f>
        <v>11</v>
      </c>
      <c r="AY1" s="102">
        <v>12</v>
      </c>
      <c r="AZ1" s="102">
        <f>AY1</f>
        <v>12</v>
      </c>
      <c r="BA1" s="102">
        <f>AZ1</f>
        <v>12</v>
      </c>
      <c r="BC1" s="264">
        <f>BC14/BC6*10^3</f>
        <v>1350.0971502590673</v>
      </c>
      <c r="BE1" s="264">
        <f>BE12/BE6*10^3</f>
        <v>2449.0374930775229</v>
      </c>
    </row>
    <row r="2" spans="2:61" x14ac:dyDescent="0.35">
      <c r="AI2" s="266"/>
      <c r="BC2" s="3"/>
      <c r="BE2" s="3"/>
      <c r="BH2" s="266"/>
    </row>
    <row r="3" spans="2:61" x14ac:dyDescent="0.35">
      <c r="C3" s="20"/>
      <c r="D3" s="468" t="s">
        <v>69</v>
      </c>
      <c r="E3" s="469" t="s">
        <v>158</v>
      </c>
      <c r="G3" s="467" t="str">
        <f>"Tháng "&amp;TEXT(G$1,"00")</f>
        <v>Tháng 01</v>
      </c>
      <c r="H3" s="467"/>
      <c r="I3" s="467"/>
      <c r="K3" s="467" t="str">
        <f>"Tháng "&amp;TEXT(K$1,"00")</f>
        <v>Tháng 02</v>
      </c>
      <c r="L3" s="467"/>
      <c r="M3" s="467"/>
      <c r="O3" s="467" t="str">
        <f>"Tháng "&amp;TEXT(O$1,"00")</f>
        <v>Tháng 03</v>
      </c>
      <c r="P3" s="467"/>
      <c r="Q3" s="467"/>
      <c r="S3" s="467" t="str">
        <f>"Tháng "&amp;TEXT(S$1,"00")</f>
        <v>Tháng 04</v>
      </c>
      <c r="T3" s="467"/>
      <c r="U3" s="467"/>
      <c r="W3" s="467" t="str">
        <f>"Tháng "&amp;TEXT(W$1,"00")</f>
        <v>Tháng 05</v>
      </c>
      <c r="X3" s="467"/>
      <c r="Y3" s="467"/>
      <c r="AA3" s="467" t="str">
        <f>"Tháng "&amp;TEXT(AA$1,"00")</f>
        <v>Tháng 06</v>
      </c>
      <c r="AB3" s="467"/>
      <c r="AC3" s="467"/>
      <c r="AE3" s="467" t="str">
        <f>"Tháng "&amp;TEXT(AE$1,"00")</f>
        <v>Tháng 07</v>
      </c>
      <c r="AF3" s="467"/>
      <c r="AG3" s="467"/>
      <c r="AI3" s="467" t="str">
        <f>"Tháng "&amp;TEXT(AI$1,"00")</f>
        <v>Tháng 08</v>
      </c>
      <c r="AJ3" s="467"/>
      <c r="AK3" s="467"/>
      <c r="AM3" s="467" t="str">
        <f>"Tháng "&amp;TEXT(AM$1,"00")</f>
        <v>Tháng 09</v>
      </c>
      <c r="AN3" s="467"/>
      <c r="AO3" s="467"/>
      <c r="AQ3" s="467" t="str">
        <f>"Tháng "&amp;TEXT(AQ$1,"00")</f>
        <v>Tháng 10</v>
      </c>
      <c r="AR3" s="467"/>
      <c r="AS3" s="467"/>
      <c r="AU3" s="467" t="str">
        <f>"Tháng "&amp;TEXT(AU$1,"00")</f>
        <v>Tháng 11</v>
      </c>
      <c r="AV3" s="467"/>
      <c r="AW3" s="467"/>
      <c r="AY3" s="467" t="str">
        <f>"Tháng "&amp;TEXT(AY$1,"00")</f>
        <v>Tháng 12</v>
      </c>
      <c r="AZ3" s="467"/>
      <c r="BA3" s="467"/>
      <c r="BC3" s="470" t="s">
        <v>207</v>
      </c>
      <c r="BD3" s="470"/>
      <c r="BE3" s="470"/>
    </row>
    <row r="4" spans="2:61" x14ac:dyDescent="0.35">
      <c r="C4" s="20"/>
      <c r="D4" s="468"/>
      <c r="E4" s="469"/>
      <c r="G4" s="186" t="s">
        <v>65</v>
      </c>
      <c r="H4" s="186" t="s">
        <v>66</v>
      </c>
      <c r="I4" s="186" t="s">
        <v>67</v>
      </c>
      <c r="K4" s="186" t="s">
        <v>65</v>
      </c>
      <c r="L4" s="186" t="s">
        <v>66</v>
      </c>
      <c r="M4" s="186" t="s">
        <v>67</v>
      </c>
      <c r="O4" s="186" t="s">
        <v>65</v>
      </c>
      <c r="P4" s="186" t="s">
        <v>66</v>
      </c>
      <c r="Q4" s="186" t="s">
        <v>67</v>
      </c>
      <c r="S4" s="186" t="s">
        <v>65</v>
      </c>
      <c r="T4" s="186" t="s">
        <v>66</v>
      </c>
      <c r="U4" s="186" t="s">
        <v>67</v>
      </c>
      <c r="W4" s="186" t="s">
        <v>65</v>
      </c>
      <c r="X4" s="186" t="s">
        <v>66</v>
      </c>
      <c r="Y4" s="186" t="s">
        <v>67</v>
      </c>
      <c r="AA4" s="186" t="s">
        <v>65</v>
      </c>
      <c r="AB4" s="186" t="s">
        <v>66</v>
      </c>
      <c r="AC4" s="186" t="s">
        <v>67</v>
      </c>
      <c r="AE4" s="186" t="s">
        <v>65</v>
      </c>
      <c r="AF4" s="186" t="s">
        <v>66</v>
      </c>
      <c r="AG4" s="186" t="s">
        <v>67</v>
      </c>
      <c r="AI4" s="186" t="s">
        <v>65</v>
      </c>
      <c r="AJ4" s="186" t="s">
        <v>66</v>
      </c>
      <c r="AK4" s="186" t="s">
        <v>67</v>
      </c>
      <c r="AM4" s="186" t="s">
        <v>65</v>
      </c>
      <c r="AN4" s="186" t="s">
        <v>66</v>
      </c>
      <c r="AO4" s="186" t="s">
        <v>67</v>
      </c>
      <c r="AQ4" s="186" t="s">
        <v>65</v>
      </c>
      <c r="AR4" s="186" t="s">
        <v>66</v>
      </c>
      <c r="AS4" s="186" t="s">
        <v>67</v>
      </c>
      <c r="AU4" s="186" t="s">
        <v>65</v>
      </c>
      <c r="AV4" s="186" t="s">
        <v>66</v>
      </c>
      <c r="AW4" s="186" t="s">
        <v>67</v>
      </c>
      <c r="AY4" s="186" t="s">
        <v>65</v>
      </c>
      <c r="AZ4" s="186" t="s">
        <v>66</v>
      </c>
      <c r="BA4" s="186" t="s">
        <v>67</v>
      </c>
      <c r="BC4" s="191" t="s">
        <v>65</v>
      </c>
      <c r="BD4" s="191" t="s">
        <v>66</v>
      </c>
      <c r="BE4" s="191" t="s">
        <v>67</v>
      </c>
    </row>
    <row r="5" spans="2:61" ht="3" customHeight="1" x14ac:dyDescent="0.35"/>
    <row r="6" spans="2:61" x14ac:dyDescent="0.35">
      <c r="D6" t="s">
        <v>58</v>
      </c>
      <c r="E6" s="90" t="s">
        <v>159</v>
      </c>
      <c r="G6" s="301"/>
      <c r="H6" s="3"/>
      <c r="I6" s="3">
        <f>G6+H6</f>
        <v>0</v>
      </c>
      <c r="K6" s="301">
        <v>386</v>
      </c>
      <c r="L6" s="3"/>
      <c r="M6" s="3">
        <f>K6+L6</f>
        <v>386</v>
      </c>
      <c r="O6" s="301">
        <v>140</v>
      </c>
      <c r="P6" s="3"/>
      <c r="Q6" s="3">
        <f>O6+P6</f>
        <v>140</v>
      </c>
      <c r="S6" s="301">
        <v>120</v>
      </c>
      <c r="T6" s="3"/>
      <c r="U6" s="3">
        <f>S6+T6</f>
        <v>120</v>
      </c>
      <c r="W6" s="301">
        <v>80</v>
      </c>
      <c r="X6" s="3"/>
      <c r="Y6" s="3">
        <f>W6+X6</f>
        <v>80</v>
      </c>
      <c r="AA6" s="301">
        <v>100</v>
      </c>
      <c r="AB6" s="3"/>
      <c r="AC6" s="3">
        <f>AA6+AB6</f>
        <v>100</v>
      </c>
      <c r="AE6" s="301">
        <v>20</v>
      </c>
      <c r="AF6" s="3"/>
      <c r="AG6" s="3">
        <f>AE6+AF6</f>
        <v>20</v>
      </c>
      <c r="AI6" s="301">
        <v>80</v>
      </c>
      <c r="AJ6" s="3"/>
      <c r="AK6" s="3">
        <f>AI6+AJ6</f>
        <v>80</v>
      </c>
      <c r="AM6" s="301">
        <v>220</v>
      </c>
      <c r="AN6" s="3"/>
      <c r="AO6" s="3">
        <v>220</v>
      </c>
      <c r="AQ6" s="301">
        <v>138</v>
      </c>
      <c r="AR6" s="3"/>
      <c r="AS6" s="3">
        <f>AQ6+AR6</f>
        <v>138</v>
      </c>
      <c r="AU6" s="301">
        <v>160</v>
      </c>
      <c r="AV6" s="3"/>
      <c r="AW6" s="3">
        <f>AU6+AV6</f>
        <v>160</v>
      </c>
      <c r="AY6" s="301">
        <v>100</v>
      </c>
      <c r="AZ6" s="3"/>
      <c r="BA6" s="3">
        <f>AY6+AZ6</f>
        <v>100</v>
      </c>
      <c r="BC6" s="3">
        <f>SUMIFS($G6:$BA6,$G$4:$BA$4,BC$4)</f>
        <v>1544</v>
      </c>
      <c r="BD6" s="3"/>
      <c r="BE6" s="3">
        <f>SUMIFS($G6:$BA6,$G$4:$BA$4,BE$4)</f>
        <v>1544</v>
      </c>
    </row>
    <row r="7" spans="2:61" s="93" customFormat="1" ht="12" x14ac:dyDescent="0.3">
      <c r="B7" s="97"/>
      <c r="D7" s="93" t="s">
        <v>59</v>
      </c>
      <c r="E7" s="94" t="s">
        <v>160</v>
      </c>
      <c r="G7" s="302"/>
      <c r="H7" s="95"/>
      <c r="I7" s="95">
        <f>G7+H7</f>
        <v>0</v>
      </c>
      <c r="K7" s="302">
        <v>19340.673575129535</v>
      </c>
      <c r="L7" s="95"/>
      <c r="M7" s="95">
        <f>K7+L7</f>
        <v>19340.673575129535</v>
      </c>
      <c r="O7" s="302">
        <v>19678.571428571428</v>
      </c>
      <c r="P7" s="95"/>
      <c r="Q7" s="95">
        <f>O7+P7</f>
        <v>19678.571428571428</v>
      </c>
      <c r="S7" s="302">
        <v>18687.5</v>
      </c>
      <c r="T7" s="95"/>
      <c r="U7" s="95">
        <f>S7+T7</f>
        <v>18687.5</v>
      </c>
      <c r="W7" s="302">
        <v>17000</v>
      </c>
      <c r="X7" s="95"/>
      <c r="Y7" s="95">
        <f>W7+X7</f>
        <v>17000</v>
      </c>
      <c r="AA7" s="302">
        <v>17800</v>
      </c>
      <c r="AB7" s="95"/>
      <c r="AC7" s="95">
        <f>AA7+AB7</f>
        <v>17800</v>
      </c>
      <c r="AE7" s="302">
        <v>17000</v>
      </c>
      <c r="AF7" s="95"/>
      <c r="AG7" s="95">
        <f>AE7+AF7</f>
        <v>17000</v>
      </c>
      <c r="AI7" s="302">
        <v>18200</v>
      </c>
      <c r="AJ7" s="95"/>
      <c r="AK7" s="95">
        <f>AI7+AJ7</f>
        <v>18200</v>
      </c>
      <c r="AM7" s="302">
        <v>18438.636363636364</v>
      </c>
      <c r="AN7" s="95"/>
      <c r="AO7" s="95">
        <f>AM7+AN7</f>
        <v>18438.636363636364</v>
      </c>
      <c r="AQ7" s="302">
        <v>17797.101449275364</v>
      </c>
      <c r="AR7" s="95"/>
      <c r="AS7" s="95">
        <f>AQ7+AR7</f>
        <v>17797.101449275364</v>
      </c>
      <c r="AU7" s="302">
        <v>17931.25</v>
      </c>
      <c r="AV7" s="95"/>
      <c r="AW7" s="95">
        <f>AU7+AV7</f>
        <v>17931.25</v>
      </c>
      <c r="AY7" s="302">
        <v>17850</v>
      </c>
      <c r="AZ7" s="95"/>
      <c r="BA7" s="95">
        <f>AY7+AZ7</f>
        <v>17850</v>
      </c>
      <c r="BC7" s="95">
        <f>IFERROR(SUMIFS($G10:$BA10,$G$4:$BA$4,BC$4)/BC$6*10^3,0)</f>
        <v>18500.971502590673</v>
      </c>
      <c r="BD7" s="95"/>
      <c r="BE7" s="95">
        <f>BC7+BD7</f>
        <v>18500.971502590673</v>
      </c>
    </row>
    <row r="8" spans="2:61" s="93" customFormat="1" ht="12" x14ac:dyDescent="0.3">
      <c r="B8" s="97"/>
      <c r="D8" s="93" t="s">
        <v>157</v>
      </c>
      <c r="E8" s="94" t="s">
        <v>160</v>
      </c>
      <c r="G8" s="302"/>
      <c r="H8" s="95"/>
      <c r="I8" s="95">
        <f>G8+H8</f>
        <v>0</v>
      </c>
      <c r="K8" s="302">
        <v>19523.461492227983</v>
      </c>
      <c r="L8" s="95">
        <f>IFERROR(SUMIFS(L$21:L$33,$B$21:$B$33,"X")/K6*10^3,0)</f>
        <v>-3716.8080471327212</v>
      </c>
      <c r="M8" s="95">
        <f>K8+L8</f>
        <v>15806.653445095262</v>
      </c>
      <c r="O8" s="302">
        <v>18725.827835714284</v>
      </c>
      <c r="P8" s="95">
        <f>IFERROR(SUMIFS(P$21:P$33,$B$21:$B$33,"X")/O6*10^3,0)</f>
        <v>-3523.3555336757613</v>
      </c>
      <c r="Q8" s="95">
        <f>O8+P8</f>
        <v>15202.472302038523</v>
      </c>
      <c r="S8" s="302">
        <v>20034.898700605198</v>
      </c>
      <c r="T8" s="95">
        <f>IFERROR(SUMIFS(T$21:T$33,$B$21:$B$33,"X")/S6*10^3,0)</f>
        <v>-4359.2097577566319</v>
      </c>
      <c r="U8" s="95">
        <f>S8+T8</f>
        <v>15675.688942848567</v>
      </c>
      <c r="W8" s="302">
        <v>23286.810199220443</v>
      </c>
      <c r="X8" s="95">
        <f>IFERROR(SUMIFS(X$21:X$33,$B$21:$B$33,"X")/W6*10^3,0)</f>
        <v>-6391.4960868296339</v>
      </c>
      <c r="Y8" s="95">
        <f>W8+X8</f>
        <v>16895.31411239081</v>
      </c>
      <c r="AA8" s="302">
        <v>23759.066251556662</v>
      </c>
      <c r="AB8" s="95">
        <f>IFERROR(SUMIFS(AB$21:AB$33,$B$21:$B$33,"X")/AA6*10^3,0)</f>
        <v>-8209.9837540358531</v>
      </c>
      <c r="AC8" s="95">
        <f>AA8+AB8</f>
        <v>15549.082497520809</v>
      </c>
      <c r="AE8" s="302">
        <v>23733.496449999999</v>
      </c>
      <c r="AF8" s="95">
        <f>IFERROR(SUMIFS(AF$21:AF$33,$B$21:$B$33,"X")/AE6*10^3,0)</f>
        <v>-6944.5494372791127</v>
      </c>
      <c r="AG8" s="95">
        <f>AE8+AF8</f>
        <v>16788.947012720884</v>
      </c>
      <c r="AI8" s="302">
        <v>22508.844586292955</v>
      </c>
      <c r="AJ8" s="95">
        <f>IFERROR(SUMIFS(AJ$21:AJ$33,$B$21:$B$33,"X")/AI6*10^3,0)</f>
        <v>-7947.9565269283185</v>
      </c>
      <c r="AK8" s="95">
        <f>AI8+AJ8</f>
        <v>14560.888059364635</v>
      </c>
      <c r="AM8" s="302">
        <v>22904.606402946069</v>
      </c>
      <c r="AN8" s="95">
        <f>IFERROR(SUMIFS(AN$21:AN$33,$B$21:$B$33,"X")/AM6*10^3,0)</f>
        <v>-6261.0674784615367</v>
      </c>
      <c r="AO8" s="95">
        <f>AM8+AN8</f>
        <v>16643.538924484532</v>
      </c>
      <c r="AQ8" s="302">
        <v>22108.05224637681</v>
      </c>
      <c r="AR8" s="95">
        <f>IFERROR(SUMIFS(AR$21:AR$33,$B$21:$B$33,"X")/AQ6*10^3,0)</f>
        <v>-6124.2473599393106</v>
      </c>
      <c r="AS8" s="95">
        <f>AQ8+AR8</f>
        <v>15983.8048864375</v>
      </c>
      <c r="AU8" s="302">
        <v>20611.435399999998</v>
      </c>
      <c r="AV8" s="95">
        <f>IFERROR(SUMIFS(AV$21:AV$33,$B$21:$B$33,"X")/AU6*10^3,0)</f>
        <v>-5024.8290642201837</v>
      </c>
      <c r="AW8" s="95">
        <f>AU8+AV8</f>
        <v>15586.606335779816</v>
      </c>
      <c r="AY8" s="302">
        <v>21246.6587523669</v>
      </c>
      <c r="AZ8" s="95">
        <f>IFERROR(SUMIFS(AZ$21:AZ$33,$B$21:$B$33,"X")/AY6*10^3,0)</f>
        <v>-2196.6080496905588</v>
      </c>
      <c r="BA8" s="95">
        <f>AY8+AZ8</f>
        <v>19050.050702676341</v>
      </c>
      <c r="BC8" s="95">
        <f>IFERROR(SUMIFS($G11:$BA11,$G$4:$BA$4,BC$4)/BC6*10^3,0)</f>
        <v>21106.547261628359</v>
      </c>
      <c r="BD8" s="95">
        <f>IFERROR(SUMIFS(BD$21:BD$33,$B$21:$B$33,"X")/BC6*10^3,0)</f>
        <v>-5054.6132521152094</v>
      </c>
      <c r="BE8" s="95">
        <f>BC8+BD8</f>
        <v>16051.934009513148</v>
      </c>
    </row>
    <row r="9" spans="2:61" s="93" customFormat="1" ht="6" customHeight="1" thickBot="1" x14ac:dyDescent="0.35">
      <c r="B9" s="97"/>
      <c r="E9" s="94"/>
      <c r="G9" s="95"/>
      <c r="H9" s="95"/>
      <c r="I9" s="95"/>
      <c r="K9" s="95"/>
      <c r="L9" s="95"/>
      <c r="M9" s="95"/>
      <c r="O9" s="95"/>
      <c r="P9" s="95"/>
      <c r="Q9" s="95"/>
      <c r="S9" s="95"/>
      <c r="T9" s="95"/>
      <c r="U9" s="95"/>
      <c r="W9" s="95"/>
      <c r="X9" s="95"/>
      <c r="Y9" s="95"/>
      <c r="AA9" s="95"/>
      <c r="AB9" s="95"/>
      <c r="AC9" s="95"/>
      <c r="AE9" s="95"/>
      <c r="AF9" s="95"/>
      <c r="AG9" s="95"/>
      <c r="AI9" s="95"/>
      <c r="AJ9" s="95"/>
      <c r="AK9" s="95"/>
      <c r="AM9" s="95"/>
      <c r="AN9" s="95"/>
      <c r="AO9" s="95"/>
      <c r="AQ9" s="95"/>
      <c r="AR9" s="95"/>
      <c r="AS9" s="95"/>
      <c r="AU9" s="95"/>
      <c r="AV9" s="95"/>
      <c r="AW9" s="95"/>
      <c r="AY9" s="95"/>
      <c r="AZ9" s="95"/>
      <c r="BA9" s="95"/>
      <c r="BC9" s="95"/>
      <c r="BD9" s="95"/>
      <c r="BE9" s="95"/>
    </row>
    <row r="10" spans="2:61" s="9" customFormat="1" ht="15" thickBot="1" x14ac:dyDescent="0.4">
      <c r="B10" s="103"/>
      <c r="D10" s="18" t="s">
        <v>60</v>
      </c>
      <c r="E10" s="91" t="s">
        <v>161</v>
      </c>
      <c r="G10" s="19">
        <f>G6*G7/10^3</f>
        <v>0</v>
      </c>
      <c r="H10" s="19">
        <f t="shared" ref="H10" si="0">I10-G10</f>
        <v>0</v>
      </c>
      <c r="I10" s="19">
        <f>I6*I7/10^3</f>
        <v>0</v>
      </c>
      <c r="K10" s="19">
        <f>K6*K7/10^3</f>
        <v>7465.5</v>
      </c>
      <c r="L10" s="19">
        <f t="shared" ref="L10" si="1">M10-K10</f>
        <v>0</v>
      </c>
      <c r="M10" s="19">
        <f>M6*M7/10^3</f>
        <v>7465.5</v>
      </c>
      <c r="O10" s="19">
        <f>O6*O7/10^3</f>
        <v>2755</v>
      </c>
      <c r="P10" s="19">
        <f t="shared" ref="P10" si="2">Q10-O10</f>
        <v>0</v>
      </c>
      <c r="Q10" s="19">
        <f>Q6*Q7/10^3</f>
        <v>2755</v>
      </c>
      <c r="S10" s="19">
        <f>S6*S7/10^3</f>
        <v>2242.5</v>
      </c>
      <c r="T10" s="19">
        <f t="shared" ref="T10" si="3">U10-S10</f>
        <v>0</v>
      </c>
      <c r="U10" s="19">
        <f>U6*U7/10^3</f>
        <v>2242.5</v>
      </c>
      <c r="W10" s="19">
        <f>W6*W7/10^3</f>
        <v>1360</v>
      </c>
      <c r="X10" s="19">
        <f t="shared" ref="X10" si="4">Y10-W10</f>
        <v>0</v>
      </c>
      <c r="Y10" s="19">
        <f>Y6*Y7/10^3</f>
        <v>1360</v>
      </c>
      <c r="AA10" s="19">
        <f>AA6*AA7/10^3</f>
        <v>1780</v>
      </c>
      <c r="AB10" s="19">
        <f t="shared" ref="AB10" si="5">AC10-AA10</f>
        <v>0</v>
      </c>
      <c r="AC10" s="19">
        <f>AC6*AC7/10^3</f>
        <v>1780</v>
      </c>
      <c r="AE10" s="19">
        <f>AE6*AE7/10^3</f>
        <v>340</v>
      </c>
      <c r="AF10" s="19">
        <f t="shared" ref="AF10" si="6">AG10-AE10</f>
        <v>0</v>
      </c>
      <c r="AG10" s="19">
        <f>AG6*AG7/10^3</f>
        <v>340</v>
      </c>
      <c r="AI10" s="19">
        <f>AI6*AI7/10^3</f>
        <v>1456</v>
      </c>
      <c r="AJ10" s="19">
        <f t="shared" ref="AJ10" si="7">AK10-AI10</f>
        <v>0</v>
      </c>
      <c r="AK10" s="19">
        <f>AK6*AK7/10^3</f>
        <v>1456</v>
      </c>
      <c r="AM10" s="19">
        <f>AM6*AM7/10^3</f>
        <v>4056.5</v>
      </c>
      <c r="AN10" s="19">
        <f t="shared" ref="AN10" si="8">AO10-AM10</f>
        <v>0</v>
      </c>
      <c r="AO10" s="19">
        <f>AO6*AO7/10^3</f>
        <v>4056.5</v>
      </c>
      <c r="AQ10" s="19">
        <f>AQ6*AQ7/10^3</f>
        <v>2456</v>
      </c>
      <c r="AR10" s="19">
        <f t="shared" ref="AR10" si="9">AS10-AQ10</f>
        <v>0</v>
      </c>
      <c r="AS10" s="19">
        <f>AS6*AS7/10^3</f>
        <v>2456</v>
      </c>
      <c r="AU10" s="19">
        <f>AU6*AU7/10^3</f>
        <v>2869</v>
      </c>
      <c r="AV10" s="19">
        <f t="shared" ref="AV10" si="10">AW10-AU10</f>
        <v>0</v>
      </c>
      <c r="AW10" s="19">
        <f>AW6*AW7/10^3</f>
        <v>2869</v>
      </c>
      <c r="AY10" s="19">
        <f>AY6*AY7/10^3</f>
        <v>1785</v>
      </c>
      <c r="AZ10" s="19">
        <f>BA10-AY10</f>
        <v>0</v>
      </c>
      <c r="BA10" s="19">
        <f>BA6*BA7/10^3</f>
        <v>1785</v>
      </c>
      <c r="BC10" s="19">
        <f>BC6*BC7/10^3</f>
        <v>28565.5</v>
      </c>
      <c r="BD10" s="19">
        <f t="shared" ref="BD10" si="11">BE10-BC10</f>
        <v>0</v>
      </c>
      <c r="BE10" s="19">
        <f>BE6*BE7/10^3</f>
        <v>28565.5</v>
      </c>
    </row>
    <row r="11" spans="2:61" s="97" customFormat="1" ht="12.5" thickBot="1" x14ac:dyDescent="0.35">
      <c r="D11" s="97" t="s">
        <v>61</v>
      </c>
      <c r="E11" s="96" t="s">
        <v>161</v>
      </c>
      <c r="G11" s="98">
        <f>G8*G6/10^3</f>
        <v>0</v>
      </c>
      <c r="H11" s="98">
        <f>I11-G11</f>
        <v>0</v>
      </c>
      <c r="I11" s="98">
        <f>I8*I6/10^3</f>
        <v>0</v>
      </c>
      <c r="K11" s="98">
        <f>K8*K6/10^3</f>
        <v>7536.056136000002</v>
      </c>
      <c r="L11" s="98">
        <f>M11-K11</f>
        <v>-1434.6879061932304</v>
      </c>
      <c r="M11" s="98">
        <f>M8*M6/10^3</f>
        <v>6101.3682298067715</v>
      </c>
      <c r="O11" s="98">
        <f>O8*O6/10^3</f>
        <v>2621.6158969999997</v>
      </c>
      <c r="P11" s="98">
        <f>Q11-O11</f>
        <v>-493.26977471460668</v>
      </c>
      <c r="Q11" s="98">
        <f>Q8*Q6/10^3</f>
        <v>2128.346122285393</v>
      </c>
      <c r="S11" s="98">
        <f>S8*S6/10^3</f>
        <v>2404.1878440726236</v>
      </c>
      <c r="T11" s="98">
        <f>U11-S11</f>
        <v>-523.10517093079557</v>
      </c>
      <c r="U11" s="98">
        <f>U8*U6/10^3</f>
        <v>1881.0826731418281</v>
      </c>
      <c r="W11" s="98">
        <f>W8*W6/10^3</f>
        <v>1862.9448159376354</v>
      </c>
      <c r="X11" s="98">
        <f>Y11-W11</f>
        <v>-511.31968694637067</v>
      </c>
      <c r="Y11" s="98">
        <f>Y8*Y6/10^3</f>
        <v>1351.6251289912648</v>
      </c>
      <c r="AA11" s="98">
        <f>AA8*AA6/10^3</f>
        <v>2375.9066251556665</v>
      </c>
      <c r="AB11" s="98">
        <f>AC11-AA11</f>
        <v>-820.99837540358544</v>
      </c>
      <c r="AC11" s="98">
        <f>AC8*AC6/10^3</f>
        <v>1554.908249752081</v>
      </c>
      <c r="AE11" s="98">
        <f>AE8*AE6/10^3</f>
        <v>474.66992900000002</v>
      </c>
      <c r="AF11" s="98">
        <f>AG11-AE11</f>
        <v>-138.89098874558232</v>
      </c>
      <c r="AG11" s="98">
        <f>AG8*AG6/10^3</f>
        <v>335.77894025441771</v>
      </c>
      <c r="AI11" s="98">
        <f>AI8*AI6/10^3</f>
        <v>1800.7075669034364</v>
      </c>
      <c r="AJ11" s="98">
        <f>AK11-AI11</f>
        <v>-635.83652215426559</v>
      </c>
      <c r="AK11" s="98">
        <f>AK8*AK6/10^3</f>
        <v>1164.8710447491708</v>
      </c>
      <c r="AM11" s="98">
        <f>AM8*AM6/10^3</f>
        <v>5039.0134086481348</v>
      </c>
      <c r="AN11" s="98">
        <f>AO11-AM11</f>
        <v>-1377.4348452615377</v>
      </c>
      <c r="AO11" s="98">
        <f>AO8*AO6/10^3</f>
        <v>3661.5785633865971</v>
      </c>
      <c r="AQ11" s="98">
        <f>AQ8*AQ6/10^3</f>
        <v>3050.9112099999998</v>
      </c>
      <c r="AR11" s="98">
        <f>AS11-AQ11</f>
        <v>-845.14613567162451</v>
      </c>
      <c r="AS11" s="98">
        <f>AS8*AS6/10^3</f>
        <v>2205.7650743283752</v>
      </c>
      <c r="AU11" s="98">
        <f>AU8*AU6/10^3</f>
        <v>3297.8296639999999</v>
      </c>
      <c r="AV11" s="98">
        <f>AW11-AU11</f>
        <v>-803.97265027522963</v>
      </c>
      <c r="AW11" s="98">
        <f>AW8*AW6/10^3</f>
        <v>2493.8570137247702</v>
      </c>
      <c r="AY11" s="98">
        <f>AY8*AY6/10^3</f>
        <v>2124.6658752366902</v>
      </c>
      <c r="AZ11" s="98">
        <f>BA11-AY11</f>
        <v>-219.66080496905624</v>
      </c>
      <c r="BA11" s="98">
        <f>BA8*BA6/10^3</f>
        <v>1905.005070267634</v>
      </c>
      <c r="BC11" s="98">
        <f>BC8*BC6/10^3</f>
        <v>32588.508971954187</v>
      </c>
      <c r="BD11" s="98">
        <f>BE11-BC11</f>
        <v>-7804.3228612658822</v>
      </c>
      <c r="BE11" s="98">
        <f>BE8*BE6/10^3</f>
        <v>24784.186110688304</v>
      </c>
    </row>
    <row r="12" spans="2:61" s="9" customFormat="1" ht="15" thickBot="1" x14ac:dyDescent="0.4">
      <c r="B12" s="103"/>
      <c r="D12" s="18" t="s">
        <v>62</v>
      </c>
      <c r="E12" s="91" t="s">
        <v>161</v>
      </c>
      <c r="G12" s="19">
        <f>G10-G11</f>
        <v>0</v>
      </c>
      <c r="H12" s="19">
        <f t="shared" ref="H12" si="12">I12-G12</f>
        <v>0</v>
      </c>
      <c r="I12" s="19">
        <f>I10-I11</f>
        <v>0</v>
      </c>
      <c r="K12" s="19">
        <f>K10-K11</f>
        <v>-70.55613600000197</v>
      </c>
      <c r="L12" s="19">
        <f t="shared" ref="L12" si="13">M12-K12</f>
        <v>1434.6879061932304</v>
      </c>
      <c r="M12" s="19">
        <f>M10-M11</f>
        <v>1364.1317701932285</v>
      </c>
      <c r="O12" s="19">
        <f>O10-O11</f>
        <v>133.38410300000032</v>
      </c>
      <c r="P12" s="19">
        <f t="shared" ref="P12" si="14">Q12-O12</f>
        <v>493.26977471460668</v>
      </c>
      <c r="Q12" s="19">
        <f>Q10-Q11</f>
        <v>626.65387771460701</v>
      </c>
      <c r="S12" s="19">
        <f>S10-S11</f>
        <v>-161.68784407262365</v>
      </c>
      <c r="T12" s="19">
        <f t="shared" ref="T12" si="15">U12-S12</f>
        <v>523.10517093079557</v>
      </c>
      <c r="U12" s="19">
        <f>U10-U11</f>
        <v>361.41732685817192</v>
      </c>
      <c r="W12" s="19">
        <f>W10-W11</f>
        <v>-502.94481593763544</v>
      </c>
      <c r="X12" s="19">
        <f t="shared" ref="X12" si="16">Y12-W12</f>
        <v>511.31968694637067</v>
      </c>
      <c r="Y12" s="19">
        <f>Y10-Y11</f>
        <v>8.3748710087352265</v>
      </c>
      <c r="AA12" s="19">
        <f>AA10-AA11</f>
        <v>-595.90662515566646</v>
      </c>
      <c r="AB12" s="19">
        <f t="shared" ref="AB12" si="17">AC12-AA12</f>
        <v>820.99837540358544</v>
      </c>
      <c r="AC12" s="19">
        <f>AC10-AC11</f>
        <v>225.09175024791898</v>
      </c>
      <c r="AE12" s="19">
        <f>AE10-AE11</f>
        <v>-134.66992900000002</v>
      </c>
      <c r="AF12" s="19">
        <f t="shared" ref="AF12" si="18">AG12-AE12</f>
        <v>138.89098874558232</v>
      </c>
      <c r="AG12" s="19">
        <f>AG10-AG11</f>
        <v>4.2210597455822949</v>
      </c>
      <c r="AI12" s="19">
        <f>AI10-AI11</f>
        <v>-344.70756690343637</v>
      </c>
      <c r="AJ12" s="19">
        <f t="shared" ref="AJ12" si="19">AK12-AI12</f>
        <v>635.83652215426559</v>
      </c>
      <c r="AK12" s="19">
        <f>AK10-AK11</f>
        <v>291.12895525082922</v>
      </c>
      <c r="AM12" s="19">
        <f>AM10-AM11</f>
        <v>-982.51340864813483</v>
      </c>
      <c r="AN12" s="19">
        <f t="shared" ref="AN12" si="20">AO12-AM12</f>
        <v>1377.4348452615377</v>
      </c>
      <c r="AO12" s="19">
        <f>AO10-AO11</f>
        <v>394.92143661340288</v>
      </c>
      <c r="AQ12" s="19">
        <f>AQ10-AQ11</f>
        <v>-594.91120999999976</v>
      </c>
      <c r="AR12" s="19">
        <f t="shared" ref="AR12" si="21">AS12-AQ12</f>
        <v>845.14613567162451</v>
      </c>
      <c r="AS12" s="19">
        <f>AS10-AS11</f>
        <v>250.23492567162475</v>
      </c>
      <c r="AU12" s="19">
        <f>AU10-AU11</f>
        <v>-428.82966399999987</v>
      </c>
      <c r="AV12" s="19">
        <f t="shared" ref="AV12" si="22">AW12-AU12</f>
        <v>803.97265027522963</v>
      </c>
      <c r="AW12" s="19">
        <f>AW10-AW11</f>
        <v>375.14298627522976</v>
      </c>
      <c r="AY12" s="19">
        <f>AY10-AY11</f>
        <v>-339.66587523669023</v>
      </c>
      <c r="AZ12" s="19">
        <f t="shared" ref="AZ12" si="23">BA12-AY12</f>
        <v>219.66080496905624</v>
      </c>
      <c r="BA12" s="19">
        <f>BA10-BA11</f>
        <v>-120.00507026763398</v>
      </c>
      <c r="BC12" s="19">
        <f>BC10-BC11</f>
        <v>-4023.0089719541866</v>
      </c>
      <c r="BD12" s="19">
        <f t="shared" ref="BD12" si="24">BE12-BC12</f>
        <v>7804.3228612658822</v>
      </c>
      <c r="BE12" s="19">
        <f>BE10-BE11</f>
        <v>3781.3138893116957</v>
      </c>
      <c r="BG12" s="261"/>
    </row>
    <row r="13" spans="2:61" s="20" customFormat="1" ht="12" x14ac:dyDescent="0.3">
      <c r="B13" s="96"/>
      <c r="D13" s="20" t="s">
        <v>68</v>
      </c>
      <c r="G13" s="89">
        <f>IFERROR(G12/G$10,0)</f>
        <v>0</v>
      </c>
      <c r="I13" s="89">
        <f>IFERROR(I12/I$10,0)</f>
        <v>0</v>
      </c>
      <c r="K13" s="89">
        <f>IFERROR(K12/K$10,0)</f>
        <v>-9.4509592123771975E-3</v>
      </c>
      <c r="M13" s="89">
        <f>IFERROR(M12/M$10,0)</f>
        <v>0.18272476996761483</v>
      </c>
      <c r="O13" s="89">
        <f>IFERROR(O12/O$10,0)</f>
        <v>4.8415282395644403E-2</v>
      </c>
      <c r="Q13" s="89">
        <f>IFERROR(Q12/Q$10,0)</f>
        <v>0.2274605726731786</v>
      </c>
      <c r="S13" s="89">
        <f>IFERROR(S12/S$10,0)</f>
        <v>-7.2101602707970405E-2</v>
      </c>
      <c r="U13" s="89">
        <f>IFERROR(U12/U$10,0)</f>
        <v>0.16116714687097966</v>
      </c>
      <c r="W13" s="89">
        <f>IFERROR(W12/W$10,0)</f>
        <v>-0.36981236466002604</v>
      </c>
      <c r="Y13" s="89">
        <f>IFERROR(Y12/Y$10,0)</f>
        <v>6.1579933887759017E-3</v>
      </c>
      <c r="AA13" s="89">
        <f>IFERROR(AA12/AA$10,0)</f>
        <v>-0.33477900289644186</v>
      </c>
      <c r="AC13" s="89">
        <f>IFERROR(AC12/AC$10,0)</f>
        <v>0.12645603946512302</v>
      </c>
      <c r="AE13" s="89">
        <f>IFERROR(AE12/AE$10,0)</f>
        <v>-0.39608802647058833</v>
      </c>
      <c r="AG13" s="89">
        <f>IFERROR(AG12/AG$10,0)</f>
        <v>1.2414881604653809E-2</v>
      </c>
      <c r="AI13" s="89">
        <f>IFERROR(AI12/AI$10,0)</f>
        <v>-0.23674970254356895</v>
      </c>
      <c r="AK13" s="89">
        <f>IFERROR(AK12/AK$10,0)</f>
        <v>0.19995120552941567</v>
      </c>
      <c r="AM13" s="89">
        <f>IFERROR(AM12/AM$10,0)</f>
        <v>-0.24220717580380496</v>
      </c>
      <c r="AO13" s="89">
        <f>IFERROR(AO12/AO$10,0)</f>
        <v>9.7355216717219986E-2</v>
      </c>
      <c r="AQ13" s="89">
        <f>IFERROR(AQ12/AQ$10,0)</f>
        <v>-0.24222769136807806</v>
      </c>
      <c r="AS13" s="89">
        <f>IFERROR(AS12/AS$10,0)</f>
        <v>0.10188718471971692</v>
      </c>
      <c r="AU13" s="89">
        <f>IFERROR(AU12/AU$10,0)</f>
        <v>-0.14947008156151964</v>
      </c>
      <c r="AW13" s="89">
        <f>IFERROR(AW12/AW$10,0)</f>
        <v>0.13075740197812122</v>
      </c>
      <c r="AY13" s="89">
        <f>IFERROR(AY12/AY$10,0)</f>
        <v>-0.19028900573484045</v>
      </c>
      <c r="BA13" s="89">
        <f>IFERROR(BA12/BA$10,0)</f>
        <v>-6.7229731242371985E-2</v>
      </c>
      <c r="BC13" s="89">
        <f>IFERROR(BC12/BC$10,0)</f>
        <v>-0.14083453718486239</v>
      </c>
      <c r="BE13" s="89">
        <f>IFERROR(BE12/BE$10,0)</f>
        <v>0.132373453617535</v>
      </c>
    </row>
    <row r="14" spans="2:61" x14ac:dyDescent="0.35">
      <c r="D14" t="s">
        <v>63</v>
      </c>
      <c r="E14" s="90" t="s">
        <v>161</v>
      </c>
      <c r="G14" s="303"/>
      <c r="I14" s="3">
        <f>G14+H14</f>
        <v>0</v>
      </c>
      <c r="K14" s="303">
        <f>(K7-5000)*K6*10%/10^3</f>
        <v>553.54999999999995</v>
      </c>
      <c r="M14" s="3">
        <f>K14+L14</f>
        <v>553.54999999999995</v>
      </c>
      <c r="O14" s="303">
        <f>(O7-5000)*O6*10%/10^3</f>
        <v>205.5</v>
      </c>
      <c r="Q14" s="3">
        <f>O14+P14</f>
        <v>205.5</v>
      </c>
      <c r="S14" s="303">
        <f>(S7-5000)*S6*10%/10^3</f>
        <v>164.25</v>
      </c>
      <c r="U14" s="3">
        <f>S14+T14</f>
        <v>164.25</v>
      </c>
      <c r="W14" s="303">
        <f>(W7-5000)*W6*10%/10^3</f>
        <v>96</v>
      </c>
      <c r="Y14" s="3">
        <f>W14+X14</f>
        <v>96</v>
      </c>
      <c r="AA14" s="303">
        <f>(AA7-5000)*AA6*10%/10^3</f>
        <v>128</v>
      </c>
      <c r="AC14" s="3">
        <f>AA14+AB14</f>
        <v>128</v>
      </c>
      <c r="AE14" s="303">
        <v>24</v>
      </c>
      <c r="AG14" s="3">
        <f>AE14+AF14</f>
        <v>24</v>
      </c>
      <c r="AI14" s="303">
        <v>105.6</v>
      </c>
      <c r="AK14" s="3">
        <f>AI14+AJ14</f>
        <v>105.6</v>
      </c>
      <c r="AM14" s="303">
        <f>(AM7-5000)*10%*AM6/10^3</f>
        <v>295.64999999999998</v>
      </c>
      <c r="AO14" s="3">
        <f>AM14+AN14</f>
        <v>295.64999999999998</v>
      </c>
      <c r="AQ14" s="303">
        <f>(AQ7-5000)*10%*AQ6/10^3</f>
        <v>176.60000000000002</v>
      </c>
      <c r="AS14" s="3">
        <f>AQ14+AR14</f>
        <v>176.60000000000002</v>
      </c>
      <c r="AU14" s="303">
        <f>(AU7-5000)*10%*AU6/10^3</f>
        <v>206.9</v>
      </c>
      <c r="AW14" s="3">
        <f>AU14+AV14</f>
        <v>206.9</v>
      </c>
      <c r="AY14" s="303">
        <f>(AY7-5000)*10%*AY6/10^3</f>
        <v>128.5</v>
      </c>
      <c r="BA14" s="3">
        <f>AY14+AZ14</f>
        <v>128.5</v>
      </c>
      <c r="BC14" s="6">
        <f>SUMIFS($G14:$BA14,$G$4:$BA$4,BC$4)</f>
        <v>2084.5499999999997</v>
      </c>
      <c r="BE14" s="3">
        <f>BC14+BD14</f>
        <v>2084.5499999999997</v>
      </c>
      <c r="BH14" s="3"/>
      <c r="BI14" s="6"/>
    </row>
    <row r="15" spans="2:61" s="9" customFormat="1" x14ac:dyDescent="0.35">
      <c r="B15" s="103"/>
      <c r="D15" s="15" t="s">
        <v>64</v>
      </c>
      <c r="E15" s="92" t="s">
        <v>161</v>
      </c>
      <c r="G15" s="17">
        <f>G12-G14</f>
        <v>0</v>
      </c>
      <c r="H15" s="15"/>
      <c r="I15" s="17">
        <f>I12-I14</f>
        <v>0</v>
      </c>
      <c r="K15" s="17">
        <f>K12-K14</f>
        <v>-624.10613600000192</v>
      </c>
      <c r="L15" s="15"/>
      <c r="M15" s="17">
        <f>M12-M14</f>
        <v>810.58177019322852</v>
      </c>
      <c r="O15" s="17">
        <f>O12-O14</f>
        <v>-72.115896999999677</v>
      </c>
      <c r="P15" s="15"/>
      <c r="Q15" s="17">
        <f>Q12-Q14</f>
        <v>421.15387771460701</v>
      </c>
      <c r="S15" s="17">
        <f>S12-S14</f>
        <v>-325.93784407262365</v>
      </c>
      <c r="T15" s="15"/>
      <c r="U15" s="17">
        <f>U12-U14</f>
        <v>197.16732685817192</v>
      </c>
      <c r="W15" s="17">
        <f>W12-W14</f>
        <v>-598.94481593763544</v>
      </c>
      <c r="X15" s="15"/>
      <c r="Y15" s="17">
        <f>Y12-Y14</f>
        <v>-87.625128991264774</v>
      </c>
      <c r="AA15" s="17">
        <f>AA12-AA14</f>
        <v>-723.90662515566646</v>
      </c>
      <c r="AB15" s="15"/>
      <c r="AC15" s="17">
        <f>AC12-AC14</f>
        <v>97.091750247918981</v>
      </c>
      <c r="AE15" s="17">
        <f>AE12-AE14</f>
        <v>-158.66992900000002</v>
      </c>
      <c r="AF15" s="15"/>
      <c r="AG15" s="17">
        <f>AG12-AG14</f>
        <v>-19.778940254417705</v>
      </c>
      <c r="AI15" s="17">
        <f>AI12-AI14</f>
        <v>-450.3075669034364</v>
      </c>
      <c r="AJ15" s="15"/>
      <c r="AK15" s="17">
        <f>AK12-AK14</f>
        <v>185.52895525082923</v>
      </c>
      <c r="AM15" s="17">
        <f>AM12-AM14</f>
        <v>-1278.1634086481349</v>
      </c>
      <c r="AN15" s="15"/>
      <c r="AO15" s="17">
        <f>AO12-AO14</f>
        <v>99.271436613402898</v>
      </c>
      <c r="AQ15" s="17">
        <f>AQ12-AQ14</f>
        <v>-771.51120999999978</v>
      </c>
      <c r="AR15" s="15"/>
      <c r="AS15" s="17">
        <f>AS12-AS14</f>
        <v>73.634925671624728</v>
      </c>
      <c r="AU15" s="17">
        <f>AU12-AU14</f>
        <v>-635.72966399999984</v>
      </c>
      <c r="AV15" s="15"/>
      <c r="AW15" s="17">
        <f>AW12-AW14</f>
        <v>168.24298627522975</v>
      </c>
      <c r="AY15" s="17">
        <f>AY12-AY14</f>
        <v>-468.16587523669023</v>
      </c>
      <c r="AZ15" s="15"/>
      <c r="BA15" s="17">
        <f>BA12-BA14</f>
        <v>-248.50507026763398</v>
      </c>
      <c r="BC15" s="17">
        <f>BC12-BC14</f>
        <v>-6107.5589719541858</v>
      </c>
      <c r="BD15" s="15"/>
      <c r="BE15" s="17">
        <f>BE12-BE14</f>
        <v>1696.7638893116959</v>
      </c>
      <c r="BG15" s="11"/>
    </row>
    <row r="16" spans="2:61" s="20" customFormat="1" ht="12" x14ac:dyDescent="0.3">
      <c r="B16" s="96"/>
      <c r="D16" s="20" t="s">
        <v>490</v>
      </c>
      <c r="G16" s="89">
        <f>IFERROR(G15/G$10,0)</f>
        <v>0</v>
      </c>
      <c r="I16" s="89">
        <f>IFERROR(I15/I$10,0)</f>
        <v>0</v>
      </c>
      <c r="K16" s="89">
        <f>IFERROR(K15/K$10,0)</f>
        <v>-8.3598705512022226E-2</v>
      </c>
      <c r="M16" s="89">
        <f>IFERROR(M15/M$10,0)</f>
        <v>0.1085770236679698</v>
      </c>
      <c r="O16" s="89">
        <f>IFERROR(O15/O$10,0)</f>
        <v>-2.6176369147005326E-2</v>
      </c>
      <c r="Q16" s="89">
        <f>IFERROR(Q15/Q$10,0)</f>
        <v>0.15286892113052886</v>
      </c>
      <c r="S16" s="89">
        <f>IFERROR(S15/S$10,0)</f>
        <v>-0.14534574986516105</v>
      </c>
      <c r="U16" s="89">
        <f>IFERROR(U15/U$10,0)</f>
        <v>8.7922999713789043E-2</v>
      </c>
      <c r="W16" s="89">
        <f>IFERROR(W15/W$10,0)</f>
        <v>-0.44040059995414371</v>
      </c>
      <c r="Y16" s="89">
        <f>IFERROR(Y15/Y$10,0)</f>
        <v>-6.4430241905341745E-2</v>
      </c>
      <c r="AA16" s="89">
        <f>IFERROR(AA15/AA$10,0)</f>
        <v>-0.40668911525599238</v>
      </c>
      <c r="AC16" s="89">
        <f>IFERROR(AC15/AC$10,0)</f>
        <v>5.4545927105572461E-2</v>
      </c>
      <c r="AE16" s="89">
        <f>IFERROR(AE15/AE$10,0)</f>
        <v>-0.46667626176470595</v>
      </c>
      <c r="AG16" s="89">
        <f>IFERROR(AG15/AG$10,0)</f>
        <v>-5.8173353689463837E-2</v>
      </c>
      <c r="AI16" s="89">
        <f>IFERROR(AI15/AI$10,0)</f>
        <v>-0.30927717507104147</v>
      </c>
      <c r="AK16" s="89">
        <f>IFERROR(AK15/AK$10,0)</f>
        <v>0.12742373300194315</v>
      </c>
      <c r="AM16" s="89">
        <f>IFERROR(AM15/AM$10,0)</f>
        <v>-0.31509020304403673</v>
      </c>
      <c r="AO16" s="89">
        <f>IFERROR(AO15/AO$10,0)</f>
        <v>2.4472189476988267E-2</v>
      </c>
      <c r="AQ16" s="89">
        <f>IFERROR(AQ15/AQ$10,0)</f>
        <v>-0.3141332288273615</v>
      </c>
      <c r="AS16" s="89">
        <f>IFERROR(AS15/AS$10,0)</f>
        <v>2.9981647260433522E-2</v>
      </c>
      <c r="AU16" s="89">
        <f>IFERROR(AU15/AU$10,0)</f>
        <v>-0.22158580132450326</v>
      </c>
      <c r="AW16" s="89">
        <f>IFERROR(AW15/AW$10,0)</f>
        <v>5.8641682215137596E-2</v>
      </c>
      <c r="AY16" s="89">
        <f>IFERROR(AY15/AY$10,0)</f>
        <v>-0.26227780125304773</v>
      </c>
      <c r="BA16" s="89">
        <f>IFERROR(BA15/BA$10,0)</f>
        <v>-0.13921852676057928</v>
      </c>
      <c r="BC16" s="89">
        <f>IFERROR(BC15/BC$10,0)</f>
        <v>-0.21380892937124105</v>
      </c>
      <c r="BE16" s="89">
        <f>IFERROR(BE15/BE$10,0)</f>
        <v>5.9399061431156322E-2</v>
      </c>
    </row>
    <row r="17" spans="1:57" ht="15" thickBot="1" x14ac:dyDescent="0.4"/>
    <row r="18" spans="1:57" s="99" customFormat="1" x14ac:dyDescent="0.35">
      <c r="B18" s="104"/>
      <c r="E18" s="100"/>
    </row>
    <row r="19" spans="1:57" s="248" customFormat="1" ht="17" x14ac:dyDescent="0.4">
      <c r="D19" s="249" t="s">
        <v>394</v>
      </c>
      <c r="E19" s="250"/>
    </row>
    <row r="21" spans="1:57" s="101" customFormat="1" x14ac:dyDescent="0.35">
      <c r="A21" s="101" t="s">
        <v>550</v>
      </c>
      <c r="B21" s="103" t="s">
        <v>372</v>
      </c>
      <c r="C21" s="187" t="s">
        <v>17</v>
      </c>
      <c r="D21" s="187" t="s">
        <v>18</v>
      </c>
      <c r="E21" s="188" t="s">
        <v>161</v>
      </c>
      <c r="G21" s="189">
        <f>G22*G23/10^3</f>
        <v>0</v>
      </c>
      <c r="H21" s="190">
        <f>I21-G21</f>
        <v>0</v>
      </c>
      <c r="I21" s="189">
        <f>I22*I23/10^3</f>
        <v>0</v>
      </c>
      <c r="K21" s="189">
        <f>K22*K23/10^3</f>
        <v>0</v>
      </c>
      <c r="L21" s="190">
        <f>M21-K21</f>
        <v>0</v>
      </c>
      <c r="M21" s="189">
        <f>M22*M23/10^3</f>
        <v>0</v>
      </c>
      <c r="O21" s="189">
        <f>O22*O23/10^3</f>
        <v>0</v>
      </c>
      <c r="P21" s="190">
        <f>Q21-O21</f>
        <v>0</v>
      </c>
      <c r="Q21" s="189">
        <f>Q22*Q23/10^3</f>
        <v>0</v>
      </c>
      <c r="S21" s="189">
        <f>S22*S23/10^3</f>
        <v>0</v>
      </c>
      <c r="T21" s="190">
        <f>U21-S21</f>
        <v>0</v>
      </c>
      <c r="U21" s="189">
        <f>U22*U23/10^3</f>
        <v>0</v>
      </c>
      <c r="W21" s="189">
        <f>W22*W23/10^3</f>
        <v>0</v>
      </c>
      <c r="X21" s="190">
        <f>Y21-W21</f>
        <v>0</v>
      </c>
      <c r="Y21" s="189">
        <f>Y22*Y23/10^3</f>
        <v>0</v>
      </c>
      <c r="AA21" s="189">
        <f>AA22*AA23/10^3</f>
        <v>0</v>
      </c>
      <c r="AB21" s="190">
        <f>AC21-AA21</f>
        <v>0</v>
      </c>
      <c r="AC21" s="189">
        <f>AC22*AC23/10^3</f>
        <v>0</v>
      </c>
      <c r="AE21" s="189">
        <f>AE22*AE23/10^3</f>
        <v>0</v>
      </c>
      <c r="AF21" s="190">
        <f>AG21-AE21</f>
        <v>0</v>
      </c>
      <c r="AG21" s="189">
        <f>AG22*AG23/10^3</f>
        <v>0</v>
      </c>
      <c r="AI21" s="189">
        <f>AI22*AI23/10^3</f>
        <v>5.6711431648068657E-4</v>
      </c>
      <c r="AJ21" s="190">
        <f>AK21-AI21</f>
        <v>-3.3071431648068657E-4</v>
      </c>
      <c r="AK21" s="189">
        <f>AK22*AK23/10^3</f>
        <v>2.3639999999999997E-4</v>
      </c>
      <c r="AM21" s="189">
        <f>AM22*AM23/10^3</f>
        <v>4.9984745762231752E-3</v>
      </c>
      <c r="AN21" s="190">
        <f>AO21-AM21</f>
        <v>-2.9148745762231755E-3</v>
      </c>
      <c r="AO21" s="189">
        <f>AO22*AO23/10^3</f>
        <v>2.0835999999999997E-3</v>
      </c>
      <c r="AQ21" s="189">
        <f>AQ22*AQ23/10^3</f>
        <v>0</v>
      </c>
      <c r="AR21" s="190">
        <f>AS21-AQ21</f>
        <v>0</v>
      </c>
      <c r="AS21" s="189">
        <f>AS22*AS23/10^3</f>
        <v>0</v>
      </c>
      <c r="AU21" s="189">
        <f>AU22*AU23/10^3</f>
        <v>0</v>
      </c>
      <c r="AV21" s="190">
        <f>AW21-AU21</f>
        <v>0</v>
      </c>
      <c r="AW21" s="189">
        <f>AW22*AW23/10^3</f>
        <v>0</v>
      </c>
      <c r="AY21" s="189">
        <f>AY22*AY23/10^3</f>
        <v>0</v>
      </c>
      <c r="AZ21" s="190">
        <f>BA21-AY21</f>
        <v>0</v>
      </c>
      <c r="BA21" s="189">
        <f>BA22*BA23/10^3</f>
        <v>0</v>
      </c>
      <c r="BC21" s="189">
        <f>BC22*BC23/10^3</f>
        <v>5.565588892703862E-3</v>
      </c>
      <c r="BD21" s="190">
        <f>BE21-BC21</f>
        <v>-3.2455888927038624E-3</v>
      </c>
      <c r="BE21" s="189">
        <f>SUMIFS($G21:$BA21,$G$4:$BA$4,BE$4)</f>
        <v>2.3199999999999996E-3</v>
      </c>
    </row>
    <row r="22" spans="1:57" outlineLevel="1" x14ac:dyDescent="0.35">
      <c r="B22" s="102" t="str">
        <f t="shared" ref="B22" si="25">C21</f>
        <v>160012269</v>
      </c>
      <c r="D22" t="s">
        <v>162</v>
      </c>
      <c r="E22" s="90" t="s">
        <v>159</v>
      </c>
      <c r="G22" s="3" cm="1">
        <f t="array" ref="G22">-SUMPRODUCT('Bán hàng-Break-down BOM'!$D$6:$AA$15*('Bán hàng-Break-down BOM'!$B$6:$B$15=$B22)*('Bán hàng-Break-down BOM'!$D$3:$AA$3=G$1))/10^3</f>
        <v>0</v>
      </c>
      <c r="I22" s="3">
        <f>G22+H22</f>
        <v>0</v>
      </c>
      <c r="K22" s="3" cm="1">
        <f t="array" ref="K22">-SUMPRODUCT('Bán hàng-Break-down BOM'!$D$6:$AA$15*('Bán hàng-Break-down BOM'!$B$6:$B$15=$B22)*('Bán hàng-Break-down BOM'!$D$3:$AA$3=K$1))/10^3</f>
        <v>0</v>
      </c>
      <c r="M22" s="3">
        <f>K22+L22</f>
        <v>0</v>
      </c>
      <c r="O22" s="3" cm="1">
        <f t="array" ref="O22">-SUMPRODUCT('Bán hàng-Break-down BOM'!$D$6:$AA$15*('Bán hàng-Break-down BOM'!$B$6:$B$15=$B22)*('Bán hàng-Break-down BOM'!$D$3:$AA$3=O$1))/10^3</f>
        <v>0</v>
      </c>
      <c r="Q22" s="3">
        <f>O22+P22</f>
        <v>0</v>
      </c>
      <c r="S22" s="3" cm="1">
        <f t="array" ref="S22">-SUMPRODUCT('Bán hàng-Break-down BOM'!$D$6:$AA$15*('Bán hàng-Break-down BOM'!$B$6:$B$15=$B22)*('Bán hàng-Break-down BOM'!$D$3:$AA$3=S$1))/10^3</f>
        <v>0</v>
      </c>
      <c r="U22" s="3">
        <f>S22+T22</f>
        <v>0</v>
      </c>
      <c r="W22" s="3" cm="1">
        <f t="array" ref="W22">-SUMPRODUCT('Bán hàng-Break-down BOM'!$D$6:$AA$15*('Bán hàng-Break-down BOM'!$B$6:$B$15=$B22)*('Bán hàng-Break-down BOM'!$D$3:$AA$3=W$1))/10^3</f>
        <v>0</v>
      </c>
      <c r="Y22" s="3">
        <f>W22+X22</f>
        <v>0</v>
      </c>
      <c r="AA22" s="3" cm="1">
        <f t="array" ref="AA22">-SUMPRODUCT('Bán hàng-Break-down BOM'!$D$6:$AA$15*('Bán hàng-Break-down BOM'!$B$6:$B$15=$B22)*('Bán hàng-Break-down BOM'!$D$3:$AA$3=AA$1))/10^3</f>
        <v>0</v>
      </c>
      <c r="AC22" s="3">
        <f>AA22+AB22</f>
        <v>0</v>
      </c>
      <c r="AE22" s="3" cm="1">
        <f t="array" ref="AE22">-SUMPRODUCT('Bán hàng-Break-down BOM'!$D$6:$AA$15*('Bán hàng-Break-down BOM'!$B$6:$B$15=$B22)*('Bán hàng-Break-down BOM'!$D$3:$AA$3=AE$1))/10^3</f>
        <v>0</v>
      </c>
      <c r="AG22" s="3">
        <f>AE22+AF22</f>
        <v>0</v>
      </c>
      <c r="AI22" s="3" cm="1">
        <f t="array" ref="AI22">-SUMPRODUCT('Bán hàng-Break-down BOM'!$D$6:$AA$15*('Bán hàng-Break-down BOM'!$B$6:$B$15=$B22)*('Bán hàng-Break-down BOM'!$D$3:$AA$3=AI$1))/10^3</f>
        <v>2.9549999999999997E-5</v>
      </c>
      <c r="AK22" s="3">
        <f>AI22+AJ22</f>
        <v>2.9549999999999997E-5</v>
      </c>
      <c r="AM22" s="3" cm="1">
        <f t="array" ref="AM22">-SUMPRODUCT('Bán hàng-Break-down BOM'!$D$6:$AA$15*('Bán hàng-Break-down BOM'!$B$6:$B$15=$B22)*('Bán hàng-Break-down BOM'!$D$3:$AA$3=AM$1))/10^3</f>
        <v>2.6044999999999996E-4</v>
      </c>
      <c r="AO22" s="3">
        <f>AM22+AN22</f>
        <v>2.6044999999999996E-4</v>
      </c>
      <c r="AQ22" s="3" cm="1">
        <f t="array" ref="AQ22">-SUMPRODUCT('Bán hàng-Break-down BOM'!$D$6:$AA$15*('Bán hàng-Break-down BOM'!$B$6:$B$15=$B22)*('Bán hàng-Break-down BOM'!$D$3:$AA$3=AQ$1))/10^3</f>
        <v>0</v>
      </c>
      <c r="AS22" s="3">
        <f>AQ22+AR22</f>
        <v>0</v>
      </c>
      <c r="AU22" s="3" cm="1">
        <f t="array" ref="AU22">-SUMPRODUCT('Bán hàng-Break-down BOM'!$D$6:$AA$15*('Bán hàng-Break-down BOM'!$B$6:$B$15=$B22)*('Bán hàng-Break-down BOM'!$D$3:$AA$3=AU$1))/10^3</f>
        <v>0</v>
      </c>
      <c r="AW22" s="3">
        <f>AU22+AV22</f>
        <v>0</v>
      </c>
      <c r="AY22" s="3" cm="1">
        <f t="array" ref="AY22">-SUMPRODUCT('Bán hàng-Break-down BOM'!$D$6:$AA$15*('Bán hàng-Break-down BOM'!$B$6:$B$15=$B22)*('Bán hàng-Break-down BOM'!$D$3:$AA$3=AY$1))/10^3</f>
        <v>0</v>
      </c>
      <c r="BA22" s="3">
        <f>AY22+AZ22</f>
        <v>0</v>
      </c>
      <c r="BC22" s="3">
        <f>SUMIFS($G22:$BA22,$G$4:$BA$4,BC$4)</f>
        <v>2.8999999999999995E-4</v>
      </c>
      <c r="BE22" s="3">
        <f>BC22+BD22</f>
        <v>2.8999999999999995E-4</v>
      </c>
    </row>
    <row r="23" spans="1:57" s="97" customFormat="1" ht="12" outlineLevel="1" x14ac:dyDescent="0.3">
      <c r="B23" s="97" t="str">
        <f>B22</f>
        <v>160012269</v>
      </c>
      <c r="D23" s="97" t="s">
        <v>163</v>
      </c>
      <c r="E23" s="96" t="s">
        <v>160</v>
      </c>
      <c r="G23" s="98" cm="1">
        <f t="array" ref="G23">IFERROR(SUMPRODUCT('Bán hàng-Break-down BOM'!$D$30:$AA$39*('Bán hàng-Break-down BOM'!$B$30:$B$39=$B23)*('Bán hàng-Break-down BOM'!$D$3:$AA$3=G$1))/G22/10^3,0)</f>
        <v>0</v>
      </c>
      <c r="H23" s="98">
        <f>INDEX(MD!$G$3:$G$8,MATCH('Điều chỉnh'!$B23,MD!$A$3:$A$8,0))-G23</f>
        <v>8000</v>
      </c>
      <c r="I23" s="98">
        <f>G23+H23</f>
        <v>8000</v>
      </c>
      <c r="K23" s="98" cm="1">
        <f t="array" ref="K23">IFERROR(SUMPRODUCT('Bán hàng-Break-down BOM'!$D$30:$AA$39*('Bán hàng-Break-down BOM'!$B$30:$B$39=$B23)*('Bán hàng-Break-down BOM'!$D$3:$AA$3=K$1))/K22/10^3,0)</f>
        <v>0</v>
      </c>
      <c r="L23" s="263">
        <f>INDEX(MD!$G$3:$G$8,MATCH('Điều chỉnh'!$B23,MD!$A$3:$A$8,0))-K23</f>
        <v>8000</v>
      </c>
      <c r="M23" s="263">
        <f>K23+L23</f>
        <v>8000</v>
      </c>
      <c r="O23" s="98" cm="1">
        <f t="array" ref="O23">IFERROR(SUMPRODUCT('Bán hàng-Break-down BOM'!$D$30:$AA$39*('Bán hàng-Break-down BOM'!$B$30:$B$39=$B23)*('Bán hàng-Break-down BOM'!$D$3:$AA$3=O$1))/O22/10^3,0)</f>
        <v>0</v>
      </c>
      <c r="P23" s="98">
        <f>INDEX(MD!$G$3:$G$8,MATCH('Điều chỉnh'!$B23,MD!$A$3:$A$8,0))-O23</f>
        <v>8000</v>
      </c>
      <c r="Q23" s="98">
        <f>O23+P23</f>
        <v>8000</v>
      </c>
      <c r="S23" s="98" cm="1">
        <f t="array" ref="S23">IFERROR(SUMPRODUCT('Bán hàng-Break-down BOM'!$D$30:$AA$39*('Bán hàng-Break-down BOM'!$B$30:$B$39=$B23)*('Bán hàng-Break-down BOM'!$D$3:$AA$3=S$1))/S22/10^3,0)</f>
        <v>0</v>
      </c>
      <c r="T23" s="98">
        <f>INDEX(MD!$G$3:$G$8,MATCH('Điều chỉnh'!$B23,MD!$A$3:$A$8,0))-S23</f>
        <v>8000</v>
      </c>
      <c r="U23" s="98">
        <f>S23+T23</f>
        <v>8000</v>
      </c>
      <c r="W23" s="98" cm="1">
        <f t="array" ref="W23">IFERROR(SUMPRODUCT('Bán hàng-Break-down BOM'!$D$30:$AA$39*('Bán hàng-Break-down BOM'!$B$30:$B$39=$B23)*('Bán hàng-Break-down BOM'!$D$3:$AA$3=W$1))/W22/10^3,0)</f>
        <v>0</v>
      </c>
      <c r="X23" s="98">
        <f>INDEX(MD!$G$3:$G$8,MATCH('Điều chỉnh'!$B23,MD!$A$3:$A$8,0))-W23</f>
        <v>8000</v>
      </c>
      <c r="Y23" s="98">
        <f>W23+X23</f>
        <v>8000</v>
      </c>
      <c r="AA23" s="98" cm="1">
        <f t="array" ref="AA23">IFERROR(SUMPRODUCT('Bán hàng-Break-down BOM'!$D$30:$AA$39*('Bán hàng-Break-down BOM'!$B$30:$B$39=$B23)*('Bán hàng-Break-down BOM'!$D$3:$AA$3=AA$1))/AA22/10^3,0)</f>
        <v>0</v>
      </c>
      <c r="AB23" s="98">
        <f>INDEX(MD!$G$3:$G$8,MATCH('Điều chỉnh'!$B23,MD!$A$3:$A$8,0))-AA23</f>
        <v>8000</v>
      </c>
      <c r="AC23" s="98">
        <f>AA23+AB23</f>
        <v>8000</v>
      </c>
      <c r="AE23" s="98" cm="1">
        <f t="array" ref="AE23">IFERROR(SUMPRODUCT('Bán hàng-Break-down BOM'!$D$30:$AA$39*('Bán hàng-Break-down BOM'!$B$30:$B$39=$B23)*('Bán hàng-Break-down BOM'!$D$3:$AA$3=AE$1))/AE22/10^3,0)</f>
        <v>0</v>
      </c>
      <c r="AF23" s="98">
        <f>INDEX(MD!$G$3:$G$8,MATCH('Điều chỉnh'!$B23,MD!$A$3:$A$8,0))-AE23</f>
        <v>8000</v>
      </c>
      <c r="AG23" s="98">
        <f>AE23+AF23</f>
        <v>8000</v>
      </c>
      <c r="AI23" s="98" cm="1">
        <f t="array" ref="AI23">IFERROR(SUMPRODUCT('Bán hàng-Break-down BOM'!$D$30:$AA$39*('Bán hàng-Break-down BOM'!$B$30:$B$39=$B23)*('Bán hàng-Break-down BOM'!$D$3:$AA$3=AI$1))/AI22/10^3,0)</f>
        <v>19191.68583690987</v>
      </c>
      <c r="AJ23" s="98">
        <f>INDEX(MD!$G$3:$G$8,MATCH('Điều chỉnh'!$B23,MD!$A$3:$A$8,0))-AI23</f>
        <v>-11191.68583690987</v>
      </c>
      <c r="AK23" s="98">
        <f>AI23+AJ23</f>
        <v>8000</v>
      </c>
      <c r="AM23" s="98" cm="1">
        <f t="array" ref="AM23">IFERROR(SUMPRODUCT('Bán hàng-Break-down BOM'!$D$30:$AA$39*('Bán hàng-Break-down BOM'!$B$30:$B$39=$B23)*('Bán hàng-Break-down BOM'!$D$3:$AA$3=AM$1))/AM22/10^3,0)</f>
        <v>19191.68583690987</v>
      </c>
      <c r="AN23" s="98">
        <f>INDEX(MD!$G$3:$G$8,MATCH('Điều chỉnh'!$B23,MD!$A$3:$A$8,0))-AM23</f>
        <v>-11191.68583690987</v>
      </c>
      <c r="AO23" s="98">
        <f>AM23+AN23</f>
        <v>8000</v>
      </c>
      <c r="AQ23" s="98" cm="1">
        <f t="array" ref="AQ23">IFERROR(SUMPRODUCT('Bán hàng-Break-down BOM'!$D$30:$AA$39*('Bán hàng-Break-down BOM'!$B$30:$B$39=$B23)*('Bán hàng-Break-down BOM'!$D$3:$AA$3=AQ$1))/AQ22/10^3,0)</f>
        <v>0</v>
      </c>
      <c r="AR23" s="98">
        <f>INDEX(MD!$G$3:$G$8,MATCH('Điều chỉnh'!$B23,MD!$A$3:$A$8,0))-AQ23</f>
        <v>8000</v>
      </c>
      <c r="AS23" s="98">
        <f>AQ23+AR23</f>
        <v>8000</v>
      </c>
      <c r="AU23" s="98">
        <f>INDEX(MD!$F$3:$F$8,MATCH('Điều chỉnh'!$B23,MD!$A$3:$A$8,0))</f>
        <v>19192</v>
      </c>
      <c r="AV23" s="98">
        <f>INDEX(MD!$G$3:$G$8,MATCH('Điều chỉnh'!$B23,MD!$A$3:$A$8,0))-AU23</f>
        <v>-11192</v>
      </c>
      <c r="AW23" s="98">
        <f>AU23+AV23</f>
        <v>8000</v>
      </c>
      <c r="AY23" s="98">
        <f>INDEX(MD!$F$3:$F$8,MATCH('Điều chỉnh'!$B23,MD!$A$3:$A$8,0))</f>
        <v>19192</v>
      </c>
      <c r="AZ23" s="98">
        <f>INDEX(MD!$G$3:$G$8,MATCH('Điều chỉnh'!$B23,MD!$A$3:$A$8,0))-AY23</f>
        <v>-11192</v>
      </c>
      <c r="BA23" s="98">
        <f>AY23+AZ23</f>
        <v>8000</v>
      </c>
      <c r="BC23" s="98">
        <f>IFERROR(SUMIFS($G21:$BA21,$G$4:$BA$4,BC$4)/BC22,0)*10^3</f>
        <v>19191.685836909874</v>
      </c>
      <c r="BD23" s="98">
        <f>IFERROR(SUMIFS($G21:$BA21,$G$4:$BA$4,BE$4)/BE22*10^3-BC23,0)</f>
        <v>-11191.685836909874</v>
      </c>
      <c r="BE23" s="98">
        <f>BC23+BD23</f>
        <v>8000</v>
      </c>
    </row>
    <row r="24" spans="1:57" s="101" customFormat="1" x14ac:dyDescent="0.35">
      <c r="A24" s="101" t="s">
        <v>556</v>
      </c>
      <c r="B24" s="103" t="s">
        <v>372</v>
      </c>
      <c r="C24" s="187" t="s">
        <v>29</v>
      </c>
      <c r="D24" s="187" t="s">
        <v>30</v>
      </c>
      <c r="E24" s="188" t="s">
        <v>161</v>
      </c>
      <c r="F24" s="187"/>
      <c r="G24" s="189">
        <f>G25*G26/10^3</f>
        <v>0</v>
      </c>
      <c r="H24" s="190">
        <f>I24-G24</f>
        <v>0</v>
      </c>
      <c r="I24" s="189">
        <f>I25*I26/10^3</f>
        <v>0</v>
      </c>
      <c r="K24" s="189">
        <f>K25*K26/10^3</f>
        <v>2340.1141199909157</v>
      </c>
      <c r="L24" s="190">
        <f>M24-K24</f>
        <v>-1434.6879061932304</v>
      </c>
      <c r="M24" s="189">
        <f>M25*M26/10^3</f>
        <v>905.42621379768525</v>
      </c>
      <c r="O24" s="189">
        <f>O25*O26/10^3</f>
        <v>783.8268888415837</v>
      </c>
      <c r="P24" s="190">
        <f>Q24-O24</f>
        <v>-493.26977471460657</v>
      </c>
      <c r="Q24" s="189">
        <f>Q25*Q26/10^3</f>
        <v>290.55711412697713</v>
      </c>
      <c r="S24" s="189">
        <f>S25*S26/10^3</f>
        <v>832.23497658520751</v>
      </c>
      <c r="T24" s="190">
        <f>U24-S24</f>
        <v>-523.10517093079579</v>
      </c>
      <c r="U24" s="189">
        <f>U25*U26/10^3</f>
        <v>309.12980565441171</v>
      </c>
      <c r="W24" s="189">
        <f>W25*W26/10^3</f>
        <v>819.4345166956565</v>
      </c>
      <c r="X24" s="190">
        <f>Y24-W24</f>
        <v>-511.31968694637072</v>
      </c>
      <c r="Y24" s="189">
        <f>Y25*Y26/10^3</f>
        <v>308.11482974928578</v>
      </c>
      <c r="AA24" s="189">
        <f>AA25*AA26/10^3</f>
        <v>1326.2076352169468</v>
      </c>
      <c r="AB24" s="190">
        <f>AC24-AA24</f>
        <v>-820.99837540358544</v>
      </c>
      <c r="AC24" s="189">
        <f>AC25*AC26/10^3</f>
        <v>505.20925981336131</v>
      </c>
      <c r="AE24" s="189">
        <f>AE25*AE26/10^3</f>
        <v>225.31346227499401</v>
      </c>
      <c r="AF24" s="190">
        <f>AG24-AE24</f>
        <v>-138.89098874558226</v>
      </c>
      <c r="AG24" s="189">
        <f>AG25*AG26/10^3</f>
        <v>86.422473529411761</v>
      </c>
      <c r="AI24" s="189">
        <f>AI25*AI26/10^3</f>
        <v>1027.1490218490969</v>
      </c>
      <c r="AJ24" s="190">
        <f>AK24-AI24</f>
        <v>-632.36775061167305</v>
      </c>
      <c r="AK24" s="189">
        <f>AK25*AK26/10^3</f>
        <v>394.78127123742394</v>
      </c>
      <c r="AM24" s="189">
        <f>AM25*AM26/10^3</f>
        <v>2198.4292601372549</v>
      </c>
      <c r="AN24" s="190">
        <f>AO24-AM24</f>
        <v>-1346.8615272152379</v>
      </c>
      <c r="AO24" s="189">
        <f>AO25*AO26/10^3</f>
        <v>851.56773292201717</v>
      </c>
      <c r="AQ24" s="189">
        <f>AQ25*AQ26/10^3</f>
        <v>1380.0698782435652</v>
      </c>
      <c r="AR24" s="190">
        <f>AS24-AQ24</f>
        <v>-845.14613567162485</v>
      </c>
      <c r="AS24" s="189">
        <f>AS25*AS26/10^3</f>
        <v>534.92374257194035</v>
      </c>
      <c r="AU24" s="189">
        <f>AU25*AU26/10^3</f>
        <v>1334.4722906422019</v>
      </c>
      <c r="AV24" s="190">
        <f>AW24-AU24</f>
        <v>-803.9726502752294</v>
      </c>
      <c r="AW24" s="189">
        <f>AW25*AW26/10^3</f>
        <v>530.49964036697247</v>
      </c>
      <c r="AY24" s="189">
        <f>AY25*AY26/10^3</f>
        <v>364.60351912595075</v>
      </c>
      <c r="AZ24" s="190">
        <f>BA24-AY24</f>
        <v>-219.66080496905585</v>
      </c>
      <c r="BA24" s="189">
        <f>BA25*BA26/10^3</f>
        <v>144.94271415689491</v>
      </c>
      <c r="BC24" s="189">
        <f>BC25*BC26/10^3</f>
        <v>12631.855569603373</v>
      </c>
      <c r="BD24" s="190">
        <f>BE24-BC24</f>
        <v>-7770.2807716769903</v>
      </c>
      <c r="BE24" s="189">
        <f>SUMIFS($G24:$BA24,$G$4:$BA$4,BE$4)</f>
        <v>4861.5747979263824</v>
      </c>
    </row>
    <row r="25" spans="1:57" outlineLevel="1" x14ac:dyDescent="0.35">
      <c r="B25" s="102" t="str">
        <f t="shared" ref="B25" si="26">C24</f>
        <v>160012429</v>
      </c>
      <c r="D25" t="s">
        <v>162</v>
      </c>
      <c r="E25" s="90" t="s">
        <v>159</v>
      </c>
      <c r="G25" s="3" cm="1">
        <f t="array" ref="G25">-SUMPRODUCT('Bán hàng-Break-down BOM'!$D$6:$AA$15*('Bán hàng-Break-down BOM'!$B$6:$B$15=$B25)*('Bán hàng-Break-down BOM'!$D$3:$AA$3=G$1))/10^3</f>
        <v>0</v>
      </c>
      <c r="I25" s="3">
        <f>G25+H25</f>
        <v>0</v>
      </c>
      <c r="K25" s="3" cm="1">
        <f t="array" ref="K25">-SUMPRODUCT('Bán hàng-Break-down BOM'!$D$6:$AA$15*('Bán hàng-Break-down BOM'!$B$6:$B$15=$B25)*('Bán hàng-Break-down BOM'!$D$3:$AA$3=K$1))/10^3</f>
        <v>101.33477490740741</v>
      </c>
      <c r="M25" s="3">
        <f>K25+L25</f>
        <v>101.33477490740741</v>
      </c>
      <c r="O25" s="3" cm="1">
        <f t="array" ref="O25">-SUMPRODUCT('Bán hàng-Break-down BOM'!$D$6:$AA$15*('Bán hàng-Break-down BOM'!$B$6:$B$15=$B25)*('Bán hàng-Break-down BOM'!$D$3:$AA$3=O$1))/10^3</f>
        <v>32.518983114379083</v>
      </c>
      <c r="Q25" s="3">
        <f>O25+P25</f>
        <v>32.518983114379083</v>
      </c>
      <c r="S25" s="3" cm="1">
        <f t="array" ref="S25">-SUMPRODUCT('Bán hàng-Break-down BOM'!$D$6:$AA$15*('Bán hàng-Break-down BOM'!$B$6:$B$15=$B25)*('Bán hàng-Break-down BOM'!$D$3:$AA$3=S$1))/10^3</f>
        <v>34.597627941176469</v>
      </c>
      <c r="U25" s="3">
        <f>S25+T25</f>
        <v>34.597627941176469</v>
      </c>
      <c r="W25" s="3" cm="1">
        <f t="array" ref="W25">-SUMPRODUCT('Bán hàng-Break-down BOM'!$D$6:$AA$15*('Bán hàng-Break-down BOM'!$B$6:$B$15=$B25)*('Bán hàng-Break-down BOM'!$D$3:$AA$3=W$1))/10^3</f>
        <v>34.484032428571432</v>
      </c>
      <c r="Y25" s="3">
        <f>W25+X25</f>
        <v>34.484032428571432</v>
      </c>
      <c r="AA25" s="3" cm="1">
        <f t="array" ref="AA25">-SUMPRODUCT('Bán hàng-Break-down BOM'!$D$6:$AA$15*('Bán hàng-Break-down BOM'!$B$6:$B$15=$B25)*('Bán hàng-Break-down BOM'!$D$3:$AA$3=AA$1))/10^3</f>
        <v>56.54272633613445</v>
      </c>
      <c r="AC25" s="3">
        <f>AA25+AB25</f>
        <v>56.54272633613445</v>
      </c>
      <c r="AE25" s="3" cm="1">
        <f t="array" ref="AE25">-SUMPRODUCT('Bán hàng-Break-down BOM'!$D$6:$AA$15*('Bán hàng-Break-down BOM'!$B$6:$B$15=$B25)*('Bán hàng-Break-down BOM'!$D$3:$AA$3=AE$1))/10^3</f>
        <v>9.6723529411764702</v>
      </c>
      <c r="AG25" s="3">
        <f>AE25+AF25</f>
        <v>9.6723529411764702</v>
      </c>
      <c r="AI25" s="3" cm="1">
        <f t="array" ref="AI25">-SUMPRODUCT('Bán hàng-Break-down BOM'!$D$6:$AA$15*('Bán hàng-Break-down BOM'!$B$6:$B$15=$B25)*('Bán hàng-Break-down BOM'!$D$3:$AA$3=AI$1))/10^3</f>
        <v>44.183690121703854</v>
      </c>
      <c r="AK25" s="3">
        <f>AI25+AJ25</f>
        <v>44.183690121703854</v>
      </c>
      <c r="AM25" s="3" cm="1">
        <f t="array" ref="AM25">-SUMPRODUCT('Bán hàng-Break-down BOM'!$D$6:$AA$15*('Bán hàng-Break-down BOM'!$B$6:$B$15=$B25)*('Bán hàng-Break-down BOM'!$D$3:$AA$3=AM$1))/10^3</f>
        <v>95.306965072413789</v>
      </c>
      <c r="AO25" s="3">
        <f>AM25+AN25</f>
        <v>95.306965072413789</v>
      </c>
      <c r="AQ25" s="3" cm="1">
        <f t="array" ref="AQ25">-SUMPRODUCT('Bán hàng-Break-down BOM'!$D$6:$AA$15*('Bán hàng-Break-down BOM'!$B$6:$B$15=$B25)*('Bán hàng-Break-down BOM'!$D$3:$AA$3=AQ$1))/10^3</f>
        <v>59.868353953211006</v>
      </c>
      <c r="AS25" s="3">
        <f>AQ25+AR25</f>
        <v>59.868353953211006</v>
      </c>
      <c r="AU25" s="3" cm="1">
        <f t="array" ref="AU25">-SUMPRODUCT('Bán hàng-Break-down BOM'!$D$6:$AA$15*('Bán hàng-Break-down BOM'!$B$6:$B$15=$B25)*('Bán hàng-Break-down BOM'!$D$3:$AA$3=AU$1))/10^3</f>
        <v>59.373211009174312</v>
      </c>
      <c r="AW25" s="3">
        <f>AU25+AV25</f>
        <v>59.373211009174312</v>
      </c>
      <c r="AY25" s="3" cm="1">
        <f t="array" ref="AY25">-SUMPRODUCT('Bán hàng-Break-down BOM'!$D$6:$AA$15*('Bán hàng-Break-down BOM'!$B$6:$B$15=$B25)*('Bán hàng-Break-down BOM'!$D$3:$AA$3=AY$1))/10^3</f>
        <v>16.221904214537762</v>
      </c>
      <c r="BA25" s="3">
        <f>AY25+AZ25</f>
        <v>16.221904214537762</v>
      </c>
      <c r="BC25" s="3">
        <f>SUMIFS($G25:$BA25,$G$4:$BA$4,BC$4)</f>
        <v>544.10462203988595</v>
      </c>
      <c r="BE25" s="3">
        <f>BC25+BD25</f>
        <v>544.10462203988595</v>
      </c>
    </row>
    <row r="26" spans="1:57" s="97" customFormat="1" ht="12" outlineLevel="1" x14ac:dyDescent="0.3">
      <c r="B26" s="97" t="str">
        <f t="shared" ref="B26" si="27">B25</f>
        <v>160012429</v>
      </c>
      <c r="D26" s="97" t="s">
        <v>163</v>
      </c>
      <c r="E26" s="96" t="s">
        <v>160</v>
      </c>
      <c r="G26" s="98" cm="1">
        <f t="array" ref="G26">IFERROR(SUMPRODUCT('Bán hàng-Break-down BOM'!$D$30:$AA$39*('Bán hàng-Break-down BOM'!$B$30:$B$39=$B26)*('Bán hàng-Break-down BOM'!$D$3:$AA$3=G$1))/G25/10^3,0)</f>
        <v>0</v>
      </c>
      <c r="H26" s="98">
        <f>INDEX(MD!$G$3:$G$8,MATCH('Điều chỉnh'!$B26,MD!$A$3:$A$8,0))-G26</f>
        <v>8935</v>
      </c>
      <c r="I26" s="98">
        <f>G26+H26</f>
        <v>8935</v>
      </c>
      <c r="K26" s="98" cm="1">
        <f t="array" ref="K26">IFERROR(SUMPRODUCT('Bán hàng-Break-down BOM'!$D$30:$AA$39*('Bán hàng-Break-down BOM'!$B$30:$B$39=$B26)*('Bán hàng-Break-down BOM'!$D$3:$AA$3=K$1))/K25/10^3,0)</f>
        <v>23092.902926257517</v>
      </c>
      <c r="L26" s="98">
        <f>INDEX(MD!$G$3:$G$8,MATCH('Điều chỉnh'!$B26,MD!$A$3:$A$8,0))-K26</f>
        <v>-14157.902926257517</v>
      </c>
      <c r="M26" s="98">
        <f>K26+L26</f>
        <v>8935</v>
      </c>
      <c r="O26" s="98" cm="1">
        <f t="array" ref="O26">IFERROR(SUMPRODUCT('Bán hàng-Break-down BOM'!$D$30:$AA$39*('Bán hàng-Break-down BOM'!$B$30:$B$39=$B26)*('Bán hàng-Break-down BOM'!$D$3:$AA$3=O$1))/O25/10^3,0)</f>
        <v>24103.671571913179</v>
      </c>
      <c r="P26" s="98">
        <f>INDEX(MD!$G$3:$G$8,MATCH('Điều chỉnh'!$B26,MD!$A$3:$A$8,0))-O26</f>
        <v>-15168.671571913179</v>
      </c>
      <c r="Q26" s="98">
        <f>O26+P26</f>
        <v>8935</v>
      </c>
      <c r="S26" s="98" cm="1">
        <f t="array" ref="S26">IFERROR(SUMPRODUCT('Bán hàng-Break-down BOM'!$D$30:$AA$39*('Bán hàng-Break-down BOM'!$B$30:$B$39=$B26)*('Bán hàng-Break-down BOM'!$D$3:$AA$3=S$1))/S25/10^3,0)</f>
        <v>24054.683112963376</v>
      </c>
      <c r="T26" s="98">
        <f>INDEX(MD!$G$3:$G$8,MATCH('Điều chỉnh'!$B26,MD!$A$3:$A$8,0))-S26</f>
        <v>-15119.683112963376</v>
      </c>
      <c r="U26" s="98">
        <f>S26+T26</f>
        <v>8935</v>
      </c>
      <c r="W26" s="98" cm="1">
        <f t="array" ref="W26">IFERROR(SUMPRODUCT('Bán hàng-Break-down BOM'!$D$30:$AA$39*('Bán hàng-Break-down BOM'!$B$30:$B$39=$B26)*('Bán hàng-Break-down BOM'!$D$3:$AA$3=W$1))/W25/10^3,0)</f>
        <v>23762.72317899578</v>
      </c>
      <c r="X26" s="98">
        <f>INDEX(MD!$G$3:$G$8,MATCH('Điều chỉnh'!$B26,MD!$A$3:$A$8,0))-W26</f>
        <v>-14827.72317899578</v>
      </c>
      <c r="Y26" s="98">
        <f>W26+X26</f>
        <v>8935</v>
      </c>
      <c r="AA26" s="98" cm="1">
        <f t="array" ref="AA26">IFERROR(SUMPRODUCT('Bán hàng-Break-down BOM'!$D$30:$AA$39*('Bán hàng-Break-down BOM'!$B$30:$B$39=$B26)*('Bán hàng-Break-down BOM'!$D$3:$AA$3=AA$1))/AA25/10^3,0)</f>
        <v>23454.964434026846</v>
      </c>
      <c r="AB26" s="98">
        <f>INDEX(MD!$G$3:$G$8,MATCH('Điều chỉnh'!$B26,MD!$A$3:$A$8,0))-AA26</f>
        <v>-14519.964434026846</v>
      </c>
      <c r="AC26" s="98">
        <f>AA26+AB26</f>
        <v>8935</v>
      </c>
      <c r="AE26" s="98" cm="1">
        <f t="array" ref="AE26">IFERROR(SUMPRODUCT('Bán hàng-Break-down BOM'!$D$30:$AA$39*('Bán hàng-Break-down BOM'!$B$30:$B$39=$B26)*('Bán hàng-Break-down BOM'!$D$3:$AA$3=AE$1))/AE25/10^3,0)</f>
        <v>23294.586502918555</v>
      </c>
      <c r="AF26" s="98">
        <f>INDEX(MD!$G$3:$G$8,MATCH('Điều chỉnh'!$B26,MD!$A$3:$A$8,0))-AE26</f>
        <v>-14359.586502918555</v>
      </c>
      <c r="AG26" s="98">
        <f>AE26+AF26</f>
        <v>8935</v>
      </c>
      <c r="AI26" s="98" cm="1">
        <f t="array" ref="AI26">IFERROR(SUMPRODUCT('Bán hàng-Break-down BOM'!$D$30:$AA$39*('Bán hàng-Break-down BOM'!$B$30:$B$39=$B26)*('Bán hàng-Break-down BOM'!$D$3:$AA$3=AI$1))/AI25/10^3,0)</f>
        <v>23247.243926883828</v>
      </c>
      <c r="AJ26" s="98">
        <f>INDEX(MD!$G$3:$G$8,MATCH('Điều chỉnh'!$B26,MD!$A$3:$A$8,0))-AI26</f>
        <v>-14312.243926883828</v>
      </c>
      <c r="AK26" s="98">
        <f>AI26+AJ26</f>
        <v>8935</v>
      </c>
      <c r="AM26" s="98" cm="1">
        <f t="array" ref="AM26">IFERROR(SUMPRODUCT('Bán hàng-Break-down BOM'!$D$30:$AA$39*('Bán hàng-Break-down BOM'!$B$30:$B$39=$B26)*('Bán hàng-Break-down BOM'!$D$3:$AA$3=AM$1))/AM25/10^3,0)</f>
        <v>23066.826841741298</v>
      </c>
      <c r="AN26" s="98">
        <f>INDEX(MD!$G$3:$G$8,MATCH('Điều chỉnh'!$B26,MD!$A$3:$A$8,0))-AM26</f>
        <v>-14131.826841741298</v>
      </c>
      <c r="AO26" s="98">
        <f>AM26+AN26</f>
        <v>8935</v>
      </c>
      <c r="AQ26" s="98" cm="1">
        <f t="array" ref="AQ26">IFERROR(SUMPRODUCT('Bán hàng-Break-down BOM'!$D$30:$AA$39*('Bán hàng-Break-down BOM'!$B$30:$B$39=$B26)*('Bán hàng-Break-down BOM'!$D$3:$AA$3=AQ$1))/AQ25/10^3,0)</f>
        <v>23051.742483552043</v>
      </c>
      <c r="AR26" s="98">
        <f>INDEX(MD!$G$3:$G$8,MATCH('Điều chỉnh'!$B26,MD!$A$3:$A$8,0))-AQ26</f>
        <v>-14116.742483552043</v>
      </c>
      <c r="AS26" s="98">
        <f>AQ26+AR26</f>
        <v>8935</v>
      </c>
      <c r="AU26" s="98">
        <f>INDEX(MD!$F$3:$F$8,MATCH('Điều chỉnh'!$B26,MD!$A$3:$A$8,0))</f>
        <v>22476</v>
      </c>
      <c r="AV26" s="98">
        <f>INDEX(MD!$G$3:$G$8,MATCH('Điều chỉnh'!$B26,MD!$A$3:$A$8,0))-AU26</f>
        <v>-13541</v>
      </c>
      <c r="AW26" s="98">
        <f>AU26+AV26</f>
        <v>8935</v>
      </c>
      <c r="AY26" s="98">
        <f>INDEX(MD!$F$3:$F$8,MATCH('Điều chỉnh'!$B26,MD!$A$3:$A$8,0))</f>
        <v>22476</v>
      </c>
      <c r="AZ26" s="98">
        <f>INDEX(MD!$G$3:$G$8,MATCH('Điều chỉnh'!$B26,MD!$A$3:$A$8,0))-AY26</f>
        <v>-13541</v>
      </c>
      <c r="BA26" s="98">
        <f>AY26+AZ26</f>
        <v>8935</v>
      </c>
      <c r="BC26" s="98">
        <f>IFERROR(SUMIFS($G24:$BA24,$G$4:$BA$4,BC$4)/BC25,0)*10^3</f>
        <v>23215.857866168586</v>
      </c>
      <c r="BD26" s="98">
        <f>IFERROR(SUMIFS($G24:$BA24,$G$4:$BA$4,BE$4)/BE25*10^3-BC26,0)</f>
        <v>-14280.857866168584</v>
      </c>
      <c r="BE26" s="98">
        <f>BC26+BD26</f>
        <v>8935.0000000000018</v>
      </c>
    </row>
    <row r="27" spans="1:57" s="101" customFormat="1" x14ac:dyDescent="0.35">
      <c r="A27" s="101" t="s">
        <v>550</v>
      </c>
      <c r="B27" s="103" t="s">
        <v>372</v>
      </c>
      <c r="C27" s="187" t="s">
        <v>34</v>
      </c>
      <c r="D27" s="187" t="s">
        <v>35</v>
      </c>
      <c r="E27" s="188" t="s">
        <v>161</v>
      </c>
      <c r="G27" s="189">
        <f>G28*G29/10^3</f>
        <v>0</v>
      </c>
      <c r="H27" s="190">
        <f>I27-G27</f>
        <v>0</v>
      </c>
      <c r="I27" s="189">
        <f>I28*I29/10^3</f>
        <v>0</v>
      </c>
      <c r="K27" s="189">
        <f>K28*K29/10^3</f>
        <v>0</v>
      </c>
      <c r="L27" s="190">
        <f>M27-K27</f>
        <v>0</v>
      </c>
      <c r="M27" s="189">
        <f>M28*M29/10^3</f>
        <v>0</v>
      </c>
      <c r="O27" s="189">
        <f>O28*O29/10^3</f>
        <v>0</v>
      </c>
      <c r="P27" s="190">
        <f>Q27-O27</f>
        <v>0</v>
      </c>
      <c r="Q27" s="189">
        <f>Q28*Q29/10^3</f>
        <v>0</v>
      </c>
      <c r="S27" s="189">
        <f>S28*S29/10^3</f>
        <v>0</v>
      </c>
      <c r="T27" s="190">
        <f>U27-S27</f>
        <v>0</v>
      </c>
      <c r="U27" s="189">
        <f>U28*U29/10^3</f>
        <v>0</v>
      </c>
      <c r="W27" s="189">
        <f>W28*W29/10^3</f>
        <v>0</v>
      </c>
      <c r="X27" s="190">
        <f>Y27-W27</f>
        <v>0</v>
      </c>
      <c r="Y27" s="189">
        <f>Y28*Y29/10^3</f>
        <v>0</v>
      </c>
      <c r="AA27" s="189">
        <f>AA28*AA29/10^3</f>
        <v>0</v>
      </c>
      <c r="AB27" s="190">
        <f>AC27-AA27</f>
        <v>0</v>
      </c>
      <c r="AC27" s="189">
        <f>AC28*AC29/10^3</f>
        <v>0</v>
      </c>
      <c r="AE27" s="189">
        <f>AE28*AE29/10^3</f>
        <v>0</v>
      </c>
      <c r="AF27" s="190">
        <f>AG27-AE27</f>
        <v>0</v>
      </c>
      <c r="AG27" s="189">
        <f>AG28*AG29/10^3</f>
        <v>0</v>
      </c>
      <c r="AI27" s="189">
        <f>AI28*AI29/10^3</f>
        <v>0</v>
      </c>
      <c r="AJ27" s="190">
        <f>AK27-AI27</f>
        <v>0</v>
      </c>
      <c r="AK27" s="189">
        <f>AK28*AK29/10^3</f>
        <v>0</v>
      </c>
      <c r="AM27" s="189">
        <f>AM28*AM29/10^3</f>
        <v>0</v>
      </c>
      <c r="AN27" s="190">
        <f>AO27-AM27</f>
        <v>0</v>
      </c>
      <c r="AO27" s="189">
        <f>AO28*AO29/10^3</f>
        <v>0</v>
      </c>
      <c r="AQ27" s="189">
        <f>AQ28*AQ29/10^3</f>
        <v>0</v>
      </c>
      <c r="AR27" s="190">
        <f>AS27-AQ27</f>
        <v>0</v>
      </c>
      <c r="AS27" s="189">
        <f>AS28*AS29/10^3</f>
        <v>0</v>
      </c>
      <c r="AU27" s="189">
        <f>AU28*AU29/10^3</f>
        <v>0</v>
      </c>
      <c r="AV27" s="190">
        <f>AW27-AU27</f>
        <v>0</v>
      </c>
      <c r="AW27" s="189">
        <f>AW28*AW29/10^3</f>
        <v>0</v>
      </c>
      <c r="AY27" s="189">
        <f>AY28*AY29/10^3</f>
        <v>0</v>
      </c>
      <c r="AZ27" s="190">
        <f>BA27-AY27</f>
        <v>0</v>
      </c>
      <c r="BA27" s="189">
        <f>BA28*BA29/10^3</f>
        <v>0</v>
      </c>
      <c r="BC27" s="189">
        <f>BC28*BC29/10^3</f>
        <v>0</v>
      </c>
      <c r="BD27" s="190">
        <f>BE27-BC27</f>
        <v>0</v>
      </c>
      <c r="BE27" s="189">
        <f>SUMIFS($G27:$BA27,$G$4:$BA$4,BE$4)</f>
        <v>0</v>
      </c>
    </row>
    <row r="28" spans="1:57" outlineLevel="1" x14ac:dyDescent="0.35">
      <c r="B28" s="102" t="str">
        <f t="shared" ref="B28" si="28">C27</f>
        <v>160012607</v>
      </c>
      <c r="D28" t="s">
        <v>162</v>
      </c>
      <c r="E28" s="90" t="s">
        <v>159</v>
      </c>
      <c r="G28" s="3" cm="1">
        <f t="array" ref="G28">-SUMPRODUCT('Bán hàng-Break-down BOM'!$D$6:$AA$15*('Bán hàng-Break-down BOM'!$B$6:$B$15=$B28)*('Bán hàng-Break-down BOM'!$D$3:$AA$3=G$1))/10^3</f>
        <v>0</v>
      </c>
      <c r="I28" s="3">
        <f>G28+H28</f>
        <v>0</v>
      </c>
      <c r="K28" s="3" cm="1">
        <f t="array" ref="K28">-SUMPRODUCT('Bán hàng-Break-down BOM'!$D$6:$AA$15*('Bán hàng-Break-down BOM'!$B$6:$B$15=$B28)*('Bán hàng-Break-down BOM'!$D$3:$AA$3=K$1))/10^3</f>
        <v>0</v>
      </c>
      <c r="M28" s="3">
        <f>K28+L28</f>
        <v>0</v>
      </c>
      <c r="O28" s="3" cm="1">
        <f t="array" ref="O28">-SUMPRODUCT('Bán hàng-Break-down BOM'!$D$6:$AA$15*('Bán hàng-Break-down BOM'!$B$6:$B$15=$B28)*('Bán hàng-Break-down BOM'!$D$3:$AA$3=O$1))/10^3</f>
        <v>0</v>
      </c>
      <c r="Q28" s="3">
        <f>O28+P28</f>
        <v>0</v>
      </c>
      <c r="S28" s="3" cm="1">
        <f t="array" ref="S28">-SUMPRODUCT('Bán hàng-Break-down BOM'!$D$6:$AA$15*('Bán hàng-Break-down BOM'!$B$6:$B$15=$B28)*('Bán hàng-Break-down BOM'!$D$3:$AA$3=S$1))/10^3</f>
        <v>0</v>
      </c>
      <c r="U28" s="3">
        <f>S28+T28</f>
        <v>0</v>
      </c>
      <c r="W28" s="3" cm="1">
        <f t="array" ref="W28">-SUMPRODUCT('Bán hàng-Break-down BOM'!$D$6:$AA$15*('Bán hàng-Break-down BOM'!$B$6:$B$15=$B28)*('Bán hàng-Break-down BOM'!$D$3:$AA$3=W$1))/10^3</f>
        <v>0</v>
      </c>
      <c r="Y28" s="3">
        <f>W28+X28</f>
        <v>0</v>
      </c>
      <c r="AA28" s="3" cm="1">
        <f t="array" ref="AA28">-SUMPRODUCT('Bán hàng-Break-down BOM'!$D$6:$AA$15*('Bán hàng-Break-down BOM'!$B$6:$B$15=$B28)*('Bán hàng-Break-down BOM'!$D$3:$AA$3=AA$1))/10^3</f>
        <v>0</v>
      </c>
      <c r="AC28" s="3">
        <f>AA28+AB28</f>
        <v>0</v>
      </c>
      <c r="AE28" s="3" cm="1">
        <f t="array" ref="AE28">-SUMPRODUCT('Bán hàng-Break-down BOM'!$D$6:$AA$15*('Bán hàng-Break-down BOM'!$B$6:$B$15=$B28)*('Bán hàng-Break-down BOM'!$D$3:$AA$3=AE$1))/10^3</f>
        <v>0</v>
      </c>
      <c r="AG28" s="3">
        <f>AE28+AF28</f>
        <v>0</v>
      </c>
      <c r="AI28" s="3" cm="1">
        <f t="array" ref="AI28">-SUMPRODUCT('Bán hàng-Break-down BOM'!$D$6:$AA$15*('Bán hàng-Break-down BOM'!$B$6:$B$15=$B28)*('Bán hàng-Break-down BOM'!$D$3:$AA$3=AI$1))/10^3</f>
        <v>0</v>
      </c>
      <c r="AK28" s="3">
        <f>AI28+AJ28</f>
        <v>0</v>
      </c>
      <c r="AM28" s="3" cm="1">
        <f t="array" ref="AM28">-SUMPRODUCT('Bán hàng-Break-down BOM'!$D$6:$AA$15*('Bán hàng-Break-down BOM'!$B$6:$B$15=$B28)*('Bán hàng-Break-down BOM'!$D$3:$AA$3=AM$1))/10^3</f>
        <v>0</v>
      </c>
      <c r="AO28" s="3">
        <f>AM28+AN28</f>
        <v>0</v>
      </c>
      <c r="AQ28" s="3" cm="1">
        <f t="array" ref="AQ28">-SUMPRODUCT('Bán hàng-Break-down BOM'!$D$6:$AA$15*('Bán hàng-Break-down BOM'!$B$6:$B$15=$B28)*('Bán hàng-Break-down BOM'!$D$3:$AA$3=AQ$1))/10^3</f>
        <v>0</v>
      </c>
      <c r="AS28" s="3">
        <f>AQ28+AR28</f>
        <v>0</v>
      </c>
      <c r="AU28" s="3" cm="1">
        <f t="array" ref="AU28">-SUMPRODUCT('Bán hàng-Break-down BOM'!$D$6:$AA$15*('Bán hàng-Break-down BOM'!$B$6:$B$15=$B28)*('Bán hàng-Break-down BOM'!$D$3:$AA$3=AU$1))/10^3</f>
        <v>0</v>
      </c>
      <c r="AW28" s="3">
        <f>AU28+AV28</f>
        <v>0</v>
      </c>
      <c r="AY28" s="3" cm="1">
        <f t="array" ref="AY28">-SUMPRODUCT('Bán hàng-Break-down BOM'!$D$6:$AA$15*('Bán hàng-Break-down BOM'!$B$6:$B$15=$B28)*('Bán hàng-Break-down BOM'!$D$3:$AA$3=AY$1))/10^3</f>
        <v>0</v>
      </c>
      <c r="BA28" s="3">
        <f>AY28+AZ28</f>
        <v>0</v>
      </c>
      <c r="BC28" s="3">
        <f>SUMIFS($G28:$BA28,$G$4:$BA$4,BC$4)</f>
        <v>0</v>
      </c>
      <c r="BE28" s="3">
        <f>BC28+BD28</f>
        <v>0</v>
      </c>
    </row>
    <row r="29" spans="1:57" s="97" customFormat="1" ht="12" outlineLevel="1" x14ac:dyDescent="0.3">
      <c r="B29" s="97" t="str">
        <f t="shared" ref="B29" si="29">B28</f>
        <v>160012607</v>
      </c>
      <c r="D29" s="97" t="s">
        <v>163</v>
      </c>
      <c r="E29" s="96" t="s">
        <v>160</v>
      </c>
      <c r="G29" s="98" cm="1">
        <f t="array" ref="G29">IFERROR(SUMPRODUCT('Bán hàng-Break-down BOM'!$D$30:$AA$39*('Bán hàng-Break-down BOM'!$B$30:$B$39=$B29)*('Bán hàng-Break-down BOM'!$D$3:$AA$3=G$1))/G28/10^3,0)</f>
        <v>0</v>
      </c>
      <c r="H29" s="98">
        <f>INDEX(MD!$G$3:$G$8,MATCH('Điều chỉnh'!$B29,MD!$A$3:$A$8,0))-G29</f>
        <v>8000</v>
      </c>
      <c r="I29" s="98">
        <f>G29+H29</f>
        <v>8000</v>
      </c>
      <c r="K29" s="98" cm="1">
        <f t="array" ref="K29">IFERROR(SUMPRODUCT('Bán hàng-Break-down BOM'!$D$30:$AA$39*('Bán hàng-Break-down BOM'!$B$30:$B$39=$B29)*('Bán hàng-Break-down BOM'!$D$3:$AA$3=K$1))/K28/10^3,0)</f>
        <v>0</v>
      </c>
      <c r="L29" s="98">
        <f>INDEX(MD!$G$3:$G$8,MATCH('Điều chỉnh'!$B29,MD!$A$3:$A$8,0))-K29</f>
        <v>8000</v>
      </c>
      <c r="M29" s="98">
        <f>K29+L29</f>
        <v>8000</v>
      </c>
      <c r="O29" s="98" cm="1">
        <f t="array" ref="O29">IFERROR(SUMPRODUCT('Bán hàng-Break-down BOM'!$D$30:$AA$39*('Bán hàng-Break-down BOM'!$B$30:$B$39=$B29)*('Bán hàng-Break-down BOM'!$D$3:$AA$3=O$1))/O28/10^3,0)</f>
        <v>0</v>
      </c>
      <c r="P29" s="98">
        <f>INDEX(MD!$G$3:$G$8,MATCH('Điều chỉnh'!$B29,MD!$A$3:$A$8,0))-O29</f>
        <v>8000</v>
      </c>
      <c r="Q29" s="98">
        <f>O29+P29</f>
        <v>8000</v>
      </c>
      <c r="S29" s="98" cm="1">
        <f t="array" ref="S29">IFERROR(SUMPRODUCT('Bán hàng-Break-down BOM'!$D$30:$AA$39*('Bán hàng-Break-down BOM'!$B$30:$B$39=$B29)*('Bán hàng-Break-down BOM'!$D$3:$AA$3=S$1))/S28/10^3,0)</f>
        <v>0</v>
      </c>
      <c r="T29" s="98">
        <f>INDEX(MD!$G$3:$G$8,MATCH('Điều chỉnh'!$B29,MD!$A$3:$A$8,0))-S29</f>
        <v>8000</v>
      </c>
      <c r="U29" s="98">
        <f>S29+T29</f>
        <v>8000</v>
      </c>
      <c r="W29" s="98" cm="1">
        <f t="array" ref="W29">IFERROR(SUMPRODUCT('Bán hàng-Break-down BOM'!$D$30:$AA$39*('Bán hàng-Break-down BOM'!$B$30:$B$39=$B29)*('Bán hàng-Break-down BOM'!$D$3:$AA$3=W$1))/W28/10^3,0)</f>
        <v>0</v>
      </c>
      <c r="X29" s="98">
        <f>INDEX(MD!$G$3:$G$8,MATCH('Điều chỉnh'!$B29,MD!$A$3:$A$8,0))-W29</f>
        <v>8000</v>
      </c>
      <c r="Y29" s="98">
        <f>W29+X29</f>
        <v>8000</v>
      </c>
      <c r="AA29" s="98" cm="1">
        <f t="array" ref="AA29">IFERROR(SUMPRODUCT('Bán hàng-Break-down BOM'!$D$30:$AA$39*('Bán hàng-Break-down BOM'!$B$30:$B$39=$B29)*('Bán hàng-Break-down BOM'!$D$3:$AA$3=AA$1))/AA28/10^3,0)</f>
        <v>0</v>
      </c>
      <c r="AB29" s="98">
        <f>INDEX(MD!$G$3:$G$8,MATCH('Điều chỉnh'!$B29,MD!$A$3:$A$8,0))-AA29</f>
        <v>8000</v>
      </c>
      <c r="AC29" s="98">
        <f>AA29+AB29</f>
        <v>8000</v>
      </c>
      <c r="AE29" s="98" cm="1">
        <f t="array" ref="AE29">IFERROR(SUMPRODUCT('Bán hàng-Break-down BOM'!$D$30:$AA$39*('Bán hàng-Break-down BOM'!$B$30:$B$39=$B29)*('Bán hàng-Break-down BOM'!$D$3:$AA$3=AE$1))/AE28/10^3,0)</f>
        <v>0</v>
      </c>
      <c r="AF29" s="98">
        <f>INDEX(MD!$G$3:$G$8,MATCH('Điều chỉnh'!$B29,MD!$A$3:$A$8,0))-AE29</f>
        <v>8000</v>
      </c>
      <c r="AG29" s="98">
        <f>AE29+AF29</f>
        <v>8000</v>
      </c>
      <c r="AI29" s="98" cm="1">
        <f t="array" ref="AI29">IFERROR(SUMPRODUCT('Bán hàng-Break-down BOM'!$D$30:$AA$39*('Bán hàng-Break-down BOM'!$B$30:$B$39=$B29)*('Bán hàng-Break-down BOM'!$D$3:$AA$3=AI$1))/AI28/10^3,0)</f>
        <v>0</v>
      </c>
      <c r="AJ29" s="98">
        <f>INDEX(MD!$G$3:$G$8,MATCH('Điều chỉnh'!$B29,MD!$A$3:$A$8,0))-AI29</f>
        <v>8000</v>
      </c>
      <c r="AK29" s="98">
        <f>AI29+AJ29</f>
        <v>8000</v>
      </c>
      <c r="AM29" s="98" cm="1">
        <f t="array" ref="AM29">IFERROR(SUMPRODUCT('Bán hàng-Break-down BOM'!$D$30:$AA$39*('Bán hàng-Break-down BOM'!$B$30:$B$39=$B29)*('Bán hàng-Break-down BOM'!$D$3:$AA$3=AM$1))/AM28/10^3,0)</f>
        <v>0</v>
      </c>
      <c r="AN29" s="98">
        <f>INDEX(MD!$G$3:$G$8,MATCH('Điều chỉnh'!$B29,MD!$A$3:$A$8,0))-AM29</f>
        <v>8000</v>
      </c>
      <c r="AO29" s="98">
        <f>AM29+AN29</f>
        <v>8000</v>
      </c>
      <c r="AQ29" s="98" cm="1">
        <f t="array" ref="AQ29">IFERROR(SUMPRODUCT('Bán hàng-Break-down BOM'!$D$30:$AA$39*('Bán hàng-Break-down BOM'!$B$30:$B$39=$B29)*('Bán hàng-Break-down BOM'!$D$3:$AA$3=AQ$1))/AQ28/10^3,0)</f>
        <v>0</v>
      </c>
      <c r="AR29" s="98">
        <f>INDEX(MD!$G$3:$G$8,MATCH('Điều chỉnh'!$B29,MD!$A$3:$A$8,0))-AQ29</f>
        <v>8000</v>
      </c>
      <c r="AS29" s="98">
        <f>AQ29+AR29</f>
        <v>8000</v>
      </c>
      <c r="AU29" s="98">
        <f>INDEX(MD!$F$3:$F$8,MATCH('Điều chỉnh'!$B29,MD!$A$3:$A$8,0))</f>
        <v>19192</v>
      </c>
      <c r="AV29" s="98">
        <f>INDEX(MD!$G$3:$G$8,MATCH('Điều chỉnh'!$B29,MD!$A$3:$A$8,0))-AU29</f>
        <v>-11192</v>
      </c>
      <c r="AW29" s="98">
        <f>AU29+AV29</f>
        <v>8000</v>
      </c>
      <c r="AY29" s="98">
        <f>INDEX(MD!$F$3:$F$8,MATCH('Điều chỉnh'!$B29,MD!$A$3:$A$8,0))</f>
        <v>19192</v>
      </c>
      <c r="AZ29" s="98">
        <f>INDEX(MD!$G$3:$G$8,MATCH('Điều chỉnh'!$B29,MD!$A$3:$A$8,0))-AY29</f>
        <v>-11192</v>
      </c>
      <c r="BA29" s="98">
        <f>AY29+AZ29</f>
        <v>8000</v>
      </c>
      <c r="BC29" s="98">
        <f>IFERROR(SUMIFS($G27:$BA27,$G$4:$BA$4,BC$4)/BC28,0)*10^3</f>
        <v>0</v>
      </c>
      <c r="BD29" s="98">
        <f>IFERROR(SUMIFS($G27:$BA27,$G$4:$BA$4,BE$4)/BE28*10^3-BC29,0)</f>
        <v>0</v>
      </c>
      <c r="BE29" s="98">
        <f>BC29+BD29</f>
        <v>0</v>
      </c>
    </row>
    <row r="30" spans="1:57" s="101" customFormat="1" x14ac:dyDescent="0.35">
      <c r="A30" s="101" t="s">
        <v>550</v>
      </c>
      <c r="B30" s="103" t="s">
        <v>372</v>
      </c>
      <c r="C30" s="187" t="s">
        <v>36</v>
      </c>
      <c r="D30" s="187" t="s">
        <v>37</v>
      </c>
      <c r="E30" s="188" t="s">
        <v>161</v>
      </c>
      <c r="G30" s="189">
        <f>G31*G32/10^3</f>
        <v>0</v>
      </c>
      <c r="H30" s="190">
        <f>I30-G30</f>
        <v>0</v>
      </c>
      <c r="I30" s="189">
        <f>I31*I32/10^3</f>
        <v>0</v>
      </c>
      <c r="K30" s="189">
        <f>K31*K32/10^3</f>
        <v>0</v>
      </c>
      <c r="L30" s="190">
        <f>M30-K30</f>
        <v>0</v>
      </c>
      <c r="M30" s="189">
        <f>M31*M32/10^3</f>
        <v>0</v>
      </c>
      <c r="O30" s="189">
        <f>O31*O32/10^3</f>
        <v>0</v>
      </c>
      <c r="P30" s="190">
        <f>Q30-O30</f>
        <v>0</v>
      </c>
      <c r="Q30" s="189">
        <f>Q31*Q32/10^3</f>
        <v>0</v>
      </c>
      <c r="S30" s="189">
        <f>S31*S32/10^3</f>
        <v>0</v>
      </c>
      <c r="T30" s="190">
        <f>U30-S30</f>
        <v>0</v>
      </c>
      <c r="U30" s="189">
        <f>U31*U32/10^3</f>
        <v>0</v>
      </c>
      <c r="W30" s="189">
        <f>W31*W32/10^3</f>
        <v>0</v>
      </c>
      <c r="X30" s="190">
        <f>Y30-W30</f>
        <v>0</v>
      </c>
      <c r="Y30" s="189">
        <f>Y31*Y32/10^3</f>
        <v>0</v>
      </c>
      <c r="AA30" s="189">
        <f>AA31*AA32/10^3</f>
        <v>0</v>
      </c>
      <c r="AB30" s="190">
        <f>AC30-AA30</f>
        <v>0</v>
      </c>
      <c r="AC30" s="189">
        <f>AC31*AC32/10^3</f>
        <v>0</v>
      </c>
      <c r="AE30" s="189">
        <f>AE31*AE32/10^3</f>
        <v>0</v>
      </c>
      <c r="AF30" s="190">
        <f>AG30-AE30</f>
        <v>0</v>
      </c>
      <c r="AG30" s="189">
        <f>AG31*AG32/10^3</f>
        <v>0</v>
      </c>
      <c r="AI30" s="189">
        <f>AI31*AI32/10^3</f>
        <v>3.4687511032758622</v>
      </c>
      <c r="AJ30" s="190">
        <f>AK30-AI30</f>
        <v>-3.4684408282758623</v>
      </c>
      <c r="AK30" s="189">
        <f>AK31*AK32/10^3</f>
        <v>3.1027499999999999E-4</v>
      </c>
      <c r="AM30" s="189">
        <f>AM31*AM32/10^3</f>
        <v>30.573137896724141</v>
      </c>
      <c r="AN30" s="190">
        <f>AO30-AM30</f>
        <v>-30.570403171724141</v>
      </c>
      <c r="AO30" s="189">
        <f>AO31*AO32/10^3</f>
        <v>2.7347249999999995E-3</v>
      </c>
      <c r="AQ30" s="189">
        <f>AQ31*AQ32/10^3</f>
        <v>0</v>
      </c>
      <c r="AR30" s="190">
        <f>AS30-AQ30</f>
        <v>0</v>
      </c>
      <c r="AS30" s="189">
        <f>AS31*AS32/10^3</f>
        <v>0</v>
      </c>
      <c r="AU30" s="189">
        <f>AU31*AU32/10^3</f>
        <v>0</v>
      </c>
      <c r="AV30" s="190">
        <f>AW30-AU30</f>
        <v>0</v>
      </c>
      <c r="AW30" s="189">
        <f>AW31*AW32/10^3</f>
        <v>0</v>
      </c>
      <c r="AY30" s="189">
        <f>AY31*AY32/10^3</f>
        <v>0</v>
      </c>
      <c r="AZ30" s="190">
        <f>BA30-AY30</f>
        <v>0</v>
      </c>
      <c r="BA30" s="189">
        <f>BA31*BA32/10^3</f>
        <v>0</v>
      </c>
      <c r="BC30" s="189">
        <f>BC31*BC32/10^3</f>
        <v>34.041889000000012</v>
      </c>
      <c r="BD30" s="190">
        <f>BE30-BC30</f>
        <v>-34.038844000000012</v>
      </c>
      <c r="BE30" s="189">
        <f>SUMIFS($G30:$BA30,$G$4:$BA$4,BE$4)</f>
        <v>3.0449999999999995E-3</v>
      </c>
    </row>
    <row r="31" spans="1:57" outlineLevel="1" x14ac:dyDescent="0.35">
      <c r="B31" s="102" t="str">
        <f t="shared" ref="B31" si="30">C30</f>
        <v>160012268</v>
      </c>
      <c r="D31" t="s">
        <v>162</v>
      </c>
      <c r="E31" s="90" t="s">
        <v>159</v>
      </c>
      <c r="G31" s="3" cm="1">
        <f t="array" ref="G31">-SUMPRODUCT('Bán hàng-Break-down BOM'!$D$6:$AA$15*('Bán hàng-Break-down BOM'!$B$6:$B$15=$B31)*('Bán hàng-Break-down BOM'!$D$3:$AA$3=G$1))/10^3</f>
        <v>0</v>
      </c>
      <c r="I31" s="3">
        <f>G31+H31</f>
        <v>0</v>
      </c>
      <c r="K31" s="3" cm="1">
        <f t="array" ref="K31">-SUMPRODUCT('Bán hàng-Break-down BOM'!$D$6:$AA$15*('Bán hàng-Break-down BOM'!$B$6:$B$15=$B31)*('Bán hàng-Break-down BOM'!$D$3:$AA$3=K$1))/10^3</f>
        <v>0</v>
      </c>
      <c r="M31" s="3">
        <f>K31+L31</f>
        <v>0</v>
      </c>
      <c r="O31" s="3" cm="1">
        <f t="array" ref="O31">-SUMPRODUCT('Bán hàng-Break-down BOM'!$D$6:$AA$15*('Bán hàng-Break-down BOM'!$B$6:$B$15=$B31)*('Bán hàng-Break-down BOM'!$D$3:$AA$3=O$1))/10^3</f>
        <v>0</v>
      </c>
      <c r="Q31" s="3">
        <f>O31+P31</f>
        <v>0</v>
      </c>
      <c r="S31" s="3" cm="1">
        <f t="array" ref="S31">-SUMPRODUCT('Bán hàng-Break-down BOM'!$D$6:$AA$15*('Bán hàng-Break-down BOM'!$B$6:$B$15=$B31)*('Bán hàng-Break-down BOM'!$D$3:$AA$3=S$1))/10^3</f>
        <v>0</v>
      </c>
      <c r="U31" s="3">
        <f>S31+T31</f>
        <v>0</v>
      </c>
      <c r="W31" s="3" cm="1">
        <f t="array" ref="W31">-SUMPRODUCT('Bán hàng-Break-down BOM'!$D$6:$AA$15*('Bán hàng-Break-down BOM'!$B$6:$B$15=$B31)*('Bán hàng-Break-down BOM'!$D$3:$AA$3=W$1))/10^3</f>
        <v>0</v>
      </c>
      <c r="Y31" s="3">
        <f>W31+X31</f>
        <v>0</v>
      </c>
      <c r="AA31" s="3" cm="1">
        <f t="array" ref="AA31">-SUMPRODUCT('Bán hàng-Break-down BOM'!$D$6:$AA$15*('Bán hàng-Break-down BOM'!$B$6:$B$15=$B31)*('Bán hàng-Break-down BOM'!$D$3:$AA$3=AA$1))/10^3</f>
        <v>0</v>
      </c>
      <c r="AC31" s="3">
        <f>AA31+AB31</f>
        <v>0</v>
      </c>
      <c r="AE31" s="3" cm="1">
        <f t="array" ref="AE31">-SUMPRODUCT('Bán hàng-Break-down BOM'!$D$6:$AA$15*('Bán hàng-Break-down BOM'!$B$6:$B$15=$B31)*('Bán hàng-Break-down BOM'!$D$3:$AA$3=AE$1))/10^3</f>
        <v>0</v>
      </c>
      <c r="AG31" s="3">
        <f>AE31+AF31</f>
        <v>0</v>
      </c>
      <c r="AI31" s="3" cm="1">
        <f t="array" ref="AI31">-SUMPRODUCT('Bán hàng-Break-down BOM'!$D$6:$AA$15*('Bán hàng-Break-down BOM'!$B$6:$B$15=$B31)*('Bán hàng-Break-down BOM'!$D$3:$AA$3=AI$1))/10^3</f>
        <v>2.9549999999999997E-5</v>
      </c>
      <c r="AK31" s="3">
        <f>AI31+AJ31</f>
        <v>2.9549999999999997E-5</v>
      </c>
      <c r="AM31" s="3" cm="1">
        <f t="array" ref="AM31">-SUMPRODUCT('Bán hàng-Break-down BOM'!$D$6:$AA$15*('Bán hàng-Break-down BOM'!$B$6:$B$15=$B31)*('Bán hàng-Break-down BOM'!$D$3:$AA$3=AM$1))/10^3</f>
        <v>2.6044999999999996E-4</v>
      </c>
      <c r="AO31" s="3">
        <f>AM31+AN31</f>
        <v>2.6044999999999996E-4</v>
      </c>
      <c r="AQ31" s="3" cm="1">
        <f t="array" ref="AQ31">-SUMPRODUCT('Bán hàng-Break-down BOM'!$D$6:$AA$15*('Bán hàng-Break-down BOM'!$B$6:$B$15=$B31)*('Bán hàng-Break-down BOM'!$D$3:$AA$3=AQ$1))/10^3</f>
        <v>0</v>
      </c>
      <c r="AS31" s="3">
        <f>AQ31+AR31</f>
        <v>0</v>
      </c>
      <c r="AU31" s="3" cm="1">
        <f t="array" ref="AU31">-SUMPRODUCT('Bán hàng-Break-down BOM'!$D$6:$AA$15*('Bán hàng-Break-down BOM'!$B$6:$B$15=$B31)*('Bán hàng-Break-down BOM'!$D$3:$AA$3=AU$1))/10^3</f>
        <v>0</v>
      </c>
      <c r="AW31" s="3">
        <f>AU31+AV31</f>
        <v>0</v>
      </c>
      <c r="AY31" s="3" cm="1">
        <f t="array" ref="AY31">-SUMPRODUCT('Bán hàng-Break-down BOM'!$D$6:$AA$15*('Bán hàng-Break-down BOM'!$B$6:$B$15=$B31)*('Bán hàng-Break-down BOM'!$D$3:$AA$3=AY$1))/10^3</f>
        <v>0</v>
      </c>
      <c r="BA31" s="3">
        <f>AY31+AZ31</f>
        <v>0</v>
      </c>
      <c r="BC31" s="3">
        <f>SUMIFS($G31:$BA31,$G$4:$BA$4,BC$4)</f>
        <v>2.8999999999999995E-4</v>
      </c>
      <c r="BE31" s="3">
        <f>BC31+BD31</f>
        <v>2.8999999999999995E-4</v>
      </c>
    </row>
    <row r="32" spans="1:57" s="97" customFormat="1" ht="12" outlineLevel="1" x14ac:dyDescent="0.3">
      <c r="B32" s="97" t="str">
        <f t="shared" ref="B32" si="31">B31</f>
        <v>160012268</v>
      </c>
      <c r="D32" s="97" t="s">
        <v>163</v>
      </c>
      <c r="E32" s="96" t="s">
        <v>160</v>
      </c>
      <c r="G32" s="98" cm="1">
        <f t="array" ref="G32">IFERROR(SUMPRODUCT('Bán hàng-Break-down BOM'!$D$30:$AA$39*('Bán hàng-Break-down BOM'!$B$30:$B$39=$B32)*('Bán hàng-Break-down BOM'!$D$3:$AA$3=G$1))/G31/10^3,0)</f>
        <v>0</v>
      </c>
      <c r="H32" s="98">
        <f>INDEX(MD!$G$3:$G$8,MATCH('Điều chỉnh'!$B32,MD!$A$3:$A$8,0))-G32</f>
        <v>10500</v>
      </c>
      <c r="I32" s="98">
        <f>G32+H32</f>
        <v>10500</v>
      </c>
      <c r="K32" s="98" cm="1">
        <f t="array" ref="K32">IFERROR(SUMPRODUCT('Bán hàng-Break-down BOM'!$D$30:$AA$39*('Bán hàng-Break-down BOM'!$B$30:$B$39=$B32)*('Bán hàng-Break-down BOM'!$D$3:$AA$3=K$1))/K31/10^3,0)</f>
        <v>0</v>
      </c>
      <c r="L32" s="98">
        <f>INDEX(MD!$G$3:$G$8,MATCH('Điều chỉnh'!$B32,MD!$A$3:$A$8,0))-K32</f>
        <v>10500</v>
      </c>
      <c r="M32" s="98">
        <f>K32+L32</f>
        <v>10500</v>
      </c>
      <c r="O32" s="98" cm="1">
        <f t="array" ref="O32">IFERROR(SUMPRODUCT('Bán hàng-Break-down BOM'!$D$30:$AA$39*('Bán hàng-Break-down BOM'!$B$30:$B$39=$B32)*('Bán hàng-Break-down BOM'!$D$3:$AA$3=O$1))/O31/10^3,0)</f>
        <v>0</v>
      </c>
      <c r="P32" s="98">
        <f>INDEX(MD!$G$3:$G$8,MATCH('Điều chỉnh'!$B32,MD!$A$3:$A$8,0))-O32</f>
        <v>10500</v>
      </c>
      <c r="Q32" s="98">
        <f>O32+P32</f>
        <v>10500</v>
      </c>
      <c r="S32" s="98" cm="1">
        <f t="array" ref="S32">IFERROR(SUMPRODUCT('Bán hàng-Break-down BOM'!$D$30:$AA$39*('Bán hàng-Break-down BOM'!$B$30:$B$39=$B32)*('Bán hàng-Break-down BOM'!$D$3:$AA$3=S$1))/S31/10^3,0)</f>
        <v>0</v>
      </c>
      <c r="T32" s="98">
        <f>INDEX(MD!$G$3:$G$8,MATCH('Điều chỉnh'!$B32,MD!$A$3:$A$8,0))-S32</f>
        <v>10500</v>
      </c>
      <c r="U32" s="98">
        <f>S32+T32</f>
        <v>10500</v>
      </c>
      <c r="W32" s="98" cm="1">
        <f t="array" ref="W32">IFERROR(SUMPRODUCT('Bán hàng-Break-down BOM'!$D$30:$AA$39*('Bán hàng-Break-down BOM'!$B$30:$B$39=$B32)*('Bán hàng-Break-down BOM'!$D$3:$AA$3=W$1))/W31/10^3,0)</f>
        <v>0</v>
      </c>
      <c r="X32" s="98">
        <f>INDEX(MD!$G$3:$G$8,MATCH('Điều chỉnh'!$B32,MD!$A$3:$A$8,0))-W32</f>
        <v>10500</v>
      </c>
      <c r="Y32" s="98">
        <f>W32+X32</f>
        <v>10500</v>
      </c>
      <c r="AA32" s="98" cm="1">
        <f t="array" ref="AA32">IFERROR(SUMPRODUCT('Bán hàng-Break-down BOM'!$D$30:$AA$39*('Bán hàng-Break-down BOM'!$B$30:$B$39=$B32)*('Bán hàng-Break-down BOM'!$D$3:$AA$3=AA$1))/AA31/10^3,0)</f>
        <v>0</v>
      </c>
      <c r="AB32" s="98">
        <f>INDEX(MD!$G$3:$G$8,MATCH('Điều chỉnh'!$B32,MD!$A$3:$A$8,0))-AA32</f>
        <v>10500</v>
      </c>
      <c r="AC32" s="98">
        <f>AA32+AB32</f>
        <v>10500</v>
      </c>
      <c r="AE32" s="98" cm="1">
        <f t="array" ref="AE32">IFERROR(SUMPRODUCT('Bán hàng-Break-down BOM'!$D$30:$AA$39*('Bán hàng-Break-down BOM'!$B$30:$B$39=$B32)*('Bán hàng-Break-down BOM'!$D$3:$AA$3=AE$1))/AE31/10^3,0)</f>
        <v>0</v>
      </c>
      <c r="AF32" s="98">
        <f>INDEX(MD!$G$3:$G$8,MATCH('Điều chỉnh'!$B32,MD!$A$3:$A$8,0))-AE32</f>
        <v>10500</v>
      </c>
      <c r="AG32" s="98">
        <f>AE32+AF32</f>
        <v>10500</v>
      </c>
      <c r="AI32" s="98" cm="1">
        <f t="array" ref="AI32">IFERROR(SUMPRODUCT('Bán hàng-Break-down BOM'!$D$30:$AA$39*('Bán hàng-Break-down BOM'!$B$30:$B$39=$B32)*('Bán hàng-Break-down BOM'!$D$3:$AA$3=AI$1))/AI31/10^3,0)</f>
        <v>117385824.13793105</v>
      </c>
      <c r="AJ32" s="98">
        <f>INDEX(MD!$G$3:$G$8,MATCH('Điều chỉnh'!$B32,MD!$A$3:$A$8,0))-AI32</f>
        <v>-117375324.13793105</v>
      </c>
      <c r="AK32" s="98">
        <f>AI32+AJ32</f>
        <v>10500</v>
      </c>
      <c r="AM32" s="98" cm="1">
        <f t="array" ref="AM32">IFERROR(SUMPRODUCT('Bán hàng-Break-down BOM'!$D$30:$AA$39*('Bán hàng-Break-down BOM'!$B$30:$B$39=$B32)*('Bán hàng-Break-down BOM'!$D$3:$AA$3=AM$1))/AM31/10^3,0)</f>
        <v>117385824.13793106</v>
      </c>
      <c r="AN32" s="98">
        <f>INDEX(MD!$G$3:$G$8,MATCH('Điều chỉnh'!$B32,MD!$A$3:$A$8,0))-AM32</f>
        <v>-117375324.13793106</v>
      </c>
      <c r="AO32" s="98">
        <f>AM32+AN32</f>
        <v>10500</v>
      </c>
      <c r="AQ32" s="98" cm="1">
        <f t="array" ref="AQ32">IFERROR(SUMPRODUCT('Bán hàng-Break-down BOM'!$D$30:$AA$39*('Bán hàng-Break-down BOM'!$B$30:$B$39=$B32)*('Bán hàng-Break-down BOM'!$D$3:$AA$3=AQ$1))/AQ31/10^3,0)</f>
        <v>0</v>
      </c>
      <c r="AR32" s="98">
        <f>INDEX(MD!$G$3:$G$8,MATCH('Điều chỉnh'!$B32,MD!$A$3:$A$8,0))-AQ32</f>
        <v>10500</v>
      </c>
      <c r="AS32" s="98">
        <f>AQ32+AR32</f>
        <v>10500</v>
      </c>
      <c r="AU32" s="98">
        <f>INDEX(MD!$F$3:$F$8,MATCH('Điều chỉnh'!$B32,MD!$A$3:$A$8,0))</f>
        <v>19736</v>
      </c>
      <c r="AV32" s="98">
        <f>INDEX(MD!$G$3:$G$8,MATCH('Điều chỉnh'!$B32,MD!$A$3:$A$8,0))-AU32</f>
        <v>-9236</v>
      </c>
      <c r="AW32" s="98">
        <f>AU32+AV32</f>
        <v>10500</v>
      </c>
      <c r="AY32" s="98">
        <f>INDEX(MD!$F$3:$F$8,MATCH('Điều chỉnh'!$B32,MD!$A$3:$A$8,0))</f>
        <v>19736</v>
      </c>
      <c r="AZ32" s="98">
        <f>INDEX(MD!$G$3:$G$8,MATCH('Điều chỉnh'!$B32,MD!$A$3:$A$8,0))-AY32</f>
        <v>-9236</v>
      </c>
      <c r="BA32" s="98">
        <f>AY32+AZ32</f>
        <v>10500</v>
      </c>
      <c r="BC32" s="98">
        <f>IFERROR(SUMIFS($G30:$BA30,$G$4:$BA$4,BC$4)/BC31,0)*10^3</f>
        <v>117385824.13793108</v>
      </c>
      <c r="BD32" s="98">
        <f>IFERROR(SUMIFS($G30:$BA30,$G$4:$BA$4,BE$4)/BE31*10^3-BC32,0)</f>
        <v>-117375324.13793108</v>
      </c>
      <c r="BE32" s="98">
        <f>BC32+BD32</f>
        <v>10500</v>
      </c>
    </row>
    <row r="33" spans="2:57" s="102" customFormat="1" ht="15" outlineLevel="1" thickBot="1" x14ac:dyDescent="0.4">
      <c r="E33" s="96"/>
      <c r="G33" s="98"/>
      <c r="H33" s="98"/>
      <c r="I33" s="98"/>
      <c r="K33" s="98"/>
      <c r="L33" s="98"/>
      <c r="M33" s="98"/>
      <c r="N33" s="97"/>
      <c r="O33" s="98"/>
      <c r="P33" s="98"/>
      <c r="Q33" s="98"/>
      <c r="R33" s="97"/>
      <c r="S33" s="98"/>
      <c r="T33" s="98"/>
      <c r="U33" s="98"/>
      <c r="V33" s="97"/>
      <c r="W33" s="98"/>
      <c r="X33" s="98"/>
      <c r="Y33" s="98"/>
      <c r="Z33" s="97"/>
      <c r="AA33" s="98"/>
      <c r="AB33" s="98"/>
      <c r="AC33" s="98"/>
      <c r="AD33" s="97"/>
      <c r="AE33" s="98"/>
      <c r="AF33" s="98"/>
      <c r="AG33" s="98"/>
      <c r="AH33" s="97"/>
      <c r="AI33" s="98"/>
      <c r="AJ33" s="98"/>
      <c r="AK33" s="98"/>
      <c r="AL33" s="97"/>
      <c r="AM33" s="98"/>
      <c r="AN33" s="98"/>
      <c r="AO33" s="98"/>
      <c r="AP33" s="97"/>
      <c r="AQ33" s="98"/>
      <c r="AR33" s="98"/>
      <c r="AS33" s="98"/>
      <c r="AT33" s="97"/>
      <c r="AU33" s="98"/>
      <c r="AV33" s="98"/>
      <c r="AW33" s="98"/>
      <c r="AX33" s="97"/>
      <c r="AY33" s="98"/>
      <c r="AZ33" s="98"/>
      <c r="BA33" s="98"/>
      <c r="BB33" s="97"/>
      <c r="BC33" s="98"/>
      <c r="BD33" s="98"/>
      <c r="BE33" s="98"/>
    </row>
    <row r="34" spans="2:57" s="99" customFormat="1" x14ac:dyDescent="0.35">
      <c r="B34" s="104"/>
      <c r="E34" s="100"/>
    </row>
    <row r="37" spans="2:57" x14ac:dyDescent="0.35">
      <c r="AQ37" s="3"/>
    </row>
    <row r="38" spans="2:57" x14ac:dyDescent="0.35">
      <c r="AY38" s="6"/>
    </row>
  </sheetData>
  <mergeCells count="15">
    <mergeCell ref="AM3:AO3"/>
    <mergeCell ref="AQ3:AS3"/>
    <mergeCell ref="AU3:AW3"/>
    <mergeCell ref="AY3:BA3"/>
    <mergeCell ref="BC3:BE3"/>
    <mergeCell ref="S3:U3"/>
    <mergeCell ref="W3:Y3"/>
    <mergeCell ref="AA3:AC3"/>
    <mergeCell ref="AE3:AG3"/>
    <mergeCell ref="AI3:AK3"/>
    <mergeCell ref="K3:M3"/>
    <mergeCell ref="D3:D4"/>
    <mergeCell ref="E3:E4"/>
    <mergeCell ref="G3:I3"/>
    <mergeCell ref="O3:Q3"/>
  </mergeCells>
  <pageMargins left="0.7" right="0.7" top="0.75" bottom="0.75" header="0.3" footer="0.3"/>
  <ignoredErrors>
    <ignoredError sqref="H10:N13 H21:J32 H14:J14 P14:Q14 H17:Q18 L21:N32 P21:Q32 L14:N14 P10:Q13 H15:N16 P15:Q1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1523-DA96-4DCC-9100-A99B4965721D}">
  <sheetPr>
    <tabColor rgb="FFC00000"/>
  </sheetPr>
  <dimension ref="B1:P31"/>
  <sheetViews>
    <sheetView showGridLines="0" zoomScaleNormal="100" workbookViewId="0">
      <selection activeCell="C14" sqref="C14"/>
    </sheetView>
  </sheetViews>
  <sheetFormatPr defaultRowHeight="14.5" zeroHeight="1" x14ac:dyDescent="0.35"/>
  <cols>
    <col min="1" max="1" width="9" customWidth="1"/>
    <col min="2" max="2" width="3.75" bestFit="1" customWidth="1"/>
    <col min="3" max="3" width="20.25" customWidth="1"/>
    <col min="4" max="5" width="10.83203125" customWidth="1"/>
    <col min="6" max="6" width="12.33203125" customWidth="1"/>
    <col min="7" max="7" width="11.25" customWidth="1"/>
    <col min="8" max="8" width="9.83203125" bestFit="1" customWidth="1"/>
    <col min="9" max="9" width="10.08203125" customWidth="1"/>
    <col min="10" max="10" width="9.25" bestFit="1" customWidth="1"/>
    <col min="12" max="12" width="9.25" bestFit="1" customWidth="1"/>
    <col min="14" max="15" width="0" hidden="1" customWidth="1"/>
    <col min="16" max="16" width="9.58203125" hidden="1" customWidth="1"/>
    <col min="17" max="17" width="0" hidden="1" customWidth="1"/>
  </cols>
  <sheetData>
    <row r="1" spans="2:16" x14ac:dyDescent="0.35">
      <c r="C1" s="396" t="s">
        <v>548</v>
      </c>
      <c r="D1" s="397">
        <v>1</v>
      </c>
      <c r="I1" s="384"/>
    </row>
    <row r="2" spans="2:16" ht="15" thickBot="1" x14ac:dyDescent="0.4">
      <c r="C2" s="398" t="s">
        <v>549</v>
      </c>
      <c r="D2" s="399">
        <v>12</v>
      </c>
    </row>
    <row r="3" spans="2:16" x14ac:dyDescent="0.35"/>
    <row r="4" spans="2:16" x14ac:dyDescent="0.35">
      <c r="B4" s="471" t="s">
        <v>168</v>
      </c>
      <c r="C4" s="471" t="s">
        <v>514</v>
      </c>
      <c r="D4" s="472" t="str">
        <f>"Từ tháng  "&amp;D1&amp;" đến tháng "&amp;D2</f>
        <v>Từ tháng  1 đến tháng 12</v>
      </c>
      <c r="E4" s="472"/>
      <c r="F4" s="472"/>
      <c r="G4" s="472"/>
      <c r="H4" s="472"/>
    </row>
    <row r="5" spans="2:16" x14ac:dyDescent="0.35">
      <c r="B5" s="471"/>
      <c r="C5" s="471"/>
      <c r="D5" s="377" t="s">
        <v>544</v>
      </c>
      <c r="E5" s="377" t="s">
        <v>162</v>
      </c>
      <c r="F5" s="377" t="s">
        <v>519</v>
      </c>
      <c r="G5" s="377" t="s">
        <v>48</v>
      </c>
      <c r="H5" s="377" t="s">
        <v>566</v>
      </c>
    </row>
    <row r="6" spans="2:16" s="90" customFormat="1" ht="12" x14ac:dyDescent="0.3">
      <c r="B6" s="379"/>
      <c r="C6" s="379"/>
      <c r="D6" s="380"/>
      <c r="E6" s="380" t="s">
        <v>501</v>
      </c>
      <c r="F6" s="380" t="s">
        <v>502</v>
      </c>
      <c r="G6" s="380" t="s">
        <v>543</v>
      </c>
      <c r="H6" s="380"/>
    </row>
    <row r="7" spans="2:16" s="9" customFormat="1" x14ac:dyDescent="0.35">
      <c r="B7" s="409">
        <v>1</v>
      </c>
      <c r="C7" s="410" t="s">
        <v>60</v>
      </c>
      <c r="D7" s="411"/>
      <c r="E7" s="412" cm="1">
        <f t="array" ref="E7">SUMPRODUCT('Slide 2'!$B$4:$B$15*('Slide 2'!$A$4:$A$15&gt;=$D$1)*('Slide 2'!$A$4:$A$15&lt;=$D$2))</f>
        <v>1544</v>
      </c>
      <c r="F7" s="412" cm="1">
        <f t="array" ref="F7">IFERROR(SUMPRODUCT('Slide 1'!$B$4:$B$15*('Slide 1'!$A$4:$A$15&gt;=$D$1)*('Slide 1'!$A$4:$A$15&lt;=$D$2))*10^3/$E$7,0)</f>
        <v>18500.971502590673</v>
      </c>
      <c r="G7" s="413">
        <f>E7*F7/10^3</f>
        <v>28565.5</v>
      </c>
      <c r="H7" s="436">
        <f t="shared" ref="H7:H15" si="0">IFERROR(F7/F$7,0)</f>
        <v>1</v>
      </c>
      <c r="M7" s="261"/>
      <c r="N7" s="413">
        <f>G7</f>
        <v>28565.5</v>
      </c>
    </row>
    <row r="8" spans="2:16" s="9" customFormat="1" x14ac:dyDescent="0.35">
      <c r="B8" s="409">
        <v>2</v>
      </c>
      <c r="C8" s="410" t="s">
        <v>554</v>
      </c>
      <c r="D8" s="411"/>
      <c r="E8" s="412"/>
      <c r="F8" s="412">
        <f>F9+F13+F14</f>
        <v>16051.934009513143</v>
      </c>
      <c r="G8" s="412">
        <f>G9+G13+G14</f>
        <v>24784.186110688293</v>
      </c>
      <c r="H8" s="437">
        <f t="shared" si="0"/>
        <v>0.86762654638246461</v>
      </c>
      <c r="J8" s="419"/>
      <c r="M8" s="261"/>
      <c r="N8" s="412">
        <f>N9+N13+N14</f>
        <v>26480.94999999999</v>
      </c>
    </row>
    <row r="9" spans="2:16" s="9" customFormat="1" x14ac:dyDescent="0.35">
      <c r="B9" s="376">
        <v>2.1</v>
      </c>
      <c r="C9" s="374" t="s">
        <v>481</v>
      </c>
      <c r="D9" s="382"/>
      <c r="E9" s="378"/>
      <c r="F9" s="453">
        <f>IFERROR(G9/E$7,0)*10^3</f>
        <v>10621.116732492324</v>
      </c>
      <c r="G9" s="378">
        <f>SUM(G10:G12)</f>
        <v>16399.00423496815</v>
      </c>
      <c r="H9" s="438">
        <f t="shared" si="0"/>
        <v>0.57408427071005752</v>
      </c>
      <c r="J9" s="261"/>
      <c r="N9" s="378">
        <f>SUM(N10:N12)</f>
        <v>18029.626289021755</v>
      </c>
      <c r="O9" s="433"/>
    </row>
    <row r="10" spans="2:16" s="375" customFormat="1" x14ac:dyDescent="0.35">
      <c r="B10" s="420"/>
      <c r="C10" s="421" t="s">
        <v>132</v>
      </c>
      <c r="D10" s="407">
        <f>E10/E$7</f>
        <v>0.33866242830969373</v>
      </c>
      <c r="E10" s="449" cm="1">
        <f t="array" ref="E10">-SUMPRODUCT('Bán hàng-Break-down BOM'!$D$6:$AA$15*('Bán hàng-Break-down BOM'!$A$6:$A$15=$C10)*('Bán hàng-Break-down BOM'!$D$3:$AA$3&lt;=$D$2)*('Bán hàng-Break-down BOM'!$D$3:$AA$3&gt;=$D$1))/10^3+$E$13*SUMPRODUCT('Bán hàng-Break-down BOM'!$D$6:$AA$15*('Bán hàng-Break-down BOM'!$A$6:$A$15=$C10)*('Bán hàng-Break-down BOM'!$D$3:$AA$3&lt;=$D$2)*('Bán hàng-Break-down BOM'!$D$3:$AA$3&gt;=$D$1))/10^3/$E$27</f>
        <v>522.89478931016708</v>
      </c>
      <c r="F10" s="422" cm="1">
        <f t="array" ref="F10">IFERROR(SUMPRODUCT('Bán hàng-Break-down BOM'!$D$57:$AA$66*('Bán hàng-Break-down BOM'!$A$57:$A$66=$C10)*('Bán hàng-Break-down BOM'!$D$3:$AA$3&gt;=$D$1)*('Bán hàng-Break-down BOM'!$D$3:$AA$3&lt;=$D$2))/10^6*$G$30/SUM($D$10:$D$13)/$E10*10^3,0)
+IFERROR(SUMPRODUCT('Điều chỉnh'!$G$21:$BA$32*('Điều chỉnh'!$A$21:$A$32=$C10)*('Điều chỉnh'!$G$4:$BA$4="Điều chỉnh")*('Điều chỉnh'!$G$1:$BA$1&gt;=$D$1)*('Điều chỉnh'!$G$1:$BA$1&lt;=$D$2))/($E10*(1+$D$13)),0)*10^3</f>
        <v>8940.9858783812615</v>
      </c>
      <c r="G10" s="422">
        <f>E10*F10/10^3</f>
        <v>4675.1949271013482</v>
      </c>
      <c r="H10" s="439">
        <f t="shared" si="0"/>
        <v>0.4832711556325171</v>
      </c>
      <c r="J10" s="425"/>
      <c r="K10" s="426"/>
      <c r="N10" s="422">
        <f>G10*O10</f>
        <v>5140.0692478771916</v>
      </c>
      <c r="O10" s="447">
        <v>1.0994342114124573</v>
      </c>
      <c r="P10" s="425">
        <f>N10/E10*10^3</f>
        <v>9830.0257584480187</v>
      </c>
    </row>
    <row r="11" spans="2:16" s="375" customFormat="1" x14ac:dyDescent="0.35">
      <c r="B11" s="420"/>
      <c r="C11" s="421" t="s">
        <v>550</v>
      </c>
      <c r="D11" s="407">
        <f t="shared" ref="D11:D12" si="1">E11/E$7</f>
        <v>0.54756370596537973</v>
      </c>
      <c r="E11" s="449" cm="1">
        <f t="array" ref="E11">-SUMPRODUCT('Bán hàng-Break-down BOM'!$D$6:$AA$15*('Bán hàng-Break-down BOM'!$A$6:$A$15=$C11)*('Bán hàng-Break-down BOM'!$D$3:$AA$3&lt;=$D$2)*('Bán hàng-Break-down BOM'!$D$3:$AA$3&gt;=$D$1))/10^3+$E$13*SUMPRODUCT('Bán hàng-Break-down BOM'!$D$6:$AA$15*('Bán hàng-Break-down BOM'!$A$6:$A$15=$C11)*('Bán hàng-Break-down BOM'!$D$3:$AA$3&lt;=$D$2)*('Bán hàng-Break-down BOM'!$D$3:$AA$3&gt;=$D$1))/10^3/$E$27</f>
        <v>845.43836201054637</v>
      </c>
      <c r="F11" s="422" cm="1">
        <f t="array" ref="F11">IFERROR(SUMPRODUCT('Bán hàng-Break-down BOM'!$D$57:$AA$66*('Bán hàng-Break-down BOM'!$A$57:$A$66=$C11)*('Bán hàng-Break-down BOM'!$D$3:$AA$3&gt;=$D$1)*('Bán hàng-Break-down BOM'!$D$3:$AA$3&lt;=$D$2))/10^6*$G$30/SUM($D$10:$D$13)/$E11*10^3,0)
+IFERROR(SUMPRODUCT('Điều chỉnh'!$G$21:$BA$32*('Điều chỉnh'!$A$21:$A$32=$C11)*('Điều chỉnh'!$G$4:$BA$4="Điều chỉnh")*('Điều chỉnh'!$G$1:$BA$1&gt;=$D$1)*('Điều chỉnh'!$G$1:$BA$1&lt;=$D$2))/($E11*(1+$D$13)),0)*10^3</f>
        <v>9215.6108949030622</v>
      </c>
      <c r="G11" s="422">
        <f>E11*F11/10^3</f>
        <v>7791.23097991339</v>
      </c>
      <c r="H11" s="439">
        <f t="shared" si="0"/>
        <v>0.49811497161717205</v>
      </c>
      <c r="N11" s="422">
        <f t="shared" ref="N11:N12" si="2">G11*O11</f>
        <v>8565.9458883333846</v>
      </c>
      <c r="O11" s="446">
        <f>O10</f>
        <v>1.0994342114124573</v>
      </c>
      <c r="P11" s="425">
        <f>N11/E11*10^3</f>
        <v>10131.957896921796</v>
      </c>
    </row>
    <row r="12" spans="2:16" s="375" customFormat="1" x14ac:dyDescent="0.35">
      <c r="B12" s="420"/>
      <c r="C12" s="421" t="s">
        <v>542</v>
      </c>
      <c r="D12" s="407">
        <f t="shared" si="1"/>
        <v>0.11377386572492686</v>
      </c>
      <c r="E12" s="449" cm="1">
        <f t="array" ref="E12">-SUMPRODUCT('Bán hàng-Break-down BOM'!$D$6:$AA$15*('Bán hàng-Break-down BOM'!$A$6:$A$15=$C12)*('Bán hàng-Break-down BOM'!$D$3:$AA$3&lt;=$D$2)*('Bán hàng-Break-down BOM'!$D$3:$AA$3&gt;=$D$1))/10^3+$E$13*SUMPRODUCT('Bán hàng-Break-down BOM'!$D$6:$AA$15*('Bán hàng-Break-down BOM'!$A$6:$A$15=$C12)*('Bán hàng-Break-down BOM'!$D$3:$AA$3&lt;=$D$2)*('Bán hàng-Break-down BOM'!$D$3:$AA$3&gt;=$D$1))/10^3/$E$27</f>
        <v>175.66684867928706</v>
      </c>
      <c r="F12" s="422" cm="1">
        <f t="array" ref="F12">IFERROR(SUMPRODUCT('Bán hàng-Break-down BOM'!$D$57:$AA$66*('Bán hàng-Break-down BOM'!$A$57:$A$66=$C12)*('Bán hàng-Break-down BOM'!$D$3:$AA$3&gt;=$D$1)*('Bán hàng-Break-down BOM'!$D$3:$AA$3&lt;=$D$2))/10^6*$G$30/SUM($D$10:$D$13)/$E12*10^3,0)</f>
        <v>22386.570701983015</v>
      </c>
      <c r="G12" s="422">
        <f>E12*F12/10^3</f>
        <v>3932.5783279534112</v>
      </c>
      <c r="H12" s="439">
        <f t="shared" si="0"/>
        <v>1.2100213601673968</v>
      </c>
      <c r="N12" s="422">
        <f t="shared" si="2"/>
        <v>4323.6111528111787</v>
      </c>
      <c r="O12" s="446">
        <f>O11</f>
        <v>1.0994342114124573</v>
      </c>
      <c r="P12" s="425">
        <f>N12/E12*10^3</f>
        <v>24612.561705963915</v>
      </c>
    </row>
    <row r="13" spans="2:16" s="9" customFormat="1" x14ac:dyDescent="0.35">
      <c r="B13" s="376">
        <v>2.2000000000000002</v>
      </c>
      <c r="C13" s="374" t="s">
        <v>475</v>
      </c>
      <c r="D13" s="455">
        <f>E13/E$7</f>
        <v>4.0562333309345264E-2</v>
      </c>
      <c r="E13" s="450" cm="1">
        <f t="array" ref="E13">-SUMPRODUCT('Bán hàng-Break-down BOM'!$D$6:$AA$15*('Bán hàng-Break-down BOM'!$D$3:$AA$3&lt;=$D$2)*('Bán hàng-Break-down BOM'!$D$3:$AA$3&gt;=$D$1))/10^3-E7</f>
        <v>62.628242629629085</v>
      </c>
      <c r="F13" s="378">
        <f>IFERROR(G13/$E$7,0)*10^3</f>
        <v>430.81727702081781</v>
      </c>
      <c r="G13" s="378">
        <f>D$13*SUM(G10:G12)</f>
        <v>665.18187572014267</v>
      </c>
      <c r="H13" s="438">
        <f t="shared" si="0"/>
        <v>2.3286197536193754E-2</v>
      </c>
      <c r="J13" s="261"/>
      <c r="N13" s="378">
        <f>D13*N9</f>
        <v>731.3237109782342</v>
      </c>
    </row>
    <row r="14" spans="2:16" s="9" customFormat="1" x14ac:dyDescent="0.35">
      <c r="B14" s="402">
        <v>2.2999999999999998</v>
      </c>
      <c r="C14" s="403" t="s">
        <v>545</v>
      </c>
      <c r="D14" s="404"/>
      <c r="E14" s="405">
        <f>E$7</f>
        <v>1544</v>
      </c>
      <c r="F14" s="456">
        <v>5000</v>
      </c>
      <c r="G14" s="405">
        <f>E14*F14/10^3</f>
        <v>7720</v>
      </c>
      <c r="H14" s="440">
        <f t="shared" si="0"/>
        <v>0.27025607813621327</v>
      </c>
      <c r="N14" s="405">
        <f>G14</f>
        <v>7720</v>
      </c>
    </row>
    <row r="15" spans="2:16" s="9" customFormat="1" x14ac:dyDescent="0.35">
      <c r="B15" s="414">
        <v>3</v>
      </c>
      <c r="C15" s="415" t="s">
        <v>62</v>
      </c>
      <c r="D15" s="416"/>
      <c r="E15" s="417"/>
      <c r="F15" s="418">
        <f>F7-F8</f>
        <v>2449.0374930775306</v>
      </c>
      <c r="G15" s="417">
        <f>G7-G8</f>
        <v>3781.3138893117066</v>
      </c>
      <c r="H15" s="441">
        <f t="shared" si="0"/>
        <v>0.13237345361753539</v>
      </c>
      <c r="N15" s="417">
        <f>N7-N8</f>
        <v>2084.5500000000102</v>
      </c>
    </row>
    <row r="16" spans="2:16" s="20" customFormat="1" ht="12" x14ac:dyDescent="0.3">
      <c r="B16" s="423"/>
      <c r="C16" s="423" t="s">
        <v>557</v>
      </c>
      <c r="D16" s="423"/>
      <c r="E16" s="423"/>
      <c r="F16" s="424">
        <f>IFERROR(F15/F$7,0)</f>
        <v>0.13237345361753539</v>
      </c>
      <c r="G16" s="424">
        <f>IFERROR(G15/G$7,0)</f>
        <v>0.13237345361753536</v>
      </c>
      <c r="H16" s="442"/>
      <c r="N16" s="424"/>
    </row>
    <row r="17" spans="2:14" x14ac:dyDescent="0.35">
      <c r="B17" s="308"/>
      <c r="C17" s="308" t="s">
        <v>63</v>
      </c>
      <c r="D17" s="383"/>
      <c r="E17" s="381">
        <f>E$7</f>
        <v>1544</v>
      </c>
      <c r="F17" s="309">
        <f>(F7-5000)*10%</f>
        <v>1350.0971502590673</v>
      </c>
      <c r="G17" s="309">
        <f>E17*F17/10^3</f>
        <v>2084.5500000000002</v>
      </c>
      <c r="H17" s="443">
        <f>IFERROR(F17/F$7,0)</f>
        <v>7.2974392186378675E-2</v>
      </c>
      <c r="N17" s="309">
        <f>G17</f>
        <v>2084.5500000000002</v>
      </c>
    </row>
    <row r="18" spans="2:14" s="20" customFormat="1" ht="12" x14ac:dyDescent="0.3">
      <c r="B18" s="423"/>
      <c r="C18" s="423" t="s">
        <v>558</v>
      </c>
      <c r="D18" s="423"/>
      <c r="E18" s="423"/>
      <c r="F18" s="424">
        <f>IFERROR(F17/F$7,0)</f>
        <v>7.2974392186378675E-2</v>
      </c>
      <c r="G18" s="424">
        <f>IFERROR(G17/G$7,0)</f>
        <v>7.2974392186378675E-2</v>
      </c>
      <c r="H18" s="442"/>
      <c r="N18" s="424"/>
    </row>
    <row r="19" spans="2:14" s="9" customFormat="1" x14ac:dyDescent="0.35">
      <c r="B19" s="414">
        <v>4</v>
      </c>
      <c r="C19" s="415" t="s">
        <v>559</v>
      </c>
      <c r="D19" s="416"/>
      <c r="E19" s="417"/>
      <c r="F19" s="418">
        <f>F15-F17</f>
        <v>1098.9403428184633</v>
      </c>
      <c r="G19" s="418">
        <f>G15-G17</f>
        <v>1696.7638893117064</v>
      </c>
      <c r="H19" s="444">
        <f>IFERROR(F19/F$7,0)</f>
        <v>5.9399061431156717E-2</v>
      </c>
      <c r="M19" s="261"/>
      <c r="N19" s="418">
        <f>N15-N17</f>
        <v>1.0004441719502211E-11</v>
      </c>
    </row>
    <row r="20" spans="2:14" s="20" customFormat="1" ht="12" x14ac:dyDescent="0.3">
      <c r="B20" s="423"/>
      <c r="C20" s="423" t="s">
        <v>560</v>
      </c>
      <c r="D20" s="423"/>
      <c r="E20" s="423"/>
      <c r="F20" s="424">
        <f>IFERROR(F19/F$7,0)</f>
        <v>5.9399061431156717E-2</v>
      </c>
      <c r="G20" s="424">
        <f>IFERROR(G19/G$7,0)</f>
        <v>5.939906143115669E-2</v>
      </c>
      <c r="H20" s="442"/>
      <c r="N20" s="424"/>
    </row>
    <row r="21" spans="2:14" ht="5.25" customHeight="1" x14ac:dyDescent="0.35">
      <c r="H21" s="435"/>
    </row>
    <row r="22" spans="2:14" x14ac:dyDescent="0.35">
      <c r="B22" s="429">
        <v>5</v>
      </c>
      <c r="C22" s="430" t="s">
        <v>561</v>
      </c>
      <c r="D22" s="430"/>
      <c r="E22" s="430"/>
      <c r="F22" s="431">
        <f>G22/E7*10^3</f>
        <v>12150.874352331608</v>
      </c>
      <c r="G22" s="432">
        <f>G7-G14-G17</f>
        <v>18760.95</v>
      </c>
      <c r="H22" s="445"/>
      <c r="N22" s="432"/>
    </row>
    <row r="23" spans="2:14" x14ac:dyDescent="0.35">
      <c r="F23" s="384"/>
    </row>
    <row r="24" spans="2:14" s="99" customFormat="1" hidden="1" x14ac:dyDescent="0.35">
      <c r="F24" s="427"/>
    </row>
    <row r="25" spans="2:14" hidden="1" x14ac:dyDescent="0.35">
      <c r="F25" s="384"/>
    </row>
    <row r="26" spans="2:14" hidden="1" x14ac:dyDescent="0.35">
      <c r="F26" s="384"/>
    </row>
    <row r="27" spans="2:14" s="102" customFormat="1" hidden="1" x14ac:dyDescent="0.35">
      <c r="C27" s="102" t="s">
        <v>551</v>
      </c>
      <c r="E27" s="401" cm="1">
        <f t="array" ref="E27">-SUMPRODUCT('Bán hàng-Break-down BOM'!$D$6:$AA$15*('Bán hàng-Break-down BOM'!$D$3:$AA$3&lt;=$D$2)*('Bán hàng-Break-down BOM'!$D$3:$AA$3&gt;=$D$1))/10^3</f>
        <v>1606.6282426296291</v>
      </c>
      <c r="F27" s="401"/>
      <c r="G27" s="264" cm="1">
        <f t="array" ref="G27">SUMPRODUCT('Bán hàng-Break-down BOM'!$D$57:$AA$66*('Bán hàng-Break-down BOM'!$D$3:$AA$3&lt;=$D$2)*('Bán hàng-Break-down BOM'!$D$3:$AA$3&gt;=$D$1))/10^6</f>
        <v>24957.4107569847</v>
      </c>
      <c r="H27" s="264">
        <f>G27/$E$27*10^3</f>
        <v>15534.029649656826</v>
      </c>
    </row>
    <row r="28" spans="2:14" s="102" customFormat="1" hidden="1" x14ac:dyDescent="0.35">
      <c r="C28" s="102" t="s">
        <v>552</v>
      </c>
      <c r="E28" s="401"/>
      <c r="F28" s="401"/>
      <c r="G28" s="264" cm="1">
        <f t="array" ref="G28">SUMPRODUCT('Điều chỉnh'!$G$11:$BA$11*('Điều chỉnh'!$G$4:$BA$4="Trước đ/c")*('Điều chỉnh'!$G$1:$BA$1&gt;=$D$1)*('Điều chỉnh'!$G$1:$BA$1&lt;=$D$2))</f>
        <v>32588.508971954183</v>
      </c>
    </row>
    <row r="29" spans="2:14" s="102" customFormat="1" hidden="1" x14ac:dyDescent="0.35">
      <c r="C29" s="102" t="s">
        <v>553</v>
      </c>
      <c r="E29" s="401"/>
      <c r="F29" s="401"/>
      <c r="G29" s="264">
        <f>G28-G14</f>
        <v>24868.508971954183</v>
      </c>
      <c r="H29" s="264">
        <f>G29/$E$27*10^3</f>
        <v>15478.695265091916</v>
      </c>
    </row>
    <row r="30" spans="2:14" hidden="1" x14ac:dyDescent="0.35">
      <c r="C30" s="102" t="s">
        <v>555</v>
      </c>
      <c r="G30" s="408">
        <f>IFERROR(G29/G27,0)</f>
        <v>0.99643786024535275</v>
      </c>
    </row>
    <row r="31" spans="2:14" hidden="1" x14ac:dyDescent="0.35">
      <c r="G31" s="6"/>
    </row>
  </sheetData>
  <mergeCells count="3">
    <mergeCell ref="C4:C5"/>
    <mergeCell ref="B4:B5"/>
    <mergeCell ref="D4:H4"/>
  </mergeCells>
  <dataValidations count="1">
    <dataValidation type="list" allowBlank="1" showInputMessage="1" showErrorMessage="1" sqref="D1:D2" xr:uid="{54E6C517-F666-48DE-B6C5-646348E101B1}">
      <formula1>"1,2,3,4,5,6,7,8,9,10,11,12"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9189-D483-473A-BAF6-A0F32F9799EF}">
  <sheetPr>
    <tabColor rgb="FFC00000"/>
  </sheetPr>
  <dimension ref="B1:R31"/>
  <sheetViews>
    <sheetView showGridLines="0" topLeftCell="B1" zoomScale="130" zoomScaleNormal="130" workbookViewId="0">
      <selection activeCell="N12" sqref="N12"/>
    </sheetView>
  </sheetViews>
  <sheetFormatPr defaultRowHeight="15" customHeight="1" zeroHeight="1" x14ac:dyDescent="0.35"/>
  <cols>
    <col min="1" max="1" width="9" customWidth="1"/>
    <col min="2" max="2" width="3.75" bestFit="1" customWidth="1"/>
    <col min="3" max="3" width="20.25" customWidth="1"/>
    <col min="4" max="5" width="10.83203125" customWidth="1"/>
    <col min="6" max="6" width="12.33203125" customWidth="1"/>
    <col min="7" max="7" width="11.25" customWidth="1"/>
    <col min="8" max="8" width="9.83203125" bestFit="1" customWidth="1"/>
    <col min="9" max="9" width="10.08203125" customWidth="1"/>
    <col min="10" max="10" width="9.25" bestFit="1" customWidth="1"/>
    <col min="12" max="12" width="9.25" bestFit="1" customWidth="1"/>
    <col min="14" max="14" width="10.58203125" bestFit="1" customWidth="1"/>
    <col min="16" max="16" width="9.58203125" bestFit="1" customWidth="1"/>
    <col min="18" max="18" width="10.58203125" bestFit="1" customWidth="1"/>
  </cols>
  <sheetData>
    <row r="1" spans="2:18" ht="14.5" x14ac:dyDescent="0.35">
      <c r="C1" s="396" t="s">
        <v>548</v>
      </c>
      <c r="D1" s="397">
        <v>1</v>
      </c>
      <c r="I1" s="384"/>
    </row>
    <row r="2" spans="2:18" thickBot="1" x14ac:dyDescent="0.4">
      <c r="C2" s="398" t="s">
        <v>549</v>
      </c>
      <c r="D2" s="399">
        <v>12</v>
      </c>
    </row>
    <row r="3" spans="2:18" ht="14.5" x14ac:dyDescent="0.35"/>
    <row r="4" spans="2:18" ht="14.5" x14ac:dyDescent="0.35">
      <c r="B4" s="471" t="s">
        <v>168</v>
      </c>
      <c r="C4" s="471" t="s">
        <v>514</v>
      </c>
      <c r="D4" s="472" t="str">
        <f>"Từ tháng  "&amp;D1&amp;" đến tháng "&amp;D2</f>
        <v>Từ tháng  1 đến tháng 12</v>
      </c>
      <c r="E4" s="472"/>
      <c r="F4" s="472"/>
      <c r="G4" s="472"/>
      <c r="H4" s="472"/>
    </row>
    <row r="5" spans="2:18" ht="14.5" x14ac:dyDescent="0.35">
      <c r="B5" s="471"/>
      <c r="C5" s="471"/>
      <c r="D5" s="377" t="s">
        <v>544</v>
      </c>
      <c r="E5" s="377" t="s">
        <v>162</v>
      </c>
      <c r="F5" s="377" t="s">
        <v>519</v>
      </c>
      <c r="G5" s="377" t="s">
        <v>48</v>
      </c>
      <c r="H5" s="377" t="s">
        <v>566</v>
      </c>
    </row>
    <row r="6" spans="2:18" s="90" customFormat="1" ht="12" x14ac:dyDescent="0.3">
      <c r="B6" s="379"/>
      <c r="C6" s="379"/>
      <c r="D6" s="380"/>
      <c r="E6" s="380" t="s">
        <v>501</v>
      </c>
      <c r="F6" s="380" t="s">
        <v>502</v>
      </c>
      <c r="G6" s="380" t="s">
        <v>543</v>
      </c>
      <c r="H6" s="380"/>
    </row>
    <row r="7" spans="2:18" s="9" customFormat="1" ht="14.5" x14ac:dyDescent="0.35">
      <c r="B7" s="409">
        <v>1</v>
      </c>
      <c r="C7" s="410" t="s">
        <v>60</v>
      </c>
      <c r="D7" s="411"/>
      <c r="E7" s="412" cm="1">
        <f t="array" ref="E7">SUMPRODUCT('Slide 2'!$B$4:$B$15*('Slide 2'!$A$4:$A$15&gt;=$D$1)*('Slide 2'!$A$4:$A$15&lt;=$D$2))</f>
        <v>1544</v>
      </c>
      <c r="F7" s="412" cm="1">
        <f t="array" ref="F7">IFERROR(SUMPRODUCT('Slide 1'!$B$4:$B$15*('Slide 1'!$A$4:$A$15&gt;=$D$1)*('Slide 1'!$A$4:$A$15&lt;=$D$2))*10^3/$E$7,0)</f>
        <v>18500.971502590673</v>
      </c>
      <c r="G7" s="413">
        <f>E7*F7/10^3</f>
        <v>28565.5</v>
      </c>
      <c r="H7" s="436">
        <f t="shared" ref="H7:H15" si="0">IFERROR(F7/F$7,0)</f>
        <v>1</v>
      </c>
      <c r="M7" s="261"/>
      <c r="N7" s="413">
        <f>G7</f>
        <v>28565.5</v>
      </c>
      <c r="P7" s="413">
        <f>N7</f>
        <v>28565.5</v>
      </c>
    </row>
    <row r="8" spans="2:18" s="9" customFormat="1" ht="14.5" x14ac:dyDescent="0.35">
      <c r="B8" s="409">
        <v>2</v>
      </c>
      <c r="C8" s="410" t="s">
        <v>554</v>
      </c>
      <c r="D8" s="411"/>
      <c r="E8" s="412"/>
      <c r="F8" s="412">
        <f>F9+F13+F14</f>
        <v>16051.934009513143</v>
      </c>
      <c r="G8" s="412">
        <f>G9+G13+G14</f>
        <v>24784.186110688293</v>
      </c>
      <c r="H8" s="437">
        <f t="shared" si="0"/>
        <v>0.86762654638246461</v>
      </c>
      <c r="J8" s="419"/>
      <c r="M8" s="261"/>
      <c r="N8" s="412">
        <f>N9+N13+N14</f>
        <v>23507.094741412333</v>
      </c>
      <c r="P8" s="412">
        <f>P9+P13+P14</f>
        <v>26480.949999999983</v>
      </c>
    </row>
    <row r="9" spans="2:18" s="9" customFormat="1" ht="14.5" x14ac:dyDescent="0.35">
      <c r="B9" s="376">
        <v>2.1</v>
      </c>
      <c r="C9" s="374" t="s">
        <v>481</v>
      </c>
      <c r="D9" s="382"/>
      <c r="E9" s="378"/>
      <c r="F9" s="378">
        <f>IFERROR(G9/E$7,0)*10^3</f>
        <v>10621.116732492324</v>
      </c>
      <c r="G9" s="378">
        <f>SUM(G10:G12)</f>
        <v>16399.00423496815</v>
      </c>
      <c r="H9" s="438">
        <f t="shared" si="0"/>
        <v>0.57408427071005752</v>
      </c>
      <c r="J9" s="261"/>
      <c r="N9" s="378">
        <f>SUM(N10:N12)</f>
        <v>15171.695376675758</v>
      </c>
      <c r="O9" s="433"/>
      <c r="P9" s="378">
        <f>SUM(P10:P12)</f>
        <v>18029.626289021748</v>
      </c>
    </row>
    <row r="10" spans="2:18" s="375" customFormat="1" ht="14.5" x14ac:dyDescent="0.35">
      <c r="B10" s="420"/>
      <c r="C10" s="421" t="s">
        <v>132</v>
      </c>
      <c r="D10" s="407">
        <f>E10/E$7</f>
        <v>0.33866242830969373</v>
      </c>
      <c r="E10" s="422" cm="1">
        <f t="array" ref="E10">-SUMPRODUCT('Bán hàng-Break-down BOM'!$D$6:$AA$15*('Bán hàng-Break-down BOM'!$A$6:$A$15=$C10)*('Bán hàng-Break-down BOM'!$D$3:$AA$3&lt;=$D$2)*('Bán hàng-Break-down BOM'!$D$3:$AA$3&gt;=$D$1))/10^3+$E$13*SUMPRODUCT('Bán hàng-Break-down BOM'!$D$6:$AA$15*('Bán hàng-Break-down BOM'!$A$6:$A$15=$C10)*('Bán hàng-Break-down BOM'!$D$3:$AA$3&lt;=$D$2)*('Bán hàng-Break-down BOM'!$D$3:$AA$3&gt;=$D$1))/10^3/$E$27</f>
        <v>522.89478931016708</v>
      </c>
      <c r="F10" s="422" cm="1">
        <f t="array" ref="F10">IFERROR(SUMPRODUCT('Bán hàng-Break-down BOM'!$D$57:$AA$66*('Bán hàng-Break-down BOM'!$A$57:$A$66=$C10)*('Bán hàng-Break-down BOM'!$D$3:$AA$3&gt;=$D$1)*('Bán hàng-Break-down BOM'!$D$3:$AA$3&lt;=$D$2))/10^6*$G$30/SUM($D$10:$D$13)/$E10*10^3,0)
+IFERROR(SUMPRODUCT('Điều chỉnh'!$G$21:$BA$32*('Điều chỉnh'!$A$21:$A$32=$C10)*('Điều chỉnh'!$G$4:$BA$4="Điều chỉnh")*('Điều chỉnh'!$G$1:$BA$1&gt;=$D$1)*('Điều chỉnh'!$G$1:$BA$1&lt;=$D$2))/($E10*(1+$D$13)),0)*10^3</f>
        <v>8940.9858783812615</v>
      </c>
      <c r="G10" s="422">
        <f>E10*F10/10^3</f>
        <v>4675.1949271013482</v>
      </c>
      <c r="H10" s="439">
        <f t="shared" si="0"/>
        <v>0.4832711556325171</v>
      </c>
      <c r="J10" s="425"/>
      <c r="K10" s="426"/>
      <c r="N10" s="422">
        <f t="shared" ref="N10:N11" si="1">G10</f>
        <v>4675.1949271013482</v>
      </c>
      <c r="O10" s="425"/>
      <c r="P10" s="422">
        <f>N10*Q10</f>
        <v>5555.8733069182317</v>
      </c>
      <c r="Q10" s="448">
        <v>1.1883725477865603</v>
      </c>
      <c r="R10" s="425">
        <f>P10/E10*10^3</f>
        <v>10625.222168015594</v>
      </c>
    </row>
    <row r="11" spans="2:18" s="375" customFormat="1" ht="14.5" x14ac:dyDescent="0.35">
      <c r="B11" s="420"/>
      <c r="C11" s="421" t="s">
        <v>550</v>
      </c>
      <c r="D11" s="407">
        <f t="shared" ref="D11:D12" si="2">E11/E$7</f>
        <v>0.54756370596537973</v>
      </c>
      <c r="E11" s="422" cm="1">
        <f t="array" ref="E11">-SUMPRODUCT('Bán hàng-Break-down BOM'!$D$6:$AA$15*('Bán hàng-Break-down BOM'!$A$6:$A$15=$C11)*('Bán hàng-Break-down BOM'!$D$3:$AA$3&lt;=$D$2)*('Bán hàng-Break-down BOM'!$D$3:$AA$3&gt;=$D$1))/10^3+$E$13*SUMPRODUCT('Bán hàng-Break-down BOM'!$D$6:$AA$15*('Bán hàng-Break-down BOM'!$A$6:$A$15=$C11)*('Bán hàng-Break-down BOM'!$D$3:$AA$3&lt;=$D$2)*('Bán hàng-Break-down BOM'!$D$3:$AA$3&gt;=$D$1))/10^3/$E$27</f>
        <v>845.43836201054637</v>
      </c>
      <c r="F11" s="422" cm="1">
        <f t="array" ref="F11">IFERROR(SUMPRODUCT('Bán hàng-Break-down BOM'!$D$57:$AA$66*('Bán hàng-Break-down BOM'!$A$57:$A$66=$C11)*('Bán hàng-Break-down BOM'!$D$3:$AA$3&gt;=$D$1)*('Bán hàng-Break-down BOM'!$D$3:$AA$3&lt;=$D$2))/10^6*$G$30/SUM($D$10:$D$13)/$E11*10^3,0)
+IFERROR(SUMPRODUCT('Điều chỉnh'!$G$21:$BA$32*('Điều chỉnh'!$A$21:$A$32=$C11)*('Điều chỉnh'!$G$4:$BA$4="Điều chỉnh")*('Điều chỉnh'!$G$1:$BA$1&gt;=$D$1)*('Điều chỉnh'!$G$1:$BA$1&lt;=$D$2))/($E11*(1+$D$13)),0)*10^3</f>
        <v>9215.6108949030622</v>
      </c>
      <c r="G11" s="422">
        <f>E11*F11/10^3</f>
        <v>7791.23097991339</v>
      </c>
      <c r="H11" s="439">
        <f t="shared" si="0"/>
        <v>0.49811497161717205</v>
      </c>
      <c r="N11" s="422">
        <f t="shared" si="1"/>
        <v>7791.23097991339</v>
      </c>
      <c r="O11" s="446"/>
      <c r="P11" s="422">
        <f t="shared" ref="P11:P12" si="3">N11*Q11</f>
        <v>9258.8850099932533</v>
      </c>
      <c r="Q11" s="375">
        <f>Q10</f>
        <v>1.1883725477865603</v>
      </c>
      <c r="R11" s="425">
        <f t="shared" ref="R11:R12" si="4">P11/E11*10^3</f>
        <v>10951.578998585534</v>
      </c>
    </row>
    <row r="12" spans="2:18" s="375" customFormat="1" ht="14.5" x14ac:dyDescent="0.35">
      <c r="B12" s="420"/>
      <c r="C12" s="421" t="s">
        <v>542</v>
      </c>
      <c r="D12" s="407">
        <f t="shared" si="2"/>
        <v>0.11377386572492686</v>
      </c>
      <c r="E12" s="422" cm="1">
        <f t="array" ref="E12">-SUMPRODUCT('Bán hàng-Break-down BOM'!$D$6:$AA$15*('Bán hàng-Break-down BOM'!$A$6:$A$15=$C12)*('Bán hàng-Break-down BOM'!$D$3:$AA$3&lt;=$D$2)*('Bán hàng-Break-down BOM'!$D$3:$AA$3&gt;=$D$1))/10^3+$E$13*SUMPRODUCT('Bán hàng-Break-down BOM'!$D$6:$AA$15*('Bán hàng-Break-down BOM'!$A$6:$A$15=$C12)*('Bán hàng-Break-down BOM'!$D$3:$AA$3&lt;=$D$2)*('Bán hàng-Break-down BOM'!$D$3:$AA$3&gt;=$D$1))/10^3/$E$27</f>
        <v>175.66684867928706</v>
      </c>
      <c r="F12" s="422" cm="1">
        <f t="array" ref="F12">IFERROR(SUMPRODUCT('Bán hàng-Break-down BOM'!$D$57:$AA$66*('Bán hàng-Break-down BOM'!$A$57:$A$66=$C12)*('Bán hàng-Break-down BOM'!$D$3:$AA$3&gt;=$D$1)*('Bán hàng-Break-down BOM'!$D$3:$AA$3&lt;=$D$2))/10^6*$G$30/SUM($D$10:$D$13)/$E12*10^3,0)</f>
        <v>22386.570701983015</v>
      </c>
      <c r="G12" s="422">
        <f>E12*F12/10^3</f>
        <v>3932.5783279534112</v>
      </c>
      <c r="H12" s="439">
        <f t="shared" si="0"/>
        <v>1.2100213601673968</v>
      </c>
      <c r="N12" s="422">
        <f>15400*E12/10^3</f>
        <v>2705.2694696610206</v>
      </c>
      <c r="O12" s="446"/>
      <c r="P12" s="422">
        <f t="shared" si="3"/>
        <v>3214.867972110264</v>
      </c>
      <c r="Q12" s="375">
        <f>Q11</f>
        <v>1.1883725477865603</v>
      </c>
      <c r="R12" s="425">
        <f t="shared" si="4"/>
        <v>18300.937235913028</v>
      </c>
    </row>
    <row r="13" spans="2:18" s="9" customFormat="1" ht="14.5" x14ac:dyDescent="0.35">
      <c r="B13" s="376">
        <v>2.2000000000000002</v>
      </c>
      <c r="C13" s="374" t="s">
        <v>475</v>
      </c>
      <c r="D13" s="428">
        <f>E13/E$7</f>
        <v>4.0562333309345264E-2</v>
      </c>
      <c r="E13" s="378" cm="1">
        <f t="array" ref="E13">-SUMPRODUCT('Bán hàng-Break-down BOM'!$D$6:$AA$15*('Bán hàng-Break-down BOM'!$D$3:$AA$3&lt;=$D$2)*('Bán hàng-Break-down BOM'!$D$3:$AA$3&gt;=$D$1))/10^3-E7</f>
        <v>62.628242629629085</v>
      </c>
      <c r="F13" s="378">
        <f>IFERROR(G13/$E$7,0)*10^3</f>
        <v>430.81727702081781</v>
      </c>
      <c r="G13" s="378">
        <f>D$13*SUM(G10:G12)</f>
        <v>665.18187572014267</v>
      </c>
      <c r="H13" s="438">
        <f t="shared" si="0"/>
        <v>2.3286197536193754E-2</v>
      </c>
      <c r="J13" s="261"/>
      <c r="N13" s="378">
        <f>D13*N9</f>
        <v>615.39936473657463</v>
      </c>
      <c r="P13" s="378">
        <f>D13*P9</f>
        <v>731.32371097823386</v>
      </c>
    </row>
    <row r="14" spans="2:18" s="9" customFormat="1" ht="14.5" x14ac:dyDescent="0.35">
      <c r="B14" s="402">
        <v>2.2999999999999998</v>
      </c>
      <c r="C14" s="403" t="s">
        <v>545</v>
      </c>
      <c r="D14" s="404"/>
      <c r="E14" s="405">
        <f>E$7</f>
        <v>1544</v>
      </c>
      <c r="F14" s="406">
        <v>5000</v>
      </c>
      <c r="G14" s="405">
        <f>E14*F14/10^3</f>
        <v>7720</v>
      </c>
      <c r="H14" s="440">
        <f t="shared" si="0"/>
        <v>0.27025607813621327</v>
      </c>
      <c r="N14" s="405">
        <f>G14</f>
        <v>7720</v>
      </c>
      <c r="P14" s="405">
        <f>G14</f>
        <v>7720</v>
      </c>
    </row>
    <row r="15" spans="2:18" s="9" customFormat="1" ht="14.5" x14ac:dyDescent="0.35">
      <c r="B15" s="414">
        <v>3</v>
      </c>
      <c r="C15" s="415" t="s">
        <v>62</v>
      </c>
      <c r="D15" s="416"/>
      <c r="E15" s="417"/>
      <c r="F15" s="418">
        <f>F7-F8</f>
        <v>2449.0374930775306</v>
      </c>
      <c r="G15" s="417">
        <f>G7-G8</f>
        <v>3781.3138893117066</v>
      </c>
      <c r="H15" s="441">
        <f t="shared" si="0"/>
        <v>0.13237345361753539</v>
      </c>
      <c r="N15" s="417">
        <f>N7-N8</f>
        <v>5058.405258587667</v>
      </c>
      <c r="P15" s="417">
        <f>P7-P8</f>
        <v>2084.5500000000175</v>
      </c>
    </row>
    <row r="16" spans="2:18" s="20" customFormat="1" ht="12" x14ac:dyDescent="0.3">
      <c r="B16" s="423"/>
      <c r="C16" s="423" t="s">
        <v>557</v>
      </c>
      <c r="D16" s="423"/>
      <c r="E16" s="423"/>
      <c r="F16" s="424">
        <f>IFERROR(F15/F$7,0)</f>
        <v>0.13237345361753539</v>
      </c>
      <c r="G16" s="424">
        <f>IFERROR(G15/G$7,0)</f>
        <v>0.13237345361753536</v>
      </c>
      <c r="H16" s="442"/>
      <c r="N16" s="424"/>
      <c r="P16" s="424"/>
    </row>
    <row r="17" spans="2:16" ht="14.5" x14ac:dyDescent="0.35">
      <c r="B17" s="308"/>
      <c r="C17" s="308" t="s">
        <v>63</v>
      </c>
      <c r="D17" s="383"/>
      <c r="E17" s="381">
        <f>E$7</f>
        <v>1544</v>
      </c>
      <c r="F17" s="309">
        <f>(F7-5000)*10%</f>
        <v>1350.0971502590673</v>
      </c>
      <c r="G17" s="309">
        <f>E17*F17/10^3</f>
        <v>2084.5500000000002</v>
      </c>
      <c r="H17" s="443">
        <f>IFERROR(F17/F$7,0)</f>
        <v>7.2974392186378675E-2</v>
      </c>
      <c r="N17" s="309">
        <f>G17</f>
        <v>2084.5500000000002</v>
      </c>
      <c r="P17" s="309">
        <f>G17</f>
        <v>2084.5500000000002</v>
      </c>
    </row>
    <row r="18" spans="2:16" s="20" customFormat="1" ht="12" x14ac:dyDescent="0.3">
      <c r="B18" s="423"/>
      <c r="C18" s="423" t="s">
        <v>558</v>
      </c>
      <c r="D18" s="423"/>
      <c r="E18" s="423"/>
      <c r="F18" s="424">
        <f>IFERROR(F17/F$7,0)</f>
        <v>7.2974392186378675E-2</v>
      </c>
      <c r="G18" s="424">
        <f>IFERROR(G17/G$7,0)</f>
        <v>7.2974392186378675E-2</v>
      </c>
      <c r="H18" s="442"/>
      <c r="N18" s="424"/>
      <c r="P18" s="424"/>
    </row>
    <row r="19" spans="2:16" s="9" customFormat="1" ht="14.5" x14ac:dyDescent="0.35">
      <c r="B19" s="414">
        <v>4</v>
      </c>
      <c r="C19" s="415" t="s">
        <v>559</v>
      </c>
      <c r="D19" s="416"/>
      <c r="E19" s="417"/>
      <c r="F19" s="418">
        <f>F15-F17</f>
        <v>1098.9403428184633</v>
      </c>
      <c r="G19" s="418">
        <f>G15-G17</f>
        <v>1696.7638893117064</v>
      </c>
      <c r="H19" s="444">
        <f>IFERROR(F19/F$7,0)</f>
        <v>5.9399061431156717E-2</v>
      </c>
      <c r="M19" s="261"/>
      <c r="N19" s="418">
        <f>N15-N17</f>
        <v>2973.8552585876669</v>
      </c>
      <c r="P19" s="418">
        <f>P15-P17</f>
        <v>1.7280399333685637E-11</v>
      </c>
    </row>
    <row r="20" spans="2:16" s="20" customFormat="1" ht="12" x14ac:dyDescent="0.3">
      <c r="B20" s="423"/>
      <c r="C20" s="423" t="s">
        <v>560</v>
      </c>
      <c r="D20" s="423"/>
      <c r="E20" s="423"/>
      <c r="F20" s="424">
        <f>IFERROR(F19/F$7,0)</f>
        <v>5.9399061431156717E-2</v>
      </c>
      <c r="G20" s="424">
        <f>IFERROR(G19/G$7,0)</f>
        <v>5.939906143115669E-2</v>
      </c>
      <c r="H20" s="442"/>
      <c r="N20" s="424"/>
      <c r="P20" s="424"/>
    </row>
    <row r="21" spans="2:16" ht="5.25" customHeight="1" x14ac:dyDescent="0.35">
      <c r="H21" s="435"/>
    </row>
    <row r="22" spans="2:16" ht="14.5" x14ac:dyDescent="0.35">
      <c r="B22" s="429">
        <v>5</v>
      </c>
      <c r="C22" s="430" t="s">
        <v>561</v>
      </c>
      <c r="D22" s="430"/>
      <c r="E22" s="430"/>
      <c r="F22" s="431">
        <f>G22/E7*10^3</f>
        <v>12150.874352331608</v>
      </c>
      <c r="G22" s="432">
        <f>G7-G14-G17</f>
        <v>18760.95</v>
      </c>
      <c r="H22" s="445"/>
      <c r="N22" s="432"/>
      <c r="P22" s="432"/>
    </row>
    <row r="23" spans="2:16" ht="14.5" x14ac:dyDescent="0.35">
      <c r="F23" s="384"/>
    </row>
    <row r="24" spans="2:16" s="99" customFormat="1" ht="14.5" hidden="1" x14ac:dyDescent="0.35">
      <c r="F24" s="427"/>
    </row>
    <row r="25" spans="2:16" ht="14.5" hidden="1" x14ac:dyDescent="0.35">
      <c r="F25" s="384"/>
    </row>
    <row r="26" spans="2:16" ht="14.5" hidden="1" x14ac:dyDescent="0.35">
      <c r="F26" s="384"/>
    </row>
    <row r="27" spans="2:16" s="102" customFormat="1" ht="14.5" hidden="1" x14ac:dyDescent="0.35">
      <c r="C27" s="102" t="s">
        <v>551</v>
      </c>
      <c r="E27" s="401" cm="1">
        <f t="array" ref="E27">-SUMPRODUCT('Bán hàng-Break-down BOM'!$D$6:$AA$15*('Bán hàng-Break-down BOM'!$D$3:$AA$3&lt;=$D$2)*('Bán hàng-Break-down BOM'!$D$3:$AA$3&gt;=$D$1))/10^3</f>
        <v>1606.6282426296291</v>
      </c>
      <c r="F27" s="401"/>
      <c r="G27" s="264" cm="1">
        <f t="array" ref="G27">SUMPRODUCT('Bán hàng-Break-down BOM'!$D$57:$AA$66*('Bán hàng-Break-down BOM'!$D$3:$AA$3&lt;=$D$2)*('Bán hàng-Break-down BOM'!$D$3:$AA$3&gt;=$D$1))/10^6</f>
        <v>24957.4107569847</v>
      </c>
      <c r="H27" s="264">
        <f>G27/$E$27*10^3</f>
        <v>15534.029649656826</v>
      </c>
    </row>
    <row r="28" spans="2:16" s="102" customFormat="1" ht="14.5" hidden="1" x14ac:dyDescent="0.35">
      <c r="C28" s="102" t="s">
        <v>552</v>
      </c>
      <c r="E28" s="401"/>
      <c r="F28" s="401"/>
      <c r="G28" s="264" cm="1">
        <f t="array" ref="G28">SUMPRODUCT('Điều chỉnh'!$G$11:$BA$11*('Điều chỉnh'!$G$4:$BA$4="Trước đ/c")*('Điều chỉnh'!$G$1:$BA$1&gt;=$D$1)*('Điều chỉnh'!$G$1:$BA$1&lt;=$D$2))</f>
        <v>32588.508971954183</v>
      </c>
    </row>
    <row r="29" spans="2:16" s="102" customFormat="1" ht="14.5" hidden="1" x14ac:dyDescent="0.35">
      <c r="C29" s="102" t="s">
        <v>553</v>
      </c>
      <c r="E29" s="401"/>
      <c r="F29" s="401"/>
      <c r="G29" s="264">
        <f>G28-G14</f>
        <v>24868.508971954183</v>
      </c>
      <c r="H29" s="264">
        <f>G29/$E$27*10^3</f>
        <v>15478.695265091916</v>
      </c>
    </row>
    <row r="30" spans="2:16" ht="14.5" hidden="1" x14ac:dyDescent="0.35">
      <c r="C30" s="102" t="s">
        <v>555</v>
      </c>
      <c r="G30" s="408">
        <f>IFERROR(G29/G27,0)</f>
        <v>0.99643786024535275</v>
      </c>
    </row>
    <row r="31" spans="2:16" ht="14.5" hidden="1" x14ac:dyDescent="0.35">
      <c r="G31" s="6"/>
    </row>
  </sheetData>
  <mergeCells count="3">
    <mergeCell ref="B4:B5"/>
    <mergeCell ref="C4:C5"/>
    <mergeCell ref="D4:H4"/>
  </mergeCells>
  <dataValidations disablePrompts="1" count="1">
    <dataValidation type="list" allowBlank="1" showInputMessage="1" showErrorMessage="1" sqref="D1:D2" xr:uid="{D59E9F55-0C4E-4396-84BC-76FE8C297D6A}">
      <formula1>"1,2,3,4,5,6,7,8,9,10,11,12"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1972-763F-43A7-BD7F-31F92A867706}">
  <dimension ref="A1:AM70"/>
  <sheetViews>
    <sheetView showGridLines="0" zoomScale="85" zoomScaleNormal="85" workbookViewId="0">
      <pane xSplit="3" ySplit="5" topLeftCell="D6" activePane="bottomRight" state="frozen"/>
      <selection activeCell="AE5" sqref="AE5"/>
      <selection pane="topRight" activeCell="AE5" sqref="AE5"/>
      <selection pane="bottomLeft" activeCell="AE5" sqref="AE5"/>
      <selection pane="bottomRight" activeCell="C6" sqref="C6"/>
    </sheetView>
  </sheetViews>
  <sheetFormatPr defaultRowHeight="14.5" x14ac:dyDescent="0.35"/>
  <cols>
    <col min="1" max="1" width="15.83203125" bestFit="1" customWidth="1"/>
    <col min="2" max="2" width="12.5" customWidth="1"/>
    <col min="3" max="3" width="24.75" bestFit="1" customWidth="1"/>
    <col min="4" max="17" width="16.25" bestFit="1" customWidth="1"/>
    <col min="18" max="18" width="14.33203125" customWidth="1"/>
    <col min="19" max="19" width="13.75" customWidth="1"/>
    <col min="20" max="22" width="16.25" bestFit="1" customWidth="1"/>
    <col min="23" max="24" width="16" bestFit="1" customWidth="1"/>
    <col min="25" max="26" width="6.83203125" customWidth="1"/>
    <col min="27" max="27" width="7.5" customWidth="1"/>
    <col min="28" max="28" width="11.75" bestFit="1" customWidth="1"/>
    <col min="29" max="29" width="10.75" customWidth="1"/>
    <col min="31" max="31" width="12.33203125" bestFit="1" customWidth="1"/>
    <col min="32" max="32" width="9.5" bestFit="1" customWidth="1"/>
    <col min="34" max="34" width="13" bestFit="1" customWidth="1"/>
    <col min="37" max="37" width="9.83203125" customWidth="1"/>
    <col min="38" max="38" width="12.83203125" customWidth="1"/>
  </cols>
  <sheetData>
    <row r="1" spans="1:39" ht="17" x14ac:dyDescent="0.4">
      <c r="B1" s="269" t="s">
        <v>395</v>
      </c>
      <c r="C1" s="270"/>
      <c r="D1" s="270"/>
      <c r="E1" s="270"/>
      <c r="F1" s="270"/>
      <c r="G1" s="305"/>
      <c r="H1" s="270"/>
      <c r="I1" s="270"/>
      <c r="J1" s="270"/>
      <c r="K1" s="305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</row>
    <row r="2" spans="1:39" ht="17" x14ac:dyDescent="0.4">
      <c r="B2" s="269"/>
      <c r="C2" s="270" t="s">
        <v>448</v>
      </c>
      <c r="D2" s="272" t="s">
        <v>474</v>
      </c>
      <c r="E2" s="270">
        <v>2</v>
      </c>
      <c r="F2" s="270">
        <v>2</v>
      </c>
      <c r="G2" s="270">
        <v>3</v>
      </c>
      <c r="H2" s="270">
        <v>3</v>
      </c>
      <c r="I2" s="270">
        <v>4</v>
      </c>
      <c r="J2" s="270">
        <v>4</v>
      </c>
      <c r="K2" s="270">
        <v>5</v>
      </c>
      <c r="L2" s="270">
        <v>5</v>
      </c>
      <c r="M2" s="270">
        <v>6</v>
      </c>
      <c r="N2" s="270">
        <v>6</v>
      </c>
      <c r="O2" s="270">
        <v>6</v>
      </c>
      <c r="P2" s="270">
        <v>7</v>
      </c>
      <c r="Q2" s="270">
        <v>8</v>
      </c>
      <c r="R2" s="270">
        <v>8</v>
      </c>
      <c r="S2" s="270">
        <v>9</v>
      </c>
      <c r="T2" s="270">
        <v>9</v>
      </c>
      <c r="U2" s="270">
        <v>10</v>
      </c>
      <c r="V2" s="270">
        <v>10</v>
      </c>
      <c r="W2" s="270">
        <v>10</v>
      </c>
      <c r="X2" s="270">
        <v>11</v>
      </c>
      <c r="Y2" s="270"/>
      <c r="Z2" s="270"/>
      <c r="AA2" s="270"/>
      <c r="AB2" s="270"/>
      <c r="AC2" s="343">
        <f>AC5-(NXT!C16-NXT!R16)</f>
        <v>0</v>
      </c>
    </row>
    <row r="3" spans="1:39" x14ac:dyDescent="0.35">
      <c r="B3" s="270"/>
      <c r="C3" s="270" t="s">
        <v>49</v>
      </c>
      <c r="D3" s="270">
        <v>2</v>
      </c>
      <c r="E3" s="270">
        <v>2</v>
      </c>
      <c r="F3" s="270">
        <v>3</v>
      </c>
      <c r="G3" s="270">
        <v>3</v>
      </c>
      <c r="H3" s="270">
        <v>4</v>
      </c>
      <c r="I3" s="270">
        <v>4</v>
      </c>
      <c r="J3" s="270">
        <v>5</v>
      </c>
      <c r="K3" s="270">
        <v>5</v>
      </c>
      <c r="L3" s="270">
        <v>6</v>
      </c>
      <c r="M3" s="270">
        <v>6</v>
      </c>
      <c r="N3" s="270">
        <v>7</v>
      </c>
      <c r="O3" s="270">
        <v>8</v>
      </c>
      <c r="P3" s="270">
        <v>8</v>
      </c>
      <c r="Q3" s="270">
        <v>8</v>
      </c>
      <c r="R3" s="270">
        <v>9</v>
      </c>
      <c r="S3" s="270">
        <v>9</v>
      </c>
      <c r="T3" s="270">
        <v>10</v>
      </c>
      <c r="U3" s="270">
        <v>10</v>
      </c>
      <c r="V3" s="270">
        <v>11</v>
      </c>
      <c r="W3" s="270">
        <v>12</v>
      </c>
      <c r="X3" s="270">
        <v>12</v>
      </c>
      <c r="Y3" s="270"/>
      <c r="Z3" s="270"/>
      <c r="AA3" s="270"/>
      <c r="AB3" s="270"/>
      <c r="AC3" s="339">
        <f>1+AC5/SUM(AC6:AC15)</f>
        <v>3.8461538461538547E-2</v>
      </c>
      <c r="AE3" s="339">
        <f>1+AE5/SUM(AE6:AE15)</f>
        <v>3.8461538461538436E-2</v>
      </c>
    </row>
    <row r="4" spans="1:39" s="8" customFormat="1" ht="15" thickBot="1" x14ac:dyDescent="0.4">
      <c r="B4" s="271" t="s">
        <v>1</v>
      </c>
      <c r="C4" s="271" t="s">
        <v>2</v>
      </c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3"/>
      <c r="AC4" s="8" t="str">
        <f>AE4</f>
        <v>L10</v>
      </c>
      <c r="AE4" s="342" t="s">
        <v>562</v>
      </c>
      <c r="AH4" s="297" t="s">
        <v>473</v>
      </c>
      <c r="AK4" s="8" t="s">
        <v>475</v>
      </c>
      <c r="AL4" s="8" t="s">
        <v>489</v>
      </c>
    </row>
    <row r="5" spans="1:39" s="9" customFormat="1" ht="15" thickBot="1" x14ac:dyDescent="0.4">
      <c r="B5" s="274" t="s">
        <v>10</v>
      </c>
      <c r="C5" s="274" t="s">
        <v>11</v>
      </c>
      <c r="D5" s="275">
        <v>124180</v>
      </c>
      <c r="E5" s="275">
        <v>261820</v>
      </c>
      <c r="F5" s="275">
        <v>26180</v>
      </c>
      <c r="G5" s="275">
        <v>113820</v>
      </c>
      <c r="H5" s="275">
        <v>56180</v>
      </c>
      <c r="I5" s="275">
        <v>63820</v>
      </c>
      <c r="J5" s="275">
        <v>56180</v>
      </c>
      <c r="K5" s="275">
        <v>23820</v>
      </c>
      <c r="L5" s="275">
        <v>46180</v>
      </c>
      <c r="M5" s="275">
        <v>53820</v>
      </c>
      <c r="N5" s="275">
        <v>20000</v>
      </c>
      <c r="O5" s="275">
        <v>28180</v>
      </c>
      <c r="P5" s="275">
        <v>40000</v>
      </c>
      <c r="Q5" s="275">
        <v>11820</v>
      </c>
      <c r="R5" s="275">
        <v>104180</v>
      </c>
      <c r="S5" s="275">
        <v>115820</v>
      </c>
      <c r="T5" s="275">
        <v>84180</v>
      </c>
      <c r="U5" s="275">
        <v>53820</v>
      </c>
      <c r="V5" s="275">
        <v>160000</v>
      </c>
      <c r="W5" s="275">
        <v>4180</v>
      </c>
      <c r="X5" s="275">
        <v>95820</v>
      </c>
      <c r="Y5" s="275"/>
      <c r="Z5" s="275"/>
      <c r="AA5" s="275"/>
      <c r="AB5" s="276">
        <f>SUM(D5:AA5)</f>
        <v>1544000</v>
      </c>
      <c r="AC5" s="19">
        <f>AE5-X5</f>
        <v>99180</v>
      </c>
      <c r="AE5" s="11">
        <f>SUMIFS(Table1[Change in Quantity],Table1[Tự xếp lô],AE$4,Table1[Material],$B5)</f>
        <v>195000</v>
      </c>
      <c r="AH5" s="17">
        <v>124180</v>
      </c>
      <c r="AK5" s="304">
        <f>AB5/SUM(AB6:AB15)+1</f>
        <v>3.8981166251082167E-2</v>
      </c>
      <c r="AL5" s="304">
        <v>3.5332763740185569E-2</v>
      </c>
      <c r="AM5" s="304"/>
    </row>
    <row r="6" spans="1:39" x14ac:dyDescent="0.35">
      <c r="A6" t="s">
        <v>550</v>
      </c>
      <c r="B6" s="270" t="s">
        <v>17</v>
      </c>
      <c r="C6" s="270" t="s">
        <v>18</v>
      </c>
      <c r="D6" s="277">
        <v>0</v>
      </c>
      <c r="E6" s="277">
        <v>0</v>
      </c>
      <c r="F6" s="277">
        <v>0</v>
      </c>
      <c r="G6" s="277">
        <v>0</v>
      </c>
      <c r="H6" s="277">
        <v>0</v>
      </c>
      <c r="I6" s="277">
        <v>0</v>
      </c>
      <c r="J6" s="277">
        <v>0</v>
      </c>
      <c r="K6" s="277">
        <v>0</v>
      </c>
      <c r="L6" s="277">
        <v>0</v>
      </c>
      <c r="M6" s="277">
        <v>0</v>
      </c>
      <c r="N6" s="277">
        <v>0</v>
      </c>
      <c r="O6" s="277">
        <v>0</v>
      </c>
      <c r="P6" s="277">
        <v>0</v>
      </c>
      <c r="Q6" s="277">
        <v>-2.9549999999999996E-2</v>
      </c>
      <c r="R6" s="277">
        <v>-0.26044999999999996</v>
      </c>
      <c r="S6" s="277">
        <v>0</v>
      </c>
      <c r="T6" s="277">
        <v>0</v>
      </c>
      <c r="U6" s="373">
        <v>0</v>
      </c>
      <c r="V6" s="277">
        <v>0</v>
      </c>
      <c r="W6" s="277">
        <v>0</v>
      </c>
      <c r="X6" s="277">
        <f>AE6*X$5/AE$5</f>
        <v>0</v>
      </c>
      <c r="Y6" s="277"/>
      <c r="Z6" s="277"/>
      <c r="AA6" s="277"/>
      <c r="AB6" s="278">
        <f t="shared" ref="AB6:AB15" si="0">SUM(D6:AA6)</f>
        <v>-0.28999999999999998</v>
      </c>
      <c r="AC6" s="3">
        <f t="shared" ref="AC6:AC15" si="1">AE6-X6</f>
        <v>0</v>
      </c>
      <c r="AE6" s="3">
        <f>SUMIFS(Table1[Change in Quantity],Table1[Tự xếp lô],AE$4,Table1[Material],$B6)</f>
        <v>0</v>
      </c>
      <c r="AF6" s="6"/>
      <c r="AH6" s="16">
        <v>0</v>
      </c>
    </row>
    <row r="7" spans="1:39" x14ac:dyDescent="0.35">
      <c r="A7" t="s">
        <v>542</v>
      </c>
      <c r="B7" s="270" t="s">
        <v>20</v>
      </c>
      <c r="C7" s="270" t="s">
        <v>21</v>
      </c>
      <c r="D7" s="277">
        <v>0</v>
      </c>
      <c r="E7" s="277">
        <v>0</v>
      </c>
      <c r="F7" s="277">
        <v>0</v>
      </c>
      <c r="G7" s="277">
        <v>0</v>
      </c>
      <c r="H7" s="277">
        <v>0</v>
      </c>
      <c r="I7" s="277">
        <v>0</v>
      </c>
      <c r="J7" s="277">
        <v>0</v>
      </c>
      <c r="K7" s="277">
        <v>-674.78657142857139</v>
      </c>
      <c r="L7" s="277">
        <v>-1308.2134285714287</v>
      </c>
      <c r="M7" s="277">
        <v>0</v>
      </c>
      <c r="N7" s="277">
        <v>0</v>
      </c>
      <c r="O7" s="277">
        <v>0</v>
      </c>
      <c r="P7" s="277">
        <v>0</v>
      </c>
      <c r="Q7" s="277">
        <v>0</v>
      </c>
      <c r="R7" s="277">
        <v>0</v>
      </c>
      <c r="S7" s="277">
        <v>0</v>
      </c>
      <c r="T7" s="277">
        <v>0</v>
      </c>
      <c r="U7" s="373">
        <v>0</v>
      </c>
      <c r="V7" s="277">
        <v>0</v>
      </c>
      <c r="W7" s="277">
        <v>0</v>
      </c>
      <c r="X7" s="277">
        <f t="shared" ref="X7:X15" si="2">AE7*X$5/AE$5</f>
        <v>0</v>
      </c>
      <c r="Y7" s="277"/>
      <c r="Z7" s="277"/>
      <c r="AA7" s="277"/>
      <c r="AB7" s="278">
        <f t="shared" si="0"/>
        <v>-1983</v>
      </c>
      <c r="AC7" s="3">
        <f t="shared" si="1"/>
        <v>0</v>
      </c>
      <c r="AD7" s="458">
        <f>AB7/(SUM($AB$6:$AB$15))</f>
        <v>1.2342618829819327E-3</v>
      </c>
      <c r="AE7" s="3">
        <f>SUMIFS(Table1[Change in Quantity],Table1[Tự xếp lô],AE$4,Table1[Material],$B7)</f>
        <v>0</v>
      </c>
      <c r="AH7" s="16">
        <v>0</v>
      </c>
    </row>
    <row r="8" spans="1:39" x14ac:dyDescent="0.35">
      <c r="A8" t="s">
        <v>542</v>
      </c>
      <c r="B8" s="457" t="s">
        <v>23</v>
      </c>
      <c r="C8" s="457" t="s">
        <v>24</v>
      </c>
      <c r="D8" s="277">
        <v>-1920.9572839506172</v>
      </c>
      <c r="E8" s="277">
        <v>0</v>
      </c>
      <c r="F8" s="277">
        <v>0</v>
      </c>
      <c r="G8" s="277">
        <v>0</v>
      </c>
      <c r="H8" s="277">
        <v>0</v>
      </c>
      <c r="I8" s="277">
        <v>0</v>
      </c>
      <c r="J8" s="277">
        <v>0</v>
      </c>
      <c r="K8" s="277">
        <v>-339.26485714285712</v>
      </c>
      <c r="L8" s="277">
        <v>-657.73514285714282</v>
      </c>
      <c r="M8" s="277">
        <v>0</v>
      </c>
      <c r="N8" s="277">
        <v>0</v>
      </c>
      <c r="O8" s="277">
        <v>0</v>
      </c>
      <c r="P8" s="277">
        <v>0</v>
      </c>
      <c r="Q8" s="277">
        <v>0</v>
      </c>
      <c r="R8" s="277">
        <v>0</v>
      </c>
      <c r="S8" s="277">
        <v>0</v>
      </c>
      <c r="T8" s="277">
        <v>0</v>
      </c>
      <c r="U8" s="373">
        <v>0</v>
      </c>
      <c r="V8" s="277">
        <v>0</v>
      </c>
      <c r="W8" s="277">
        <v>0</v>
      </c>
      <c r="X8" s="277">
        <f t="shared" si="2"/>
        <v>0</v>
      </c>
      <c r="Y8" s="277"/>
      <c r="Z8" s="277"/>
      <c r="AA8" s="277"/>
      <c r="AB8" s="278">
        <f t="shared" si="0"/>
        <v>-2917.9572839506172</v>
      </c>
      <c r="AC8" s="3">
        <f t="shared" si="1"/>
        <v>0</v>
      </c>
      <c r="AD8" s="458">
        <f t="shared" ref="AD8:AD15" si="3">AB8/(SUM($AB$6:$AB$15))</f>
        <v>1.8161994209529677E-3</v>
      </c>
      <c r="AE8" s="3">
        <f>SUMIFS(Table1[Change in Quantity],Table1[Tự xếp lô],AE$4,Table1[Material],$B8)</f>
        <v>0</v>
      </c>
      <c r="AH8" s="16">
        <v>-1920.9572839506172</v>
      </c>
    </row>
    <row r="9" spans="1:39" x14ac:dyDescent="0.35">
      <c r="A9" t="s">
        <v>542</v>
      </c>
      <c r="B9" s="457" t="s">
        <v>25</v>
      </c>
      <c r="C9" s="457" t="s">
        <v>26</v>
      </c>
      <c r="D9" s="277">
        <v>-11866.855432098766</v>
      </c>
      <c r="E9" s="277">
        <v>-31484.764097222225</v>
      </c>
      <c r="F9" s="277">
        <v>-3148.2359027777748</v>
      </c>
      <c r="G9" s="277">
        <v>-6604.9076470588234</v>
      </c>
      <c r="H9" s="277">
        <v>-3260.0923529411766</v>
      </c>
      <c r="I9" s="277">
        <v>-5294.4008333333331</v>
      </c>
      <c r="J9" s="277">
        <v>-4660.5991666666669</v>
      </c>
      <c r="K9" s="277">
        <v>-1852.8557142857144</v>
      </c>
      <c r="L9" s="277">
        <v>-3592.1442857142856</v>
      </c>
      <c r="M9" s="277">
        <v>-10519.171764705883</v>
      </c>
      <c r="N9" s="277">
        <v>-3909.0196078431372</v>
      </c>
      <c r="O9" s="277">
        <v>-5507.8086274509797</v>
      </c>
      <c r="P9" s="277">
        <v>0</v>
      </c>
      <c r="Q9" s="277">
        <v>-1034.7594827586206</v>
      </c>
      <c r="R9" s="277">
        <v>-9120.2405172413801</v>
      </c>
      <c r="S9" s="277">
        <v>-17379.3701</v>
      </c>
      <c r="T9" s="277">
        <v>-12631.6299</v>
      </c>
      <c r="U9" s="373">
        <v>-7771.8055045871561</v>
      </c>
      <c r="V9" s="277">
        <v>-23104.587155963301</v>
      </c>
      <c r="W9" s="277">
        <v>-603.60733944954336</v>
      </c>
      <c r="X9" s="277">
        <f t="shared" si="2"/>
        <v>-14544.493230769231</v>
      </c>
      <c r="Y9" s="277"/>
      <c r="Z9" s="277"/>
      <c r="AA9" s="277"/>
      <c r="AB9" s="278">
        <f t="shared" si="0"/>
        <v>-177891.348662868</v>
      </c>
      <c r="AC9" s="3">
        <f t="shared" si="1"/>
        <v>-15054.506769230769</v>
      </c>
      <c r="AD9" s="459">
        <f t="shared" si="3"/>
        <v>0.11072340442099192</v>
      </c>
      <c r="AE9" s="3">
        <f>SUMIFS(Table1[Change in Quantity],Table1[Tự xếp lô],AE$4,Table1[Material],$B9)</f>
        <v>-29599</v>
      </c>
      <c r="AH9" s="16">
        <v>-11866.855432098766</v>
      </c>
    </row>
    <row r="10" spans="1:39" x14ac:dyDescent="0.35">
      <c r="A10" t="s">
        <v>542</v>
      </c>
      <c r="B10" s="270" t="s">
        <v>27</v>
      </c>
      <c r="C10" s="270" t="s">
        <v>28</v>
      </c>
      <c r="D10" s="277">
        <v>0</v>
      </c>
      <c r="E10" s="277">
        <v>0</v>
      </c>
      <c r="F10" s="277">
        <v>0</v>
      </c>
      <c r="G10" s="277">
        <v>0</v>
      </c>
      <c r="H10" s="277">
        <v>0</v>
      </c>
      <c r="I10" s="277">
        <v>0</v>
      </c>
      <c r="J10" s="277">
        <v>0</v>
      </c>
      <c r="K10" s="277">
        <v>0</v>
      </c>
      <c r="L10" s="277">
        <v>0</v>
      </c>
      <c r="M10" s="277">
        <v>0</v>
      </c>
      <c r="N10" s="277">
        <v>0</v>
      </c>
      <c r="O10" s="277">
        <v>0</v>
      </c>
      <c r="P10" s="277">
        <v>0</v>
      </c>
      <c r="Q10" s="277">
        <v>0</v>
      </c>
      <c r="R10" s="277">
        <v>0</v>
      </c>
      <c r="S10" s="277">
        <v>0</v>
      </c>
      <c r="T10" s="277">
        <v>0</v>
      </c>
      <c r="U10" s="373">
        <v>0</v>
      </c>
      <c r="V10" s="277">
        <v>0</v>
      </c>
      <c r="W10" s="277">
        <v>0</v>
      </c>
      <c r="X10" s="277">
        <f t="shared" si="2"/>
        <v>0</v>
      </c>
      <c r="Y10" s="277"/>
      <c r="Z10" s="277"/>
      <c r="AA10" s="277"/>
      <c r="AB10" s="278">
        <f t="shared" si="0"/>
        <v>0</v>
      </c>
      <c r="AC10" s="3">
        <f t="shared" si="1"/>
        <v>0</v>
      </c>
      <c r="AD10" s="458">
        <f t="shared" si="3"/>
        <v>0</v>
      </c>
      <c r="AE10" s="3">
        <f>SUMIFS(Table1[Change in Quantity],Table1[Tự xếp lô],AE$4,Table1[Material],$B10)</f>
        <v>0</v>
      </c>
      <c r="AH10" s="16">
        <v>0</v>
      </c>
    </row>
    <row r="11" spans="1:39" x14ac:dyDescent="0.35">
      <c r="A11" t="s">
        <v>132</v>
      </c>
      <c r="B11" s="457" t="s">
        <v>29</v>
      </c>
      <c r="C11" s="457" t="s">
        <v>30</v>
      </c>
      <c r="D11" s="277">
        <v>-45679.842962962961</v>
      </c>
      <c r="E11" s="277">
        <v>-55654.931944444448</v>
      </c>
      <c r="F11" s="277">
        <v>-5565.0680555555518</v>
      </c>
      <c r="G11" s="277">
        <v>-26953.915058823528</v>
      </c>
      <c r="H11" s="277">
        <v>-13304.084941176472</v>
      </c>
      <c r="I11" s="277">
        <v>-21293.543000000001</v>
      </c>
      <c r="J11" s="277">
        <v>-18744.456999999999</v>
      </c>
      <c r="K11" s="277">
        <v>-15739.575428571428</v>
      </c>
      <c r="L11" s="277">
        <v>-30514.424571428572</v>
      </c>
      <c r="M11" s="277">
        <v>-26028.301764705884</v>
      </c>
      <c r="N11" s="277">
        <v>-9672.3529411764703</v>
      </c>
      <c r="O11" s="277">
        <v>-13628.345294117646</v>
      </c>
      <c r="P11" s="277">
        <v>-25970</v>
      </c>
      <c r="Q11" s="277">
        <v>-4585.3448275862065</v>
      </c>
      <c r="R11" s="277">
        <v>-40414.655172413797</v>
      </c>
      <c r="S11" s="277">
        <v>-54892.3099</v>
      </c>
      <c r="T11" s="277">
        <v>-39896.6901</v>
      </c>
      <c r="U11" s="373">
        <v>-19971.663853211008</v>
      </c>
      <c r="V11" s="277">
        <v>-59373.211009174309</v>
      </c>
      <c r="W11" s="277">
        <v>-1551.1251376146829</v>
      </c>
      <c r="X11" s="277">
        <f t="shared" si="2"/>
        <v>-14670.779076923078</v>
      </c>
      <c r="Y11" s="277"/>
      <c r="Z11" s="277"/>
      <c r="AA11" s="277"/>
      <c r="AB11" s="278">
        <f t="shared" si="0"/>
        <v>-544104.62203988596</v>
      </c>
      <c r="AC11" s="3">
        <f t="shared" si="1"/>
        <v>-15185.220923076922</v>
      </c>
      <c r="AD11" s="459">
        <f t="shared" si="3"/>
        <v>0.33866242830969362</v>
      </c>
      <c r="AE11" s="3">
        <f>SUMIFS(Table1[Change in Quantity],Table1[Tự xếp lô],AE$4,Table1[Material],$B11)</f>
        <v>-29856</v>
      </c>
      <c r="AH11" s="16">
        <v>-45679.842962962961</v>
      </c>
    </row>
    <row r="12" spans="1:39" x14ac:dyDescent="0.35">
      <c r="A12" t="s">
        <v>550</v>
      </c>
      <c r="B12" s="270" t="s">
        <v>34</v>
      </c>
      <c r="C12" s="270" t="s">
        <v>35</v>
      </c>
      <c r="D12" s="277">
        <v>0</v>
      </c>
      <c r="E12" s="277">
        <v>0</v>
      </c>
      <c r="F12" s="277">
        <v>0</v>
      </c>
      <c r="G12" s="277">
        <v>0</v>
      </c>
      <c r="H12" s="277">
        <v>0</v>
      </c>
      <c r="I12" s="277">
        <v>0</v>
      </c>
      <c r="J12" s="277">
        <v>0</v>
      </c>
      <c r="K12" s="277">
        <v>0</v>
      </c>
      <c r="L12" s="277">
        <v>0</v>
      </c>
      <c r="M12" s="277">
        <v>0</v>
      </c>
      <c r="N12" s="277">
        <v>0</v>
      </c>
      <c r="O12" s="277">
        <v>0</v>
      </c>
      <c r="P12" s="277">
        <v>0</v>
      </c>
      <c r="Q12" s="277">
        <v>0</v>
      </c>
      <c r="R12" s="277">
        <v>0</v>
      </c>
      <c r="S12" s="277">
        <v>0</v>
      </c>
      <c r="T12" s="277">
        <v>0</v>
      </c>
      <c r="U12" s="373">
        <v>0</v>
      </c>
      <c r="V12" s="277">
        <v>0</v>
      </c>
      <c r="W12" s="277">
        <v>0</v>
      </c>
      <c r="X12" s="277">
        <f t="shared" si="2"/>
        <v>0</v>
      </c>
      <c r="Y12" s="277"/>
      <c r="Z12" s="277"/>
      <c r="AA12" s="277"/>
      <c r="AB12" s="278">
        <f t="shared" si="0"/>
        <v>0</v>
      </c>
      <c r="AC12" s="3">
        <f t="shared" si="1"/>
        <v>0</v>
      </c>
      <c r="AD12" s="458">
        <f t="shared" si="3"/>
        <v>0</v>
      </c>
      <c r="AE12" s="3">
        <f>SUMIFS(Table1[Change in Quantity],Table1[Tự xếp lô],AE$4,Table1[Material],$B12)</f>
        <v>0</v>
      </c>
      <c r="AH12" s="16">
        <v>0</v>
      </c>
    </row>
    <row r="13" spans="1:39" x14ac:dyDescent="0.35">
      <c r="A13" t="s">
        <v>550</v>
      </c>
      <c r="B13" s="270" t="s">
        <v>36</v>
      </c>
      <c r="C13" s="270" t="s">
        <v>37</v>
      </c>
      <c r="D13" s="277">
        <v>0</v>
      </c>
      <c r="E13" s="277">
        <v>0</v>
      </c>
      <c r="F13" s="277">
        <v>0</v>
      </c>
      <c r="G13" s="277">
        <v>0</v>
      </c>
      <c r="H13" s="277">
        <v>0</v>
      </c>
      <c r="I13" s="277">
        <v>0</v>
      </c>
      <c r="J13" s="277">
        <v>0</v>
      </c>
      <c r="K13" s="277">
        <v>0</v>
      </c>
      <c r="L13" s="277">
        <v>0</v>
      </c>
      <c r="M13" s="277">
        <v>0</v>
      </c>
      <c r="N13" s="277">
        <v>0</v>
      </c>
      <c r="O13" s="277">
        <v>0</v>
      </c>
      <c r="P13" s="277">
        <v>0</v>
      </c>
      <c r="Q13" s="277">
        <v>-2.9549999999999996E-2</v>
      </c>
      <c r="R13" s="277">
        <v>-0.26044999999999996</v>
      </c>
      <c r="S13" s="277">
        <v>0</v>
      </c>
      <c r="T13" s="277">
        <v>0</v>
      </c>
      <c r="U13" s="373">
        <v>0</v>
      </c>
      <c r="V13" s="277">
        <v>0</v>
      </c>
      <c r="W13" s="277">
        <v>0</v>
      </c>
      <c r="X13" s="277">
        <f t="shared" si="2"/>
        <v>0</v>
      </c>
      <c r="Y13" s="277"/>
      <c r="Z13" s="277"/>
      <c r="AA13" s="277"/>
      <c r="AB13" s="278">
        <f t="shared" si="0"/>
        <v>-0.28999999999999998</v>
      </c>
      <c r="AC13" s="3">
        <f t="shared" si="1"/>
        <v>0</v>
      </c>
      <c r="AD13" s="458">
        <f t="shared" si="3"/>
        <v>1.8050224209014648E-7</v>
      </c>
      <c r="AE13" s="3">
        <f>SUMIFS(Table1[Change in Quantity],Table1[Tự xếp lô],AE$4,Table1[Material],$B13)</f>
        <v>0</v>
      </c>
      <c r="AH13" s="16">
        <v>0</v>
      </c>
    </row>
    <row r="14" spans="1:39" x14ac:dyDescent="0.35">
      <c r="A14" t="s">
        <v>550</v>
      </c>
      <c r="B14" s="457" t="s">
        <v>442</v>
      </c>
      <c r="C14" s="457" t="s">
        <v>469</v>
      </c>
      <c r="D14" s="277">
        <v>-70212.828432098759</v>
      </c>
      <c r="E14" s="277">
        <v>-181411.25979166667</v>
      </c>
      <c r="F14" s="277">
        <v>-18139.740208333329</v>
      </c>
      <c r="G14" s="277">
        <v>-84813.977294117649</v>
      </c>
      <c r="H14" s="277">
        <v>-41863.022705882351</v>
      </c>
      <c r="I14" s="277">
        <v>-39784.856166666665</v>
      </c>
      <c r="J14" s="277">
        <v>-35022.143833333335</v>
      </c>
      <c r="K14" s="277">
        <v>-6166.3174285714285</v>
      </c>
      <c r="L14" s="277">
        <v>-11954.682571428571</v>
      </c>
      <c r="M14" s="277">
        <v>-19423.743529411764</v>
      </c>
      <c r="N14" s="277">
        <v>-7218.0392156862754</v>
      </c>
      <c r="O14" s="277">
        <v>-10170.21725490196</v>
      </c>
      <c r="P14" s="277">
        <v>-15630</v>
      </c>
      <c r="Q14" s="277">
        <v>-7112.8887931034478</v>
      </c>
      <c r="R14" s="277">
        <v>-62692.111206896552</v>
      </c>
      <c r="S14" s="277">
        <v>-48181.119999999995</v>
      </c>
      <c r="T14" s="277">
        <v>-35018.880000000005</v>
      </c>
      <c r="U14" s="373">
        <v>-28229.330642201836</v>
      </c>
      <c r="V14" s="277">
        <v>-83922.201834862382</v>
      </c>
      <c r="W14" s="277">
        <v>-2192.4675229357817</v>
      </c>
      <c r="X14" s="277">
        <f t="shared" si="2"/>
        <v>-70437.527692307689</v>
      </c>
      <c r="Y14" s="277"/>
      <c r="Z14" s="277"/>
      <c r="AA14" s="277"/>
      <c r="AB14" s="278">
        <f t="shared" si="0"/>
        <v>-879597.35612440645</v>
      </c>
      <c r="AC14" s="3">
        <f t="shared" si="1"/>
        <v>-72907.472307692311</v>
      </c>
      <c r="AD14" s="459">
        <f t="shared" si="3"/>
        <v>0.54748032730007035</v>
      </c>
      <c r="AE14" s="3">
        <f>SUMIFS(Table1[Change in Quantity],Table1[Tự xếp lô],AE$4,Table1[Material],$B14)</f>
        <v>-143345</v>
      </c>
      <c r="AH14" s="16">
        <v>-70212.828432098759</v>
      </c>
    </row>
    <row r="15" spans="1:39" x14ac:dyDescent="0.35">
      <c r="A15" t="s">
        <v>550</v>
      </c>
      <c r="B15" s="457" t="s">
        <v>467</v>
      </c>
      <c r="C15" s="457" t="s">
        <v>468</v>
      </c>
      <c r="D15" s="277">
        <v>-133.37851851851852</v>
      </c>
      <c r="E15" s="277">
        <v>0</v>
      </c>
      <c r="F15" s="277">
        <v>0</v>
      </c>
      <c r="G15" s="277">
        <v>0</v>
      </c>
      <c r="H15" s="277">
        <v>0</v>
      </c>
      <c r="I15" s="277">
        <v>0</v>
      </c>
      <c r="J15" s="277">
        <v>0</v>
      </c>
      <c r="K15" s="277">
        <v>0</v>
      </c>
      <c r="L15" s="277">
        <v>0</v>
      </c>
      <c r="M15" s="277">
        <v>0</v>
      </c>
      <c r="N15" s="277">
        <v>0</v>
      </c>
      <c r="O15" s="277">
        <v>0</v>
      </c>
      <c r="P15" s="277">
        <v>0</v>
      </c>
      <c r="Q15" s="277">
        <v>0</v>
      </c>
      <c r="R15" s="277">
        <v>0</v>
      </c>
      <c r="S15" s="277">
        <v>0</v>
      </c>
      <c r="T15" s="277">
        <v>0</v>
      </c>
      <c r="U15" s="373">
        <v>0</v>
      </c>
      <c r="V15" s="277">
        <v>0</v>
      </c>
      <c r="W15" s="277">
        <v>0</v>
      </c>
      <c r="X15" s="277">
        <f t="shared" si="2"/>
        <v>0</v>
      </c>
      <c r="Y15" s="277"/>
      <c r="Z15" s="277"/>
      <c r="AA15" s="277"/>
      <c r="AB15" s="278">
        <f t="shared" si="0"/>
        <v>-133.37851851851852</v>
      </c>
      <c r="AC15" s="3">
        <f t="shared" si="1"/>
        <v>0</v>
      </c>
      <c r="AD15" s="458">
        <f t="shared" si="3"/>
        <v>8.3017660825016257E-5</v>
      </c>
      <c r="AE15" s="3">
        <f>SUMIFS(Table1[Change in Quantity],Table1[Tự xếp lô],AE$4,Table1[Material],$B15)</f>
        <v>0</v>
      </c>
      <c r="AH15" s="16">
        <v>-133.37851851851852</v>
      </c>
    </row>
    <row r="16" spans="1:39" x14ac:dyDescent="0.35">
      <c r="O16" s="6"/>
    </row>
    <row r="17" spans="2:30" s="9" customFormat="1" ht="15" thickBot="1" x14ac:dyDescent="0.4">
      <c r="B17" s="267" t="s">
        <v>449</v>
      </c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79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</row>
    <row r="18" spans="2:30" x14ac:dyDescent="0.35">
      <c r="B18" s="13" t="s">
        <v>17</v>
      </c>
      <c r="C18" s="13" t="s">
        <v>18</v>
      </c>
      <c r="D18" s="298">
        <v>16668.96551724138</v>
      </c>
      <c r="E18" s="16" cm="1">
        <f t="array" ref="E18">SUMPRODUCT(Data!$S$3:$AD$12*(Data!$Q$3:$Q$12=$B18)*(Data!$S$2:$AD$2=E$2))</f>
        <v>16668.96551724138</v>
      </c>
      <c r="F18" s="16" cm="1">
        <f t="array" ref="F18">SUMPRODUCT(Data!$S$3:$AD$12*(Data!$Q$3:$Q$12=$B18)*(Data!$S$2:$AD$2=F$2))</f>
        <v>16668.96551724138</v>
      </c>
      <c r="G18" s="16" cm="1">
        <f t="array" ref="G18">SUMPRODUCT(Data!$S$3:$AD$12*(Data!$Q$3:$Q$12=$B18)*(Data!$S$2:$AD$2=G$2))</f>
        <v>16668.96551724138</v>
      </c>
      <c r="H18" s="16" cm="1">
        <f t="array" ref="H18">SUMPRODUCT(Data!$S$3:$AD$12*(Data!$Q$3:$Q$12=$B18)*(Data!$S$2:$AD$2=H$2))</f>
        <v>16668.96551724138</v>
      </c>
      <c r="I18" s="16" cm="1">
        <f t="array" ref="I18">SUMPRODUCT(Data!$S$3:$AD$12*(Data!$Q$3:$Q$12=$B18)*(Data!$S$2:$AD$2=I$2))</f>
        <v>19191.309924643258</v>
      </c>
      <c r="J18" s="16" cm="1">
        <f t="array" ref="J18">SUMPRODUCT(Data!$S$3:$AD$12*(Data!$Q$3:$Q$12=$B18)*(Data!$S$2:$AD$2=J$2))</f>
        <v>19191.309924643258</v>
      </c>
      <c r="K18" s="16" cm="1">
        <f t="array" ref="K18">SUMPRODUCT(Data!$S$3:$AD$12*(Data!$Q$3:$Q$12=$B18)*(Data!$S$2:$AD$2=K$2))</f>
        <v>19191.656535025748</v>
      </c>
      <c r="L18" s="16" cm="1">
        <f t="array" ref="L18">SUMPRODUCT(Data!$S$3:$AD$12*(Data!$Q$3:$Q$12=$B18)*(Data!$S$2:$AD$2=L$2))</f>
        <v>19191.656535025748</v>
      </c>
      <c r="M18" s="16" cm="1">
        <f t="array" ref="M18">SUMPRODUCT(Data!$S$3:$AD$12*(Data!$Q$3:$Q$12=$B18)*(Data!$S$2:$AD$2=M$2))</f>
        <v>19191.656535025748</v>
      </c>
      <c r="N18" s="16" cm="1">
        <f t="array" ref="N18">SUMPRODUCT(Data!$S$3:$AD$12*(Data!$Q$3:$Q$12=$B18)*(Data!$S$2:$AD$2=N$2))</f>
        <v>19191.656535025748</v>
      </c>
      <c r="O18" s="16" cm="1">
        <f t="array" ref="O18">SUMPRODUCT(Data!$S$3:$AD$12*(Data!$Q$3:$Q$12=$B18)*(Data!$S$2:$AD$2=O$2))</f>
        <v>19191.656535025748</v>
      </c>
      <c r="P18" s="16" cm="1">
        <f t="array" ref="P18">SUMPRODUCT(Data!$S$3:$AD$12*(Data!$Q$3:$Q$12=$B18)*(Data!$S$2:$AD$2=P$2))</f>
        <v>19191.686013328814</v>
      </c>
      <c r="Q18" s="16" cm="1">
        <f t="array" ref="Q18">SUMPRODUCT(Data!$S$3:$AD$12*(Data!$Q$3:$Q$12=$B18)*(Data!$S$2:$AD$2=Q$2))</f>
        <v>19191.68583690987</v>
      </c>
      <c r="R18" s="16" cm="1">
        <f t="array" ref="R18">SUMPRODUCT(Data!$S$3:$AD$12*(Data!$Q$3:$Q$12=$B18)*(Data!$S$2:$AD$2=R$2))</f>
        <v>19191.68583690987</v>
      </c>
      <c r="S18" s="16" cm="1">
        <f t="array" ref="S18">SUMPRODUCT(Data!$S$3:$AD$12*(Data!$Q$3:$Q$12=$B18)*(Data!$S$2:$AD$2=S$2))</f>
        <v>19191.68583690987</v>
      </c>
      <c r="T18" s="16" cm="1">
        <f t="array" ref="T18">SUMPRODUCT(Data!$S$3:$AD$12*(Data!$Q$3:$Q$12=$B18)*(Data!$S$2:$AD$2=T$2))</f>
        <v>19191.68583690987</v>
      </c>
      <c r="U18" s="16" cm="1">
        <f t="array" ref="U18">SUMPRODUCT(Data!$S$3:$AD$12*(Data!$Q$3:$Q$12=$B18)*(Data!$S$2:$AD$2=U$2))</f>
        <v>19191.68583690987</v>
      </c>
      <c r="V18" s="16" cm="1">
        <f t="array" ref="V18">SUMPRODUCT(Data!$S$3:$AD$12*(Data!$Q$3:$Q$12=$B18)*(Data!$S$2:$AD$2=V$2))</f>
        <v>19191.68583690987</v>
      </c>
      <c r="W18" s="16" cm="1">
        <f t="array" ref="W18">SUMPRODUCT(Data!$S$3:$AD$12*(Data!$Q$3:$Q$12=$B18)*(Data!$S$2:$AD$2=W$2))</f>
        <v>19191.68583690987</v>
      </c>
      <c r="X18" s="16" cm="1">
        <f t="array" ref="X18">SUMPRODUCT(Data!$S$3:$AD$12*(Data!$Q$3:$Q$12=$B18)*(Data!$S$2:$AD$2=X$2))</f>
        <v>19191.68583690987</v>
      </c>
      <c r="Y18" s="13"/>
      <c r="Z18" s="13"/>
      <c r="AA18" s="13"/>
      <c r="AB18" s="13"/>
    </row>
    <row r="19" spans="2:30" x14ac:dyDescent="0.35">
      <c r="B19" s="13" t="s">
        <v>20</v>
      </c>
      <c r="C19" s="13" t="s">
        <v>21</v>
      </c>
      <c r="D19" s="299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6"/>
      <c r="X19" s="286"/>
      <c r="Y19" s="280"/>
      <c r="Z19" s="280"/>
      <c r="AA19" s="280"/>
      <c r="AB19" s="280"/>
    </row>
    <row r="20" spans="2:30" x14ac:dyDescent="0.35">
      <c r="B20" s="13" t="s">
        <v>23</v>
      </c>
      <c r="C20" s="13" t="s">
        <v>24</v>
      </c>
      <c r="D20" s="299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6"/>
      <c r="X20" s="286"/>
      <c r="Y20" s="280"/>
      <c r="Z20" s="280"/>
      <c r="AA20" s="280"/>
      <c r="AB20" s="280"/>
    </row>
    <row r="21" spans="2:30" x14ac:dyDescent="0.35">
      <c r="B21" s="13" t="s">
        <v>25</v>
      </c>
      <c r="C21" s="13" t="s">
        <v>26</v>
      </c>
      <c r="D21" s="299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6"/>
      <c r="X21" s="286"/>
      <c r="Y21" s="280"/>
      <c r="Z21" s="280"/>
      <c r="AA21" s="280"/>
      <c r="AB21" s="280"/>
    </row>
    <row r="22" spans="2:30" x14ac:dyDescent="0.35">
      <c r="B22" s="13" t="s">
        <v>27</v>
      </c>
      <c r="C22" s="13" t="s">
        <v>28</v>
      </c>
      <c r="D22" s="299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6"/>
      <c r="X22" s="286"/>
      <c r="Y22" s="280"/>
      <c r="Z22" s="280"/>
      <c r="AA22" s="280"/>
      <c r="AB22" s="280"/>
    </row>
    <row r="23" spans="2:30" x14ac:dyDescent="0.35">
      <c r="B23" s="13" t="s">
        <v>29</v>
      </c>
      <c r="C23" s="13" t="s">
        <v>30</v>
      </c>
      <c r="D23" s="298">
        <v>22974.005132056602</v>
      </c>
      <c r="E23" s="16" cm="1">
        <f t="array" ref="E23">SUMPRODUCT(Data!$S$3:$AD$12*(Data!$Q$3:$Q$12=$B23)*(Data!$S$2:$AD$2=E$2))</f>
        <v>23190.490550174873</v>
      </c>
      <c r="F23" s="16" cm="1">
        <f t="array" ref="F23">SUMPRODUCT(Data!$S$3:$AD$12*(Data!$Q$3:$Q$12=$B23)*(Data!$S$2:$AD$2=F$2))</f>
        <v>23190.490550174873</v>
      </c>
      <c r="G23" s="16" cm="1">
        <f t="array" ref="G23">SUMPRODUCT(Data!$S$3:$AD$12*(Data!$Q$3:$Q$12=$B23)*(Data!$S$2:$AD$2=G$2))</f>
        <v>24292.212439609946</v>
      </c>
      <c r="H23" s="16" cm="1">
        <f t="array" ref="H23">SUMPRODUCT(Data!$S$3:$AD$12*(Data!$Q$3:$Q$12=$B23)*(Data!$S$2:$AD$2=H$2))</f>
        <v>24292.212439609946</v>
      </c>
      <c r="I23" s="16" cm="1">
        <f t="array" ref="I23">SUMPRODUCT(Data!$S$3:$AD$12*(Data!$Q$3:$Q$12=$B23)*(Data!$S$2:$AD$2=I$2))</f>
        <v>23906.276136363635</v>
      </c>
      <c r="J23" s="16" cm="1">
        <f t="array" ref="J23">SUMPRODUCT(Data!$S$3:$AD$12*(Data!$Q$3:$Q$12=$B23)*(Data!$S$2:$AD$2=J$2))</f>
        <v>23906.276136363635</v>
      </c>
      <c r="K23" s="16" cm="1">
        <f t="array" ref="K23">SUMPRODUCT(Data!$S$3:$AD$12*(Data!$Q$3:$Q$12=$B23)*(Data!$S$2:$AD$2=K$2))</f>
        <v>23591.764168772428</v>
      </c>
      <c r="L23" s="16" cm="1">
        <f t="array" ref="L23">SUMPRODUCT(Data!$S$3:$AD$12*(Data!$Q$3:$Q$12=$B23)*(Data!$S$2:$AD$2=L$2))</f>
        <v>23591.764168772428</v>
      </c>
      <c r="M23" s="16" cm="1">
        <f t="array" ref="M23">SUMPRODUCT(Data!$S$3:$AD$12*(Data!$Q$3:$Q$12=$B23)*(Data!$S$2:$AD$2=M$2))</f>
        <v>23294.586502918555</v>
      </c>
      <c r="N23" s="16" cm="1">
        <f t="array" ref="N23">SUMPRODUCT(Data!$S$3:$AD$12*(Data!$Q$3:$Q$12=$B23)*(Data!$S$2:$AD$2=N$2))</f>
        <v>23294.586502918555</v>
      </c>
      <c r="O23" s="16" cm="1">
        <f t="array" ref="O23">SUMPRODUCT(Data!$S$3:$AD$12*(Data!$Q$3:$Q$12=$B23)*(Data!$S$2:$AD$2=O$2))</f>
        <v>23294.586502918555</v>
      </c>
      <c r="P23" s="16" cm="1">
        <f t="array" ref="P23">SUMPRODUCT(Data!$S$3:$AD$12*(Data!$Q$3:$Q$12=$B23)*(Data!$S$2:$AD$2=P$2))</f>
        <v>23238.633656652361</v>
      </c>
      <c r="Q23" s="16" cm="1">
        <f t="array" ref="Q23">SUMPRODUCT(Data!$S$3:$AD$12*(Data!$Q$3:$Q$12=$B23)*(Data!$S$2:$AD$2=Q$2))</f>
        <v>23155.300513409962</v>
      </c>
      <c r="R23" s="16" cm="1">
        <f t="array" ref="R23">SUMPRODUCT(Data!$S$3:$AD$12*(Data!$Q$3:$Q$12=$B23)*(Data!$S$2:$AD$2=R$2))</f>
        <v>23155.300513409962</v>
      </c>
      <c r="S23" s="16" cm="1">
        <f t="array" ref="S23">SUMPRODUCT(Data!$S$3:$AD$12*(Data!$Q$3:$Q$12=$B23)*(Data!$S$2:$AD$2=S$2))</f>
        <v>23001.687791502016</v>
      </c>
      <c r="T23" s="16" cm="1">
        <f t="array" ref="T23">SUMPRODUCT(Data!$S$3:$AD$12*(Data!$Q$3:$Q$12=$B23)*(Data!$S$2:$AD$2=T$2))</f>
        <v>23001.687791502016</v>
      </c>
      <c r="U23" s="16" cm="1">
        <f t="array" ref="U23">SUMPRODUCT(Data!$S$3:$AD$12*(Data!$Q$3:$Q$12=$B23)*(Data!$S$2:$AD$2=U$2))</f>
        <v>23151.734980494148</v>
      </c>
      <c r="V23" s="16" cm="1">
        <f t="array" ref="V23">SUMPRODUCT(Data!$S$3:$AD$12*(Data!$Q$3:$Q$12=$B23)*(Data!$S$2:$AD$2=V$2))</f>
        <v>23151.734980494148</v>
      </c>
      <c r="W23" s="16" cm="1">
        <f t="array" ref="W23">SUMPRODUCT(Data!$S$3:$AD$12*(Data!$Q$3:$Q$12=$B23)*(Data!$S$2:$AD$2=W$2))</f>
        <v>23151.734980494148</v>
      </c>
      <c r="X23" s="16" cm="1">
        <f t="array" ref="X23">SUMPRODUCT(Data!$S$3:$AD$12*(Data!$Q$3:$Q$12=$B23)*(Data!$S$2:$AD$2=X$2))</f>
        <v>22970.668592967068</v>
      </c>
      <c r="Y23" s="13"/>
      <c r="Z23" s="13"/>
      <c r="AA23" s="13"/>
      <c r="AB23" s="13"/>
    </row>
    <row r="24" spans="2:30" x14ac:dyDescent="0.35">
      <c r="B24" s="13" t="s">
        <v>34</v>
      </c>
      <c r="C24" s="13" t="s">
        <v>35</v>
      </c>
      <c r="D24" s="298">
        <v>7752.3622846319658</v>
      </c>
      <c r="E24" s="16" cm="1">
        <f t="array" ref="E24">SUMPRODUCT(Data!$S$3:$AD$12*(Data!$Q$3:$Q$12=$B24)*(Data!$S$2:$AD$2=E$2))</f>
        <v>7817.0815518248965</v>
      </c>
      <c r="F24" s="16" cm="1">
        <f t="array" ref="F24">SUMPRODUCT(Data!$S$3:$AD$12*(Data!$Q$3:$Q$12=$B24)*(Data!$S$2:$AD$2=F$2))</f>
        <v>7817.0815518248965</v>
      </c>
      <c r="G24" s="16" cm="1">
        <f t="array" ref="G24">SUMPRODUCT(Data!$S$3:$AD$12*(Data!$Q$3:$Q$12=$B24)*(Data!$S$2:$AD$2=G$2))</f>
        <v>10637.341952274715</v>
      </c>
      <c r="H24" s="16" cm="1">
        <f t="array" ref="H24">SUMPRODUCT(Data!$S$3:$AD$12*(Data!$Q$3:$Q$12=$B24)*(Data!$S$2:$AD$2=H$2))</f>
        <v>10637.341952274715</v>
      </c>
      <c r="I24" s="16" cm="1">
        <f t="array" ref="I24">SUMPRODUCT(Data!$S$3:$AD$12*(Data!$Q$3:$Q$12=$B24)*(Data!$S$2:$AD$2=I$2))</f>
        <v>9952.5384097491224</v>
      </c>
      <c r="J24" s="16" cm="1">
        <f t="array" ref="J24">SUMPRODUCT(Data!$S$3:$AD$12*(Data!$Q$3:$Q$12=$B24)*(Data!$S$2:$AD$2=J$2))</f>
        <v>9952.5384097491224</v>
      </c>
      <c r="K24" s="16" cm="1">
        <f t="array" ref="K24">SUMPRODUCT(Data!$S$3:$AD$12*(Data!$Q$3:$Q$12=$B24)*(Data!$S$2:$AD$2=K$2))</f>
        <v>9760.375246147094</v>
      </c>
      <c r="L24" s="16" cm="1">
        <f t="array" ref="L24">SUMPRODUCT(Data!$S$3:$AD$12*(Data!$Q$3:$Q$12=$B24)*(Data!$S$2:$AD$2=L$2))</f>
        <v>9760.375246147094</v>
      </c>
      <c r="M24" s="16" cm="1">
        <f t="array" ref="M24">SUMPRODUCT(Data!$S$3:$AD$12*(Data!$Q$3:$Q$12=$B24)*(Data!$S$2:$AD$2=M$2))</f>
        <v>9269.8428107636919</v>
      </c>
      <c r="N24" s="16" cm="1">
        <f t="array" ref="N24">SUMPRODUCT(Data!$S$3:$AD$12*(Data!$Q$3:$Q$12=$B24)*(Data!$S$2:$AD$2=N$2))</f>
        <v>9269.8428107636919</v>
      </c>
      <c r="O24" s="16" cm="1">
        <f t="array" ref="O24">SUMPRODUCT(Data!$S$3:$AD$12*(Data!$Q$3:$Q$12=$B24)*(Data!$S$2:$AD$2=O$2))</f>
        <v>9269.8428107636919</v>
      </c>
      <c r="P24" s="16" cm="1">
        <f t="array" ref="P24">SUMPRODUCT(Data!$S$3:$AD$12*(Data!$Q$3:$Q$12=$B24)*(Data!$S$2:$AD$2=P$2))</f>
        <v>8886.481107425665</v>
      </c>
      <c r="Q24" s="16" cm="1">
        <f t="array" ref="Q24">SUMPRODUCT(Data!$S$3:$AD$12*(Data!$Q$3:$Q$12=$B24)*(Data!$S$2:$AD$2=Q$2))</f>
        <v>8667.8810039182026</v>
      </c>
      <c r="R24" s="16" cm="1">
        <f t="array" ref="R24">SUMPRODUCT(Data!$S$3:$AD$12*(Data!$Q$3:$Q$12=$B24)*(Data!$S$2:$AD$2=R$2))</f>
        <v>8667.8810039182026</v>
      </c>
      <c r="S24" s="16" cm="1">
        <f t="array" ref="S24">SUMPRODUCT(Data!$S$3:$AD$12*(Data!$Q$3:$Q$12=$B24)*(Data!$S$2:$AD$2=S$2))</f>
        <v>8460.6574835889387</v>
      </c>
      <c r="T24" s="16" cm="1">
        <f t="array" ref="T24">SUMPRODUCT(Data!$S$3:$AD$12*(Data!$Q$3:$Q$12=$B24)*(Data!$S$2:$AD$2=T$2))</f>
        <v>8460.6574835889387</v>
      </c>
      <c r="U24" s="16" cm="1">
        <f t="array" ref="U24">SUMPRODUCT(Data!$S$3:$AD$12*(Data!$Q$3:$Q$12=$B24)*(Data!$S$2:$AD$2=U$2))</f>
        <v>8404.4105206161603</v>
      </c>
      <c r="V24" s="16" cm="1">
        <f t="array" ref="V24">SUMPRODUCT(Data!$S$3:$AD$12*(Data!$Q$3:$Q$12=$B24)*(Data!$S$2:$AD$2=V$2))</f>
        <v>8404.4105206161603</v>
      </c>
      <c r="W24" s="16" cm="1">
        <f t="array" ref="W24">SUMPRODUCT(Data!$S$3:$AD$12*(Data!$Q$3:$Q$12=$B24)*(Data!$S$2:$AD$2=W$2))</f>
        <v>8404.4105206161603</v>
      </c>
      <c r="X24" s="16" cm="1">
        <f t="array" ref="X24">SUMPRODUCT(Data!$S$3:$AD$12*(Data!$Q$3:$Q$12=$B24)*(Data!$S$2:$AD$2=X$2))</f>
        <v>8383.0283107760843</v>
      </c>
      <c r="Y24" s="13"/>
      <c r="Z24" s="13"/>
      <c r="AA24" s="13"/>
      <c r="AB24" s="13"/>
    </row>
    <row r="25" spans="2:30" ht="14.15" customHeight="1" x14ac:dyDescent="0.35">
      <c r="B25" s="13" t="s">
        <v>36</v>
      </c>
      <c r="C25" s="13" t="s">
        <v>37</v>
      </c>
      <c r="D25" s="298">
        <v>17414.078218083265</v>
      </c>
      <c r="E25" s="16" cm="1">
        <f t="array" ref="E25">SUMPRODUCT(Data!$S$3:$AD$12*(Data!$Q$3:$Q$12=$B25)*(Data!$S$2:$AD$2=E$2))</f>
        <v>14606.875679193252</v>
      </c>
      <c r="F25" s="16" cm="1">
        <f t="array" ref="F25">SUMPRODUCT(Data!$S$3:$AD$12*(Data!$Q$3:$Q$12=$B25)*(Data!$S$2:$AD$2=F$2))</f>
        <v>14606.875679193252</v>
      </c>
      <c r="G25" s="16" cm="1">
        <f t="array" ref="G25">SUMPRODUCT(Data!$S$3:$AD$12*(Data!$Q$3:$Q$12=$B25)*(Data!$S$2:$AD$2=G$2))</f>
        <v>14710.344827586208</v>
      </c>
      <c r="H25" s="16" cm="1">
        <f t="array" ref="H25">SUMPRODUCT(Data!$S$3:$AD$12*(Data!$Q$3:$Q$12=$B25)*(Data!$S$2:$AD$2=H$2))</f>
        <v>14710.344827586208</v>
      </c>
      <c r="I25" s="16" cm="1">
        <f t="array" ref="I25">SUMPRODUCT(Data!$S$3:$AD$12*(Data!$Q$3:$Q$12=$B25)*(Data!$S$2:$AD$2=I$2))</f>
        <v>1010841.3793103449</v>
      </c>
      <c r="J25" s="16" cm="1">
        <f t="array" ref="J25">SUMPRODUCT(Data!$S$3:$AD$12*(Data!$Q$3:$Q$12=$B25)*(Data!$S$2:$AD$2=J$2))</f>
        <v>1010841.3793103449</v>
      </c>
      <c r="K25" s="16" cm="1">
        <f t="array" ref="K25">SUMPRODUCT(Data!$S$3:$AD$12*(Data!$Q$3:$Q$12=$B25)*(Data!$S$2:$AD$2=K$2))</f>
        <v>1010841.3793103449</v>
      </c>
      <c r="L25" s="16" cm="1">
        <f t="array" ref="L25">SUMPRODUCT(Data!$S$3:$AD$12*(Data!$Q$3:$Q$12=$B25)*(Data!$S$2:$AD$2=L$2))</f>
        <v>1010841.3793103449</v>
      </c>
      <c r="M25" s="16" cm="1">
        <f t="array" ref="M25">SUMPRODUCT(Data!$S$3:$AD$12*(Data!$Q$3:$Q$12=$B25)*(Data!$S$2:$AD$2=M$2))</f>
        <v>117385824.13793105</v>
      </c>
      <c r="N25" s="16" cm="1">
        <f t="array" ref="N25">SUMPRODUCT(Data!$S$3:$AD$12*(Data!$Q$3:$Q$12=$B25)*(Data!$S$2:$AD$2=N$2))</f>
        <v>117385824.13793105</v>
      </c>
      <c r="O25" s="16" cm="1">
        <f t="array" ref="O25">SUMPRODUCT(Data!$S$3:$AD$12*(Data!$Q$3:$Q$12=$B25)*(Data!$S$2:$AD$2=O$2))</f>
        <v>117385824.13793105</v>
      </c>
      <c r="P25" s="16" cm="1">
        <f t="array" ref="P25">SUMPRODUCT(Data!$S$3:$AD$12*(Data!$Q$3:$Q$12=$B25)*(Data!$S$2:$AD$2=P$2))</f>
        <v>117385824.13793105</v>
      </c>
      <c r="Q25" s="16" cm="1">
        <f t="array" ref="Q25">SUMPRODUCT(Data!$S$3:$AD$12*(Data!$Q$3:$Q$12=$B25)*(Data!$S$2:$AD$2=Q$2))</f>
        <v>117385824.13793105</v>
      </c>
      <c r="R25" s="16" cm="1">
        <f t="array" ref="R25">SUMPRODUCT(Data!$S$3:$AD$12*(Data!$Q$3:$Q$12=$B25)*(Data!$S$2:$AD$2=R$2))</f>
        <v>117385824.13793105</v>
      </c>
      <c r="S25" s="16" cm="1">
        <f t="array" ref="S25">SUMPRODUCT(Data!$S$3:$AD$12*(Data!$Q$3:$Q$12=$B25)*(Data!$S$2:$AD$2=S$2))</f>
        <v>0</v>
      </c>
      <c r="T25" s="16" cm="1">
        <f t="array" ref="T25">SUMPRODUCT(Data!$S$3:$AD$12*(Data!$Q$3:$Q$12=$B25)*(Data!$S$2:$AD$2=T$2))</f>
        <v>0</v>
      </c>
      <c r="U25" s="16" cm="1">
        <f t="array" ref="U25">SUMPRODUCT(Data!$S$3:$AD$12*(Data!$Q$3:$Q$12=$B25)*(Data!$S$2:$AD$2=U$2))</f>
        <v>0</v>
      </c>
      <c r="V25" s="16" cm="1">
        <f t="array" ref="V25">SUMPRODUCT(Data!$S$3:$AD$12*(Data!$Q$3:$Q$12=$B25)*(Data!$S$2:$AD$2=V$2))</f>
        <v>0</v>
      </c>
      <c r="W25" s="16" cm="1">
        <f t="array" ref="W25">SUMPRODUCT(Data!$S$3:$AD$12*(Data!$Q$3:$Q$12=$B25)*(Data!$S$2:$AD$2=W$2))</f>
        <v>0</v>
      </c>
      <c r="X25" s="16" cm="1">
        <f t="array" ref="X25">SUMPRODUCT(Data!$S$3:$AD$12*(Data!$Q$3:$Q$12=$B25)*(Data!$S$2:$AD$2=X$2))</f>
        <v>0</v>
      </c>
      <c r="Y25" s="13"/>
      <c r="Z25" s="13"/>
      <c r="AA25" s="13"/>
      <c r="AB25" s="13"/>
    </row>
    <row r="26" spans="2:30" ht="14.15" customHeight="1" x14ac:dyDescent="0.35">
      <c r="B26" s="452" t="s">
        <v>442</v>
      </c>
      <c r="C26" s="452" t="s">
        <v>469</v>
      </c>
      <c r="D26" s="460"/>
      <c r="E26" s="460"/>
      <c r="F26" s="460"/>
      <c r="G26" s="460"/>
      <c r="H26" s="460"/>
      <c r="I26" s="460"/>
      <c r="J26" s="460"/>
      <c r="K26" s="460"/>
      <c r="L26" s="460"/>
      <c r="M26" s="460"/>
      <c r="N26" s="460"/>
      <c r="O26" s="460"/>
      <c r="P26" s="460"/>
      <c r="Q26" s="460"/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1"/>
      <c r="AC26" s="452"/>
      <c r="AD26" s="452"/>
    </row>
    <row r="27" spans="2:30" x14ac:dyDescent="0.35">
      <c r="B27" s="13" t="s">
        <v>467</v>
      </c>
      <c r="C27" s="13" t="s">
        <v>468</v>
      </c>
      <c r="D27" s="300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</row>
    <row r="29" spans="2:30" ht="15" thickBot="1" x14ac:dyDescent="0.4">
      <c r="B29" s="281" t="s">
        <v>450</v>
      </c>
      <c r="C29" s="281"/>
      <c r="D29" s="281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2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</row>
    <row r="30" spans="2:30" x14ac:dyDescent="0.35">
      <c r="B30" s="283" t="s">
        <v>17</v>
      </c>
      <c r="C30" s="283" t="s">
        <v>18</v>
      </c>
      <c r="D30" s="284">
        <f>-D18*D6</f>
        <v>0</v>
      </c>
      <c r="E30" s="284">
        <f t="shared" ref="E30:Q30" si="4">-E18*E6</f>
        <v>0</v>
      </c>
      <c r="F30" s="284">
        <f t="shared" si="4"/>
        <v>0</v>
      </c>
      <c r="G30" s="284">
        <f t="shared" si="4"/>
        <v>0</v>
      </c>
      <c r="H30" s="284">
        <f t="shared" si="4"/>
        <v>0</v>
      </c>
      <c r="I30" s="284">
        <f t="shared" si="4"/>
        <v>0</v>
      </c>
      <c r="J30" s="284">
        <f t="shared" si="4"/>
        <v>0</v>
      </c>
      <c r="K30" s="284">
        <f t="shared" si="4"/>
        <v>0</v>
      </c>
      <c r="L30" s="284">
        <f t="shared" si="4"/>
        <v>0</v>
      </c>
      <c r="M30" s="284">
        <f t="shared" si="4"/>
        <v>0</v>
      </c>
      <c r="N30" s="284">
        <f t="shared" si="4"/>
        <v>0</v>
      </c>
      <c r="O30" s="284">
        <f t="shared" si="4"/>
        <v>0</v>
      </c>
      <c r="P30" s="284">
        <f t="shared" si="4"/>
        <v>0</v>
      </c>
      <c r="Q30" s="284">
        <f t="shared" si="4"/>
        <v>567.11431648068663</v>
      </c>
      <c r="R30" s="284">
        <f t="shared" ref="R30:V30" si="5">-R18*R6</f>
        <v>4998.4745762231751</v>
      </c>
      <c r="S30" s="284">
        <f t="shared" si="5"/>
        <v>0</v>
      </c>
      <c r="T30" s="284">
        <f t="shared" si="5"/>
        <v>0</v>
      </c>
      <c r="U30" s="284">
        <f t="shared" si="5"/>
        <v>0</v>
      </c>
      <c r="V30" s="284">
        <f t="shared" si="5"/>
        <v>0</v>
      </c>
      <c r="W30" s="284">
        <f t="shared" ref="W30:X30" si="6">-W18*W6</f>
        <v>0</v>
      </c>
      <c r="X30" s="284">
        <f t="shared" si="6"/>
        <v>0</v>
      </c>
      <c r="Y30" s="284"/>
      <c r="Z30" s="284"/>
      <c r="AA30" s="284"/>
      <c r="AB30" s="284"/>
    </row>
    <row r="31" spans="2:30" x14ac:dyDescent="0.35">
      <c r="B31" s="283" t="s">
        <v>20</v>
      </c>
      <c r="C31" s="283" t="s">
        <v>21</v>
      </c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94"/>
      <c r="R31" s="294"/>
      <c r="S31" s="294"/>
      <c r="T31" s="294"/>
      <c r="U31" s="294"/>
      <c r="V31" s="294"/>
      <c r="W31" s="294"/>
      <c r="X31" s="294"/>
      <c r="Y31" s="294"/>
      <c r="Z31" s="294"/>
      <c r="AA31" s="294"/>
      <c r="AB31" s="294"/>
    </row>
    <row r="32" spans="2:30" x14ac:dyDescent="0.35">
      <c r="B32" s="283" t="s">
        <v>23</v>
      </c>
      <c r="C32" s="283" t="s">
        <v>24</v>
      </c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94"/>
      <c r="AB32" s="294"/>
    </row>
    <row r="33" spans="1:28" x14ac:dyDescent="0.35">
      <c r="B33" s="283" t="s">
        <v>25</v>
      </c>
      <c r="C33" s="283" t="s">
        <v>26</v>
      </c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94"/>
      <c r="R33" s="294"/>
      <c r="S33" s="294"/>
      <c r="T33" s="294"/>
      <c r="U33" s="294"/>
      <c r="V33" s="294"/>
      <c r="W33" s="294"/>
      <c r="X33" s="294"/>
      <c r="Y33" s="294"/>
      <c r="Z33" s="294"/>
      <c r="AA33" s="294"/>
      <c r="AB33" s="294"/>
    </row>
    <row r="34" spans="1:28" x14ac:dyDescent="0.35">
      <c r="B34" s="283" t="s">
        <v>27</v>
      </c>
      <c r="C34" s="283" t="s">
        <v>28</v>
      </c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94"/>
      <c r="R34" s="294"/>
      <c r="S34" s="294"/>
      <c r="T34" s="294"/>
      <c r="U34" s="294"/>
      <c r="V34" s="294"/>
      <c r="W34" s="294"/>
      <c r="X34" s="294"/>
      <c r="Y34" s="294"/>
      <c r="Z34" s="294"/>
      <c r="AA34" s="294"/>
      <c r="AB34" s="294"/>
    </row>
    <row r="35" spans="1:28" x14ac:dyDescent="0.35">
      <c r="B35" s="283" t="s">
        <v>29</v>
      </c>
      <c r="C35" s="283" t="s">
        <v>30</v>
      </c>
      <c r="D35" s="284">
        <f t="shared" ref="D35:Q35" si="7">-D23*D11</f>
        <v>1049448946.6626507</v>
      </c>
      <c r="E35" s="284">
        <f>-E23*E11</f>
        <v>1290665173.3282647</v>
      </c>
      <c r="F35" s="284">
        <f t="shared" si="7"/>
        <v>129056658.15344107</v>
      </c>
      <c r="G35" s="284">
        <f t="shared" si="7"/>
        <v>654770230.68814278</v>
      </c>
      <c r="H35" s="284">
        <f t="shared" si="7"/>
        <v>323185657.70567447</v>
      </c>
      <c r="I35" s="284">
        <f t="shared" si="7"/>
        <v>509049318.87953293</v>
      </c>
      <c r="J35" s="284">
        <f t="shared" si="7"/>
        <v>448110165.06819427</v>
      </c>
      <c r="K35" s="284">
        <f t="shared" si="7"/>
        <v>371324351.62746233</v>
      </c>
      <c r="L35" s="284">
        <f t="shared" si="7"/>
        <v>719889108.23493755</v>
      </c>
      <c r="M35" s="284">
        <f t="shared" si="7"/>
        <v>606318526.98200893</v>
      </c>
      <c r="N35" s="284">
        <f t="shared" si="7"/>
        <v>225313462.27499399</v>
      </c>
      <c r="O35" s="284">
        <f t="shared" si="7"/>
        <v>317466668.34546649</v>
      </c>
      <c r="P35" s="284">
        <f t="shared" si="7"/>
        <v>603507316.06326175</v>
      </c>
      <c r="Q35" s="284">
        <f t="shared" si="7"/>
        <v>106175037.44036861</v>
      </c>
      <c r="R35" s="284">
        <f t="shared" ref="R35:V35" si="8">-R23*R11</f>
        <v>935813485.66307974</v>
      </c>
      <c r="S35" s="284">
        <f t="shared" si="8"/>
        <v>1262615774.4741752</v>
      </c>
      <c r="T35" s="284">
        <f t="shared" si="8"/>
        <v>917691209.59450936</v>
      </c>
      <c r="U35" s="284">
        <f t="shared" si="8"/>
        <v>462378668.64905584</v>
      </c>
      <c r="V35" s="284">
        <f t="shared" si="8"/>
        <v>1374592846.2253611</v>
      </c>
      <c r="W35" s="284">
        <f t="shared" ref="W35:X35" si="9">-W23*W11</f>
        <v>35911238.107637651</v>
      </c>
      <c r="X35" s="284">
        <f t="shared" si="9"/>
        <v>336997604.17663532</v>
      </c>
      <c r="Y35" s="284"/>
      <c r="Z35" s="284"/>
      <c r="AA35" s="284"/>
      <c r="AB35" s="284"/>
    </row>
    <row r="36" spans="1:28" x14ac:dyDescent="0.35">
      <c r="B36" s="283" t="s">
        <v>34</v>
      </c>
      <c r="C36" s="283" t="s">
        <v>35</v>
      </c>
      <c r="D36" s="284">
        <f t="shared" ref="D36:Q36" si="10">-D24*D12</f>
        <v>0</v>
      </c>
      <c r="E36" s="284">
        <f t="shared" si="10"/>
        <v>0</v>
      </c>
      <c r="F36" s="284">
        <f t="shared" si="10"/>
        <v>0</v>
      </c>
      <c r="G36" s="284">
        <f t="shared" si="10"/>
        <v>0</v>
      </c>
      <c r="H36" s="284">
        <f t="shared" si="10"/>
        <v>0</v>
      </c>
      <c r="I36" s="284">
        <f t="shared" si="10"/>
        <v>0</v>
      </c>
      <c r="J36" s="284">
        <f t="shared" si="10"/>
        <v>0</v>
      </c>
      <c r="K36" s="284">
        <f t="shared" si="10"/>
        <v>0</v>
      </c>
      <c r="L36" s="284">
        <f t="shared" si="10"/>
        <v>0</v>
      </c>
      <c r="M36" s="284">
        <f t="shared" si="10"/>
        <v>0</v>
      </c>
      <c r="N36" s="284">
        <f t="shared" si="10"/>
        <v>0</v>
      </c>
      <c r="O36" s="284">
        <f t="shared" si="10"/>
        <v>0</v>
      </c>
      <c r="P36" s="284">
        <f t="shared" si="10"/>
        <v>0</v>
      </c>
      <c r="Q36" s="284">
        <f t="shared" si="10"/>
        <v>0</v>
      </c>
      <c r="R36" s="284">
        <f t="shared" ref="R36:V36" si="11">-R24*R12</f>
        <v>0</v>
      </c>
      <c r="S36" s="284">
        <f t="shared" si="11"/>
        <v>0</v>
      </c>
      <c r="T36" s="284">
        <f t="shared" si="11"/>
        <v>0</v>
      </c>
      <c r="U36" s="284">
        <f t="shared" si="11"/>
        <v>0</v>
      </c>
      <c r="V36" s="284">
        <f t="shared" si="11"/>
        <v>0</v>
      </c>
      <c r="W36" s="284">
        <f t="shared" ref="W36:X36" si="12">-W24*W12</f>
        <v>0</v>
      </c>
      <c r="X36" s="284">
        <f t="shared" si="12"/>
        <v>0</v>
      </c>
      <c r="Y36" s="284"/>
      <c r="Z36" s="284"/>
      <c r="AA36" s="284"/>
      <c r="AB36" s="284"/>
    </row>
    <row r="37" spans="1:28" x14ac:dyDescent="0.35">
      <c r="B37" s="283" t="s">
        <v>36</v>
      </c>
      <c r="C37" s="283" t="s">
        <v>37</v>
      </c>
      <c r="D37" s="284">
        <f t="shared" ref="D37:Q37" si="13">-D25*D13</f>
        <v>0</v>
      </c>
      <c r="E37" s="284">
        <f t="shared" si="13"/>
        <v>0</v>
      </c>
      <c r="F37" s="284">
        <f t="shared" si="13"/>
        <v>0</v>
      </c>
      <c r="G37" s="284">
        <f t="shared" si="13"/>
        <v>0</v>
      </c>
      <c r="H37" s="284">
        <f t="shared" si="13"/>
        <v>0</v>
      </c>
      <c r="I37" s="284">
        <f t="shared" si="13"/>
        <v>0</v>
      </c>
      <c r="J37" s="284">
        <f t="shared" si="13"/>
        <v>0</v>
      </c>
      <c r="K37" s="284">
        <f t="shared" si="13"/>
        <v>0</v>
      </c>
      <c r="L37" s="284">
        <f t="shared" si="13"/>
        <v>0</v>
      </c>
      <c r="M37" s="284">
        <f t="shared" si="13"/>
        <v>0</v>
      </c>
      <c r="N37" s="284">
        <f t="shared" si="13"/>
        <v>0</v>
      </c>
      <c r="O37" s="284">
        <f t="shared" si="13"/>
        <v>0</v>
      </c>
      <c r="P37" s="284">
        <f t="shared" si="13"/>
        <v>0</v>
      </c>
      <c r="Q37" s="284">
        <f t="shared" si="13"/>
        <v>3468751.1032758621</v>
      </c>
      <c r="R37" s="284">
        <f t="shared" ref="R37:V37" si="14">-R25*R13</f>
        <v>30573137.896724138</v>
      </c>
      <c r="S37" s="284">
        <f t="shared" si="14"/>
        <v>0</v>
      </c>
      <c r="T37" s="284">
        <f t="shared" si="14"/>
        <v>0</v>
      </c>
      <c r="U37" s="284">
        <f t="shared" si="14"/>
        <v>0</v>
      </c>
      <c r="V37" s="284">
        <f t="shared" si="14"/>
        <v>0</v>
      </c>
      <c r="W37" s="284">
        <f t="shared" ref="W37:X37" si="15">-W25*W13</f>
        <v>0</v>
      </c>
      <c r="X37" s="284">
        <f t="shared" si="15"/>
        <v>0</v>
      </c>
      <c r="Y37" s="284"/>
      <c r="Z37" s="284"/>
      <c r="AA37" s="284"/>
      <c r="AB37" s="284"/>
    </row>
    <row r="38" spans="1:28" x14ac:dyDescent="0.35">
      <c r="B38" s="283" t="s">
        <v>442</v>
      </c>
      <c r="C38" s="283" t="s">
        <v>469</v>
      </c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86"/>
      <c r="AB38" s="286"/>
    </row>
    <row r="39" spans="1:28" x14ac:dyDescent="0.35">
      <c r="B39" s="283" t="s">
        <v>467</v>
      </c>
      <c r="C39" s="283" t="s">
        <v>468</v>
      </c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</row>
    <row r="42" spans="1:28" s="400" customFormat="1" ht="3" customHeight="1" x14ac:dyDescent="0.35"/>
    <row r="44" spans="1:28" s="9" customFormat="1" ht="15" thickBot="1" x14ac:dyDescent="0.4">
      <c r="B44" s="386" t="s">
        <v>546</v>
      </c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6"/>
      <c r="O44" s="387"/>
      <c r="P44" s="386"/>
      <c r="Q44" s="386"/>
      <c r="R44" s="386"/>
      <c r="S44" s="386"/>
      <c r="T44" s="386"/>
      <c r="U44" s="386"/>
      <c r="V44" s="386"/>
      <c r="W44" s="386"/>
      <c r="X44" s="386"/>
      <c r="Y44" s="386"/>
      <c r="Z44" s="386"/>
      <c r="AA44" s="386"/>
      <c r="AB44" s="386"/>
    </row>
    <row r="45" spans="1:28" x14ac:dyDescent="0.35">
      <c r="A45" t="s">
        <v>550</v>
      </c>
      <c r="B45" s="388" t="s">
        <v>17</v>
      </c>
      <c r="C45" s="388" t="s">
        <v>18</v>
      </c>
      <c r="D45" s="389">
        <v>16668.96551724138</v>
      </c>
      <c r="E45" s="390" cm="1">
        <f t="array" ref="E45">SUMPRODUCT(Data!$S$3:$AD$12*(Data!$Q$3:$Q$12=$B45)*(Data!$S$2:$AD$2=E$2))</f>
        <v>16668.96551724138</v>
      </c>
      <c r="F45" s="390" cm="1">
        <f t="array" ref="F45">SUMPRODUCT(Data!$S$3:$AD$12*(Data!$Q$3:$Q$12=$B45)*(Data!$S$2:$AD$2=F$2))</f>
        <v>16668.96551724138</v>
      </c>
      <c r="G45" s="390" cm="1">
        <f t="array" ref="G45">SUMPRODUCT(Data!$S$3:$AD$12*(Data!$Q$3:$Q$12=$B45)*(Data!$S$2:$AD$2=G$2))</f>
        <v>16668.96551724138</v>
      </c>
      <c r="H45" s="390" cm="1">
        <f t="array" ref="H45">SUMPRODUCT(Data!$S$3:$AD$12*(Data!$Q$3:$Q$12=$B45)*(Data!$S$2:$AD$2=H$2))</f>
        <v>16668.96551724138</v>
      </c>
      <c r="I45" s="390" cm="1">
        <f t="array" ref="I45">SUMPRODUCT(Data!$S$3:$AD$12*(Data!$Q$3:$Q$12=$B45)*(Data!$S$2:$AD$2=I$2))</f>
        <v>19191.309924643258</v>
      </c>
      <c r="J45" s="390" cm="1">
        <f t="array" ref="J45">SUMPRODUCT(Data!$S$3:$AD$12*(Data!$Q$3:$Q$12=$B45)*(Data!$S$2:$AD$2=J$2))</f>
        <v>19191.309924643258</v>
      </c>
      <c r="K45" s="390" cm="1">
        <f t="array" ref="K45">SUMPRODUCT(Data!$S$3:$AD$12*(Data!$Q$3:$Q$12=$B45)*(Data!$S$2:$AD$2=K$2))</f>
        <v>19191.656535025748</v>
      </c>
      <c r="L45" s="390" cm="1">
        <f t="array" ref="L45">SUMPRODUCT(Data!$S$3:$AD$12*(Data!$Q$3:$Q$12=$B45)*(Data!$S$2:$AD$2=L$2))</f>
        <v>19191.656535025748</v>
      </c>
      <c r="M45" s="390" cm="1">
        <f t="array" ref="M45">SUMPRODUCT(Data!$S$3:$AD$12*(Data!$Q$3:$Q$12=$B45)*(Data!$S$2:$AD$2=M$2))</f>
        <v>19191.656535025748</v>
      </c>
      <c r="N45" s="390" cm="1">
        <f t="array" ref="N45">SUMPRODUCT(Data!$S$3:$AD$12*(Data!$Q$3:$Q$12=$B45)*(Data!$S$2:$AD$2=N$2))</f>
        <v>19191.656535025748</v>
      </c>
      <c r="O45" s="390" cm="1">
        <f t="array" ref="O45">SUMPRODUCT(Data!$S$3:$AD$12*(Data!$Q$3:$Q$12=$B45)*(Data!$S$2:$AD$2=O$2))</f>
        <v>19191.656535025748</v>
      </c>
      <c r="P45" s="390" cm="1">
        <f t="array" ref="P45">SUMPRODUCT(Data!$S$3:$AD$12*(Data!$Q$3:$Q$12=$B45)*(Data!$S$2:$AD$2=P$2))</f>
        <v>19191.686013328814</v>
      </c>
      <c r="Q45" s="390" cm="1">
        <f t="array" ref="Q45">SUMPRODUCT(Data!$S$3:$AD$12*(Data!$Q$3:$Q$12=$B45)*(Data!$S$2:$AD$2=Q$2))</f>
        <v>19191.68583690987</v>
      </c>
      <c r="R45" s="390" cm="1">
        <f t="array" ref="R45">SUMPRODUCT(Data!$S$3:$AD$12*(Data!$Q$3:$Q$12=$B45)*(Data!$S$2:$AD$2=R$2))</f>
        <v>19191.68583690987</v>
      </c>
      <c r="S45" s="390" cm="1">
        <f t="array" ref="S45">SUMPRODUCT(Data!$S$3:$AD$12*(Data!$Q$3:$Q$12=$B45)*(Data!$S$2:$AD$2=S$2))</f>
        <v>19191.68583690987</v>
      </c>
      <c r="T45" s="390" cm="1">
        <f t="array" ref="T45">SUMPRODUCT(Data!$S$3:$AD$12*(Data!$Q$3:$Q$12=$B45)*(Data!$S$2:$AD$2=T$2))</f>
        <v>19191.68583690987</v>
      </c>
      <c r="U45" s="390" cm="1">
        <f t="array" ref="U45">SUMPRODUCT(Data!$S$3:$AD$12*(Data!$Q$3:$Q$12=$B45)*(Data!$S$2:$AD$2=U$2))</f>
        <v>19191.68583690987</v>
      </c>
      <c r="V45" s="390" cm="1">
        <f t="array" ref="V45">SUMPRODUCT(Data!$S$3:$AD$12*(Data!$Q$3:$Q$12=$B45)*(Data!$S$2:$AD$2=V$2))</f>
        <v>19191.68583690987</v>
      </c>
      <c r="W45" s="390" cm="1">
        <f t="array" ref="W45">SUMPRODUCT(Data!$S$3:$AD$12*(Data!$Q$3:$Q$12=$B45)*(Data!$S$2:$AD$2=W$2))</f>
        <v>19191.68583690987</v>
      </c>
      <c r="X45" s="390" cm="1">
        <f t="array" ref="X45">SUMPRODUCT(Data!$S$3:$AD$12*(Data!$Q$3:$Q$12=$B45)*(Data!$S$2:$AD$2=X$2))</f>
        <v>19191.68583690987</v>
      </c>
      <c r="Y45" s="388"/>
      <c r="Z45" s="388"/>
      <c r="AA45" s="388"/>
      <c r="AB45" s="388"/>
    </row>
    <row r="46" spans="1:28" x14ac:dyDescent="0.35">
      <c r="A46" t="s">
        <v>542</v>
      </c>
      <c r="B46" s="388" t="s">
        <v>20</v>
      </c>
      <c r="C46" s="388" t="s">
        <v>21</v>
      </c>
      <c r="D46" s="391"/>
      <c r="E46" s="390" cm="1">
        <f t="array" ref="E46">SUMPRODUCT(Data!$S$3:$AD$12*(Data!$Q$3:$Q$12=$B46)*(Data!$S$2:$AD$2=E$2))</f>
        <v>0</v>
      </c>
      <c r="F46" s="390" cm="1">
        <f t="array" ref="F46">SUMPRODUCT(Data!$S$3:$AD$12*(Data!$Q$3:$Q$12=$B46)*(Data!$S$2:$AD$2=F$2))</f>
        <v>0</v>
      </c>
      <c r="G46" s="390" cm="1">
        <f t="array" ref="G46">SUMPRODUCT(Data!$S$3:$AD$12*(Data!$Q$3:$Q$12=$B46)*(Data!$S$2:$AD$2=G$2))</f>
        <v>0</v>
      </c>
      <c r="H46" s="390" cm="1">
        <f t="array" ref="H46">SUMPRODUCT(Data!$S$3:$AD$12*(Data!$Q$3:$Q$12=$B46)*(Data!$S$2:$AD$2=H$2))</f>
        <v>0</v>
      </c>
      <c r="I46" s="390" cm="1">
        <f t="array" ref="I46">SUMPRODUCT(Data!$S$3:$AD$12*(Data!$Q$3:$Q$12=$B46)*(Data!$S$2:$AD$2=I$2))</f>
        <v>0</v>
      </c>
      <c r="J46" s="390" cm="1">
        <f t="array" ref="J46">SUMPRODUCT(Data!$S$3:$AD$12*(Data!$Q$3:$Q$12=$B46)*(Data!$S$2:$AD$2=J$2))</f>
        <v>0</v>
      </c>
      <c r="K46" s="390" cm="1">
        <f t="array" ref="K46">SUMPRODUCT(Data!$S$3:$AD$12*(Data!$Q$3:$Q$12=$B46)*(Data!$S$2:$AD$2=K$2))</f>
        <v>28951.970986460346</v>
      </c>
      <c r="L46" s="390" cm="1">
        <f t="array" ref="L46">SUMPRODUCT(Data!$S$3:$AD$12*(Data!$Q$3:$Q$12=$B46)*(Data!$S$2:$AD$2=L$2))</f>
        <v>28951.970986460346</v>
      </c>
      <c r="M46" s="390" cm="1">
        <f t="array" ref="M46">SUMPRODUCT(Data!$S$3:$AD$12*(Data!$Q$3:$Q$12=$B46)*(Data!$S$2:$AD$2=M$2))</f>
        <v>28951.970986460346</v>
      </c>
      <c r="N46" s="390" cm="1">
        <f t="array" ref="N46">SUMPRODUCT(Data!$S$3:$AD$12*(Data!$Q$3:$Q$12=$B46)*(Data!$S$2:$AD$2=N$2))</f>
        <v>28951.970986460346</v>
      </c>
      <c r="O46" s="390" cm="1">
        <f t="array" ref="O46">SUMPRODUCT(Data!$S$3:$AD$12*(Data!$Q$3:$Q$12=$B46)*(Data!$S$2:$AD$2=O$2))</f>
        <v>28951.970986460346</v>
      </c>
      <c r="P46" s="390" cm="1">
        <f t="array" ref="P46">SUMPRODUCT(Data!$S$3:$AD$12*(Data!$Q$3:$Q$12=$B46)*(Data!$S$2:$AD$2=P$2))</f>
        <v>28951.970986460346</v>
      </c>
      <c r="Q46" s="390" cm="1">
        <f t="array" ref="Q46">SUMPRODUCT(Data!$S$3:$AD$12*(Data!$Q$3:$Q$12=$B46)*(Data!$S$2:$AD$2=Q$2))</f>
        <v>28951.970986460346</v>
      </c>
      <c r="R46" s="390" cm="1">
        <f t="array" ref="R46">SUMPRODUCT(Data!$S$3:$AD$12*(Data!$Q$3:$Q$12=$B46)*(Data!$S$2:$AD$2=R$2))</f>
        <v>28951.970986460346</v>
      </c>
      <c r="S46" s="390" cm="1">
        <f t="array" ref="S46">SUMPRODUCT(Data!$S$3:$AD$12*(Data!$Q$3:$Q$12=$B46)*(Data!$S$2:$AD$2=S$2))</f>
        <v>28951.970986460346</v>
      </c>
      <c r="T46" s="390" cm="1">
        <f t="array" ref="T46">SUMPRODUCT(Data!$S$3:$AD$12*(Data!$Q$3:$Q$12=$B46)*(Data!$S$2:$AD$2=T$2))</f>
        <v>28951.970986460346</v>
      </c>
      <c r="U46" s="390" cm="1">
        <f t="array" ref="U46">SUMPRODUCT(Data!$S$3:$AD$12*(Data!$Q$3:$Q$12=$B46)*(Data!$S$2:$AD$2=U$2))</f>
        <v>28951.970986460346</v>
      </c>
      <c r="V46" s="390" cm="1">
        <f t="array" ref="V46">SUMPRODUCT(Data!$S$3:$AD$12*(Data!$Q$3:$Q$12=$B46)*(Data!$S$2:$AD$2=V$2))</f>
        <v>28951.970986460346</v>
      </c>
      <c r="W46" s="390" cm="1">
        <f t="array" ref="W46">SUMPRODUCT(Data!$S$3:$AD$12*(Data!$Q$3:$Q$12=$B46)*(Data!$S$2:$AD$2=W$2))</f>
        <v>28951.970986460346</v>
      </c>
      <c r="X46" s="390" cm="1">
        <f t="array" ref="X46">SUMPRODUCT(Data!$S$3:$AD$12*(Data!$Q$3:$Q$12=$B46)*(Data!$S$2:$AD$2=X$2))</f>
        <v>28951.970986460346</v>
      </c>
      <c r="Y46" s="388"/>
      <c r="Z46" s="388"/>
      <c r="AA46" s="388"/>
      <c r="AB46" s="388"/>
    </row>
    <row r="47" spans="1:28" x14ac:dyDescent="0.35">
      <c r="A47" t="s">
        <v>542</v>
      </c>
      <c r="B47" s="388" t="s">
        <v>23</v>
      </c>
      <c r="C47" s="388" t="s">
        <v>24</v>
      </c>
      <c r="D47" s="389">
        <v>21803.199920191539</v>
      </c>
      <c r="E47" s="390" cm="1">
        <f t="array" ref="E47">SUMPRODUCT(Data!$S$3:$AD$12*(Data!$Q$3:$Q$12=$B47)*(Data!$S$2:$AD$2=E$2))</f>
        <v>0</v>
      </c>
      <c r="F47" s="390" cm="1">
        <f t="array" ref="F47">SUMPRODUCT(Data!$S$3:$AD$12*(Data!$Q$3:$Q$12=$B47)*(Data!$S$2:$AD$2=F$2))</f>
        <v>0</v>
      </c>
      <c r="G47" s="390" cm="1">
        <f t="array" ref="G47">SUMPRODUCT(Data!$S$3:$AD$12*(Data!$Q$3:$Q$12=$B47)*(Data!$S$2:$AD$2=G$2))</f>
        <v>0</v>
      </c>
      <c r="H47" s="390" cm="1">
        <f t="array" ref="H47">SUMPRODUCT(Data!$S$3:$AD$12*(Data!$Q$3:$Q$12=$B47)*(Data!$S$2:$AD$2=H$2))</f>
        <v>0</v>
      </c>
      <c r="I47" s="390" cm="1">
        <f t="array" ref="I47">SUMPRODUCT(Data!$S$3:$AD$12*(Data!$Q$3:$Q$12=$B47)*(Data!$S$2:$AD$2=I$2))</f>
        <v>0</v>
      </c>
      <c r="J47" s="390" cm="1">
        <f t="array" ref="J47">SUMPRODUCT(Data!$S$3:$AD$12*(Data!$Q$3:$Q$12=$B47)*(Data!$S$2:$AD$2=J$2))</f>
        <v>0</v>
      </c>
      <c r="K47" s="390" cm="1">
        <f t="array" ref="K47">SUMPRODUCT(Data!$S$3:$AD$12*(Data!$Q$3:$Q$12=$B47)*(Data!$S$2:$AD$2=K$2))</f>
        <v>22614</v>
      </c>
      <c r="L47" s="390" cm="1">
        <f t="array" ref="L47">SUMPRODUCT(Data!$S$3:$AD$12*(Data!$Q$3:$Q$12=$B47)*(Data!$S$2:$AD$2=L$2))</f>
        <v>22614</v>
      </c>
      <c r="M47" s="390" cm="1">
        <f t="array" ref="M47">SUMPRODUCT(Data!$S$3:$AD$12*(Data!$Q$3:$Q$12=$B47)*(Data!$S$2:$AD$2=M$2))</f>
        <v>22614</v>
      </c>
      <c r="N47" s="390" cm="1">
        <f t="array" ref="N47">SUMPRODUCT(Data!$S$3:$AD$12*(Data!$Q$3:$Q$12=$B47)*(Data!$S$2:$AD$2=N$2))</f>
        <v>22614</v>
      </c>
      <c r="O47" s="390" cm="1">
        <f t="array" ref="O47">SUMPRODUCT(Data!$S$3:$AD$12*(Data!$Q$3:$Q$12=$B47)*(Data!$S$2:$AD$2=O$2))</f>
        <v>22614</v>
      </c>
      <c r="P47" s="390" cm="1">
        <f t="array" ref="P47">SUMPRODUCT(Data!$S$3:$AD$12*(Data!$Q$3:$Q$12=$B47)*(Data!$S$2:$AD$2=P$2))</f>
        <v>22614</v>
      </c>
      <c r="Q47" s="390" cm="1">
        <f t="array" ref="Q47">SUMPRODUCT(Data!$S$3:$AD$12*(Data!$Q$3:$Q$12=$B47)*(Data!$S$2:$AD$2=Q$2))</f>
        <v>22614</v>
      </c>
      <c r="R47" s="390" cm="1">
        <f t="array" ref="R47">SUMPRODUCT(Data!$S$3:$AD$12*(Data!$Q$3:$Q$12=$B47)*(Data!$S$2:$AD$2=R$2))</f>
        <v>22614</v>
      </c>
      <c r="S47" s="390" cm="1">
        <f t="array" ref="S47">SUMPRODUCT(Data!$S$3:$AD$12*(Data!$Q$3:$Q$12=$B47)*(Data!$S$2:$AD$2=S$2))</f>
        <v>22614</v>
      </c>
      <c r="T47" s="390" cm="1">
        <f t="array" ref="T47">SUMPRODUCT(Data!$S$3:$AD$12*(Data!$Q$3:$Q$12=$B47)*(Data!$S$2:$AD$2=T$2))</f>
        <v>22614</v>
      </c>
      <c r="U47" s="390" cm="1">
        <f t="array" ref="U47">SUMPRODUCT(Data!$S$3:$AD$12*(Data!$Q$3:$Q$12=$B47)*(Data!$S$2:$AD$2=U$2))</f>
        <v>22614</v>
      </c>
      <c r="V47" s="390" cm="1">
        <f t="array" ref="V47">SUMPRODUCT(Data!$S$3:$AD$12*(Data!$Q$3:$Q$12=$B47)*(Data!$S$2:$AD$2=V$2))</f>
        <v>22614</v>
      </c>
      <c r="W47" s="390" cm="1">
        <f t="array" ref="W47">SUMPRODUCT(Data!$S$3:$AD$12*(Data!$Q$3:$Q$12=$B47)*(Data!$S$2:$AD$2=W$2))</f>
        <v>22614</v>
      </c>
      <c r="X47" s="390" cm="1">
        <f t="array" ref="X47">SUMPRODUCT(Data!$S$3:$AD$12*(Data!$Q$3:$Q$12=$B47)*(Data!$S$2:$AD$2=X$2))</f>
        <v>22614</v>
      </c>
      <c r="Y47" s="388"/>
      <c r="Z47" s="388"/>
      <c r="AA47" s="388"/>
      <c r="AB47" s="388"/>
    </row>
    <row r="48" spans="1:28" x14ac:dyDescent="0.35">
      <c r="A48" t="s">
        <v>542</v>
      </c>
      <c r="B48" s="388" t="s">
        <v>25</v>
      </c>
      <c r="C48" s="388" t="s">
        <v>26</v>
      </c>
      <c r="D48" s="389">
        <v>22398.554744525547</v>
      </c>
      <c r="E48" s="390" cm="1">
        <f t="array" ref="E48">SUMPRODUCT(Data!$S$3:$AD$12*(Data!$Q$3:$Q$12=$B48)*(Data!$S$2:$AD$2=E$2))</f>
        <v>22400.043950892203</v>
      </c>
      <c r="F48" s="390" cm="1">
        <f t="array" ref="F48">SUMPRODUCT(Data!$S$3:$AD$12*(Data!$Q$3:$Q$12=$B48)*(Data!$S$2:$AD$2=F$2))</f>
        <v>22400.043950892203</v>
      </c>
      <c r="G48" s="390" cm="1">
        <f t="array" ref="G48">SUMPRODUCT(Data!$S$3:$AD$12*(Data!$Q$3:$Q$12=$B48)*(Data!$S$2:$AD$2=G$2))</f>
        <v>22400.902244468823</v>
      </c>
      <c r="H48" s="390" cm="1">
        <f t="array" ref="H48">SUMPRODUCT(Data!$S$3:$AD$12*(Data!$Q$3:$Q$12=$B48)*(Data!$S$2:$AD$2=H$2))</f>
        <v>22400.902244468823</v>
      </c>
      <c r="I48" s="390" cm="1">
        <f t="array" ref="I48">SUMPRODUCT(Data!$S$3:$AD$12*(Data!$Q$3:$Q$12=$B48)*(Data!$S$2:$AD$2=I$2))</f>
        <v>22400.979963549446</v>
      </c>
      <c r="J48" s="390" cm="1">
        <f t="array" ref="J48">SUMPRODUCT(Data!$S$3:$AD$12*(Data!$Q$3:$Q$12=$B48)*(Data!$S$2:$AD$2=J$2))</f>
        <v>22400.979963549446</v>
      </c>
      <c r="K48" s="390" cm="1">
        <f t="array" ref="K48">SUMPRODUCT(Data!$S$3:$AD$12*(Data!$Q$3:$Q$12=$B48)*(Data!$S$2:$AD$2=K$2))</f>
        <v>22400.979902009796</v>
      </c>
      <c r="L48" s="390" cm="1">
        <f t="array" ref="L48">SUMPRODUCT(Data!$S$3:$AD$12*(Data!$Q$3:$Q$12=$B48)*(Data!$S$2:$AD$2=L$2))</f>
        <v>22400.979902009796</v>
      </c>
      <c r="M48" s="390" cm="1">
        <f t="array" ref="M48">SUMPRODUCT(Data!$S$3:$AD$12*(Data!$Q$3:$Q$12=$B48)*(Data!$S$2:$AD$2=M$2))</f>
        <v>22400.998827353142</v>
      </c>
      <c r="N48" s="390" cm="1">
        <f t="array" ref="N48">SUMPRODUCT(Data!$S$3:$AD$12*(Data!$Q$3:$Q$12=$B48)*(Data!$S$2:$AD$2=N$2))</f>
        <v>22400.998827353142</v>
      </c>
      <c r="O48" s="390" cm="1">
        <f t="array" ref="O48">SUMPRODUCT(Data!$S$3:$AD$12*(Data!$Q$3:$Q$12=$B48)*(Data!$S$2:$AD$2=O$2))</f>
        <v>22400.998827353142</v>
      </c>
      <c r="P48" s="390" cm="1">
        <f t="array" ref="P48">SUMPRODUCT(Data!$S$3:$AD$12*(Data!$Q$3:$Q$12=$B48)*(Data!$S$2:$AD$2=P$2))</f>
        <v>22400.999550723973</v>
      </c>
      <c r="Q48" s="390" cm="1">
        <f t="array" ref="Q48">SUMPRODUCT(Data!$S$3:$AD$12*(Data!$Q$3:$Q$12=$B48)*(Data!$S$2:$AD$2=Q$2))</f>
        <v>22400.999505584645</v>
      </c>
      <c r="R48" s="390" cm="1">
        <f t="array" ref="R48">SUMPRODUCT(Data!$S$3:$AD$12*(Data!$Q$3:$Q$12=$B48)*(Data!$S$2:$AD$2=R$2))</f>
        <v>22400.999505584645</v>
      </c>
      <c r="S48" s="390" cm="1">
        <f t="array" ref="S48">SUMPRODUCT(Data!$S$3:$AD$12*(Data!$Q$3:$Q$12=$B48)*(Data!$S$2:$AD$2=S$2))</f>
        <v>22400.999859231226</v>
      </c>
      <c r="T48" s="390" cm="1">
        <f t="array" ref="T48">SUMPRODUCT(Data!$S$3:$AD$12*(Data!$Q$3:$Q$12=$B48)*(Data!$S$2:$AD$2=T$2))</f>
        <v>22400.999859231226</v>
      </c>
      <c r="U48" s="390" cm="1">
        <f t="array" ref="U48">SUMPRODUCT(Data!$S$3:$AD$12*(Data!$Q$3:$Q$12=$B48)*(Data!$S$2:$AD$2=U$2))</f>
        <v>22400.999956335549</v>
      </c>
      <c r="V48" s="390" cm="1">
        <f t="array" ref="V48">SUMPRODUCT(Data!$S$3:$AD$12*(Data!$Q$3:$Q$12=$B48)*(Data!$S$2:$AD$2=V$2))</f>
        <v>22400.999956335549</v>
      </c>
      <c r="W48" s="390" cm="1">
        <f t="array" ref="W48">SUMPRODUCT(Data!$S$3:$AD$12*(Data!$Q$3:$Q$12=$B48)*(Data!$S$2:$AD$2=W$2))</f>
        <v>22400.999956335549</v>
      </c>
      <c r="X48" s="390" cm="1">
        <f t="array" ref="X48">SUMPRODUCT(Data!$S$3:$AD$12*(Data!$Q$3:$Q$12=$B48)*(Data!$S$2:$AD$2=X$2))</f>
        <v>22400.999941606311</v>
      </c>
      <c r="Y48" s="388"/>
      <c r="Z48" s="388"/>
      <c r="AA48" s="388"/>
      <c r="AB48" s="388"/>
    </row>
    <row r="49" spans="1:28" x14ac:dyDescent="0.35">
      <c r="A49" t="s">
        <v>542</v>
      </c>
      <c r="B49" s="388" t="s">
        <v>27</v>
      </c>
      <c r="C49" s="388" t="s">
        <v>28</v>
      </c>
      <c r="D49" s="391"/>
      <c r="E49" s="390" cm="1">
        <f t="array" ref="E49">SUMPRODUCT(Data!$S$3:$AD$12*(Data!$Q$3:$Q$12=$B49)*(Data!$S$2:$AD$2=E$2))</f>
        <v>0</v>
      </c>
      <c r="F49" s="390" cm="1">
        <f t="array" ref="F49">SUMPRODUCT(Data!$S$3:$AD$12*(Data!$Q$3:$Q$12=$B49)*(Data!$S$2:$AD$2=F$2))</f>
        <v>0</v>
      </c>
      <c r="G49" s="390" cm="1">
        <f t="array" ref="G49">SUMPRODUCT(Data!$S$3:$AD$12*(Data!$Q$3:$Q$12=$B49)*(Data!$S$2:$AD$2=G$2))</f>
        <v>0</v>
      </c>
      <c r="H49" s="390" cm="1">
        <f t="array" ref="H49">SUMPRODUCT(Data!$S$3:$AD$12*(Data!$Q$3:$Q$12=$B49)*(Data!$S$2:$AD$2=H$2))</f>
        <v>0</v>
      </c>
      <c r="I49" s="390" cm="1">
        <f t="array" ref="I49">SUMPRODUCT(Data!$S$3:$AD$12*(Data!$Q$3:$Q$12=$B49)*(Data!$S$2:$AD$2=I$2))</f>
        <v>0</v>
      </c>
      <c r="J49" s="390" cm="1">
        <f t="array" ref="J49">SUMPRODUCT(Data!$S$3:$AD$12*(Data!$Q$3:$Q$12=$B49)*(Data!$S$2:$AD$2=J$2))</f>
        <v>0</v>
      </c>
      <c r="K49" s="390" cm="1">
        <f t="array" ref="K49">SUMPRODUCT(Data!$S$3:$AD$12*(Data!$Q$3:$Q$12=$B49)*(Data!$S$2:$AD$2=K$2))</f>
        <v>0</v>
      </c>
      <c r="L49" s="390" cm="1">
        <f t="array" ref="L49">SUMPRODUCT(Data!$S$3:$AD$12*(Data!$Q$3:$Q$12=$B49)*(Data!$S$2:$AD$2=L$2))</f>
        <v>0</v>
      </c>
      <c r="M49" s="390" cm="1">
        <f t="array" ref="M49">SUMPRODUCT(Data!$S$3:$AD$12*(Data!$Q$3:$Q$12=$B49)*(Data!$S$2:$AD$2=M$2))</f>
        <v>0</v>
      </c>
      <c r="N49" s="390" cm="1">
        <f t="array" ref="N49">SUMPRODUCT(Data!$S$3:$AD$12*(Data!$Q$3:$Q$12=$B49)*(Data!$S$2:$AD$2=N$2))</f>
        <v>0</v>
      </c>
      <c r="O49" s="390" cm="1">
        <f t="array" ref="O49">SUMPRODUCT(Data!$S$3:$AD$12*(Data!$Q$3:$Q$12=$B49)*(Data!$S$2:$AD$2=O$2))</f>
        <v>0</v>
      </c>
      <c r="P49" s="390" cm="1">
        <f t="array" ref="P49">SUMPRODUCT(Data!$S$3:$AD$12*(Data!$Q$3:$Q$12=$B49)*(Data!$S$2:$AD$2=P$2))</f>
        <v>0</v>
      </c>
      <c r="Q49" s="390" cm="1">
        <f t="array" ref="Q49">SUMPRODUCT(Data!$S$3:$AD$12*(Data!$Q$3:$Q$12=$B49)*(Data!$S$2:$AD$2=Q$2))</f>
        <v>0</v>
      </c>
      <c r="R49" s="390" cm="1">
        <f t="array" ref="R49">SUMPRODUCT(Data!$S$3:$AD$12*(Data!$Q$3:$Q$12=$B49)*(Data!$S$2:$AD$2=R$2))</f>
        <v>0</v>
      </c>
      <c r="S49" s="390" cm="1">
        <f t="array" ref="S49">SUMPRODUCT(Data!$S$3:$AD$12*(Data!$Q$3:$Q$12=$B49)*(Data!$S$2:$AD$2=S$2))</f>
        <v>0</v>
      </c>
      <c r="T49" s="390" cm="1">
        <f t="array" ref="T49">SUMPRODUCT(Data!$S$3:$AD$12*(Data!$Q$3:$Q$12=$B49)*(Data!$S$2:$AD$2=T$2))</f>
        <v>0</v>
      </c>
      <c r="U49" s="390" cm="1">
        <f t="array" ref="U49">SUMPRODUCT(Data!$S$3:$AD$12*(Data!$Q$3:$Q$12=$B49)*(Data!$S$2:$AD$2=U$2))</f>
        <v>0</v>
      </c>
      <c r="V49" s="390" cm="1">
        <f t="array" ref="V49">SUMPRODUCT(Data!$S$3:$AD$12*(Data!$Q$3:$Q$12=$B49)*(Data!$S$2:$AD$2=V$2))</f>
        <v>0</v>
      </c>
      <c r="W49" s="390" cm="1">
        <f t="array" ref="W49">SUMPRODUCT(Data!$S$3:$AD$12*(Data!$Q$3:$Q$12=$B49)*(Data!$S$2:$AD$2=W$2))</f>
        <v>0</v>
      </c>
      <c r="X49" s="390" cm="1">
        <f t="array" ref="X49">SUMPRODUCT(Data!$S$3:$AD$12*(Data!$Q$3:$Q$12=$B49)*(Data!$S$2:$AD$2=X$2))</f>
        <v>0</v>
      </c>
      <c r="Y49" s="388"/>
      <c r="Z49" s="388"/>
      <c r="AA49" s="388"/>
      <c r="AB49" s="388"/>
    </row>
    <row r="50" spans="1:28" x14ac:dyDescent="0.35">
      <c r="A50" t="s">
        <v>132</v>
      </c>
      <c r="B50" s="388" t="s">
        <v>29</v>
      </c>
      <c r="C50" s="388" t="s">
        <v>30</v>
      </c>
      <c r="D50" s="389">
        <v>22974.005132056602</v>
      </c>
      <c r="E50" s="390" cm="1">
        <f t="array" ref="E50">SUMPRODUCT(Data!$S$3:$AD$12*(Data!$Q$3:$Q$12=$B50)*(Data!$S$2:$AD$2=E$2))</f>
        <v>23190.490550174873</v>
      </c>
      <c r="F50" s="390" cm="1">
        <f t="array" ref="F50">SUMPRODUCT(Data!$S$3:$AD$12*(Data!$Q$3:$Q$12=$B50)*(Data!$S$2:$AD$2=F$2))</f>
        <v>23190.490550174873</v>
      </c>
      <c r="G50" s="390" cm="1">
        <f t="array" ref="G50">SUMPRODUCT(Data!$S$3:$AD$12*(Data!$Q$3:$Q$12=$B50)*(Data!$S$2:$AD$2=G$2))</f>
        <v>24292.212439609946</v>
      </c>
      <c r="H50" s="390" cm="1">
        <f t="array" ref="H50">SUMPRODUCT(Data!$S$3:$AD$12*(Data!$Q$3:$Q$12=$B50)*(Data!$S$2:$AD$2=H$2))</f>
        <v>24292.212439609946</v>
      </c>
      <c r="I50" s="390" cm="1">
        <f t="array" ref="I50">SUMPRODUCT(Data!$S$3:$AD$12*(Data!$Q$3:$Q$12=$B50)*(Data!$S$2:$AD$2=I$2))</f>
        <v>23906.276136363635</v>
      </c>
      <c r="J50" s="390" cm="1">
        <f t="array" ref="J50">SUMPRODUCT(Data!$S$3:$AD$12*(Data!$Q$3:$Q$12=$B50)*(Data!$S$2:$AD$2=J$2))</f>
        <v>23906.276136363635</v>
      </c>
      <c r="K50" s="390" cm="1">
        <f t="array" ref="K50">SUMPRODUCT(Data!$S$3:$AD$12*(Data!$Q$3:$Q$12=$B50)*(Data!$S$2:$AD$2=K$2))</f>
        <v>23591.764168772428</v>
      </c>
      <c r="L50" s="390" cm="1">
        <f t="array" ref="L50">SUMPRODUCT(Data!$S$3:$AD$12*(Data!$Q$3:$Q$12=$B50)*(Data!$S$2:$AD$2=L$2))</f>
        <v>23591.764168772428</v>
      </c>
      <c r="M50" s="390" cm="1">
        <f t="array" ref="M50">SUMPRODUCT(Data!$S$3:$AD$12*(Data!$Q$3:$Q$12=$B50)*(Data!$S$2:$AD$2=M$2))</f>
        <v>23294.586502918555</v>
      </c>
      <c r="N50" s="390" cm="1">
        <f t="array" ref="N50">SUMPRODUCT(Data!$S$3:$AD$12*(Data!$Q$3:$Q$12=$B50)*(Data!$S$2:$AD$2=N$2))</f>
        <v>23294.586502918555</v>
      </c>
      <c r="O50" s="390" cm="1">
        <f t="array" ref="O50">SUMPRODUCT(Data!$S$3:$AD$12*(Data!$Q$3:$Q$12=$B50)*(Data!$S$2:$AD$2=O$2))</f>
        <v>23294.586502918555</v>
      </c>
      <c r="P50" s="390" cm="1">
        <f t="array" ref="P50">SUMPRODUCT(Data!$S$3:$AD$12*(Data!$Q$3:$Q$12=$B50)*(Data!$S$2:$AD$2=P$2))</f>
        <v>23238.633656652361</v>
      </c>
      <c r="Q50" s="390" cm="1">
        <f t="array" ref="Q50">SUMPRODUCT(Data!$S$3:$AD$12*(Data!$Q$3:$Q$12=$B50)*(Data!$S$2:$AD$2=Q$2))</f>
        <v>23155.300513409962</v>
      </c>
      <c r="R50" s="390" cm="1">
        <f t="array" ref="R50">SUMPRODUCT(Data!$S$3:$AD$12*(Data!$Q$3:$Q$12=$B50)*(Data!$S$2:$AD$2=R$2))</f>
        <v>23155.300513409962</v>
      </c>
      <c r="S50" s="390" cm="1">
        <f t="array" ref="S50">SUMPRODUCT(Data!$S$3:$AD$12*(Data!$Q$3:$Q$12=$B50)*(Data!$S$2:$AD$2=S$2))</f>
        <v>23001.687791502016</v>
      </c>
      <c r="T50" s="390" cm="1">
        <f t="array" ref="T50">SUMPRODUCT(Data!$S$3:$AD$12*(Data!$Q$3:$Q$12=$B50)*(Data!$S$2:$AD$2=T$2))</f>
        <v>23001.687791502016</v>
      </c>
      <c r="U50" s="390" cm="1">
        <f t="array" ref="U50">SUMPRODUCT(Data!$S$3:$AD$12*(Data!$Q$3:$Q$12=$B50)*(Data!$S$2:$AD$2=U$2))</f>
        <v>23151.734980494148</v>
      </c>
      <c r="V50" s="390" cm="1">
        <f t="array" ref="V50">SUMPRODUCT(Data!$S$3:$AD$12*(Data!$Q$3:$Q$12=$B50)*(Data!$S$2:$AD$2=V$2))</f>
        <v>23151.734980494148</v>
      </c>
      <c r="W50" s="390" cm="1">
        <f t="array" ref="W50">SUMPRODUCT(Data!$S$3:$AD$12*(Data!$Q$3:$Q$12=$B50)*(Data!$S$2:$AD$2=W$2))</f>
        <v>23151.734980494148</v>
      </c>
      <c r="X50" s="390" cm="1">
        <f t="array" ref="X50">SUMPRODUCT(Data!$S$3:$AD$12*(Data!$Q$3:$Q$12=$B50)*(Data!$S$2:$AD$2=X$2))</f>
        <v>22970.668592967068</v>
      </c>
      <c r="Y50" s="388"/>
      <c r="Z50" s="388"/>
      <c r="AA50" s="388"/>
      <c r="AB50" s="388"/>
    </row>
    <row r="51" spans="1:28" x14ac:dyDescent="0.35">
      <c r="A51" t="s">
        <v>550</v>
      </c>
      <c r="B51" s="388" t="s">
        <v>34</v>
      </c>
      <c r="C51" s="388" t="s">
        <v>35</v>
      </c>
      <c r="D51" s="389">
        <v>7752.3622846319658</v>
      </c>
      <c r="E51" s="390" cm="1">
        <f t="array" ref="E51">SUMPRODUCT(Data!$S$3:$AD$12*(Data!$Q$3:$Q$12=$B51)*(Data!$S$2:$AD$2=E$2))</f>
        <v>7817.0815518248965</v>
      </c>
      <c r="F51" s="390" cm="1">
        <f t="array" ref="F51">SUMPRODUCT(Data!$S$3:$AD$12*(Data!$Q$3:$Q$12=$B51)*(Data!$S$2:$AD$2=F$2))</f>
        <v>7817.0815518248965</v>
      </c>
      <c r="G51" s="390" cm="1">
        <f t="array" ref="G51">SUMPRODUCT(Data!$S$3:$AD$12*(Data!$Q$3:$Q$12=$B51)*(Data!$S$2:$AD$2=G$2))</f>
        <v>10637.341952274715</v>
      </c>
      <c r="H51" s="390" cm="1">
        <f t="array" ref="H51">SUMPRODUCT(Data!$S$3:$AD$12*(Data!$Q$3:$Q$12=$B51)*(Data!$S$2:$AD$2=H$2))</f>
        <v>10637.341952274715</v>
      </c>
      <c r="I51" s="390" cm="1">
        <f t="array" ref="I51">SUMPRODUCT(Data!$S$3:$AD$12*(Data!$Q$3:$Q$12=$B51)*(Data!$S$2:$AD$2=I$2))</f>
        <v>9952.5384097491224</v>
      </c>
      <c r="J51" s="390" cm="1">
        <f t="array" ref="J51">SUMPRODUCT(Data!$S$3:$AD$12*(Data!$Q$3:$Q$12=$B51)*(Data!$S$2:$AD$2=J$2))</f>
        <v>9952.5384097491224</v>
      </c>
      <c r="K51" s="390" cm="1">
        <f t="array" ref="K51">SUMPRODUCT(Data!$S$3:$AD$12*(Data!$Q$3:$Q$12=$B51)*(Data!$S$2:$AD$2=K$2))</f>
        <v>9760.375246147094</v>
      </c>
      <c r="L51" s="390" cm="1">
        <f t="array" ref="L51">SUMPRODUCT(Data!$S$3:$AD$12*(Data!$Q$3:$Q$12=$B51)*(Data!$S$2:$AD$2=L$2))</f>
        <v>9760.375246147094</v>
      </c>
      <c r="M51" s="390" cm="1">
        <f t="array" ref="M51">SUMPRODUCT(Data!$S$3:$AD$12*(Data!$Q$3:$Q$12=$B51)*(Data!$S$2:$AD$2=M$2))</f>
        <v>9269.8428107636919</v>
      </c>
      <c r="N51" s="390" cm="1">
        <f t="array" ref="N51">SUMPRODUCT(Data!$S$3:$AD$12*(Data!$Q$3:$Q$12=$B51)*(Data!$S$2:$AD$2=N$2))</f>
        <v>9269.8428107636919</v>
      </c>
      <c r="O51" s="390" cm="1">
        <f t="array" ref="O51">SUMPRODUCT(Data!$S$3:$AD$12*(Data!$Q$3:$Q$12=$B51)*(Data!$S$2:$AD$2=O$2))</f>
        <v>9269.8428107636919</v>
      </c>
      <c r="P51" s="390" cm="1">
        <f t="array" ref="P51">SUMPRODUCT(Data!$S$3:$AD$12*(Data!$Q$3:$Q$12=$B51)*(Data!$S$2:$AD$2=P$2))</f>
        <v>8886.481107425665</v>
      </c>
      <c r="Q51" s="390" cm="1">
        <f t="array" ref="Q51">SUMPRODUCT(Data!$S$3:$AD$12*(Data!$Q$3:$Q$12=$B51)*(Data!$S$2:$AD$2=Q$2))</f>
        <v>8667.8810039182026</v>
      </c>
      <c r="R51" s="390" cm="1">
        <f t="array" ref="R51">SUMPRODUCT(Data!$S$3:$AD$12*(Data!$Q$3:$Q$12=$B51)*(Data!$S$2:$AD$2=R$2))</f>
        <v>8667.8810039182026</v>
      </c>
      <c r="S51" s="390" cm="1">
        <f t="array" ref="S51">SUMPRODUCT(Data!$S$3:$AD$12*(Data!$Q$3:$Q$12=$B51)*(Data!$S$2:$AD$2=S$2))</f>
        <v>8460.6574835889387</v>
      </c>
      <c r="T51" s="390" cm="1">
        <f t="array" ref="T51">SUMPRODUCT(Data!$S$3:$AD$12*(Data!$Q$3:$Q$12=$B51)*(Data!$S$2:$AD$2=T$2))</f>
        <v>8460.6574835889387</v>
      </c>
      <c r="U51" s="390" cm="1">
        <f t="array" ref="U51">SUMPRODUCT(Data!$S$3:$AD$12*(Data!$Q$3:$Q$12=$B51)*(Data!$S$2:$AD$2=U$2))</f>
        <v>8404.4105206161603</v>
      </c>
      <c r="V51" s="390" cm="1">
        <f t="array" ref="V51">SUMPRODUCT(Data!$S$3:$AD$12*(Data!$Q$3:$Q$12=$B51)*(Data!$S$2:$AD$2=V$2))</f>
        <v>8404.4105206161603</v>
      </c>
      <c r="W51" s="390" cm="1">
        <f t="array" ref="W51">SUMPRODUCT(Data!$S$3:$AD$12*(Data!$Q$3:$Q$12=$B51)*(Data!$S$2:$AD$2=W$2))</f>
        <v>8404.4105206161603</v>
      </c>
      <c r="X51" s="390" cm="1">
        <f t="array" ref="X51">SUMPRODUCT(Data!$S$3:$AD$12*(Data!$Q$3:$Q$12=$B51)*(Data!$S$2:$AD$2=X$2))</f>
        <v>8383.0283107760843</v>
      </c>
      <c r="Y51" s="388"/>
      <c r="Z51" s="388"/>
      <c r="AA51" s="388"/>
      <c r="AB51" s="388"/>
    </row>
    <row r="52" spans="1:28" ht="14.15" customHeight="1" x14ac:dyDescent="0.35">
      <c r="A52" t="s">
        <v>550</v>
      </c>
      <c r="B52" s="388" t="s">
        <v>36</v>
      </c>
      <c r="C52" s="388" t="s">
        <v>37</v>
      </c>
      <c r="D52" s="389">
        <v>17414.078218083265</v>
      </c>
      <c r="E52" s="390" cm="1">
        <f t="array" ref="E52">SUMPRODUCT(Data!$S$3:$AD$12*(Data!$Q$3:$Q$12=$B52)*(Data!$S$2:$AD$2=E$2))</f>
        <v>14606.875679193252</v>
      </c>
      <c r="F52" s="390" cm="1">
        <f t="array" ref="F52">SUMPRODUCT(Data!$S$3:$AD$12*(Data!$Q$3:$Q$12=$B52)*(Data!$S$2:$AD$2=F$2))</f>
        <v>14606.875679193252</v>
      </c>
      <c r="G52" s="390" cm="1">
        <f t="array" ref="G52">SUMPRODUCT(Data!$S$3:$AD$12*(Data!$Q$3:$Q$12=$B52)*(Data!$S$2:$AD$2=G$2))</f>
        <v>14710.344827586208</v>
      </c>
      <c r="H52" s="390" cm="1">
        <f t="array" ref="H52">SUMPRODUCT(Data!$S$3:$AD$12*(Data!$Q$3:$Q$12=$B52)*(Data!$S$2:$AD$2=H$2))</f>
        <v>14710.344827586208</v>
      </c>
      <c r="I52" s="390" cm="1">
        <f t="array" ref="I52">SUMPRODUCT(Data!$S$3:$AD$12*(Data!$Q$3:$Q$12=$B52)*(Data!$S$2:$AD$2=I$2))</f>
        <v>1010841.3793103449</v>
      </c>
      <c r="J52" s="390" cm="1">
        <f t="array" ref="J52">SUMPRODUCT(Data!$S$3:$AD$12*(Data!$Q$3:$Q$12=$B52)*(Data!$S$2:$AD$2=J$2))</f>
        <v>1010841.3793103449</v>
      </c>
      <c r="K52" s="390" cm="1">
        <f t="array" ref="K52">SUMPRODUCT(Data!$S$3:$AD$12*(Data!$Q$3:$Q$12=$B52)*(Data!$S$2:$AD$2=K$2))</f>
        <v>1010841.3793103449</v>
      </c>
      <c r="L52" s="390" cm="1">
        <f t="array" ref="L52">SUMPRODUCT(Data!$S$3:$AD$12*(Data!$Q$3:$Q$12=$B52)*(Data!$S$2:$AD$2=L$2))</f>
        <v>1010841.3793103449</v>
      </c>
      <c r="M52" s="390" cm="1">
        <f t="array" ref="M52">SUMPRODUCT(Data!$S$3:$AD$12*(Data!$Q$3:$Q$12=$B52)*(Data!$S$2:$AD$2=M$2))</f>
        <v>117385824.13793105</v>
      </c>
      <c r="N52" s="390" cm="1">
        <f t="array" ref="N52">SUMPRODUCT(Data!$S$3:$AD$12*(Data!$Q$3:$Q$12=$B52)*(Data!$S$2:$AD$2=N$2))</f>
        <v>117385824.13793105</v>
      </c>
      <c r="O52" s="390" cm="1">
        <f t="array" ref="O52">SUMPRODUCT(Data!$S$3:$AD$12*(Data!$Q$3:$Q$12=$B52)*(Data!$S$2:$AD$2=O$2))</f>
        <v>117385824.13793105</v>
      </c>
      <c r="P52" s="390" cm="1">
        <f t="array" ref="P52">SUMPRODUCT(Data!$S$3:$AD$12*(Data!$Q$3:$Q$12=$B52)*(Data!$S$2:$AD$2=P$2))</f>
        <v>117385824.13793105</v>
      </c>
      <c r="Q52" s="390" cm="1">
        <f t="array" ref="Q52">SUMPRODUCT(Data!$S$3:$AD$12*(Data!$Q$3:$Q$12=$B52)*(Data!$S$2:$AD$2=Q$2))</f>
        <v>117385824.13793105</v>
      </c>
      <c r="R52" s="390" cm="1">
        <f t="array" ref="R52">SUMPRODUCT(Data!$S$3:$AD$12*(Data!$Q$3:$Q$12=$B52)*(Data!$S$2:$AD$2=R$2))</f>
        <v>117385824.13793105</v>
      </c>
      <c r="S52" s="390" cm="1">
        <f t="array" ref="S52">SUMPRODUCT(Data!$S$3:$AD$12*(Data!$Q$3:$Q$12=$B52)*(Data!$S$2:$AD$2=S$2))</f>
        <v>0</v>
      </c>
      <c r="T52" s="390" cm="1">
        <f t="array" ref="T52">SUMPRODUCT(Data!$S$3:$AD$12*(Data!$Q$3:$Q$12=$B52)*(Data!$S$2:$AD$2=T$2))</f>
        <v>0</v>
      </c>
      <c r="U52" s="390" cm="1">
        <f t="array" ref="U52">SUMPRODUCT(Data!$S$3:$AD$12*(Data!$Q$3:$Q$12=$B52)*(Data!$S$2:$AD$2=U$2))</f>
        <v>0</v>
      </c>
      <c r="V52" s="390" cm="1">
        <f t="array" ref="V52">SUMPRODUCT(Data!$S$3:$AD$12*(Data!$Q$3:$Q$12=$B52)*(Data!$S$2:$AD$2=V$2))</f>
        <v>0</v>
      </c>
      <c r="W52" s="390" cm="1">
        <f t="array" ref="W52">SUMPRODUCT(Data!$S$3:$AD$12*(Data!$Q$3:$Q$12=$B52)*(Data!$S$2:$AD$2=W$2))</f>
        <v>0</v>
      </c>
      <c r="X52" s="390" cm="1">
        <f t="array" ref="X52">SUMPRODUCT(Data!$S$3:$AD$12*(Data!$Q$3:$Q$12=$B52)*(Data!$S$2:$AD$2=X$2))</f>
        <v>0</v>
      </c>
      <c r="Y52" s="388"/>
      <c r="Z52" s="388"/>
      <c r="AA52" s="388"/>
      <c r="AB52" s="388"/>
    </row>
    <row r="53" spans="1:28" ht="14.15" customHeight="1" x14ac:dyDescent="0.35">
      <c r="A53" t="s">
        <v>550</v>
      </c>
      <c r="B53" s="388" t="s">
        <v>442</v>
      </c>
      <c r="C53" s="388" t="s">
        <v>469</v>
      </c>
      <c r="D53" s="389">
        <v>9380.5860312056884</v>
      </c>
      <c r="E53" s="390" cm="1">
        <f t="array" ref="E53">SUMPRODUCT(Data!$S$3:$AD$12*(Data!$Q$3:$Q$12=$B53)*(Data!$S$2:$AD$2=E$2))</f>
        <v>9029.1861611698041</v>
      </c>
      <c r="F53" s="390" cm="1">
        <f t="array" ref="F53">SUMPRODUCT(Data!$S$3:$AD$12*(Data!$Q$3:$Q$12=$B53)*(Data!$S$2:$AD$2=F$2))</f>
        <v>9029.1861611698041</v>
      </c>
      <c r="G53" s="390" cm="1">
        <f t="array" ref="G53">SUMPRODUCT(Data!$S$3:$AD$12*(Data!$Q$3:$Q$12=$B53)*(Data!$S$2:$AD$2=G$2))</f>
        <v>8790.6146024388381</v>
      </c>
      <c r="H53" s="390" cm="1">
        <f t="array" ref="H53">SUMPRODUCT(Data!$S$3:$AD$12*(Data!$Q$3:$Q$12=$B53)*(Data!$S$2:$AD$2=H$2))</f>
        <v>8790.6146024388381</v>
      </c>
      <c r="I53" s="390" cm="1">
        <f t="array" ref="I53">SUMPRODUCT(Data!$S$3:$AD$12*(Data!$Q$3:$Q$12=$B53)*(Data!$S$2:$AD$2=I$2))</f>
        <v>9324.9408283909106</v>
      </c>
      <c r="J53" s="390" cm="1">
        <f t="array" ref="J53">SUMPRODUCT(Data!$S$3:$AD$12*(Data!$Q$3:$Q$12=$B53)*(Data!$S$2:$AD$2=J$2))</f>
        <v>9324.9408283909106</v>
      </c>
      <c r="K53" s="390" cm="1">
        <f t="array" ref="K53">SUMPRODUCT(Data!$S$3:$AD$12*(Data!$Q$3:$Q$12=$B53)*(Data!$S$2:$AD$2=K$2))</f>
        <v>9360.7065592164981</v>
      </c>
      <c r="L53" s="390" cm="1">
        <f t="array" ref="L53">SUMPRODUCT(Data!$S$3:$AD$12*(Data!$Q$3:$Q$12=$B53)*(Data!$S$2:$AD$2=L$2))</f>
        <v>9360.7065592164981</v>
      </c>
      <c r="M53" s="390" cm="1">
        <f t="array" ref="M53">SUMPRODUCT(Data!$S$3:$AD$12*(Data!$Q$3:$Q$12=$B53)*(Data!$S$2:$AD$2=M$2))</f>
        <v>9223.877736937844</v>
      </c>
      <c r="N53" s="390" cm="1">
        <f t="array" ref="N53">SUMPRODUCT(Data!$S$3:$AD$12*(Data!$Q$3:$Q$12=$B53)*(Data!$S$2:$AD$2=N$2))</f>
        <v>9223.877736937844</v>
      </c>
      <c r="O53" s="390" cm="1">
        <f t="array" ref="O53">SUMPRODUCT(Data!$S$3:$AD$12*(Data!$Q$3:$Q$12=$B53)*(Data!$S$2:$AD$2=O$2))</f>
        <v>9223.877736937844</v>
      </c>
      <c r="P53" s="390" cm="1">
        <f t="array" ref="P53">SUMPRODUCT(Data!$S$3:$AD$12*(Data!$Q$3:$Q$12=$B53)*(Data!$S$2:$AD$2=P$2))</f>
        <v>9251.478564596011</v>
      </c>
      <c r="Q53" s="390" cm="1">
        <f t="array" ref="Q53">SUMPRODUCT(Data!$S$3:$AD$12*(Data!$Q$3:$Q$12=$B53)*(Data!$S$2:$AD$2=Q$2))</f>
        <v>9225.8646743982627</v>
      </c>
      <c r="R53" s="390" cm="1">
        <f t="array" ref="R53">SUMPRODUCT(Data!$S$3:$AD$12*(Data!$Q$3:$Q$12=$B53)*(Data!$S$2:$AD$2=R$2))</f>
        <v>9225.8646743982627</v>
      </c>
      <c r="S53" s="390" cm="1">
        <f t="array" ref="S53">SUMPRODUCT(Data!$S$3:$AD$12*(Data!$Q$3:$Q$12=$B53)*(Data!$S$2:$AD$2=S$2))</f>
        <v>9249.6540389080092</v>
      </c>
      <c r="T53" s="390" cm="1">
        <f t="array" ref="T53">SUMPRODUCT(Data!$S$3:$AD$12*(Data!$Q$3:$Q$12=$B53)*(Data!$S$2:$AD$2=T$2))</f>
        <v>9249.6540389080092</v>
      </c>
      <c r="U53" s="390" cm="1">
        <f t="array" ref="U53">SUMPRODUCT(Data!$S$3:$AD$12*(Data!$Q$3:$Q$12=$B53)*(Data!$S$2:$AD$2=U$2))</f>
        <v>9483.9794869916514</v>
      </c>
      <c r="V53" s="390" cm="1">
        <f t="array" ref="V53">SUMPRODUCT(Data!$S$3:$AD$12*(Data!$Q$3:$Q$12=$B53)*(Data!$S$2:$AD$2=V$2))</f>
        <v>9483.9794869916514</v>
      </c>
      <c r="W53" s="390" cm="1">
        <f t="array" ref="W53">SUMPRODUCT(Data!$S$3:$AD$12*(Data!$Q$3:$Q$12=$B53)*(Data!$S$2:$AD$2=W$2))</f>
        <v>9483.9794869916514</v>
      </c>
      <c r="X53" s="390" cm="1">
        <f t="array" ref="X53">SUMPRODUCT(Data!$S$3:$AD$12*(Data!$Q$3:$Q$12=$B53)*(Data!$S$2:$AD$2=X$2))</f>
        <v>10113.060991983226</v>
      </c>
      <c r="Y53" s="388"/>
      <c r="Z53" s="388"/>
      <c r="AA53" s="388"/>
      <c r="AB53" s="388"/>
    </row>
    <row r="54" spans="1:28" x14ac:dyDescent="0.35">
      <c r="A54" t="s">
        <v>550</v>
      </c>
      <c r="B54" s="388" t="s">
        <v>467</v>
      </c>
      <c r="C54" s="388" t="s">
        <v>468</v>
      </c>
      <c r="D54" s="389">
        <v>5000</v>
      </c>
      <c r="E54" s="390" cm="1">
        <f t="array" ref="E54">SUMPRODUCT(Data!$S$3:$AD$12*(Data!$Q$3:$Q$12=$B54)*(Data!$S$2:$AD$2=E$2))</f>
        <v>5000</v>
      </c>
      <c r="F54" s="390" cm="1">
        <f t="array" ref="F54">SUMPRODUCT(Data!$S$3:$AD$12*(Data!$Q$3:$Q$12=$B54)*(Data!$S$2:$AD$2=F$2))</f>
        <v>5000</v>
      </c>
      <c r="G54" s="390" cm="1">
        <f t="array" ref="G54">SUMPRODUCT(Data!$S$3:$AD$12*(Data!$Q$3:$Q$12=$B54)*(Data!$S$2:$AD$2=G$2))</f>
        <v>5000</v>
      </c>
      <c r="H54" s="390" cm="1">
        <f t="array" ref="H54">SUMPRODUCT(Data!$S$3:$AD$12*(Data!$Q$3:$Q$12=$B54)*(Data!$S$2:$AD$2=H$2))</f>
        <v>5000</v>
      </c>
      <c r="I54" s="390" cm="1">
        <f t="array" ref="I54">SUMPRODUCT(Data!$S$3:$AD$12*(Data!$Q$3:$Q$12=$B54)*(Data!$S$2:$AD$2=I$2))</f>
        <v>5000</v>
      </c>
      <c r="J54" s="390" cm="1">
        <f t="array" ref="J54">SUMPRODUCT(Data!$S$3:$AD$12*(Data!$Q$3:$Q$12=$B54)*(Data!$S$2:$AD$2=J$2))</f>
        <v>5000</v>
      </c>
      <c r="K54" s="390" cm="1">
        <f t="array" ref="K54">SUMPRODUCT(Data!$S$3:$AD$12*(Data!$Q$3:$Q$12=$B54)*(Data!$S$2:$AD$2=K$2))</f>
        <v>5000</v>
      </c>
      <c r="L54" s="390" cm="1">
        <f t="array" ref="L54">SUMPRODUCT(Data!$S$3:$AD$12*(Data!$Q$3:$Q$12=$B54)*(Data!$S$2:$AD$2=L$2))</f>
        <v>5000</v>
      </c>
      <c r="M54" s="390" cm="1">
        <f t="array" ref="M54">SUMPRODUCT(Data!$S$3:$AD$12*(Data!$Q$3:$Q$12=$B54)*(Data!$S$2:$AD$2=M$2))</f>
        <v>5000</v>
      </c>
      <c r="N54" s="390" cm="1">
        <f t="array" ref="N54">SUMPRODUCT(Data!$S$3:$AD$12*(Data!$Q$3:$Q$12=$B54)*(Data!$S$2:$AD$2=N$2))</f>
        <v>5000</v>
      </c>
      <c r="O54" s="390" cm="1">
        <f t="array" ref="O54">SUMPRODUCT(Data!$S$3:$AD$12*(Data!$Q$3:$Q$12=$B54)*(Data!$S$2:$AD$2=O$2))</f>
        <v>5000</v>
      </c>
      <c r="P54" s="390" cm="1">
        <f t="array" ref="P54">SUMPRODUCT(Data!$S$3:$AD$12*(Data!$Q$3:$Q$12=$B54)*(Data!$S$2:$AD$2=P$2))</f>
        <v>5000</v>
      </c>
      <c r="Q54" s="390" cm="1">
        <f t="array" ref="Q54">SUMPRODUCT(Data!$S$3:$AD$12*(Data!$Q$3:$Q$12=$B54)*(Data!$S$2:$AD$2=Q$2))</f>
        <v>5000</v>
      </c>
      <c r="R54" s="390" cm="1">
        <f t="array" ref="R54">SUMPRODUCT(Data!$S$3:$AD$12*(Data!$Q$3:$Q$12=$B54)*(Data!$S$2:$AD$2=R$2))</f>
        <v>5000</v>
      </c>
      <c r="S54" s="390" cm="1">
        <f t="array" ref="S54">SUMPRODUCT(Data!$S$3:$AD$12*(Data!$Q$3:$Q$12=$B54)*(Data!$S$2:$AD$2=S$2))</f>
        <v>5000</v>
      </c>
      <c r="T54" s="390" cm="1">
        <f t="array" ref="T54">SUMPRODUCT(Data!$S$3:$AD$12*(Data!$Q$3:$Q$12=$B54)*(Data!$S$2:$AD$2=T$2))</f>
        <v>5000</v>
      </c>
      <c r="U54" s="390" cm="1">
        <f t="array" ref="U54">SUMPRODUCT(Data!$S$3:$AD$12*(Data!$Q$3:$Q$12=$B54)*(Data!$S$2:$AD$2=U$2))</f>
        <v>5000</v>
      </c>
      <c r="V54" s="390" cm="1">
        <f t="array" ref="V54">SUMPRODUCT(Data!$S$3:$AD$12*(Data!$Q$3:$Q$12=$B54)*(Data!$S$2:$AD$2=V$2))</f>
        <v>5000</v>
      </c>
      <c r="W54" s="390" cm="1">
        <f t="array" ref="W54">SUMPRODUCT(Data!$S$3:$AD$12*(Data!$Q$3:$Q$12=$B54)*(Data!$S$2:$AD$2=W$2))</f>
        <v>5000</v>
      </c>
      <c r="X54" s="390" cm="1">
        <f t="array" ref="X54">SUMPRODUCT(Data!$S$3:$AD$12*(Data!$Q$3:$Q$12=$B54)*(Data!$S$2:$AD$2=X$2))</f>
        <v>5000</v>
      </c>
      <c r="Y54" s="388"/>
      <c r="Z54" s="388"/>
      <c r="AA54" s="388"/>
      <c r="AB54" s="388"/>
    </row>
    <row r="55" spans="1:28" x14ac:dyDescent="0.35">
      <c r="D55" s="385"/>
      <c r="E55" s="385"/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34"/>
      <c r="X55" s="434"/>
      <c r="Y55" s="385"/>
      <c r="Z55" s="385"/>
      <c r="AA55" s="385"/>
      <c r="AB55" s="385"/>
    </row>
    <row r="56" spans="1:28" ht="15" thickBot="1" x14ac:dyDescent="0.4">
      <c r="B56" s="392" t="s">
        <v>547</v>
      </c>
      <c r="C56" s="392"/>
      <c r="D56" s="393">
        <f>SUM(D57:D66)</f>
        <v>2016436743.5981886</v>
      </c>
      <c r="E56" s="393">
        <f t="shared" ref="E56:V56" si="16">SUM(E57:E66)</f>
        <v>3633921309.2808123</v>
      </c>
      <c r="F56" s="393">
        <f t="shared" si="16"/>
        <v>363364371.99973881</v>
      </c>
      <c r="G56" s="393">
        <f t="shared" si="16"/>
        <v>1548293108.5162387</v>
      </c>
      <c r="H56" s="393">
        <f t="shared" si="16"/>
        <v>764216366.51240826</v>
      </c>
      <c r="I56" s="393">
        <f t="shared" si="16"/>
        <v>998640515.48624229</v>
      </c>
      <c r="J56" s="393">
        <f t="shared" si="16"/>
        <v>879091572.54805851</v>
      </c>
      <c r="K56" s="393">
        <f t="shared" si="16"/>
        <v>497759759.96182185</v>
      </c>
      <c r="L56" s="393">
        <f t="shared" si="16"/>
        <v>965010315.49273431</v>
      </c>
      <c r="M56" s="393">
        <f t="shared" si="16"/>
        <v>1021120716.8568434</v>
      </c>
      <c r="N56" s="393">
        <f t="shared" si="16"/>
        <v>379457717.15230149</v>
      </c>
      <c r="O56" s="393">
        <f t="shared" si="16"/>
        <v>534655923.46759272</v>
      </c>
      <c r="P56" s="393">
        <f t="shared" si="16"/>
        <v>748107926.02789736</v>
      </c>
      <c r="Q56" s="393">
        <f t="shared" si="16"/>
        <v>198446551.76885223</v>
      </c>
      <c r="R56" s="393">
        <f t="shared" si="16"/>
        <v>1749083059.4990716</v>
      </c>
      <c r="S56" s="393">
        <f t="shared" si="16"/>
        <v>2097589732.844914</v>
      </c>
      <c r="T56" s="393">
        <f t="shared" si="16"/>
        <v>1524564874.0363052</v>
      </c>
      <c r="U56" s="393">
        <f t="shared" si="16"/>
        <v>904201276.16010821</v>
      </c>
      <c r="V56" s="393">
        <f t="shared" si="16"/>
        <v>2688075142.8022537</v>
      </c>
      <c r="W56" s="393">
        <f t="shared" ref="W56:X56" si="17">SUM(W57:W66)</f>
        <v>70225963.105709031</v>
      </c>
      <c r="X56" s="393">
        <f t="shared" si="17"/>
        <v>1375147809.8666053</v>
      </c>
      <c r="Y56" s="392"/>
      <c r="Z56" s="392"/>
      <c r="AA56" s="392"/>
      <c r="AB56" s="392"/>
    </row>
    <row r="57" spans="1:28" x14ac:dyDescent="0.35">
      <c r="A57" t="s">
        <v>550</v>
      </c>
      <c r="B57" s="394" t="s">
        <v>17</v>
      </c>
      <c r="C57" s="394" t="s">
        <v>18</v>
      </c>
      <c r="D57" s="395">
        <f t="shared" ref="D57:V57" si="18">-D45*D6</f>
        <v>0</v>
      </c>
      <c r="E57" s="395">
        <f t="shared" si="18"/>
        <v>0</v>
      </c>
      <c r="F57" s="395">
        <f t="shared" si="18"/>
        <v>0</v>
      </c>
      <c r="G57" s="395">
        <f t="shared" si="18"/>
        <v>0</v>
      </c>
      <c r="H57" s="395">
        <f t="shared" si="18"/>
        <v>0</v>
      </c>
      <c r="I57" s="395">
        <f>-I45*I6</f>
        <v>0</v>
      </c>
      <c r="J57" s="395">
        <f t="shared" si="18"/>
        <v>0</v>
      </c>
      <c r="K57" s="395">
        <f t="shared" si="18"/>
        <v>0</v>
      </c>
      <c r="L57" s="395">
        <f t="shared" si="18"/>
        <v>0</v>
      </c>
      <c r="M57" s="395">
        <f t="shared" si="18"/>
        <v>0</v>
      </c>
      <c r="N57" s="395">
        <f t="shared" si="18"/>
        <v>0</v>
      </c>
      <c r="O57" s="395">
        <f t="shared" si="18"/>
        <v>0</v>
      </c>
      <c r="P57" s="395">
        <f t="shared" si="18"/>
        <v>0</v>
      </c>
      <c r="Q57" s="395">
        <f t="shared" si="18"/>
        <v>567.11431648068663</v>
      </c>
      <c r="R57" s="395">
        <f t="shared" si="18"/>
        <v>4998.4745762231751</v>
      </c>
      <c r="S57" s="395">
        <f t="shared" si="18"/>
        <v>0</v>
      </c>
      <c r="T57" s="395">
        <f t="shared" si="18"/>
        <v>0</v>
      </c>
      <c r="U57" s="395">
        <f t="shared" si="18"/>
        <v>0</v>
      </c>
      <c r="V57" s="395">
        <f t="shared" si="18"/>
        <v>0</v>
      </c>
      <c r="W57" s="395">
        <f t="shared" ref="W57:X57" si="19">-W45*W6</f>
        <v>0</v>
      </c>
      <c r="X57" s="395">
        <f t="shared" si="19"/>
        <v>0</v>
      </c>
      <c r="Y57" s="394"/>
      <c r="Z57" s="394"/>
      <c r="AA57" s="394"/>
      <c r="AB57" s="394"/>
    </row>
    <row r="58" spans="1:28" x14ac:dyDescent="0.35">
      <c r="A58" t="s">
        <v>542</v>
      </c>
      <c r="B58" s="394" t="s">
        <v>20</v>
      </c>
      <c r="C58" s="394" t="s">
        <v>21</v>
      </c>
      <c r="D58" s="395">
        <f t="shared" ref="D58:V58" si="20">-D46*D7</f>
        <v>0</v>
      </c>
      <c r="E58" s="395">
        <f t="shared" si="20"/>
        <v>0</v>
      </c>
      <c r="F58" s="395">
        <f t="shared" si="20"/>
        <v>0</v>
      </c>
      <c r="G58" s="395">
        <f t="shared" si="20"/>
        <v>0</v>
      </c>
      <c r="H58" s="395">
        <f t="shared" si="20"/>
        <v>0</v>
      </c>
      <c r="I58" s="395">
        <f t="shared" si="20"/>
        <v>0</v>
      </c>
      <c r="J58" s="395">
        <f t="shared" si="20"/>
        <v>0</v>
      </c>
      <c r="K58" s="395">
        <f t="shared" si="20"/>
        <v>19536401.23805305</v>
      </c>
      <c r="L58" s="395">
        <f t="shared" si="20"/>
        <v>37875357.228097819</v>
      </c>
      <c r="M58" s="395">
        <f t="shared" si="20"/>
        <v>0</v>
      </c>
      <c r="N58" s="395">
        <f t="shared" si="20"/>
        <v>0</v>
      </c>
      <c r="O58" s="395">
        <f t="shared" si="20"/>
        <v>0</v>
      </c>
      <c r="P58" s="395">
        <f t="shared" si="20"/>
        <v>0</v>
      </c>
      <c r="Q58" s="395">
        <f t="shared" si="20"/>
        <v>0</v>
      </c>
      <c r="R58" s="395">
        <f t="shared" si="20"/>
        <v>0</v>
      </c>
      <c r="S58" s="395">
        <f t="shared" si="20"/>
        <v>0</v>
      </c>
      <c r="T58" s="395">
        <f t="shared" si="20"/>
        <v>0</v>
      </c>
      <c r="U58" s="395">
        <f t="shared" si="20"/>
        <v>0</v>
      </c>
      <c r="V58" s="395">
        <f t="shared" si="20"/>
        <v>0</v>
      </c>
      <c r="W58" s="395">
        <f t="shared" ref="W58:X58" si="21">-W46*W7</f>
        <v>0</v>
      </c>
      <c r="X58" s="395">
        <f t="shared" si="21"/>
        <v>0</v>
      </c>
      <c r="Y58" s="394"/>
      <c r="Z58" s="394"/>
      <c r="AA58" s="394"/>
      <c r="AB58" s="394"/>
    </row>
    <row r="59" spans="1:28" x14ac:dyDescent="0.35">
      <c r="A59" t="s">
        <v>542</v>
      </c>
      <c r="B59" s="394" t="s">
        <v>23</v>
      </c>
      <c r="C59" s="394" t="s">
        <v>24</v>
      </c>
      <c r="D59" s="395">
        <f t="shared" ref="D59:V59" si="22">-D47*D8</f>
        <v>41883015.700123452</v>
      </c>
      <c r="E59" s="395">
        <f t="shared" si="22"/>
        <v>0</v>
      </c>
      <c r="F59" s="395">
        <f t="shared" si="22"/>
        <v>0</v>
      </c>
      <c r="G59" s="395">
        <f t="shared" si="22"/>
        <v>0</v>
      </c>
      <c r="H59" s="395">
        <f t="shared" si="22"/>
        <v>0</v>
      </c>
      <c r="I59" s="395">
        <f t="shared" si="22"/>
        <v>0</v>
      </c>
      <c r="J59" s="395">
        <f t="shared" si="22"/>
        <v>0</v>
      </c>
      <c r="K59" s="395">
        <f t="shared" si="22"/>
        <v>7672135.4794285707</v>
      </c>
      <c r="L59" s="395">
        <f t="shared" si="22"/>
        <v>14874022.520571427</v>
      </c>
      <c r="M59" s="395">
        <f t="shared" si="22"/>
        <v>0</v>
      </c>
      <c r="N59" s="395">
        <f t="shared" si="22"/>
        <v>0</v>
      </c>
      <c r="O59" s="395">
        <f t="shared" si="22"/>
        <v>0</v>
      </c>
      <c r="P59" s="395">
        <f t="shared" si="22"/>
        <v>0</v>
      </c>
      <c r="Q59" s="395">
        <f t="shared" si="22"/>
        <v>0</v>
      </c>
      <c r="R59" s="395">
        <f t="shared" si="22"/>
        <v>0</v>
      </c>
      <c r="S59" s="395">
        <f t="shared" si="22"/>
        <v>0</v>
      </c>
      <c r="T59" s="395">
        <f t="shared" si="22"/>
        <v>0</v>
      </c>
      <c r="U59" s="395">
        <f t="shared" si="22"/>
        <v>0</v>
      </c>
      <c r="V59" s="395">
        <f t="shared" si="22"/>
        <v>0</v>
      </c>
      <c r="W59" s="395">
        <f t="shared" ref="W59:X59" si="23">-W47*W8</f>
        <v>0</v>
      </c>
      <c r="X59" s="395">
        <f t="shared" si="23"/>
        <v>0</v>
      </c>
      <c r="Y59" s="394"/>
      <c r="Z59" s="394"/>
      <c r="AA59" s="394"/>
      <c r="AB59" s="394"/>
    </row>
    <row r="60" spans="1:28" x14ac:dyDescent="0.35">
      <c r="A60" t="s">
        <v>542</v>
      </c>
      <c r="B60" s="394" t="s">
        <v>25</v>
      </c>
      <c r="C60" s="394" t="s">
        <v>26</v>
      </c>
      <c r="D60" s="395">
        <f t="shared" ref="D60:V60" si="24">-D48*D9</f>
        <v>265800411.04123458</v>
      </c>
      <c r="E60" s="395">
        <f t="shared" si="24"/>
        <v>705260099.56125069</v>
      </c>
      <c r="F60" s="395">
        <f t="shared" si="24"/>
        <v>70520622.589998946</v>
      </c>
      <c r="G60" s="395">
        <f t="shared" si="24"/>
        <v>147955890.53550929</v>
      </c>
      <c r="H60" s="395">
        <f t="shared" si="24"/>
        <v>73029010.106175646</v>
      </c>
      <c r="I60" s="395">
        <f t="shared" si="24"/>
        <v>118599766.98649949</v>
      </c>
      <c r="J60" s="395">
        <f t="shared" si="24"/>
        <v>104401988.55063525</v>
      </c>
      <c r="K60" s="395">
        <f t="shared" si="24"/>
        <v>41505783.617038295</v>
      </c>
      <c r="L60" s="395">
        <f t="shared" si="24"/>
        <v>80467551.949405044</v>
      </c>
      <c r="M60" s="395">
        <f t="shared" si="24"/>
        <v>235639954.36590275</v>
      </c>
      <c r="N60" s="395">
        <f t="shared" si="24"/>
        <v>87565943.651394561</v>
      </c>
      <c r="O60" s="395">
        <f t="shared" si="24"/>
        <v>123380414.60481492</v>
      </c>
      <c r="P60" s="395">
        <f t="shared" si="24"/>
        <v>0</v>
      </c>
      <c r="Q60" s="395">
        <f t="shared" si="24"/>
        <v>23179646.661674883</v>
      </c>
      <c r="R60" s="395">
        <f t="shared" si="24"/>
        <v>204302503.31753719</v>
      </c>
      <c r="S60" s="395">
        <f t="shared" si="24"/>
        <v>389315267.16362739</v>
      </c>
      <c r="T60" s="395">
        <f t="shared" si="24"/>
        <v>282961139.61176091</v>
      </c>
      <c r="U60" s="395">
        <f t="shared" si="24"/>
        <v>174096214.76890525</v>
      </c>
      <c r="V60" s="395">
        <f t="shared" si="24"/>
        <v>517565855.87188482</v>
      </c>
      <c r="W60" s="395">
        <f t="shared" ref="W60:X60" si="25">-W48*W9</f>
        <v>13521407.984653037</v>
      </c>
      <c r="X60" s="395">
        <f t="shared" si="25"/>
        <v>325811192.01315492</v>
      </c>
      <c r="Y60" s="394"/>
      <c r="Z60" s="394"/>
      <c r="AA60" s="394"/>
      <c r="AB60" s="394"/>
    </row>
    <row r="61" spans="1:28" x14ac:dyDescent="0.35">
      <c r="A61" t="s">
        <v>542</v>
      </c>
      <c r="B61" s="394" t="s">
        <v>27</v>
      </c>
      <c r="C61" s="394" t="s">
        <v>28</v>
      </c>
      <c r="D61" s="395">
        <f t="shared" ref="D61:V61" si="26">-D49*D10</f>
        <v>0</v>
      </c>
      <c r="E61" s="395">
        <f t="shared" si="26"/>
        <v>0</v>
      </c>
      <c r="F61" s="395">
        <f t="shared" si="26"/>
        <v>0</v>
      </c>
      <c r="G61" s="395">
        <f t="shared" si="26"/>
        <v>0</v>
      </c>
      <c r="H61" s="395">
        <f t="shared" si="26"/>
        <v>0</v>
      </c>
      <c r="I61" s="395">
        <f t="shared" si="26"/>
        <v>0</v>
      </c>
      <c r="J61" s="395">
        <f t="shared" si="26"/>
        <v>0</v>
      </c>
      <c r="K61" s="395">
        <f t="shared" si="26"/>
        <v>0</v>
      </c>
      <c r="L61" s="395">
        <f t="shared" si="26"/>
        <v>0</v>
      </c>
      <c r="M61" s="395">
        <f t="shared" si="26"/>
        <v>0</v>
      </c>
      <c r="N61" s="395">
        <f t="shared" si="26"/>
        <v>0</v>
      </c>
      <c r="O61" s="395">
        <f t="shared" si="26"/>
        <v>0</v>
      </c>
      <c r="P61" s="395">
        <f t="shared" si="26"/>
        <v>0</v>
      </c>
      <c r="Q61" s="395">
        <f t="shared" si="26"/>
        <v>0</v>
      </c>
      <c r="R61" s="395">
        <f t="shared" si="26"/>
        <v>0</v>
      </c>
      <c r="S61" s="395">
        <f t="shared" si="26"/>
        <v>0</v>
      </c>
      <c r="T61" s="395">
        <f t="shared" si="26"/>
        <v>0</v>
      </c>
      <c r="U61" s="395">
        <f t="shared" si="26"/>
        <v>0</v>
      </c>
      <c r="V61" s="395">
        <f t="shared" si="26"/>
        <v>0</v>
      </c>
      <c r="W61" s="395">
        <f t="shared" ref="W61:X61" si="27">-W49*W10</f>
        <v>0</v>
      </c>
      <c r="X61" s="395">
        <f t="shared" si="27"/>
        <v>0</v>
      </c>
      <c r="Y61" s="394"/>
      <c r="Z61" s="394"/>
      <c r="AA61" s="394"/>
      <c r="AB61" s="394"/>
    </row>
    <row r="62" spans="1:28" x14ac:dyDescent="0.35">
      <c r="A62" t="s">
        <v>132</v>
      </c>
      <c r="B62" s="394" t="s">
        <v>29</v>
      </c>
      <c r="C62" s="394" t="s">
        <v>30</v>
      </c>
      <c r="D62" s="395">
        <f t="shared" ref="D62:V62" si="28">-D50*D11</f>
        <v>1049448946.6626507</v>
      </c>
      <c r="E62" s="395">
        <f t="shared" si="28"/>
        <v>1290665173.3282647</v>
      </c>
      <c r="F62" s="395">
        <f t="shared" si="28"/>
        <v>129056658.15344107</v>
      </c>
      <c r="G62" s="395">
        <f t="shared" si="28"/>
        <v>654770230.68814278</v>
      </c>
      <c r="H62" s="395">
        <f t="shared" si="28"/>
        <v>323185657.70567447</v>
      </c>
      <c r="I62" s="395">
        <f t="shared" si="28"/>
        <v>509049318.87953293</v>
      </c>
      <c r="J62" s="395">
        <f t="shared" si="28"/>
        <v>448110165.06819427</v>
      </c>
      <c r="K62" s="395">
        <f t="shared" si="28"/>
        <v>371324351.62746233</v>
      </c>
      <c r="L62" s="395">
        <f t="shared" si="28"/>
        <v>719889108.23493755</v>
      </c>
      <c r="M62" s="395">
        <f t="shared" si="28"/>
        <v>606318526.98200893</v>
      </c>
      <c r="N62" s="395">
        <f t="shared" si="28"/>
        <v>225313462.27499399</v>
      </c>
      <c r="O62" s="395">
        <f t="shared" si="28"/>
        <v>317466668.34546649</v>
      </c>
      <c r="P62" s="395">
        <f t="shared" si="28"/>
        <v>603507316.06326175</v>
      </c>
      <c r="Q62" s="395">
        <f t="shared" si="28"/>
        <v>106175037.44036861</v>
      </c>
      <c r="R62" s="395">
        <f t="shared" si="28"/>
        <v>935813485.66307974</v>
      </c>
      <c r="S62" s="395">
        <f t="shared" si="28"/>
        <v>1262615774.4741752</v>
      </c>
      <c r="T62" s="395">
        <f t="shared" si="28"/>
        <v>917691209.59450936</v>
      </c>
      <c r="U62" s="395">
        <f t="shared" si="28"/>
        <v>462378668.64905584</v>
      </c>
      <c r="V62" s="395">
        <f t="shared" si="28"/>
        <v>1374592846.2253611</v>
      </c>
      <c r="W62" s="395">
        <f t="shared" ref="W62:X62" si="29">-W50*W11</f>
        <v>35911238.107637651</v>
      </c>
      <c r="X62" s="395">
        <f t="shared" si="29"/>
        <v>336997604.17663532</v>
      </c>
      <c r="Y62" s="394"/>
      <c r="Z62" s="394"/>
      <c r="AA62" s="394"/>
      <c r="AB62" s="394"/>
    </row>
    <row r="63" spans="1:28" x14ac:dyDescent="0.35">
      <c r="A63" t="s">
        <v>550</v>
      </c>
      <c r="B63" s="394" t="s">
        <v>34</v>
      </c>
      <c r="C63" s="394" t="s">
        <v>35</v>
      </c>
      <c r="D63" s="395">
        <f t="shared" ref="D63:V63" si="30">-D51*D12</f>
        <v>0</v>
      </c>
      <c r="E63" s="395">
        <f t="shared" si="30"/>
        <v>0</v>
      </c>
      <c r="F63" s="395">
        <f t="shared" si="30"/>
        <v>0</v>
      </c>
      <c r="G63" s="395">
        <f t="shared" si="30"/>
        <v>0</v>
      </c>
      <c r="H63" s="395">
        <f t="shared" si="30"/>
        <v>0</v>
      </c>
      <c r="I63" s="395">
        <f t="shared" si="30"/>
        <v>0</v>
      </c>
      <c r="J63" s="395">
        <f t="shared" si="30"/>
        <v>0</v>
      </c>
      <c r="K63" s="395">
        <f t="shared" si="30"/>
        <v>0</v>
      </c>
      <c r="L63" s="395">
        <f t="shared" si="30"/>
        <v>0</v>
      </c>
      <c r="M63" s="395">
        <f t="shared" si="30"/>
        <v>0</v>
      </c>
      <c r="N63" s="395">
        <f t="shared" si="30"/>
        <v>0</v>
      </c>
      <c r="O63" s="395">
        <f t="shared" si="30"/>
        <v>0</v>
      </c>
      <c r="P63" s="395">
        <f t="shared" si="30"/>
        <v>0</v>
      </c>
      <c r="Q63" s="395">
        <f t="shared" si="30"/>
        <v>0</v>
      </c>
      <c r="R63" s="395">
        <f t="shared" si="30"/>
        <v>0</v>
      </c>
      <c r="S63" s="395">
        <f t="shared" si="30"/>
        <v>0</v>
      </c>
      <c r="T63" s="395">
        <f t="shared" si="30"/>
        <v>0</v>
      </c>
      <c r="U63" s="395">
        <f t="shared" si="30"/>
        <v>0</v>
      </c>
      <c r="V63" s="395">
        <f t="shared" si="30"/>
        <v>0</v>
      </c>
      <c r="W63" s="395">
        <f t="shared" ref="W63:X63" si="31">-W51*W12</f>
        <v>0</v>
      </c>
      <c r="X63" s="395">
        <f t="shared" si="31"/>
        <v>0</v>
      </c>
      <c r="Y63" s="394"/>
      <c r="Z63" s="394"/>
      <c r="AA63" s="394"/>
      <c r="AB63" s="394"/>
    </row>
    <row r="64" spans="1:28" x14ac:dyDescent="0.35">
      <c r="A64" t="s">
        <v>550</v>
      </c>
      <c r="B64" s="394" t="s">
        <v>36</v>
      </c>
      <c r="C64" s="394" t="s">
        <v>37</v>
      </c>
      <c r="D64" s="395">
        <f t="shared" ref="D64:V64" si="32">-D52*D13</f>
        <v>0</v>
      </c>
      <c r="E64" s="395">
        <f t="shared" si="32"/>
        <v>0</v>
      </c>
      <c r="F64" s="395">
        <f t="shared" si="32"/>
        <v>0</v>
      </c>
      <c r="G64" s="395">
        <f t="shared" si="32"/>
        <v>0</v>
      </c>
      <c r="H64" s="395">
        <f t="shared" si="32"/>
        <v>0</v>
      </c>
      <c r="I64" s="395">
        <f t="shared" si="32"/>
        <v>0</v>
      </c>
      <c r="J64" s="395">
        <f t="shared" si="32"/>
        <v>0</v>
      </c>
      <c r="K64" s="395">
        <f t="shared" si="32"/>
        <v>0</v>
      </c>
      <c r="L64" s="395">
        <f t="shared" si="32"/>
        <v>0</v>
      </c>
      <c r="M64" s="395">
        <f t="shared" si="32"/>
        <v>0</v>
      </c>
      <c r="N64" s="395">
        <f t="shared" si="32"/>
        <v>0</v>
      </c>
      <c r="O64" s="395">
        <f t="shared" si="32"/>
        <v>0</v>
      </c>
      <c r="P64" s="395">
        <f t="shared" si="32"/>
        <v>0</v>
      </c>
      <c r="Q64" s="395">
        <f t="shared" si="32"/>
        <v>3468751.1032758621</v>
      </c>
      <c r="R64" s="395">
        <f t="shared" si="32"/>
        <v>30573137.896724138</v>
      </c>
      <c r="S64" s="395">
        <f t="shared" si="32"/>
        <v>0</v>
      </c>
      <c r="T64" s="395">
        <f t="shared" si="32"/>
        <v>0</v>
      </c>
      <c r="U64" s="395">
        <f t="shared" si="32"/>
        <v>0</v>
      </c>
      <c r="V64" s="395">
        <f t="shared" si="32"/>
        <v>0</v>
      </c>
      <c r="W64" s="395">
        <f t="shared" ref="W64:X64" si="33">-W52*W13</f>
        <v>0</v>
      </c>
      <c r="X64" s="395">
        <f t="shared" si="33"/>
        <v>0</v>
      </c>
      <c r="Y64" s="394"/>
      <c r="Z64" s="394"/>
      <c r="AA64" s="394"/>
      <c r="AB64" s="394"/>
    </row>
    <row r="65" spans="1:28" x14ac:dyDescent="0.35">
      <c r="A65" t="s">
        <v>550</v>
      </c>
      <c r="B65" s="394" t="s">
        <v>442</v>
      </c>
      <c r="C65" s="394" t="s">
        <v>469</v>
      </c>
      <c r="D65" s="395">
        <f t="shared" ref="D65:V65" si="34">-D53*D14</f>
        <v>658637477.60158718</v>
      </c>
      <c r="E65" s="395">
        <f t="shared" si="34"/>
        <v>1637996036.3912969</v>
      </c>
      <c r="F65" s="395">
        <f t="shared" si="34"/>
        <v>163787091.25629875</v>
      </c>
      <c r="G65" s="395">
        <f t="shared" si="34"/>
        <v>745566987.29258668</v>
      </c>
      <c r="H65" s="395">
        <f t="shared" si="34"/>
        <v>368001698.70055807</v>
      </c>
      <c r="I65" s="395">
        <f t="shared" si="34"/>
        <v>370991429.62020987</v>
      </c>
      <c r="J65" s="395">
        <f t="shared" si="34"/>
        <v>326579418.92922896</v>
      </c>
      <c r="K65" s="395">
        <f t="shared" si="34"/>
        <v>57721087.999839582</v>
      </c>
      <c r="L65" s="395">
        <f t="shared" si="34"/>
        <v>111904275.55972259</v>
      </c>
      <c r="M65" s="395">
        <f t="shared" si="34"/>
        <v>179162235.50893167</v>
      </c>
      <c r="N65" s="395">
        <f t="shared" si="34"/>
        <v>66578311.225912936</v>
      </c>
      <c r="O65" s="395">
        <f t="shared" si="34"/>
        <v>93808840.517311305</v>
      </c>
      <c r="P65" s="395">
        <f t="shared" si="34"/>
        <v>144600609.96463564</v>
      </c>
      <c r="Q65" s="395">
        <f t="shared" si="34"/>
        <v>65622549.449216396</v>
      </c>
      <c r="R65" s="395">
        <f t="shared" si="34"/>
        <v>578388934.14715433</v>
      </c>
      <c r="S65" s="395">
        <f t="shared" si="34"/>
        <v>445658691.20711142</v>
      </c>
      <c r="T65" s="395">
        <f t="shared" si="34"/>
        <v>323912524.83003497</v>
      </c>
      <c r="U65" s="395">
        <f t="shared" si="34"/>
        <v>267726392.74214706</v>
      </c>
      <c r="V65" s="395">
        <f t="shared" si="34"/>
        <v>795916440.70500791</v>
      </c>
      <c r="W65" s="395">
        <f t="shared" ref="W65:X65" si="35">-W53*W14</f>
        <v>20793317.01341835</v>
      </c>
      <c r="X65" s="395">
        <f t="shared" si="35"/>
        <v>712339013.67681515</v>
      </c>
      <c r="Y65" s="394"/>
      <c r="Z65" s="394"/>
      <c r="AA65" s="394"/>
      <c r="AB65" s="394"/>
    </row>
    <row r="66" spans="1:28" x14ac:dyDescent="0.35">
      <c r="A66" t="s">
        <v>550</v>
      </c>
      <c r="B66" s="394" t="s">
        <v>467</v>
      </c>
      <c r="C66" s="394" t="s">
        <v>468</v>
      </c>
      <c r="D66" s="395">
        <f t="shared" ref="D66:V66" si="36">-D54*D15</f>
        <v>666892.59259259258</v>
      </c>
      <c r="E66" s="395">
        <f t="shared" si="36"/>
        <v>0</v>
      </c>
      <c r="F66" s="395">
        <f t="shared" si="36"/>
        <v>0</v>
      </c>
      <c r="G66" s="395">
        <f t="shared" si="36"/>
        <v>0</v>
      </c>
      <c r="H66" s="395">
        <f t="shared" si="36"/>
        <v>0</v>
      </c>
      <c r="I66" s="395">
        <f t="shared" si="36"/>
        <v>0</v>
      </c>
      <c r="J66" s="395">
        <f t="shared" si="36"/>
        <v>0</v>
      </c>
      <c r="K66" s="395">
        <f t="shared" si="36"/>
        <v>0</v>
      </c>
      <c r="L66" s="395">
        <f t="shared" si="36"/>
        <v>0</v>
      </c>
      <c r="M66" s="395">
        <f t="shared" si="36"/>
        <v>0</v>
      </c>
      <c r="N66" s="395">
        <f t="shared" si="36"/>
        <v>0</v>
      </c>
      <c r="O66" s="395">
        <f t="shared" si="36"/>
        <v>0</v>
      </c>
      <c r="P66" s="395">
        <f t="shared" si="36"/>
        <v>0</v>
      </c>
      <c r="Q66" s="395">
        <f t="shared" si="36"/>
        <v>0</v>
      </c>
      <c r="R66" s="395">
        <f t="shared" si="36"/>
        <v>0</v>
      </c>
      <c r="S66" s="395">
        <f t="shared" si="36"/>
        <v>0</v>
      </c>
      <c r="T66" s="395">
        <f t="shared" si="36"/>
        <v>0</v>
      </c>
      <c r="U66" s="395">
        <f t="shared" si="36"/>
        <v>0</v>
      </c>
      <c r="V66" s="395">
        <f t="shared" si="36"/>
        <v>0</v>
      </c>
      <c r="W66" s="395">
        <f t="shared" ref="W66:X66" si="37">-W54*W15</f>
        <v>0</v>
      </c>
      <c r="X66" s="395">
        <f t="shared" si="37"/>
        <v>0</v>
      </c>
      <c r="Y66" s="394"/>
      <c r="Z66" s="394"/>
      <c r="AA66" s="394"/>
      <c r="AB66" s="394"/>
    </row>
    <row r="68" spans="1:28" x14ac:dyDescent="0.35">
      <c r="U68" s="6"/>
    </row>
    <row r="69" spans="1:28" x14ac:dyDescent="0.35">
      <c r="U69" s="3"/>
    </row>
    <row r="70" spans="1:28" x14ac:dyDescent="0.35">
      <c r="U70" s="6"/>
    </row>
  </sheetData>
  <conditionalFormatting sqref="D30:Q30 D35:Q37">
    <cfRule type="expression" dxfId="7" priority="13">
      <formula>AND(D17&lt;0,D30=0)</formula>
    </cfRule>
  </conditionalFormatting>
  <conditionalFormatting sqref="D38:Q39">
    <cfRule type="expression" dxfId="6" priority="8">
      <formula>AND(D24&lt;0,D38=0)</formula>
    </cfRule>
  </conditionalFormatting>
  <conditionalFormatting sqref="D57:Q57">
    <cfRule type="expression" dxfId="5" priority="5">
      <formula>AND(D44&lt;0,D57=0)</formula>
    </cfRule>
  </conditionalFormatting>
  <conditionalFormatting sqref="D62:Q66">
    <cfRule type="expression" dxfId="4" priority="1">
      <formula>AND(D49&lt;0,D62=0)</formula>
    </cfRule>
  </conditionalFormatting>
  <conditionalFormatting sqref="D18:AA18">
    <cfRule type="expression" dxfId="3" priority="9">
      <formula>AND(D6&lt;0,D18=0)</formula>
    </cfRule>
  </conditionalFormatting>
  <conditionalFormatting sqref="D23:AA25">
    <cfRule type="expression" dxfId="2" priority="12">
      <formula>AND(D11&lt;0,D23=0)</formula>
    </cfRule>
  </conditionalFormatting>
  <conditionalFormatting sqref="D45:AA45">
    <cfRule type="expression" dxfId="1" priority="3">
      <formula>AND(D30&lt;0,D45=0)</formula>
    </cfRule>
  </conditionalFormatting>
  <conditionalFormatting sqref="D50:AA52">
    <cfRule type="expression" dxfId="0" priority="4">
      <formula>AND(D35&lt;0,D50=0)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C48A-D4A8-4B10-A4A5-920030426112}">
  <sheetPr>
    <tabColor theme="5" tint="0.39997558519241921"/>
  </sheetPr>
  <dimension ref="A2:S13"/>
  <sheetViews>
    <sheetView showGridLines="0" tabSelected="1" zoomScale="175" zoomScaleNormal="175" workbookViewId="0">
      <pane ySplit="4" topLeftCell="A11" activePane="bottomLeft" state="frozen"/>
      <selection activeCell="AE5" sqref="AE5"/>
      <selection pane="bottomLeft" activeCell="B7" sqref="B7"/>
    </sheetView>
  </sheetViews>
  <sheetFormatPr defaultRowHeight="14.5" x14ac:dyDescent="0.35"/>
  <cols>
    <col min="1" max="1" width="3.58203125" bestFit="1" customWidth="1"/>
    <col min="2" max="2" width="9.75" bestFit="1" customWidth="1"/>
    <col min="3" max="3" width="19" customWidth="1"/>
    <col min="4" max="4" width="11.75" customWidth="1"/>
    <col min="5" max="5" width="0.5" customWidth="1"/>
    <col min="6" max="6" width="10.75" customWidth="1"/>
    <col min="7" max="7" width="11.5" customWidth="1"/>
    <col min="8" max="8" width="0.5" customWidth="1"/>
    <col min="9" max="9" width="12.75" customWidth="1"/>
    <col min="10" max="10" width="11.5" customWidth="1"/>
    <col min="12" max="12" width="9.75" bestFit="1" customWidth="1"/>
    <col min="13" max="13" width="10.5" bestFit="1" customWidth="1"/>
    <col min="14" max="14" width="14.5" bestFit="1" customWidth="1"/>
    <col min="16" max="16" width="15.25" customWidth="1"/>
    <col min="19" max="19" width="4.58203125" bestFit="1" customWidth="1"/>
  </cols>
  <sheetData>
    <row r="2" spans="1:19" s="313" customFormat="1" ht="18.399999999999999" customHeight="1" thickBot="1" x14ac:dyDescent="0.4">
      <c r="A2" s="464" t="s">
        <v>168</v>
      </c>
      <c r="B2" s="465" t="s">
        <v>471</v>
      </c>
      <c r="C2" s="465" t="s">
        <v>472</v>
      </c>
      <c r="D2" s="464" t="s">
        <v>484</v>
      </c>
      <c r="F2" s="462" t="s">
        <v>480</v>
      </c>
      <c r="G2" s="463"/>
      <c r="I2" s="462" t="s">
        <v>482</v>
      </c>
      <c r="J2" s="463"/>
      <c r="M2" s="314"/>
    </row>
    <row r="3" spans="1:19" s="313" customFormat="1" ht="25.15" customHeight="1" thickTop="1" x14ac:dyDescent="0.35">
      <c r="A3" s="464"/>
      <c r="B3" s="465"/>
      <c r="C3" s="465"/>
      <c r="D3" s="464"/>
      <c r="F3" s="331" t="s">
        <v>481</v>
      </c>
      <c r="G3" s="333" t="s">
        <v>478</v>
      </c>
      <c r="I3" s="331" t="s">
        <v>481</v>
      </c>
      <c r="J3" s="332" t="s">
        <v>478</v>
      </c>
      <c r="M3" s="310" t="s">
        <v>162</v>
      </c>
      <c r="N3" s="310" t="s">
        <v>53</v>
      </c>
      <c r="O3" s="310" t="s">
        <v>475</v>
      </c>
      <c r="P3" s="325" t="s">
        <v>486</v>
      </c>
    </row>
    <row r="4" spans="1:19" s="315" customFormat="1" ht="12" x14ac:dyDescent="0.3">
      <c r="F4" s="315" t="s">
        <v>483</v>
      </c>
      <c r="G4" s="334" t="s">
        <v>483</v>
      </c>
      <c r="I4" s="315" t="s">
        <v>483</v>
      </c>
      <c r="J4" s="326" t="s">
        <v>483</v>
      </c>
    </row>
    <row r="5" spans="1:19" x14ac:dyDescent="0.35">
      <c r="A5" s="307">
        <v>1</v>
      </c>
      <c r="B5" s="308" t="s">
        <v>25</v>
      </c>
      <c r="C5" s="308" t="s">
        <v>26</v>
      </c>
      <c r="D5" s="312">
        <f>$M5/$M$12</f>
        <v>0.11689100293255132</v>
      </c>
      <c r="F5" s="309">
        <f>N5/M5</f>
        <v>22400.827295660823</v>
      </c>
      <c r="G5" s="335">
        <f>($D5+$D$8*$D5/SUM($D$5:$D$7))*F5</f>
        <v>2521.6929164196868</v>
      </c>
      <c r="I5" s="309">
        <f>F5</f>
        <v>22400.827295660823</v>
      </c>
      <c r="J5" s="327">
        <f>($D5+$D$8*$D5/SUM($D$5:$D$7))*I5</f>
        <v>2521.6929164196868</v>
      </c>
      <c r="M5" s="3">
        <f>-SUMIFS(Table1[Change in Quantity],Table1[Material],$B5)</f>
        <v>199299.16</v>
      </c>
      <c r="N5" s="3">
        <f>-SUMIFS(Table1[Giá trị điều chỉnh],Table1[Material],$B5)</f>
        <v>4464466063.3302736</v>
      </c>
      <c r="O5" s="16">
        <f>$O$10*M5/$M$10</f>
        <v>7364.8905309254415</v>
      </c>
      <c r="P5" s="6">
        <f>M5-O5</f>
        <v>191934.26946907456</v>
      </c>
      <c r="Q5" s="306">
        <f>P5/$P$10</f>
        <v>0.11257141904344549</v>
      </c>
      <c r="R5" s="266">
        <f>Q5*F5</f>
        <v>2521.6929164196863</v>
      </c>
      <c r="S5" s="306"/>
    </row>
    <row r="6" spans="1:19" x14ac:dyDescent="0.35">
      <c r="A6" s="307">
        <v>2</v>
      </c>
      <c r="B6" s="308" t="s">
        <v>29</v>
      </c>
      <c r="C6" s="308" t="s">
        <v>30</v>
      </c>
      <c r="D6" s="312">
        <f>$M6/$M$12</f>
        <v>0.34240117302052786</v>
      </c>
      <c r="F6" s="309">
        <f>N6/M6</f>
        <v>23305.933507235604</v>
      </c>
      <c r="G6" s="335">
        <f>($D6+$D$8*$D6/SUM($D$5:$D$7))*F6</f>
        <v>7685.0872538494405</v>
      </c>
      <c r="I6" s="309">
        <v>8935</v>
      </c>
      <c r="J6" s="327">
        <f>($D6+$D$8*$D6/SUM($D$5:$D$7))*I6</f>
        <v>2946.2992585912293</v>
      </c>
      <c r="M6" s="3">
        <f>-SUMIFS(Table1[Change in Quantity],Table1[Material],$B6)</f>
        <v>583794</v>
      </c>
      <c r="N6" s="3">
        <f>-SUMIFS(Table1[Giá trị điều chỉnh],Table1[Material],$B6)</f>
        <v>13605864145.923101</v>
      </c>
      <c r="O6" s="16">
        <f t="shared" ref="O6:O7" si="0">$O$10*M6/$M$10</f>
        <v>21573.492344930539</v>
      </c>
      <c r="P6" s="6">
        <f>M6-O6</f>
        <v>562220.50765506946</v>
      </c>
      <c r="Q6" s="306">
        <f t="shared" ref="Q6:Q7" si="1">P6/$P$10</f>
        <v>0.32974809833141905</v>
      </c>
      <c r="R6" s="266">
        <f>Q6*F6</f>
        <v>7685.0872538494405</v>
      </c>
    </row>
    <row r="7" spans="1:19" x14ac:dyDescent="0.35">
      <c r="A7" s="307">
        <v>3</v>
      </c>
      <c r="B7" s="308" t="s">
        <v>442</v>
      </c>
      <c r="C7" s="308" t="s">
        <v>443</v>
      </c>
      <c r="D7" s="312">
        <f>$M7/$M$12</f>
        <v>0.57907976539589445</v>
      </c>
      <c r="F7" s="309">
        <f>N7/M7</f>
        <v>9448.1073926658864</v>
      </c>
      <c r="G7" s="335">
        <f>($D7+$D$8*$D7/SUM($D$5:$D$7))*F7</f>
        <v>5269.0250906360216</v>
      </c>
      <c r="I7" s="309">
        <f>F7</f>
        <v>9448.1073926658864</v>
      </c>
      <c r="J7" s="327">
        <f>($D7+$D$8*$D7/SUM($D$5:$D$7))*I7</f>
        <v>5269.0250906360216</v>
      </c>
      <c r="M7" s="3">
        <f>-SUMIFS(Table1[Change in Quantity],Table1[Material],$B7)</f>
        <v>987331</v>
      </c>
      <c r="N7" s="3">
        <f>-SUMIFS(Table1[Giá trị điều chỉnh],Table1[Material],$B7)</f>
        <v>9328409320.108202</v>
      </c>
      <c r="O7" s="16">
        <f t="shared" si="0"/>
        <v>36485.777124144159</v>
      </c>
      <c r="P7" s="6">
        <f>M7-O7</f>
        <v>950845.22287585586</v>
      </c>
      <c r="Q7" s="306">
        <f t="shared" si="1"/>
        <v>0.55768048262513537</v>
      </c>
      <c r="R7" s="266">
        <f>Q7*F7</f>
        <v>5269.0250906360206</v>
      </c>
    </row>
    <row r="8" spans="1:19" x14ac:dyDescent="0.35">
      <c r="A8" s="307">
        <v>4</v>
      </c>
      <c r="B8" s="308"/>
      <c r="C8" s="308" t="s">
        <v>475</v>
      </c>
      <c r="D8" s="312">
        <f>1-SUM(D5:D7)</f>
        <v>-3.8371941348973593E-2</v>
      </c>
      <c r="F8" s="309"/>
      <c r="G8" s="335">
        <f>-$D8*SUM(G5:G7)</f>
        <v>593.83669179958929</v>
      </c>
      <c r="I8" s="308"/>
      <c r="J8" s="327">
        <f>-$D8*SUM(J5:J7)</f>
        <v>412.00019678032106</v>
      </c>
      <c r="M8" s="3"/>
      <c r="O8" s="13"/>
    </row>
    <row r="9" spans="1:19" x14ac:dyDescent="0.35">
      <c r="A9" s="320">
        <v>5</v>
      </c>
      <c r="B9" s="321"/>
      <c r="C9" s="321" t="s">
        <v>476</v>
      </c>
      <c r="D9" s="321"/>
      <c r="E9" s="322"/>
      <c r="F9" s="323"/>
      <c r="G9" s="336">
        <v>5000</v>
      </c>
      <c r="H9" s="322"/>
      <c r="I9" s="323"/>
      <c r="J9" s="328">
        <v>5000</v>
      </c>
      <c r="O9" s="13"/>
    </row>
    <row r="10" spans="1:19" s="9" customFormat="1" x14ac:dyDescent="0.35">
      <c r="A10" s="316">
        <v>6</v>
      </c>
      <c r="B10" s="317"/>
      <c r="C10" s="317" t="s">
        <v>48</v>
      </c>
      <c r="D10" s="318">
        <f>SUM(D5:D9)</f>
        <v>1</v>
      </c>
      <c r="F10" s="319"/>
      <c r="G10" s="337">
        <f>SUM(G5:G9)</f>
        <v>21069.64195270474</v>
      </c>
      <c r="I10" s="319"/>
      <c r="J10" s="329">
        <f>SUM(J5:J9)</f>
        <v>16149.017462427259</v>
      </c>
      <c r="M10" s="319">
        <f>SUM(M5:M9)</f>
        <v>1770424.1600000001</v>
      </c>
      <c r="N10" s="319">
        <f>SUM(N5:N9)</f>
        <v>27398739529.36158</v>
      </c>
      <c r="O10" s="324">
        <f>M10-M12</f>
        <v>65424.160000000149</v>
      </c>
      <c r="P10" s="319">
        <f>SUM(P5:P9)</f>
        <v>1705000</v>
      </c>
    </row>
    <row r="11" spans="1:19" ht="15" thickBot="1" x14ac:dyDescent="0.4">
      <c r="G11" s="338"/>
      <c r="J11" s="330"/>
    </row>
    <row r="12" spans="1:19" ht="15" thickTop="1" x14ac:dyDescent="0.35">
      <c r="A12" s="311" t="s">
        <v>477</v>
      </c>
      <c r="L12" t="s">
        <v>485</v>
      </c>
      <c r="M12" s="3">
        <f>SUMIFS(Table1[Change in Quantity],Table1[Material],"110000428")</f>
        <v>1705000</v>
      </c>
    </row>
    <row r="13" spans="1:19" x14ac:dyDescent="0.35">
      <c r="M13" s="6"/>
    </row>
  </sheetData>
  <mergeCells count="6">
    <mergeCell ref="I2:J2"/>
    <mergeCell ref="F2:G2"/>
    <mergeCell ref="A2:A3"/>
    <mergeCell ref="B2:B3"/>
    <mergeCell ref="C2:C3"/>
    <mergeCell ref="D2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7004E-6D77-4705-9621-2648584C459B}">
  <dimension ref="A1:U12"/>
  <sheetViews>
    <sheetView showGridLines="0" zoomScale="160" zoomScaleNormal="160" workbookViewId="0">
      <selection activeCell="B5" sqref="B5"/>
    </sheetView>
  </sheetViews>
  <sheetFormatPr defaultRowHeight="14.5" x14ac:dyDescent="0.35"/>
  <cols>
    <col min="1" max="1" width="10.33203125" bestFit="1" customWidth="1"/>
    <col min="2" max="2" width="19.33203125" bestFit="1" customWidth="1"/>
    <col min="3" max="3" width="0.75" customWidth="1"/>
    <col min="4" max="4" width="16.75" bestFit="1" customWidth="1"/>
    <col min="5" max="5" width="10.5" bestFit="1" customWidth="1"/>
    <col min="6" max="6" width="17.33203125" bestFit="1" customWidth="1"/>
    <col min="7" max="7" width="0.75" customWidth="1"/>
    <col min="8" max="8" width="16.75" bestFit="1" customWidth="1"/>
    <col min="9" max="9" width="10.5" bestFit="1" customWidth="1"/>
    <col min="10" max="10" width="17.33203125" bestFit="1" customWidth="1"/>
    <col min="11" max="11" width="0.75" customWidth="1"/>
    <col min="12" max="12" width="11.5" bestFit="1" customWidth="1"/>
    <col min="13" max="13" width="10.83203125" customWidth="1"/>
    <col min="14" max="14" width="15.25" bestFit="1" customWidth="1"/>
    <col min="15" max="15" width="16.75" bestFit="1" customWidth="1"/>
    <col min="17" max="17" width="16.75" bestFit="1" customWidth="1"/>
    <col min="18" max="18" width="10.5" bestFit="1" customWidth="1"/>
    <col min="21" max="21" width="11.5" bestFit="1" customWidth="1"/>
  </cols>
  <sheetData>
    <row r="1" spans="1:21" x14ac:dyDescent="0.35">
      <c r="D1" s="340" t="s">
        <v>494</v>
      </c>
      <c r="E1" s="340"/>
      <c r="F1" s="340"/>
      <c r="H1" s="340" t="s">
        <v>492</v>
      </c>
      <c r="I1" s="340"/>
      <c r="J1" s="340"/>
      <c r="L1" s="341" t="s">
        <v>493</v>
      </c>
      <c r="M1" s="341"/>
      <c r="N1" s="341"/>
    </row>
    <row r="2" spans="1:21" s="9" customFormat="1" x14ac:dyDescent="0.35">
      <c r="A2" s="9" t="s">
        <v>10</v>
      </c>
      <c r="B2" s="9" t="s">
        <v>11</v>
      </c>
      <c r="D2" s="11">
        <v>288000</v>
      </c>
      <c r="E2" s="261">
        <f>F2/D2</f>
        <v>18879.464171113024</v>
      </c>
      <c r="F2" s="261">
        <f>-SUM(F4:F7)</f>
        <v>5437285681.280551</v>
      </c>
      <c r="H2" s="11">
        <v>170000</v>
      </c>
      <c r="I2" s="261">
        <f>J2/H2</f>
        <v>18602.996911933216</v>
      </c>
      <c r="J2" s="261">
        <f>-SUM(J4:J7)</f>
        <v>3162509475.0286469</v>
      </c>
      <c r="L2" s="11">
        <v>120000</v>
      </c>
      <c r="M2" s="261">
        <f>N2/L2</f>
        <v>20647.76740028584</v>
      </c>
      <c r="N2" s="261">
        <f>-SUM(N4:N7)</f>
        <v>2477732088.0343008</v>
      </c>
    </row>
    <row r="3" spans="1:21" s="9" customFormat="1" ht="4.1500000000000004" customHeight="1" x14ac:dyDescent="0.35">
      <c r="D3" s="11"/>
      <c r="E3" s="261"/>
      <c r="F3" s="261"/>
      <c r="H3" s="11"/>
      <c r="I3" s="261"/>
      <c r="J3" s="261"/>
    </row>
    <row r="4" spans="1:21" x14ac:dyDescent="0.35">
      <c r="A4" s="308"/>
      <c r="B4" s="308" t="s">
        <v>491</v>
      </c>
      <c r="D4" s="309">
        <f>-D2</f>
        <v>-288000</v>
      </c>
      <c r="E4" s="309">
        <v>5000</v>
      </c>
      <c r="F4" s="309">
        <f>D4*E4</f>
        <v>-1440000000</v>
      </c>
      <c r="H4" s="309">
        <f>-H2</f>
        <v>-170000</v>
      </c>
      <c r="I4" s="309">
        <v>5000</v>
      </c>
      <c r="J4" s="309">
        <f>H4*I4</f>
        <v>-850000000</v>
      </c>
      <c r="L4" s="309">
        <f>-L2</f>
        <v>-120000</v>
      </c>
      <c r="M4" s="309">
        <v>5000</v>
      </c>
      <c r="N4" s="309">
        <f>L4*M4</f>
        <v>-600000000</v>
      </c>
      <c r="O4" s="3"/>
      <c r="U4" s="3"/>
    </row>
    <row r="5" spans="1:21" x14ac:dyDescent="0.35">
      <c r="A5" s="308" t="s">
        <v>25</v>
      </c>
      <c r="B5" s="308" t="s">
        <v>26</v>
      </c>
      <c r="D5" s="309">
        <v>-34633</v>
      </c>
      <c r="E5" s="309">
        <f>INDEX(Data!$T$3:$T$12,MATCH($A5,Data!$Q$3:$Q$12,0))</f>
        <v>22400.043950892203</v>
      </c>
      <c r="F5" s="309">
        <f>D5*E5</f>
        <v>-775780722.15124965</v>
      </c>
      <c r="H5" s="309">
        <v>-9865</v>
      </c>
      <c r="I5" s="309">
        <f>INDEX(Data!$U$3:$U$12,MATCH($A5,Data!$Q$3:$Q$12,0))</f>
        <v>22400.902244468823</v>
      </c>
      <c r="J5" s="309">
        <f>H5*I5</f>
        <v>-220984900.64168495</v>
      </c>
      <c r="L5" s="309">
        <v>-9955</v>
      </c>
      <c r="M5" s="309">
        <f>INDEX(Data!$V$3:$V$12,MATCH($A5,Data!$Q$3:$Q$12,0))</f>
        <v>22400.979963549446</v>
      </c>
      <c r="N5" s="309">
        <f>L5*M5</f>
        <v>-223001755.53713474</v>
      </c>
      <c r="Q5" s="3"/>
      <c r="R5" s="3"/>
      <c r="U5" s="3"/>
    </row>
    <row r="6" spans="1:21" x14ac:dyDescent="0.35">
      <c r="A6" s="308" t="s">
        <v>29</v>
      </c>
      <c r="B6" s="308" t="s">
        <v>30</v>
      </c>
      <c r="D6" s="309">
        <v>-61220</v>
      </c>
      <c r="E6" s="309">
        <f>INDEX(Data!$T$3:$T$12,MATCH($A6,Data!$Q$3:$Q$12,0))</f>
        <v>23190.490550174873</v>
      </c>
      <c r="F6" s="309">
        <f>D6*E6</f>
        <v>-1419721831.4817057</v>
      </c>
      <c r="H6" s="309">
        <v>-40258</v>
      </c>
      <c r="I6" s="309">
        <f>INDEX(Data!$U$3:$U$12,MATCH($A6,Data!$Q$3:$Q$12,0))</f>
        <v>24292.212439609946</v>
      </c>
      <c r="J6" s="309">
        <f>H6*I6</f>
        <v>-977955888.39381719</v>
      </c>
      <c r="L6" s="309">
        <v>-40038</v>
      </c>
      <c r="M6" s="309">
        <f>INDEX(Data!$V$3:$V$12,MATCH($A6,Data!$Q$3:$Q$12,0))</f>
        <v>23906.276136363635</v>
      </c>
      <c r="N6" s="309">
        <f>L6*M6</f>
        <v>-957159483.9477272</v>
      </c>
      <c r="Q6" s="3"/>
      <c r="R6" s="3"/>
      <c r="U6" s="3"/>
    </row>
    <row r="7" spans="1:21" x14ac:dyDescent="0.35">
      <c r="A7" s="308" t="s">
        <v>442</v>
      </c>
      <c r="B7" s="308" t="s">
        <v>469</v>
      </c>
      <c r="D7" s="309">
        <v>-199551</v>
      </c>
      <c r="E7" s="309">
        <f>INDEX(Data!$T$3:$T$12,MATCH($A7,Data!$Q$3:$Q$12,0))</f>
        <v>9029.1861611698041</v>
      </c>
      <c r="F7" s="309">
        <f>D7*E7</f>
        <v>-1801783127.6475956</v>
      </c>
      <c r="H7" s="309">
        <v>-126677</v>
      </c>
      <c r="I7" s="309">
        <f>INDEX(Data!$U$3:$U$12,MATCH($A7,Data!$Q$3:$Q$12,0))</f>
        <v>8790.6146024388381</v>
      </c>
      <c r="J7" s="309">
        <f>H7*I7</f>
        <v>-1113568685.9931448</v>
      </c>
      <c r="L7" s="309">
        <v>-74807</v>
      </c>
      <c r="M7" s="309">
        <f>INDEX(Data!$V$3:$V$12,MATCH($A7,Data!$Q$3:$Q$12,0))</f>
        <v>9324.9408283909106</v>
      </c>
      <c r="N7" s="309">
        <f>L7*M7</f>
        <v>-697570848.54943883</v>
      </c>
      <c r="Q7" s="3"/>
      <c r="R7" s="3"/>
      <c r="U7" s="3"/>
    </row>
    <row r="10" spans="1:21" x14ac:dyDescent="0.35">
      <c r="Q10" s="3"/>
    </row>
    <row r="11" spans="1:21" x14ac:dyDescent="0.35">
      <c r="D11" s="3"/>
      <c r="H11" s="3"/>
    </row>
    <row r="12" spans="1:21" x14ac:dyDescent="0.35">
      <c r="D12" s="3"/>
      <c r="H1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6947-ACA1-4110-90A3-A1D21083AFD4}">
  <dimension ref="A2:H48"/>
  <sheetViews>
    <sheetView showGridLines="0" zoomScale="160" zoomScaleNormal="160" workbookViewId="0">
      <selection activeCell="AE5" sqref="AE5"/>
    </sheetView>
  </sheetViews>
  <sheetFormatPr defaultRowHeight="14.5" x14ac:dyDescent="0.35"/>
  <cols>
    <col min="1" max="1" width="10.33203125" bestFit="1" customWidth="1"/>
    <col min="2" max="2" width="25.75" customWidth="1"/>
    <col min="3" max="3" width="10.75" bestFit="1" customWidth="1"/>
    <col min="4" max="4" width="5.75" bestFit="1" customWidth="1"/>
    <col min="5" max="5" width="1.75" customWidth="1"/>
    <col min="6" max="6" width="9.5" bestFit="1" customWidth="1"/>
    <col min="7" max="7" width="13.08203125" customWidth="1"/>
    <col min="8" max="8" width="40.75" bestFit="1" customWidth="1"/>
  </cols>
  <sheetData>
    <row r="2" spans="1:8" x14ac:dyDescent="0.35">
      <c r="A2" s="295" t="s">
        <v>471</v>
      </c>
      <c r="B2" s="295" t="s">
        <v>472</v>
      </c>
      <c r="C2" s="295" t="s">
        <v>376</v>
      </c>
      <c r="D2" s="295" t="s">
        <v>42</v>
      </c>
      <c r="E2" s="295"/>
      <c r="F2" s="296" t="s">
        <v>164</v>
      </c>
      <c r="G2" s="296" t="s">
        <v>165</v>
      </c>
      <c r="H2" s="296" t="s">
        <v>180</v>
      </c>
    </row>
    <row r="3" spans="1:8" x14ac:dyDescent="0.35">
      <c r="A3" t="s">
        <v>17</v>
      </c>
      <c r="B3" t="s">
        <v>18</v>
      </c>
      <c r="C3" s="193">
        <v>45292</v>
      </c>
      <c r="D3" s="3">
        <f>MONTH(C3)</f>
        <v>1</v>
      </c>
      <c r="F3" s="3">
        <v>19192</v>
      </c>
      <c r="G3" s="3">
        <f>INDEX('PS-2024'!$AG$6:$AG$88,MATCH($A3,'PS-2024'!$F$6:$F$88,0))</f>
        <v>8000</v>
      </c>
    </row>
    <row r="4" spans="1:8" x14ac:dyDescent="0.35">
      <c r="A4" s="184" t="s">
        <v>29</v>
      </c>
      <c r="B4" s="184" t="s">
        <v>30</v>
      </c>
      <c r="C4" s="194">
        <v>45292</v>
      </c>
      <c r="D4" s="185">
        <f t="shared" ref="D4:D8" si="0">MONTH(C4)</f>
        <v>1</v>
      </c>
      <c r="E4" s="184"/>
      <c r="F4" s="185">
        <v>22476</v>
      </c>
      <c r="G4" s="185">
        <f>G11+850*1.1+N("850đ/kg là chi phí băm trung bình YTD0724 và thêm 10% dự phòng")</f>
        <v>8935</v>
      </c>
      <c r="H4" t="s">
        <v>373</v>
      </c>
    </row>
    <row r="5" spans="1:8" x14ac:dyDescent="0.35">
      <c r="A5" t="s">
        <v>34</v>
      </c>
      <c r="B5" t="s">
        <v>35</v>
      </c>
      <c r="C5" s="193">
        <v>45292</v>
      </c>
      <c r="D5" s="3">
        <f t="shared" si="0"/>
        <v>1</v>
      </c>
      <c r="F5" s="3">
        <v>19192</v>
      </c>
      <c r="G5" s="3">
        <f>INDEX('PS-2024'!$AG$6:$AG$88,MATCH($A5,'PS-2024'!$F$6:$F$88,0))</f>
        <v>8000</v>
      </c>
    </row>
    <row r="6" spans="1:8" x14ac:dyDescent="0.35">
      <c r="A6" t="s">
        <v>36</v>
      </c>
      <c r="B6" t="s">
        <v>37</v>
      </c>
      <c r="C6" s="193">
        <v>45292</v>
      </c>
      <c r="D6" s="3">
        <f t="shared" si="0"/>
        <v>1</v>
      </c>
      <c r="F6" s="3">
        <v>19736</v>
      </c>
      <c r="G6" s="3">
        <f>INDEX('PS-2024'!$AG$6:$AG$88,MATCH($A6,'PS-2024'!$F$6:$F$88,0))</f>
        <v>10500</v>
      </c>
      <c r="H6" t="s">
        <v>374</v>
      </c>
    </row>
    <row r="7" spans="1:8" x14ac:dyDescent="0.35">
      <c r="A7" t="s">
        <v>442</v>
      </c>
      <c r="B7" t="s">
        <v>443</v>
      </c>
      <c r="C7" s="193">
        <v>45505</v>
      </c>
      <c r="D7" s="3">
        <f t="shared" si="0"/>
        <v>8</v>
      </c>
      <c r="F7" s="3">
        <v>1</v>
      </c>
      <c r="G7" s="185">
        <v>8619</v>
      </c>
      <c r="H7" t="s">
        <v>444</v>
      </c>
    </row>
    <row r="8" spans="1:8" x14ac:dyDescent="0.35">
      <c r="A8" t="s">
        <v>442</v>
      </c>
      <c r="B8" t="s">
        <v>443</v>
      </c>
      <c r="C8" s="193">
        <v>45536</v>
      </c>
      <c r="D8" s="3">
        <f t="shared" si="0"/>
        <v>9</v>
      </c>
      <c r="F8" s="3">
        <v>8619</v>
      </c>
      <c r="G8" s="265">
        <v>8619</v>
      </c>
      <c r="H8" t="s">
        <v>444</v>
      </c>
    </row>
    <row r="9" spans="1:8" x14ac:dyDescent="0.35">
      <c r="C9" s="193"/>
      <c r="D9" s="193"/>
      <c r="F9" s="3"/>
      <c r="G9" s="3"/>
    </row>
    <row r="11" spans="1:8" x14ac:dyDescent="0.35">
      <c r="A11" t="s">
        <v>131</v>
      </c>
      <c r="B11" t="s">
        <v>252</v>
      </c>
      <c r="G11" s="3">
        <f>INDEX('PS-2024'!$AG$6:$AG$88,MATCH($A11,'PS-2024'!$F$6:$F$88,0))</f>
        <v>8000</v>
      </c>
    </row>
    <row r="14" spans="1:8" x14ac:dyDescent="0.35">
      <c r="C14" s="193"/>
      <c r="D14" s="193"/>
      <c r="F14" s="3"/>
      <c r="G14" s="3"/>
    </row>
    <row r="19" spans="1:1" x14ac:dyDescent="0.35">
      <c r="A19" s="9" t="s">
        <v>419</v>
      </c>
    </row>
    <row r="20" spans="1:1" x14ac:dyDescent="0.35">
      <c r="A20" t="s">
        <v>420</v>
      </c>
    </row>
    <row r="21" spans="1:1" x14ac:dyDescent="0.35">
      <c r="A21" t="s">
        <v>421</v>
      </c>
    </row>
    <row r="22" spans="1:1" x14ac:dyDescent="0.35">
      <c r="A22" t="s">
        <v>422</v>
      </c>
    </row>
    <row r="23" spans="1:1" x14ac:dyDescent="0.35">
      <c r="A23" t="s">
        <v>423</v>
      </c>
    </row>
    <row r="24" spans="1:1" x14ac:dyDescent="0.35">
      <c r="A24" t="s">
        <v>424</v>
      </c>
    </row>
    <row r="25" spans="1:1" x14ac:dyDescent="0.35">
      <c r="A25" t="s">
        <v>425</v>
      </c>
    </row>
    <row r="26" spans="1:1" x14ac:dyDescent="0.35">
      <c r="A26" t="s">
        <v>426</v>
      </c>
    </row>
    <row r="27" spans="1:1" x14ac:dyDescent="0.35">
      <c r="A27" t="s">
        <v>427</v>
      </c>
    </row>
    <row r="28" spans="1:1" x14ac:dyDescent="0.35">
      <c r="A28" t="s">
        <v>428</v>
      </c>
    </row>
    <row r="29" spans="1:1" x14ac:dyDescent="0.35">
      <c r="A29" t="s">
        <v>429</v>
      </c>
    </row>
    <row r="30" spans="1:1" x14ac:dyDescent="0.35">
      <c r="A30" t="s">
        <v>400</v>
      </c>
    </row>
    <row r="31" spans="1:1" x14ac:dyDescent="0.35">
      <c r="A31" t="s">
        <v>401</v>
      </c>
    </row>
    <row r="32" spans="1:1" x14ac:dyDescent="0.35">
      <c r="A32" t="s">
        <v>402</v>
      </c>
    </row>
    <row r="33" spans="1:1" x14ac:dyDescent="0.35">
      <c r="A33" t="s">
        <v>403</v>
      </c>
    </row>
    <row r="34" spans="1:1" x14ac:dyDescent="0.35">
      <c r="A34" t="s">
        <v>404</v>
      </c>
    </row>
    <row r="35" spans="1:1" x14ac:dyDescent="0.35">
      <c r="A35" t="s">
        <v>405</v>
      </c>
    </row>
    <row r="36" spans="1:1" x14ac:dyDescent="0.35">
      <c r="A36" t="s">
        <v>406</v>
      </c>
    </row>
    <row r="37" spans="1:1" x14ac:dyDescent="0.35">
      <c r="A37" t="s">
        <v>407</v>
      </c>
    </row>
    <row r="38" spans="1:1" x14ac:dyDescent="0.35">
      <c r="A38" t="s">
        <v>408</v>
      </c>
    </row>
    <row r="39" spans="1:1" x14ac:dyDescent="0.35">
      <c r="A39" t="s">
        <v>409</v>
      </c>
    </row>
    <row r="40" spans="1:1" x14ac:dyDescent="0.35">
      <c r="A40" t="s">
        <v>410</v>
      </c>
    </row>
    <row r="41" spans="1:1" x14ac:dyDescent="0.35">
      <c r="A41" t="s">
        <v>411</v>
      </c>
    </row>
    <row r="42" spans="1:1" x14ac:dyDescent="0.35">
      <c r="A42" t="s">
        <v>412</v>
      </c>
    </row>
    <row r="43" spans="1:1" x14ac:dyDescent="0.35">
      <c r="A43" t="s">
        <v>413</v>
      </c>
    </row>
    <row r="44" spans="1:1" x14ac:dyDescent="0.35">
      <c r="A44" t="s">
        <v>414</v>
      </c>
    </row>
    <row r="45" spans="1:1" x14ac:dyDescent="0.35">
      <c r="A45" t="s">
        <v>415</v>
      </c>
    </row>
    <row r="46" spans="1:1" x14ac:dyDescent="0.35">
      <c r="A46" t="s">
        <v>416</v>
      </c>
    </row>
    <row r="47" spans="1:1" x14ac:dyDescent="0.35">
      <c r="A47" t="s">
        <v>417</v>
      </c>
    </row>
    <row r="48" spans="1:1" x14ac:dyDescent="0.35">
      <c r="A48" t="s">
        <v>418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E71E-6FD5-4D58-99CC-D43E795C1FC9}">
  <dimension ref="A3:V22"/>
  <sheetViews>
    <sheetView showGridLines="0" zoomScaleNormal="100" workbookViewId="0">
      <selection activeCell="AE5" sqref="AE5"/>
    </sheetView>
  </sheetViews>
  <sheetFormatPr defaultRowHeight="14.5" x14ac:dyDescent="0.35"/>
  <cols>
    <col min="1" max="1" width="6.08203125" bestFit="1" customWidth="1"/>
    <col min="2" max="2" width="10.5" bestFit="1" customWidth="1"/>
    <col min="3" max="3" width="11.75" bestFit="1" customWidth="1"/>
    <col min="4" max="4" width="11.5" bestFit="1" customWidth="1"/>
    <col min="5" max="5" width="13.5" customWidth="1"/>
    <col min="8" max="8" width="11.5" bestFit="1" customWidth="1"/>
    <col min="9" max="9" width="9.58203125" bestFit="1" customWidth="1"/>
    <col min="10" max="11" width="11.5" bestFit="1" customWidth="1"/>
    <col min="12" max="12" width="11.75" bestFit="1" customWidth="1"/>
    <col min="13" max="19" width="9.5" customWidth="1"/>
    <col min="20" max="20" width="11.25" bestFit="1" customWidth="1"/>
    <col min="21" max="21" width="12.75" customWidth="1"/>
  </cols>
  <sheetData>
    <row r="3" spans="1:22" x14ac:dyDescent="0.35">
      <c r="B3" t="s">
        <v>10</v>
      </c>
      <c r="C3" t="s">
        <v>11</v>
      </c>
      <c r="J3" s="3"/>
    </row>
    <row r="5" spans="1:22" x14ac:dyDescent="0.35">
      <c r="A5" s="10" t="s">
        <v>42</v>
      </c>
      <c r="B5" s="10" t="s">
        <v>40</v>
      </c>
      <c r="C5" s="10" t="s">
        <v>38</v>
      </c>
      <c r="D5" s="10" t="s">
        <v>39</v>
      </c>
      <c r="E5" s="10" t="s">
        <v>41</v>
      </c>
      <c r="G5" s="13"/>
      <c r="H5" s="14" t="s">
        <v>46</v>
      </c>
      <c r="I5" s="14" t="s">
        <v>47</v>
      </c>
      <c r="J5" s="14" t="s">
        <v>488</v>
      </c>
      <c r="K5" s="14" t="s">
        <v>498</v>
      </c>
      <c r="L5" s="14" t="s">
        <v>500</v>
      </c>
      <c r="M5" s="14" t="s">
        <v>535</v>
      </c>
      <c r="N5" s="14" t="s">
        <v>537</v>
      </c>
      <c r="O5" s="14" t="s">
        <v>539</v>
      </c>
      <c r="P5" s="14" t="s">
        <v>541</v>
      </c>
      <c r="Q5" s="14" t="s">
        <v>563</v>
      </c>
      <c r="R5" s="14" t="s">
        <v>564</v>
      </c>
      <c r="S5" s="14"/>
      <c r="T5" s="14" t="s">
        <v>48</v>
      </c>
    </row>
    <row r="6" spans="1:22" x14ac:dyDescent="0.35">
      <c r="A6">
        <v>1</v>
      </c>
      <c r="B6" s="3">
        <v>124180</v>
      </c>
      <c r="C6" s="3"/>
      <c r="D6" s="3"/>
      <c r="E6" s="11">
        <f>B6+C6-D6</f>
        <v>124180</v>
      </c>
      <c r="G6" s="15" t="s">
        <v>474</v>
      </c>
      <c r="H6" s="16">
        <v>124180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7">
        <f>SUM(H6:S6)</f>
        <v>124180</v>
      </c>
      <c r="U6" s="6">
        <f>B6-T6</f>
        <v>0</v>
      </c>
    </row>
    <row r="7" spans="1:22" x14ac:dyDescent="0.35">
      <c r="A7">
        <v>2</v>
      </c>
      <c r="B7" s="3">
        <f t="shared" ref="B7:B17" si="0">E6</f>
        <v>124180</v>
      </c>
      <c r="C7" s="3">
        <v>288000</v>
      </c>
      <c r="D7" s="3">
        <v>386000</v>
      </c>
      <c r="E7" s="11">
        <f t="shared" ref="E7:E17" si="1">B7+C7-D7</f>
        <v>26180</v>
      </c>
      <c r="G7" s="15" t="s">
        <v>44</v>
      </c>
      <c r="H7" s="16">
        <v>261820</v>
      </c>
      <c r="I7" s="16">
        <v>26180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7">
        <f t="shared" ref="T7:T16" si="2">SUM(H7:S7)</f>
        <v>288000</v>
      </c>
      <c r="U7" s="6">
        <f t="shared" ref="U7:U14" si="3">C7-T7</f>
        <v>0</v>
      </c>
    </row>
    <row r="8" spans="1:22" x14ac:dyDescent="0.35">
      <c r="A8">
        <v>3</v>
      </c>
      <c r="B8" s="3">
        <f t="shared" si="0"/>
        <v>26180</v>
      </c>
      <c r="C8" s="3">
        <v>170000</v>
      </c>
      <c r="D8" s="3">
        <v>140000</v>
      </c>
      <c r="E8" s="11">
        <f t="shared" si="1"/>
        <v>56180</v>
      </c>
      <c r="G8" s="15" t="s">
        <v>45</v>
      </c>
      <c r="H8" s="16"/>
      <c r="I8" s="16">
        <v>113820</v>
      </c>
      <c r="J8" s="16">
        <v>56180</v>
      </c>
      <c r="K8" s="16"/>
      <c r="L8" s="16"/>
      <c r="M8" s="16"/>
      <c r="N8" s="16"/>
      <c r="O8" s="16"/>
      <c r="P8" s="16"/>
      <c r="Q8" s="16"/>
      <c r="R8" s="16"/>
      <c r="S8" s="16"/>
      <c r="T8" s="17">
        <f t="shared" si="2"/>
        <v>170000</v>
      </c>
      <c r="U8" s="6">
        <f t="shared" si="3"/>
        <v>0</v>
      </c>
    </row>
    <row r="9" spans="1:22" x14ac:dyDescent="0.35">
      <c r="A9">
        <v>4</v>
      </c>
      <c r="B9" s="3">
        <f t="shared" si="0"/>
        <v>56180</v>
      </c>
      <c r="C9" s="3">
        <v>120000</v>
      </c>
      <c r="D9" s="3">
        <v>120000</v>
      </c>
      <c r="E9" s="11">
        <f t="shared" si="1"/>
        <v>56180</v>
      </c>
      <c r="G9" s="15" t="s">
        <v>487</v>
      </c>
      <c r="H9" s="16"/>
      <c r="I9" s="16"/>
      <c r="J9" s="16">
        <v>63820</v>
      </c>
      <c r="K9" s="16">
        <v>56180</v>
      </c>
      <c r="L9" s="16"/>
      <c r="M9" s="16"/>
      <c r="N9" s="16"/>
      <c r="O9" s="16"/>
      <c r="P9" s="16"/>
      <c r="Q9" s="16"/>
      <c r="R9" s="16"/>
      <c r="S9" s="16"/>
      <c r="T9" s="17">
        <f t="shared" si="2"/>
        <v>120000</v>
      </c>
      <c r="U9" s="6">
        <f t="shared" si="3"/>
        <v>0</v>
      </c>
    </row>
    <row r="10" spans="1:22" x14ac:dyDescent="0.35">
      <c r="A10">
        <v>5</v>
      </c>
      <c r="B10" s="3">
        <f t="shared" si="0"/>
        <v>56180</v>
      </c>
      <c r="C10" s="3">
        <v>70000</v>
      </c>
      <c r="D10" s="3">
        <v>80000</v>
      </c>
      <c r="E10" s="11">
        <f t="shared" si="1"/>
        <v>46180</v>
      </c>
      <c r="G10" s="15" t="s">
        <v>497</v>
      </c>
      <c r="H10" s="16"/>
      <c r="I10" s="16"/>
      <c r="J10" s="16"/>
      <c r="K10" s="16">
        <v>23820</v>
      </c>
      <c r="L10" s="16">
        <v>46180</v>
      </c>
      <c r="M10" s="16"/>
      <c r="N10" s="16"/>
      <c r="O10" s="16"/>
      <c r="P10" s="16"/>
      <c r="Q10" s="16"/>
      <c r="R10" s="16"/>
      <c r="S10" s="16"/>
      <c r="T10" s="17">
        <f t="shared" si="2"/>
        <v>70000</v>
      </c>
      <c r="U10" s="6">
        <f t="shared" si="3"/>
        <v>0</v>
      </c>
    </row>
    <row r="11" spans="1:22" x14ac:dyDescent="0.35">
      <c r="A11">
        <v>6</v>
      </c>
      <c r="B11" s="3">
        <f t="shared" si="0"/>
        <v>46180</v>
      </c>
      <c r="C11" s="3">
        <v>102000</v>
      </c>
      <c r="D11" s="3">
        <v>100000</v>
      </c>
      <c r="E11" s="11">
        <f t="shared" si="1"/>
        <v>48180</v>
      </c>
      <c r="G11" s="15" t="s">
        <v>499</v>
      </c>
      <c r="H11" s="16"/>
      <c r="I11" s="16"/>
      <c r="J11" s="16"/>
      <c r="K11" s="16"/>
      <c r="L11" s="16">
        <v>53820</v>
      </c>
      <c r="M11" s="16">
        <v>20000</v>
      </c>
      <c r="N11" s="16">
        <v>28180</v>
      </c>
      <c r="O11" s="16"/>
      <c r="P11" s="16"/>
      <c r="Q11" s="16"/>
      <c r="R11" s="16"/>
      <c r="S11" s="16"/>
      <c r="T11" s="17">
        <f t="shared" si="2"/>
        <v>102000</v>
      </c>
      <c r="U11" s="6">
        <f t="shared" si="3"/>
        <v>0</v>
      </c>
      <c r="V11" s="6"/>
    </row>
    <row r="12" spans="1:22" x14ac:dyDescent="0.35">
      <c r="A12">
        <v>7</v>
      </c>
      <c r="B12" s="3">
        <f t="shared" si="0"/>
        <v>48180</v>
      </c>
      <c r="C12" s="3">
        <v>40000</v>
      </c>
      <c r="D12" s="3">
        <v>20000</v>
      </c>
      <c r="E12" s="11">
        <f t="shared" si="1"/>
        <v>68180</v>
      </c>
      <c r="G12" s="15" t="s">
        <v>534</v>
      </c>
      <c r="H12" s="16"/>
      <c r="I12" s="16"/>
      <c r="J12" s="16"/>
      <c r="K12" s="16"/>
      <c r="L12" s="16"/>
      <c r="M12" s="16"/>
      <c r="N12" s="16">
        <v>40000</v>
      </c>
      <c r="O12" s="16"/>
      <c r="P12" s="16"/>
      <c r="Q12" s="16"/>
      <c r="R12" s="16"/>
      <c r="S12" s="16"/>
      <c r="T12" s="17">
        <f t="shared" si="2"/>
        <v>40000</v>
      </c>
      <c r="U12" s="6">
        <f t="shared" si="3"/>
        <v>0</v>
      </c>
    </row>
    <row r="13" spans="1:22" x14ac:dyDescent="0.35">
      <c r="A13">
        <v>8</v>
      </c>
      <c r="B13" s="3">
        <f t="shared" si="0"/>
        <v>68180</v>
      </c>
      <c r="C13" s="3">
        <v>116000</v>
      </c>
      <c r="D13" s="3">
        <v>80000</v>
      </c>
      <c r="E13" s="11">
        <f t="shared" si="1"/>
        <v>104180</v>
      </c>
      <c r="G13" s="15" t="s">
        <v>536</v>
      </c>
      <c r="H13" s="16"/>
      <c r="I13" s="16"/>
      <c r="J13" s="16"/>
      <c r="K13" s="16"/>
      <c r="L13" s="16"/>
      <c r="M13" s="16"/>
      <c r="N13" s="16">
        <v>11820</v>
      </c>
      <c r="O13" s="16">
        <v>104180</v>
      </c>
      <c r="P13" s="16"/>
      <c r="Q13" s="16"/>
      <c r="R13" s="16"/>
      <c r="S13" s="16"/>
      <c r="T13" s="17">
        <f t="shared" si="2"/>
        <v>116000</v>
      </c>
      <c r="U13" s="6">
        <f t="shared" si="3"/>
        <v>0</v>
      </c>
    </row>
    <row r="14" spans="1:22" x14ac:dyDescent="0.35">
      <c r="A14">
        <v>9</v>
      </c>
      <c r="B14" s="3">
        <f t="shared" si="0"/>
        <v>104180</v>
      </c>
      <c r="C14" s="3">
        <v>200000</v>
      </c>
      <c r="D14" s="3">
        <v>220000</v>
      </c>
      <c r="E14" s="11">
        <f t="shared" si="1"/>
        <v>84180</v>
      </c>
      <c r="G14" s="15" t="s">
        <v>538</v>
      </c>
      <c r="H14" s="16"/>
      <c r="I14" s="16"/>
      <c r="J14" s="16"/>
      <c r="K14" s="16"/>
      <c r="L14" s="16"/>
      <c r="M14" s="16"/>
      <c r="N14" s="16"/>
      <c r="O14" s="16">
        <v>115820</v>
      </c>
      <c r="P14" s="16">
        <v>84180</v>
      </c>
      <c r="Q14" s="16"/>
      <c r="R14" s="16"/>
      <c r="S14" s="16"/>
      <c r="T14" s="17">
        <f t="shared" si="2"/>
        <v>200000</v>
      </c>
      <c r="U14" s="6">
        <f t="shared" si="3"/>
        <v>0</v>
      </c>
    </row>
    <row r="15" spans="1:22" x14ac:dyDescent="0.35">
      <c r="A15">
        <v>10</v>
      </c>
      <c r="B15" s="3">
        <f t="shared" si="0"/>
        <v>84180</v>
      </c>
      <c r="C15" s="3">
        <v>218000</v>
      </c>
      <c r="D15" s="3">
        <v>138000</v>
      </c>
      <c r="E15" s="11">
        <f t="shared" si="1"/>
        <v>164180</v>
      </c>
      <c r="G15" s="15" t="s">
        <v>540</v>
      </c>
      <c r="H15" s="16"/>
      <c r="I15" s="16"/>
      <c r="J15" s="16"/>
      <c r="K15" s="16"/>
      <c r="L15" s="16"/>
      <c r="M15" s="16"/>
      <c r="N15" s="16"/>
      <c r="O15" s="16"/>
      <c r="P15" s="16">
        <v>53820</v>
      </c>
      <c r="Q15" s="16">
        <v>160000</v>
      </c>
      <c r="R15" s="16">
        <v>4180</v>
      </c>
      <c r="S15" s="16"/>
      <c r="T15" s="17">
        <f t="shared" si="2"/>
        <v>218000</v>
      </c>
      <c r="U15" s="6">
        <f>T15-C15</f>
        <v>0</v>
      </c>
    </row>
    <row r="16" spans="1:22" x14ac:dyDescent="0.35">
      <c r="A16">
        <v>11</v>
      </c>
      <c r="B16" s="3">
        <f t="shared" si="0"/>
        <v>164180</v>
      </c>
      <c r="C16" s="185">
        <v>195000</v>
      </c>
      <c r="D16" s="3">
        <v>160000</v>
      </c>
      <c r="E16" s="11">
        <f t="shared" si="1"/>
        <v>199180</v>
      </c>
      <c r="G16" s="15" t="s">
        <v>562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>
        <v>95820</v>
      </c>
      <c r="S16" s="16"/>
      <c r="T16" s="17">
        <f t="shared" si="2"/>
        <v>95820</v>
      </c>
      <c r="U16" s="6"/>
    </row>
    <row r="17" spans="1:20" x14ac:dyDescent="0.35">
      <c r="A17">
        <v>12</v>
      </c>
      <c r="B17" s="3">
        <f t="shared" si="0"/>
        <v>199180</v>
      </c>
      <c r="C17" s="3">
        <v>186000</v>
      </c>
      <c r="D17" s="3">
        <v>100000</v>
      </c>
      <c r="E17" s="11">
        <f t="shared" si="1"/>
        <v>285180</v>
      </c>
      <c r="G17" s="15" t="s">
        <v>48</v>
      </c>
      <c r="H17" s="17">
        <f>SUM(H6:H16)</f>
        <v>386000</v>
      </c>
      <c r="I17" s="17">
        <f t="shared" ref="I17:S17" si="4">SUM(I6:I16)</f>
        <v>140000</v>
      </c>
      <c r="J17" s="17">
        <f t="shared" si="4"/>
        <v>120000</v>
      </c>
      <c r="K17" s="17">
        <f t="shared" si="4"/>
        <v>80000</v>
      </c>
      <c r="L17" s="17">
        <f t="shared" si="4"/>
        <v>100000</v>
      </c>
      <c r="M17" s="17">
        <f t="shared" si="4"/>
        <v>20000</v>
      </c>
      <c r="N17" s="17">
        <f>SUM(N6:N16)</f>
        <v>80000</v>
      </c>
      <c r="O17" s="17">
        <f t="shared" si="4"/>
        <v>220000</v>
      </c>
      <c r="P17" s="17">
        <f t="shared" si="4"/>
        <v>138000</v>
      </c>
      <c r="Q17" s="17">
        <f t="shared" si="4"/>
        <v>160000</v>
      </c>
      <c r="R17" s="17">
        <f t="shared" si="4"/>
        <v>100000</v>
      </c>
      <c r="S17" s="17">
        <f t="shared" si="4"/>
        <v>0</v>
      </c>
      <c r="T17" s="17">
        <f>SUM(T6:T16)</f>
        <v>1544000</v>
      </c>
    </row>
    <row r="18" spans="1:20" x14ac:dyDescent="0.35">
      <c r="H18" s="6">
        <f>H17-D7</f>
        <v>0</v>
      </c>
      <c r="I18" s="6">
        <f>I17-D8</f>
        <v>0</v>
      </c>
      <c r="J18" s="6">
        <f>J17-D9</f>
        <v>0</v>
      </c>
      <c r="K18" s="6">
        <f>K17-D10</f>
        <v>0</v>
      </c>
      <c r="L18" s="6">
        <f>L17-D11</f>
        <v>0</v>
      </c>
      <c r="M18" s="6">
        <f>M17-D12</f>
        <v>0</v>
      </c>
      <c r="N18" s="6">
        <f>N17-D13</f>
        <v>0</v>
      </c>
      <c r="O18" s="6">
        <f>O17-D14</f>
        <v>0</v>
      </c>
      <c r="P18" s="6">
        <f>P17-D15</f>
        <v>0</v>
      </c>
      <c r="Q18" s="6">
        <f>Q17-D16</f>
        <v>0</v>
      </c>
      <c r="R18" s="6">
        <f>R17-D17</f>
        <v>0</v>
      </c>
      <c r="S18" s="6"/>
    </row>
    <row r="19" spans="1:20" x14ac:dyDescent="0.35">
      <c r="J19" s="6"/>
    </row>
    <row r="20" spans="1:20" x14ac:dyDescent="0.35">
      <c r="C20" s="6"/>
      <c r="K20" s="6"/>
      <c r="L20" s="3"/>
    </row>
    <row r="21" spans="1:20" x14ac:dyDescent="0.35">
      <c r="L21" s="6"/>
      <c r="R21" s="6"/>
    </row>
    <row r="22" spans="1:20" x14ac:dyDescent="0.35">
      <c r="R22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10DE-2049-49AF-B215-9F25CA2EE997}">
  <dimension ref="A1:N5"/>
  <sheetViews>
    <sheetView workbookViewId="0">
      <selection activeCell="H4" sqref="H4"/>
    </sheetView>
  </sheetViews>
  <sheetFormatPr defaultRowHeight="14.5" x14ac:dyDescent="0.35"/>
  <cols>
    <col min="1" max="2" width="8.75" bestFit="1" customWidth="1"/>
    <col min="3" max="3" width="9.75" bestFit="1" customWidth="1"/>
    <col min="4" max="4" width="18.6640625" bestFit="1" customWidth="1"/>
    <col min="5" max="5" width="8.75" bestFit="1" customWidth="1"/>
    <col min="6" max="6" width="17.58203125" bestFit="1" customWidth="1"/>
    <col min="7" max="7" width="15.1640625" bestFit="1" customWidth="1"/>
    <col min="8" max="8" width="13.1640625" bestFit="1" customWidth="1"/>
    <col min="9" max="9" width="10.08203125" bestFit="1" customWidth="1"/>
    <col min="10" max="10" width="10" bestFit="1" customWidth="1"/>
    <col min="11" max="11" width="9.9140625" bestFit="1" customWidth="1"/>
    <col min="12" max="12" width="13.58203125" bestFit="1" customWidth="1"/>
    <col min="13" max="13" width="11.58203125" bestFit="1" customWidth="1"/>
    <col min="14" max="14" width="15.83203125" bestFit="1" customWidth="1"/>
  </cols>
  <sheetData>
    <row r="1" spans="1:14" x14ac:dyDescent="0.35">
      <c r="A1" s="9" t="s">
        <v>568</v>
      </c>
    </row>
    <row r="3" spans="1:14" x14ac:dyDescent="0.35">
      <c r="A3" t="s">
        <v>31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43</v>
      </c>
      <c r="L3" t="s">
        <v>445</v>
      </c>
      <c r="M3" t="s">
        <v>447</v>
      </c>
      <c r="N3" t="s">
        <v>479</v>
      </c>
    </row>
    <row r="4" spans="1:14" x14ac:dyDescent="0.35">
      <c r="A4">
        <v>2</v>
      </c>
      <c r="B4" t="s">
        <v>9</v>
      </c>
      <c r="C4" t="s">
        <v>10</v>
      </c>
      <c r="D4" t="s">
        <v>11</v>
      </c>
      <c r="E4" t="s">
        <v>12</v>
      </c>
      <c r="F4">
        <v>108000</v>
      </c>
      <c r="G4" t="s">
        <v>13</v>
      </c>
      <c r="H4">
        <v>1620000000</v>
      </c>
      <c r="I4" t="s">
        <v>14</v>
      </c>
      <c r="J4" t="s">
        <v>15</v>
      </c>
      <c r="K4" t="s">
        <v>44</v>
      </c>
      <c r="L4">
        <v>15000</v>
      </c>
      <c r="M4">
        <v>0</v>
      </c>
      <c r="N4">
        <v>0</v>
      </c>
    </row>
    <row r="5" spans="1:14" x14ac:dyDescent="0.35">
      <c r="A5">
        <v>2</v>
      </c>
      <c r="B5" t="s">
        <v>9</v>
      </c>
      <c r="C5" t="s">
        <v>10</v>
      </c>
      <c r="D5" t="s">
        <v>11</v>
      </c>
      <c r="E5" t="s">
        <v>12</v>
      </c>
      <c r="F5">
        <v>180000</v>
      </c>
      <c r="G5" t="s">
        <v>13</v>
      </c>
      <c r="H5">
        <v>2700000000</v>
      </c>
      <c r="I5" t="s">
        <v>14</v>
      </c>
      <c r="J5" t="s">
        <v>15</v>
      </c>
      <c r="K5" t="s">
        <v>44</v>
      </c>
      <c r="L5">
        <v>15000</v>
      </c>
      <c r="M5">
        <v>0</v>
      </c>
      <c r="N5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5A90-2AB9-4DB2-B96B-D03EBF7E5532}">
  <dimension ref="A1:P15"/>
  <sheetViews>
    <sheetView showGridLines="0" zoomScale="130" zoomScaleNormal="130" workbookViewId="0">
      <selection activeCell="A9" sqref="A9"/>
    </sheetView>
  </sheetViews>
  <sheetFormatPr defaultRowHeight="14.5" x14ac:dyDescent="0.35"/>
  <cols>
    <col min="1" max="1" width="14.08203125" customWidth="1"/>
    <col min="2" max="2" width="23.33203125" bestFit="1" customWidth="1"/>
    <col min="3" max="13" width="8.83203125" bestFit="1" customWidth="1"/>
    <col min="14" max="14" width="10.08203125" bestFit="1" customWidth="1"/>
    <col min="15" max="18" width="9.33203125" bestFit="1" customWidth="1"/>
    <col min="19" max="20" width="10.75" bestFit="1" customWidth="1"/>
  </cols>
  <sheetData>
    <row r="1" spans="1:16" x14ac:dyDescent="0.35">
      <c r="B1" s="452" t="s">
        <v>567</v>
      </c>
      <c r="C1" s="306">
        <f t="shared" ref="C1:H1" si="0">C13/SUM(C6:C12)</f>
        <v>2.5063980176300932E-2</v>
      </c>
      <c r="D1" s="306">
        <f t="shared" si="0"/>
        <v>3.8461538461538464E-2</v>
      </c>
      <c r="E1" s="306">
        <f t="shared" si="0"/>
        <v>3.8461538461538464E-2</v>
      </c>
      <c r="F1" s="306">
        <f t="shared" si="0"/>
        <v>3.8461538461538464E-2</v>
      </c>
      <c r="G1" s="306">
        <f t="shared" si="0"/>
        <v>3.8434344862694078E-2</v>
      </c>
      <c r="H1" s="306">
        <f t="shared" si="0"/>
        <v>3.8461538461538464E-2</v>
      </c>
      <c r="I1" s="306">
        <f t="shared" ref="I1:N1" si="1">I13/SUM(I6:I12)</f>
        <v>7.1707253599495091E-2</v>
      </c>
      <c r="J1" s="306">
        <f t="shared" si="1"/>
        <v>3.8461538461538464E-2</v>
      </c>
      <c r="K1" s="306">
        <f t="shared" si="1"/>
        <v>3.8461538461538464E-2</v>
      </c>
      <c r="L1" s="306">
        <f t="shared" si="1"/>
        <v>3.8461538461538464E-2</v>
      </c>
      <c r="M1" s="306">
        <f t="shared" si="1"/>
        <v>3.8477245719104276E-2</v>
      </c>
      <c r="N1" s="454">
        <f t="shared" si="1"/>
        <v>3.857254830614696E-2</v>
      </c>
    </row>
    <row r="3" spans="1:16" x14ac:dyDescent="0.35">
      <c r="A3" s="7" t="s">
        <v>33</v>
      </c>
      <c r="C3" s="7" t="s">
        <v>31</v>
      </c>
    </row>
    <row r="4" spans="1:16" x14ac:dyDescent="0.35">
      <c r="A4" s="7" t="s">
        <v>1</v>
      </c>
      <c r="B4" s="7" t="s">
        <v>2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s="8" t="s">
        <v>32</v>
      </c>
    </row>
    <row r="5" spans="1:16" x14ac:dyDescent="0.35">
      <c r="A5" t="s">
        <v>10</v>
      </c>
      <c r="B5" t="s">
        <v>11</v>
      </c>
      <c r="C5" s="6">
        <v>288000</v>
      </c>
      <c r="D5" s="6">
        <v>170000</v>
      </c>
      <c r="E5" s="6">
        <v>120000</v>
      </c>
      <c r="F5" s="6">
        <v>70000</v>
      </c>
      <c r="G5" s="6">
        <v>102000</v>
      </c>
      <c r="H5" s="6">
        <v>40000</v>
      </c>
      <c r="I5" s="6">
        <v>116000</v>
      </c>
      <c r="J5" s="6">
        <v>200000</v>
      </c>
      <c r="K5" s="6">
        <v>218000</v>
      </c>
      <c r="L5" s="6">
        <v>195000</v>
      </c>
      <c r="M5" s="6">
        <v>186000</v>
      </c>
      <c r="N5" s="6">
        <v>1705000</v>
      </c>
    </row>
    <row r="6" spans="1:16" x14ac:dyDescent="0.35">
      <c r="A6" t="s">
        <v>17</v>
      </c>
      <c r="B6" t="s">
        <v>18</v>
      </c>
      <c r="C6" s="6"/>
      <c r="D6" s="6"/>
      <c r="E6" s="6"/>
      <c r="F6" s="6"/>
      <c r="G6" s="6"/>
      <c r="H6" s="6"/>
      <c r="I6" s="6">
        <v>-0.28999999999999998</v>
      </c>
      <c r="J6" s="6"/>
      <c r="K6" s="6"/>
      <c r="L6" s="6"/>
      <c r="M6" s="6"/>
      <c r="N6" s="6">
        <v>-0.28999999999999998</v>
      </c>
    </row>
    <row r="7" spans="1:16" x14ac:dyDescent="0.35">
      <c r="A7" t="s">
        <v>20</v>
      </c>
      <c r="B7" t="s">
        <v>21</v>
      </c>
      <c r="C7" s="6"/>
      <c r="D7" s="6"/>
      <c r="E7" s="6"/>
      <c r="F7" s="6">
        <v>-1983</v>
      </c>
      <c r="G7" s="6"/>
      <c r="H7" s="6"/>
      <c r="I7" s="6"/>
      <c r="J7" s="6"/>
      <c r="K7" s="6"/>
      <c r="L7" s="6"/>
      <c r="M7" s="6"/>
      <c r="N7" s="6">
        <v>-1983</v>
      </c>
      <c r="P7" s="306">
        <f>M7/M$5</f>
        <v>0</v>
      </c>
    </row>
    <row r="8" spans="1:16" x14ac:dyDescent="0.35">
      <c r="A8" t="s">
        <v>23</v>
      </c>
      <c r="B8" t="s">
        <v>24</v>
      </c>
      <c r="C8" s="6"/>
      <c r="D8" s="6"/>
      <c r="E8" s="6"/>
      <c r="F8" s="6">
        <v>-997</v>
      </c>
      <c r="G8" s="6"/>
      <c r="H8" s="6"/>
      <c r="I8" s="6"/>
      <c r="J8" s="6"/>
      <c r="K8" s="6"/>
      <c r="L8" s="6"/>
      <c r="M8" s="6"/>
      <c r="N8" s="6">
        <v>-997</v>
      </c>
      <c r="P8" s="306">
        <f t="shared" ref="P8:P12" si="2">M8/M$5</f>
        <v>0</v>
      </c>
    </row>
    <row r="9" spans="1:16" x14ac:dyDescent="0.35">
      <c r="A9" t="s">
        <v>25</v>
      </c>
      <c r="B9" t="s">
        <v>26</v>
      </c>
      <c r="C9" s="6">
        <v>-34633</v>
      </c>
      <c r="D9" s="6">
        <v>-9865</v>
      </c>
      <c r="E9" s="6">
        <v>-9955</v>
      </c>
      <c r="F9" s="6">
        <v>-5445</v>
      </c>
      <c r="G9" s="6">
        <v>-19936</v>
      </c>
      <c r="H9" s="6"/>
      <c r="I9" s="6">
        <v>-10155</v>
      </c>
      <c r="J9" s="6">
        <v>-30011</v>
      </c>
      <c r="K9" s="6">
        <v>-31480</v>
      </c>
      <c r="L9" s="6">
        <v>-29599</v>
      </c>
      <c r="M9" s="6">
        <v>-18220.16</v>
      </c>
      <c r="N9" s="6">
        <v>-199299.16</v>
      </c>
      <c r="P9" s="306">
        <f t="shared" si="2"/>
        <v>-9.795784946236559E-2</v>
      </c>
    </row>
    <row r="10" spans="1:16" x14ac:dyDescent="0.35">
      <c r="A10" t="s">
        <v>29</v>
      </c>
      <c r="B10" t="s">
        <v>30</v>
      </c>
      <c r="C10" s="6">
        <v>-61220</v>
      </c>
      <c r="D10" s="6">
        <v>-40258</v>
      </c>
      <c r="E10" s="6">
        <v>-40038</v>
      </c>
      <c r="F10" s="6">
        <v>-46254</v>
      </c>
      <c r="G10" s="6">
        <v>-49329</v>
      </c>
      <c r="H10" s="6">
        <v>-25970</v>
      </c>
      <c r="I10" s="6">
        <v>-45000</v>
      </c>
      <c r="J10" s="6">
        <v>-94789</v>
      </c>
      <c r="K10" s="6">
        <v>-80896</v>
      </c>
      <c r="L10" s="6">
        <v>-29856</v>
      </c>
      <c r="M10" s="6">
        <v>-70184</v>
      </c>
      <c r="N10" s="6">
        <v>-583794</v>
      </c>
      <c r="P10" s="306">
        <f t="shared" si="2"/>
        <v>-0.37733333333333335</v>
      </c>
    </row>
    <row r="11" spans="1:16" x14ac:dyDescent="0.35">
      <c r="A11" t="s">
        <v>36</v>
      </c>
      <c r="B11" t="s">
        <v>37</v>
      </c>
      <c r="C11" s="6"/>
      <c r="D11" s="6"/>
      <c r="E11" s="6"/>
      <c r="F11" s="6"/>
      <c r="G11" s="6"/>
      <c r="H11" s="6"/>
      <c r="I11" s="6">
        <v>-0.28999999999999998</v>
      </c>
      <c r="J11" s="6"/>
      <c r="K11" s="6"/>
      <c r="L11" s="6"/>
      <c r="M11" s="6"/>
      <c r="N11" s="6">
        <v>-0.28999999999999998</v>
      </c>
      <c r="P11" s="306">
        <f t="shared" si="2"/>
        <v>0</v>
      </c>
    </row>
    <row r="12" spans="1:16" x14ac:dyDescent="0.35">
      <c r="A12" t="s">
        <v>442</v>
      </c>
      <c r="B12" t="s">
        <v>469</v>
      </c>
      <c r="C12" s="6">
        <v>-199551</v>
      </c>
      <c r="D12" s="6">
        <v>-126677</v>
      </c>
      <c r="E12" s="6">
        <v>-74807</v>
      </c>
      <c r="F12" s="6">
        <v>-18121</v>
      </c>
      <c r="G12" s="6">
        <v>-36812</v>
      </c>
      <c r="H12" s="6">
        <v>-15630</v>
      </c>
      <c r="I12" s="6">
        <v>-69805</v>
      </c>
      <c r="J12" s="6">
        <v>-83200</v>
      </c>
      <c r="K12" s="6">
        <v>-114344</v>
      </c>
      <c r="L12" s="6">
        <v>-143345</v>
      </c>
      <c r="M12" s="6">
        <v>-105039</v>
      </c>
      <c r="N12" s="6">
        <v>-987331</v>
      </c>
      <c r="P12" s="306">
        <f t="shared" si="2"/>
        <v>-0.56472580645161286</v>
      </c>
    </row>
    <row r="13" spans="1:16" x14ac:dyDescent="0.35">
      <c r="A13" t="s">
        <v>32</v>
      </c>
      <c r="C13" s="6">
        <v>-7404</v>
      </c>
      <c r="D13" s="6">
        <v>-6800</v>
      </c>
      <c r="E13" s="6">
        <v>-4800</v>
      </c>
      <c r="F13" s="6">
        <v>-2800</v>
      </c>
      <c r="G13" s="6">
        <v>-4077</v>
      </c>
      <c r="H13" s="6">
        <v>-1600</v>
      </c>
      <c r="I13" s="6">
        <v>-8960.5799999999945</v>
      </c>
      <c r="J13" s="6">
        <v>-8000</v>
      </c>
      <c r="K13" s="6">
        <v>-8720</v>
      </c>
      <c r="L13" s="6">
        <v>-7800</v>
      </c>
      <c r="M13" s="6">
        <v>-7443.1600000000035</v>
      </c>
      <c r="N13" s="6">
        <v>-68404.739999999991</v>
      </c>
    </row>
    <row r="14" spans="1:16" x14ac:dyDescent="0.35">
      <c r="C14" s="451"/>
    </row>
    <row r="15" spans="1:16" x14ac:dyDescent="0.35">
      <c r="C15" s="306">
        <f t="shared" ref="C15:L15" si="3">C12/C5</f>
        <v>-0.6928854166666667</v>
      </c>
      <c r="D15" s="306">
        <f t="shared" si="3"/>
        <v>-0.74515882352941176</v>
      </c>
      <c r="E15" s="306">
        <f t="shared" si="3"/>
        <v>-0.62339166666666668</v>
      </c>
      <c r="F15" s="306">
        <f t="shared" si="3"/>
        <v>-0.25887142857142859</v>
      </c>
      <c r="G15" s="306">
        <f t="shared" si="3"/>
        <v>-0.36090196078431375</v>
      </c>
      <c r="H15" s="306">
        <f t="shared" si="3"/>
        <v>-0.39074999999999999</v>
      </c>
      <c r="I15" s="306">
        <f t="shared" si="3"/>
        <v>-0.60176724137931037</v>
      </c>
      <c r="J15" s="306">
        <f t="shared" si="3"/>
        <v>-0.41599999999999998</v>
      </c>
      <c r="K15" s="306">
        <f t="shared" si="3"/>
        <v>-0.52451376146788986</v>
      </c>
      <c r="L15" s="306">
        <f t="shared" si="3"/>
        <v>-0.73510256410256414</v>
      </c>
      <c r="M15" s="306">
        <f>M12/M5</f>
        <v>-0.56472580645161286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20B2-94A5-4DA1-ACA2-FEAF2000BDE6}">
  <dimension ref="A3:C9"/>
  <sheetViews>
    <sheetView showGridLines="0" zoomScale="220" zoomScaleNormal="220" workbookViewId="0">
      <selection activeCell="AE5" sqref="AE5"/>
    </sheetView>
  </sheetViews>
  <sheetFormatPr defaultRowHeight="14.5" x14ac:dyDescent="0.35"/>
  <cols>
    <col min="1" max="1" width="16.25" bestFit="1" customWidth="1"/>
    <col min="2" max="2" width="2.25" customWidth="1"/>
    <col min="3" max="3" width="18.75" bestFit="1" customWidth="1"/>
  </cols>
  <sheetData>
    <row r="3" spans="1:3" x14ac:dyDescent="0.35">
      <c r="A3" t="s">
        <v>50</v>
      </c>
      <c r="C3" s="3">
        <v>735300</v>
      </c>
    </row>
    <row r="4" spans="1:3" x14ac:dyDescent="0.35">
      <c r="A4" t="s">
        <v>51</v>
      </c>
      <c r="C4" s="3">
        <v>25000</v>
      </c>
    </row>
    <row r="5" spans="1:3" x14ac:dyDescent="0.35">
      <c r="A5" t="s">
        <v>53</v>
      </c>
      <c r="C5" s="3">
        <f>C3*C4</f>
        <v>18382500000</v>
      </c>
    </row>
    <row r="6" spans="1:3" x14ac:dyDescent="0.35">
      <c r="A6" t="s">
        <v>52</v>
      </c>
      <c r="C6">
        <v>180</v>
      </c>
    </row>
    <row r="7" spans="1:3" x14ac:dyDescent="0.35">
      <c r="A7" t="s">
        <v>55</v>
      </c>
      <c r="C7" t="s">
        <v>54</v>
      </c>
    </row>
    <row r="8" spans="1:3" x14ac:dyDescent="0.35">
      <c r="A8" t="s">
        <v>56</v>
      </c>
      <c r="B8" t="s">
        <v>57</v>
      </c>
      <c r="C8" s="3">
        <v>120000</v>
      </c>
    </row>
    <row r="9" spans="1:3" x14ac:dyDescent="0.35">
      <c r="C9" s="3">
        <f>C5/C6/C8</f>
        <v>851.04166666666663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B300-F171-4876-9E8A-CCF0D1A68327}">
  <dimension ref="A1:R54"/>
  <sheetViews>
    <sheetView zoomScale="85" zoomScaleNormal="85" workbookViewId="0">
      <selection activeCell="AE5" sqref="AE5"/>
    </sheetView>
  </sheetViews>
  <sheetFormatPr defaultColWidth="8.75" defaultRowHeight="18" outlineLevelRow="1" x14ac:dyDescent="0.35"/>
  <cols>
    <col min="1" max="1" width="4.75" style="45" bestFit="1" customWidth="1"/>
    <col min="2" max="2" width="23.08203125" style="73" customWidth="1"/>
    <col min="3" max="3" width="40.75" style="45" customWidth="1"/>
    <col min="4" max="4" width="8.75" style="74"/>
    <col min="5" max="5" width="23.83203125" style="75" customWidth="1"/>
    <col min="6" max="6" width="32.08203125" style="45" customWidth="1"/>
    <col min="7" max="7" width="16.33203125" style="76" customWidth="1"/>
    <col min="8" max="8" width="17" style="76" customWidth="1"/>
    <col min="9" max="9" width="20.33203125" style="45" bestFit="1" customWidth="1"/>
    <col min="10" max="10" width="18.25" style="45" bestFit="1" customWidth="1"/>
    <col min="11" max="11" width="16.25" style="45" customWidth="1"/>
    <col min="12" max="12" width="11.75" style="45" customWidth="1"/>
    <col min="13" max="13" width="20.25" style="85" bestFit="1" customWidth="1"/>
    <col min="14" max="14" width="8.75" style="45"/>
    <col min="15" max="15" width="24.75" style="45" bestFit="1" customWidth="1"/>
    <col min="16" max="16" width="8.75" style="45"/>
    <col min="17" max="17" width="11.75" style="45" bestFit="1" customWidth="1"/>
    <col min="18" max="16384" width="8.75" style="45"/>
  </cols>
  <sheetData>
    <row r="1" spans="1:18" s="21" customFormat="1" ht="25" outlineLevel="1" x14ac:dyDescent="0.35">
      <c r="B1" s="475" t="s">
        <v>70</v>
      </c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7"/>
    </row>
    <row r="2" spans="1:18" s="21" customFormat="1" ht="22.5" outlineLevel="1" x14ac:dyDescent="0.35">
      <c r="A2" s="478" t="s">
        <v>71</v>
      </c>
      <c r="B2" s="479" t="s">
        <v>72</v>
      </c>
      <c r="C2" s="479" t="s">
        <v>73</v>
      </c>
      <c r="D2" s="480" t="s">
        <v>74</v>
      </c>
      <c r="E2" s="481"/>
      <c r="F2" s="482"/>
      <c r="G2" s="22"/>
      <c r="H2" s="22"/>
      <c r="I2" s="483" t="s">
        <v>75</v>
      </c>
      <c r="J2" s="479" t="s">
        <v>76</v>
      </c>
      <c r="K2" s="479"/>
      <c r="L2" s="479"/>
      <c r="M2" s="479"/>
    </row>
    <row r="3" spans="1:18" s="28" customFormat="1" ht="90" outlineLevel="1" x14ac:dyDescent="0.35">
      <c r="A3" s="478"/>
      <c r="B3" s="479"/>
      <c r="C3" s="479"/>
      <c r="D3" s="22" t="s">
        <v>77</v>
      </c>
      <c r="E3" s="23" t="s">
        <v>78</v>
      </c>
      <c r="F3" s="23" t="s">
        <v>79</v>
      </c>
      <c r="G3" s="24" t="s">
        <v>80</v>
      </c>
      <c r="H3" s="24" t="s">
        <v>81</v>
      </c>
      <c r="I3" s="484"/>
      <c r="J3" s="26" t="s">
        <v>82</v>
      </c>
      <c r="K3" s="26" t="s">
        <v>83</v>
      </c>
      <c r="L3" s="24" t="s">
        <v>84</v>
      </c>
      <c r="M3" s="27" t="s">
        <v>85</v>
      </c>
    </row>
    <row r="4" spans="1:18" s="28" customFormat="1" ht="22.5" outlineLevel="1" x14ac:dyDescent="0.35">
      <c r="A4" s="29"/>
      <c r="B4" s="30"/>
      <c r="C4" s="30"/>
      <c r="D4" s="30"/>
      <c r="E4" s="31"/>
      <c r="F4" s="31"/>
      <c r="G4" s="32"/>
      <c r="H4" s="32"/>
      <c r="I4" s="25"/>
      <c r="J4" s="33"/>
      <c r="K4" s="33"/>
      <c r="L4" s="32"/>
      <c r="M4" s="34"/>
    </row>
    <row r="5" spans="1:18" ht="20.5" outlineLevel="1" x14ac:dyDescent="0.35">
      <c r="A5" s="35">
        <v>1</v>
      </c>
      <c r="B5" s="36" t="s">
        <v>86</v>
      </c>
      <c r="C5" s="37" t="s">
        <v>87</v>
      </c>
      <c r="D5" s="38" t="s">
        <v>88</v>
      </c>
      <c r="E5" s="39">
        <v>11500</v>
      </c>
      <c r="F5" s="39">
        <v>15604</v>
      </c>
      <c r="G5" s="40">
        <f t="shared" ref="G5:G22" si="0">F5-E5</f>
        <v>4104</v>
      </c>
      <c r="H5" s="41">
        <f t="shared" ref="H5:H22" si="1">G5/E5</f>
        <v>0.35686956521739133</v>
      </c>
      <c r="I5" s="42">
        <v>8.4000000000000005E-2</v>
      </c>
      <c r="J5" s="43">
        <v>0.96599999999999997</v>
      </c>
      <c r="K5" s="43">
        <f>F5*I5/10^3</f>
        <v>1.3107360000000001</v>
      </c>
      <c r="L5" s="43">
        <f>K5-J5</f>
        <v>0.34473600000000015</v>
      </c>
      <c r="M5" s="44">
        <f>IFERROR(L5/J5,)</f>
        <v>0.35686956521739149</v>
      </c>
      <c r="N5" s="45" t="s">
        <v>89</v>
      </c>
      <c r="O5" s="46">
        <f>L5*10^6</f>
        <v>344736.00000000017</v>
      </c>
      <c r="Q5" s="47">
        <f t="shared" ref="Q5:Q21" si="2">J5/I5*10^3</f>
        <v>11499.999999999998</v>
      </c>
      <c r="R5" s="48">
        <f>Q5-E5</f>
        <v>0</v>
      </c>
    </row>
    <row r="6" spans="1:18" ht="20.5" outlineLevel="1" x14ac:dyDescent="0.35">
      <c r="A6" s="49">
        <v>2</v>
      </c>
      <c r="B6" s="50" t="s">
        <v>90</v>
      </c>
      <c r="C6" s="51" t="s">
        <v>91</v>
      </c>
      <c r="D6" s="38" t="s">
        <v>88</v>
      </c>
      <c r="E6" s="52">
        <v>14819.836653879471</v>
      </c>
      <c r="F6" s="39">
        <v>15604</v>
      </c>
      <c r="G6" s="53">
        <f>F6-E6</f>
        <v>784.16334612052924</v>
      </c>
      <c r="H6" s="54">
        <f t="shared" si="1"/>
        <v>5.2913089694227804E-2</v>
      </c>
      <c r="I6" s="55">
        <v>40.405000000000001</v>
      </c>
      <c r="J6" s="56">
        <v>598.79549999999995</v>
      </c>
      <c r="K6" s="43">
        <f>F6*I6/10^3</f>
        <v>630.47961999999995</v>
      </c>
      <c r="L6" s="43">
        <f t="shared" ref="L6:L28" si="3">K6-J6</f>
        <v>31.684120000000007</v>
      </c>
      <c r="M6" s="44">
        <f t="shared" ref="M6:M28" si="4">IFERROR(L6/J6,)</f>
        <v>5.2913089694227845E-2</v>
      </c>
      <c r="N6" s="45" t="s">
        <v>89</v>
      </c>
      <c r="O6" s="46">
        <f t="shared" ref="O6:O12" si="5">L6*10^6</f>
        <v>31684120.000000007</v>
      </c>
      <c r="Q6" s="47">
        <f t="shared" si="2"/>
        <v>14819.836653879469</v>
      </c>
      <c r="R6" s="48">
        <f t="shared" ref="R6:R28" si="6">Q6-E6</f>
        <v>0</v>
      </c>
    </row>
    <row r="7" spans="1:18" ht="20.5" outlineLevel="1" x14ac:dyDescent="0.35">
      <c r="A7" s="35">
        <v>3</v>
      </c>
      <c r="B7" s="50" t="s">
        <v>92</v>
      </c>
      <c r="C7" s="51" t="s">
        <v>93</v>
      </c>
      <c r="D7" s="38" t="s">
        <v>88</v>
      </c>
      <c r="E7" s="52">
        <v>9000</v>
      </c>
      <c r="F7" s="39">
        <v>15604</v>
      </c>
      <c r="G7" s="53">
        <f t="shared" si="0"/>
        <v>6604</v>
      </c>
      <c r="H7" s="54">
        <f t="shared" si="1"/>
        <v>0.73377777777777775</v>
      </c>
      <c r="I7" s="55">
        <v>1.867</v>
      </c>
      <c r="J7" s="56">
        <v>16.803000000000001</v>
      </c>
      <c r="K7" s="43">
        <f>F7*I7/10^3</f>
        <v>29.132668000000002</v>
      </c>
      <c r="L7" s="43">
        <f t="shared" si="3"/>
        <v>12.329668000000002</v>
      </c>
      <c r="M7" s="44">
        <f t="shared" si="4"/>
        <v>0.73377777777777786</v>
      </c>
      <c r="N7" s="45" t="s">
        <v>89</v>
      </c>
      <c r="O7" s="46">
        <f t="shared" si="5"/>
        <v>12329668.000000002</v>
      </c>
      <c r="Q7" s="47">
        <f t="shared" si="2"/>
        <v>9000</v>
      </c>
      <c r="R7" s="48">
        <f t="shared" si="6"/>
        <v>0</v>
      </c>
    </row>
    <row r="8" spans="1:18" ht="20.5" outlineLevel="1" x14ac:dyDescent="0.35">
      <c r="A8" s="49">
        <v>4</v>
      </c>
      <c r="B8" s="50" t="s">
        <v>94</v>
      </c>
      <c r="C8" s="51" t="s">
        <v>95</v>
      </c>
      <c r="D8" s="38" t="s">
        <v>88</v>
      </c>
      <c r="E8" s="52">
        <v>9281.5495493774397</v>
      </c>
      <c r="F8" s="39">
        <v>15604</v>
      </c>
      <c r="G8" s="53"/>
      <c r="H8" s="54"/>
      <c r="I8" s="86">
        <v>418.75400000000002</v>
      </c>
      <c r="J8" s="86">
        <v>3886.6860000000001</v>
      </c>
      <c r="K8" s="87">
        <f>F8*I8/10^3</f>
        <v>6534.2374159999999</v>
      </c>
      <c r="L8" s="87">
        <f t="shared" si="3"/>
        <v>2647.5514159999998</v>
      </c>
      <c r="M8" s="44">
        <f t="shared" si="4"/>
        <v>0.68118479753702765</v>
      </c>
      <c r="N8" s="45" t="s">
        <v>89</v>
      </c>
      <c r="O8" s="46">
        <f t="shared" si="5"/>
        <v>2647551416</v>
      </c>
      <c r="Q8" s="47">
        <f t="shared" si="2"/>
        <v>9281.5495493774397</v>
      </c>
      <c r="R8" s="48">
        <f t="shared" si="6"/>
        <v>0</v>
      </c>
    </row>
    <row r="9" spans="1:18" ht="20.5" outlineLevel="1" x14ac:dyDescent="0.35">
      <c r="A9" s="35">
        <v>5</v>
      </c>
      <c r="B9" s="50" t="s">
        <v>96</v>
      </c>
      <c r="C9" s="51" t="s">
        <v>97</v>
      </c>
      <c r="D9" s="38" t="s">
        <v>88</v>
      </c>
      <c r="E9" s="52">
        <v>10500</v>
      </c>
      <c r="F9" s="39">
        <v>15604</v>
      </c>
      <c r="G9" s="53"/>
      <c r="H9" s="54"/>
      <c r="I9" s="86">
        <v>1.034</v>
      </c>
      <c r="J9" s="86">
        <v>10.856999999999999</v>
      </c>
      <c r="K9" s="87">
        <f>F9*I9/10^3</f>
        <v>16.134536000000001</v>
      </c>
      <c r="L9" s="87">
        <f>K9-J9</f>
        <v>5.2775360000000013</v>
      </c>
      <c r="M9" s="44">
        <f t="shared" si="4"/>
        <v>0.48609523809523825</v>
      </c>
      <c r="N9" s="45" t="s">
        <v>89</v>
      </c>
      <c r="O9" s="46">
        <f t="shared" si="5"/>
        <v>5277536.0000000009</v>
      </c>
      <c r="Q9" s="47">
        <f t="shared" si="2"/>
        <v>10499.999999999998</v>
      </c>
      <c r="R9" s="48">
        <f t="shared" si="6"/>
        <v>0</v>
      </c>
    </row>
    <row r="10" spans="1:18" ht="20.5" outlineLevel="1" x14ac:dyDescent="0.35">
      <c r="A10" s="49">
        <v>6</v>
      </c>
      <c r="B10" s="50" t="s">
        <v>98</v>
      </c>
      <c r="C10" s="51" t="s">
        <v>99</v>
      </c>
      <c r="D10" s="38" t="s">
        <v>88</v>
      </c>
      <c r="E10" s="52">
        <v>10500</v>
      </c>
      <c r="F10" s="39">
        <v>15604</v>
      </c>
      <c r="G10" s="53"/>
      <c r="H10" s="54"/>
      <c r="I10" s="86">
        <v>2.8610000000000002</v>
      </c>
      <c r="J10" s="86">
        <v>30.040500000000002</v>
      </c>
      <c r="K10" s="87">
        <f t="shared" ref="K10:K28" si="7">F10*I10/10^3</f>
        <v>44.643044000000003</v>
      </c>
      <c r="L10" s="87">
        <f t="shared" si="3"/>
        <v>14.602544000000002</v>
      </c>
      <c r="M10" s="44">
        <f t="shared" si="4"/>
        <v>0.48609523809523814</v>
      </c>
      <c r="N10" s="45" t="s">
        <v>89</v>
      </c>
      <c r="O10" s="46">
        <f t="shared" si="5"/>
        <v>14602544.000000002</v>
      </c>
      <c r="Q10" s="47">
        <f t="shared" si="2"/>
        <v>10500</v>
      </c>
      <c r="R10" s="48">
        <f t="shared" si="6"/>
        <v>0</v>
      </c>
    </row>
    <row r="11" spans="1:18" ht="20.5" outlineLevel="1" x14ac:dyDescent="0.35">
      <c r="A11" s="35">
        <v>7</v>
      </c>
      <c r="B11" s="50" t="s">
        <v>36</v>
      </c>
      <c r="C11" s="51" t="s">
        <v>100</v>
      </c>
      <c r="D11" s="38" t="s">
        <v>88</v>
      </c>
      <c r="E11" s="52">
        <v>8000</v>
      </c>
      <c r="F11" s="39">
        <v>19736</v>
      </c>
      <c r="G11" s="53"/>
      <c r="H11" s="54"/>
      <c r="I11" s="86">
        <v>475.08600000000001</v>
      </c>
      <c r="J11" s="86">
        <v>3800.6880000000001</v>
      </c>
      <c r="K11" s="87">
        <f>F11*I11/10^3</f>
        <v>9376.2972960000006</v>
      </c>
      <c r="L11" s="87">
        <f t="shared" si="3"/>
        <v>5575.6092960000005</v>
      </c>
      <c r="M11" s="44">
        <f t="shared" si="4"/>
        <v>1.4670000000000001</v>
      </c>
      <c r="N11" s="45" t="s">
        <v>89</v>
      </c>
      <c r="O11" s="46">
        <f t="shared" si="5"/>
        <v>5575609296.000001</v>
      </c>
      <c r="Q11" s="47">
        <f t="shared" si="2"/>
        <v>8000</v>
      </c>
      <c r="R11" s="48">
        <f t="shared" si="6"/>
        <v>0</v>
      </c>
    </row>
    <row r="12" spans="1:18" ht="20.5" outlineLevel="1" x14ac:dyDescent="0.35">
      <c r="A12" s="49">
        <v>8</v>
      </c>
      <c r="B12" s="50" t="s">
        <v>17</v>
      </c>
      <c r="C12" s="51" t="s">
        <v>101</v>
      </c>
      <c r="D12" s="38" t="s">
        <v>88</v>
      </c>
      <c r="E12" s="52">
        <v>8000</v>
      </c>
      <c r="F12" s="39">
        <v>19192</v>
      </c>
      <c r="G12" s="53"/>
      <c r="H12" s="54"/>
      <c r="I12" s="86">
        <v>605.16899999999998</v>
      </c>
      <c r="J12" s="86">
        <v>4841.3519999999999</v>
      </c>
      <c r="K12" s="87">
        <f t="shared" si="7"/>
        <v>11614.403447999999</v>
      </c>
      <c r="L12" s="88">
        <f t="shared" si="3"/>
        <v>6773.0514479999993</v>
      </c>
      <c r="M12" s="44">
        <f t="shared" si="4"/>
        <v>1.3989999999999998</v>
      </c>
      <c r="N12" s="45" t="s">
        <v>89</v>
      </c>
      <c r="O12" s="46">
        <f t="shared" si="5"/>
        <v>6773051447.999999</v>
      </c>
      <c r="Q12" s="47">
        <f t="shared" si="2"/>
        <v>8000</v>
      </c>
      <c r="R12" s="48">
        <f t="shared" si="6"/>
        <v>0</v>
      </c>
    </row>
    <row r="13" spans="1:18" ht="20.5" outlineLevel="1" x14ac:dyDescent="0.35">
      <c r="A13" s="35">
        <v>9</v>
      </c>
      <c r="B13" s="50" t="s">
        <v>102</v>
      </c>
      <c r="C13" s="51" t="s">
        <v>103</v>
      </c>
      <c r="D13" s="38" t="s">
        <v>88</v>
      </c>
      <c r="E13" s="52">
        <v>11000</v>
      </c>
      <c r="F13" s="39">
        <v>23389</v>
      </c>
      <c r="G13" s="53"/>
      <c r="H13" s="54"/>
      <c r="I13" s="86">
        <v>28.876999999999999</v>
      </c>
      <c r="J13" s="86">
        <v>317.64699999999999</v>
      </c>
      <c r="K13" s="87">
        <f t="shared" si="7"/>
        <v>675.40415299999995</v>
      </c>
      <c r="L13" s="87">
        <f t="shared" si="3"/>
        <v>357.75715299999996</v>
      </c>
      <c r="M13" s="44">
        <f t="shared" si="4"/>
        <v>1.1262727272727271</v>
      </c>
      <c r="N13" s="45" t="s">
        <v>104</v>
      </c>
      <c r="Q13" s="47">
        <f t="shared" si="2"/>
        <v>11000</v>
      </c>
      <c r="R13" s="48">
        <f t="shared" si="6"/>
        <v>0</v>
      </c>
    </row>
    <row r="14" spans="1:18" ht="20.5" outlineLevel="1" x14ac:dyDescent="0.35">
      <c r="A14" s="49">
        <v>10</v>
      </c>
      <c r="B14" s="50" t="s">
        <v>105</v>
      </c>
      <c r="C14" s="51" t="s">
        <v>106</v>
      </c>
      <c r="D14" s="38" t="s">
        <v>88</v>
      </c>
      <c r="E14" s="52">
        <v>10000</v>
      </c>
      <c r="F14" s="39">
        <v>23389</v>
      </c>
      <c r="G14" s="53">
        <f t="shared" si="0"/>
        <v>13389</v>
      </c>
      <c r="H14" s="54">
        <f t="shared" si="1"/>
        <v>1.3389</v>
      </c>
      <c r="I14" s="86">
        <v>102.233</v>
      </c>
      <c r="J14" s="86">
        <v>1022.33</v>
      </c>
      <c r="K14" s="87">
        <f t="shared" si="7"/>
        <v>2391.127637</v>
      </c>
      <c r="L14" s="87">
        <f t="shared" si="3"/>
        <v>1368.7976370000001</v>
      </c>
      <c r="M14" s="44">
        <f t="shared" si="4"/>
        <v>1.3389</v>
      </c>
      <c r="N14" s="45" t="s">
        <v>104</v>
      </c>
      <c r="Q14" s="47">
        <f t="shared" si="2"/>
        <v>10000</v>
      </c>
      <c r="R14" s="48">
        <f t="shared" si="6"/>
        <v>0</v>
      </c>
    </row>
    <row r="15" spans="1:18" ht="20.5" outlineLevel="1" x14ac:dyDescent="0.35">
      <c r="A15" s="35">
        <v>11</v>
      </c>
      <c r="B15" s="50" t="s">
        <v>107</v>
      </c>
      <c r="C15" s="51" t="s">
        <v>108</v>
      </c>
      <c r="D15" s="38" t="s">
        <v>88</v>
      </c>
      <c r="E15" s="52">
        <v>9000</v>
      </c>
      <c r="F15" s="39">
        <v>23389</v>
      </c>
      <c r="G15" s="53">
        <f t="shared" si="0"/>
        <v>14389</v>
      </c>
      <c r="H15" s="54">
        <f t="shared" si="1"/>
        <v>1.5987777777777779</v>
      </c>
      <c r="I15" s="86">
        <v>26.196999999999999</v>
      </c>
      <c r="J15" s="86">
        <v>235.773</v>
      </c>
      <c r="K15" s="87">
        <f t="shared" si="7"/>
        <v>612.721633</v>
      </c>
      <c r="L15" s="87">
        <f>K15-J15</f>
        <v>376.94863299999997</v>
      </c>
      <c r="M15" s="44">
        <f t="shared" si="4"/>
        <v>1.5987777777777776</v>
      </c>
      <c r="N15" s="45" t="s">
        <v>104</v>
      </c>
      <c r="Q15" s="47">
        <f t="shared" si="2"/>
        <v>9000</v>
      </c>
      <c r="R15" s="48">
        <f t="shared" si="6"/>
        <v>0</v>
      </c>
    </row>
    <row r="16" spans="1:18" ht="20.5" outlineLevel="1" x14ac:dyDescent="0.35">
      <c r="A16" s="49">
        <v>12</v>
      </c>
      <c r="B16" s="50" t="s">
        <v>109</v>
      </c>
      <c r="C16" s="51" t="s">
        <v>110</v>
      </c>
      <c r="D16" s="38" t="s">
        <v>88</v>
      </c>
      <c r="E16" s="52">
        <v>1000</v>
      </c>
      <c r="F16" s="39">
        <v>10500</v>
      </c>
      <c r="G16" s="53">
        <f t="shared" si="0"/>
        <v>9500</v>
      </c>
      <c r="H16" s="54">
        <f t="shared" si="1"/>
        <v>9.5</v>
      </c>
      <c r="I16" s="86">
        <v>1.5349999999999999</v>
      </c>
      <c r="J16" s="86">
        <v>1.5349999999999999</v>
      </c>
      <c r="K16" s="87">
        <f t="shared" si="7"/>
        <v>16.1175</v>
      </c>
      <c r="L16" s="87">
        <f t="shared" si="3"/>
        <v>14.5825</v>
      </c>
      <c r="M16" s="44">
        <f t="shared" si="4"/>
        <v>9.5</v>
      </c>
      <c r="N16" s="45" t="s">
        <v>104</v>
      </c>
      <c r="Q16" s="47">
        <f t="shared" si="2"/>
        <v>1000</v>
      </c>
      <c r="R16" s="48">
        <f t="shared" si="6"/>
        <v>0</v>
      </c>
    </row>
    <row r="17" spans="1:18" ht="20.5" outlineLevel="1" x14ac:dyDescent="0.35">
      <c r="A17" s="35">
        <v>13</v>
      </c>
      <c r="B17" s="50" t="s">
        <v>111</v>
      </c>
      <c r="C17" s="51" t="s">
        <v>112</v>
      </c>
      <c r="D17" s="38" t="s">
        <v>88</v>
      </c>
      <c r="E17" s="52">
        <v>1000</v>
      </c>
      <c r="F17" s="39">
        <v>10500</v>
      </c>
      <c r="G17" s="53">
        <f t="shared" si="0"/>
        <v>9500</v>
      </c>
      <c r="H17" s="54">
        <f t="shared" si="1"/>
        <v>9.5</v>
      </c>
      <c r="I17" s="55">
        <v>49.252000000000002</v>
      </c>
      <c r="J17" s="56">
        <v>49.252000000000002</v>
      </c>
      <c r="K17" s="43">
        <f t="shared" si="7"/>
        <v>517.14599999999996</v>
      </c>
      <c r="L17" s="43">
        <f t="shared" si="3"/>
        <v>467.89399999999995</v>
      </c>
      <c r="M17" s="44">
        <f t="shared" si="4"/>
        <v>9.4999999999999982</v>
      </c>
      <c r="N17" s="45" t="s">
        <v>89</v>
      </c>
      <c r="O17" s="46">
        <f>L17*10^6</f>
        <v>467893999.99999994</v>
      </c>
      <c r="Q17" s="47">
        <f t="shared" si="2"/>
        <v>1000</v>
      </c>
      <c r="R17" s="48">
        <f t="shared" si="6"/>
        <v>0</v>
      </c>
    </row>
    <row r="18" spans="1:18" ht="20.5" outlineLevel="1" x14ac:dyDescent="0.35">
      <c r="A18" s="49">
        <v>14</v>
      </c>
      <c r="B18" s="50" t="s">
        <v>113</v>
      </c>
      <c r="C18" s="51" t="s">
        <v>114</v>
      </c>
      <c r="D18" s="38" t="s">
        <v>88</v>
      </c>
      <c r="E18" s="52">
        <v>7350</v>
      </c>
      <c r="F18" s="39">
        <v>17014</v>
      </c>
      <c r="G18" s="53">
        <f t="shared" si="0"/>
        <v>9664</v>
      </c>
      <c r="H18" s="54">
        <f t="shared" si="1"/>
        <v>1.3148299319727892</v>
      </c>
      <c r="I18" s="55">
        <v>84.527000000000001</v>
      </c>
      <c r="J18" s="56">
        <v>621.27345000000003</v>
      </c>
      <c r="K18" s="43">
        <f t="shared" si="7"/>
        <v>1438.142378</v>
      </c>
      <c r="L18" s="43">
        <f t="shared" si="3"/>
        <v>816.86892799999998</v>
      </c>
      <c r="M18" s="44">
        <f t="shared" si="4"/>
        <v>1.314829931972789</v>
      </c>
      <c r="N18" s="45" t="s">
        <v>104</v>
      </c>
      <c r="Q18" s="47">
        <f t="shared" si="2"/>
        <v>7350.0000000000009</v>
      </c>
      <c r="R18" s="48">
        <f t="shared" si="6"/>
        <v>0</v>
      </c>
    </row>
    <row r="19" spans="1:18" ht="20.5" outlineLevel="1" x14ac:dyDescent="0.35">
      <c r="A19" s="35">
        <v>15</v>
      </c>
      <c r="B19" s="50" t="s">
        <v>115</v>
      </c>
      <c r="C19" s="51" t="s">
        <v>116</v>
      </c>
      <c r="D19" s="38" t="s">
        <v>88</v>
      </c>
      <c r="E19" s="52">
        <v>3150</v>
      </c>
      <c r="F19" s="39">
        <v>10500</v>
      </c>
      <c r="G19" s="53">
        <f t="shared" si="0"/>
        <v>7350</v>
      </c>
      <c r="H19" s="54">
        <f t="shared" si="1"/>
        <v>2.3333333333333335</v>
      </c>
      <c r="I19" s="55">
        <v>80.950500000000005</v>
      </c>
      <c r="J19" s="56">
        <v>254.99407500000001</v>
      </c>
      <c r="K19" s="43">
        <f t="shared" si="7"/>
        <v>849.98024999999996</v>
      </c>
      <c r="L19" s="43">
        <f t="shared" si="3"/>
        <v>594.986175</v>
      </c>
      <c r="M19" s="44">
        <f t="shared" si="4"/>
        <v>2.333333333333333</v>
      </c>
      <c r="N19" s="45" t="s">
        <v>89</v>
      </c>
      <c r="O19" s="46">
        <f>L19*10^6</f>
        <v>594986175</v>
      </c>
      <c r="Q19" s="47">
        <f t="shared" si="2"/>
        <v>3150</v>
      </c>
      <c r="R19" s="48">
        <f t="shared" si="6"/>
        <v>0</v>
      </c>
    </row>
    <row r="20" spans="1:18" ht="20.5" outlineLevel="1" x14ac:dyDescent="0.35">
      <c r="A20" s="49">
        <v>16</v>
      </c>
      <c r="B20" s="50" t="s">
        <v>117</v>
      </c>
      <c r="C20" s="51" t="s">
        <v>118</v>
      </c>
      <c r="D20" s="38" t="s">
        <v>88</v>
      </c>
      <c r="E20" s="52">
        <v>6914.8122351848624</v>
      </c>
      <c r="F20" s="39">
        <v>13014</v>
      </c>
      <c r="G20" s="53">
        <f t="shared" si="0"/>
        <v>6099.1877648151376</v>
      </c>
      <c r="H20" s="54">
        <f t="shared" si="1"/>
        <v>0.88204676531640924</v>
      </c>
      <c r="I20" s="55">
        <v>17.228999999999999</v>
      </c>
      <c r="J20" s="56">
        <v>119.1353</v>
      </c>
      <c r="K20" s="43">
        <f t="shared" si="7"/>
        <v>224.21820599999998</v>
      </c>
      <c r="L20" s="43">
        <f t="shared" si="3"/>
        <v>105.08290599999998</v>
      </c>
      <c r="M20" s="44">
        <f t="shared" si="4"/>
        <v>0.88204676531640902</v>
      </c>
      <c r="N20" s="45" t="s">
        <v>104</v>
      </c>
      <c r="Q20" s="47">
        <f t="shared" si="2"/>
        <v>6914.8122351848633</v>
      </c>
      <c r="R20" s="48">
        <f t="shared" si="6"/>
        <v>0</v>
      </c>
    </row>
    <row r="21" spans="1:18" ht="20.5" outlineLevel="1" x14ac:dyDescent="0.35">
      <c r="A21" s="35">
        <v>17</v>
      </c>
      <c r="B21" s="50" t="s">
        <v>119</v>
      </c>
      <c r="C21" s="51" t="s">
        <v>120</v>
      </c>
      <c r="D21" s="38" t="s">
        <v>88</v>
      </c>
      <c r="E21" s="52">
        <v>6955.9134643533243</v>
      </c>
      <c r="F21" s="39">
        <v>17014</v>
      </c>
      <c r="G21" s="53">
        <f t="shared" si="0"/>
        <v>10058.086535646675</v>
      </c>
      <c r="H21" s="54">
        <f t="shared" si="1"/>
        <v>1.445976374949304</v>
      </c>
      <c r="I21" s="55">
        <v>51.238999999999997</v>
      </c>
      <c r="J21" s="56">
        <v>356.41404999999997</v>
      </c>
      <c r="K21" s="43">
        <f t="shared" si="7"/>
        <v>871.78034599999989</v>
      </c>
      <c r="L21" s="43">
        <f t="shared" si="3"/>
        <v>515.36629599999992</v>
      </c>
      <c r="M21" s="44">
        <f t="shared" si="4"/>
        <v>1.445976374949304</v>
      </c>
      <c r="N21" s="45" t="s">
        <v>104</v>
      </c>
      <c r="Q21" s="47">
        <f t="shared" si="2"/>
        <v>6955.9134643533243</v>
      </c>
      <c r="R21" s="48">
        <f t="shared" si="6"/>
        <v>0</v>
      </c>
    </row>
    <row r="22" spans="1:18" ht="20.5" outlineLevel="1" x14ac:dyDescent="0.35">
      <c r="A22" s="49">
        <v>18</v>
      </c>
      <c r="B22" s="50" t="s">
        <v>121</v>
      </c>
      <c r="C22" s="51" t="s">
        <v>122</v>
      </c>
      <c r="D22" s="38" t="s">
        <v>88</v>
      </c>
      <c r="E22" s="52">
        <v>7350</v>
      </c>
      <c r="F22" s="39">
        <v>12014</v>
      </c>
      <c r="G22" s="53">
        <f t="shared" si="0"/>
        <v>4664</v>
      </c>
      <c r="H22" s="54">
        <f t="shared" si="1"/>
        <v>0.63455782312925169</v>
      </c>
      <c r="I22" s="55">
        <v>3.84</v>
      </c>
      <c r="J22" s="56">
        <v>28.224</v>
      </c>
      <c r="K22" s="43">
        <f t="shared" si="7"/>
        <v>46.133759999999995</v>
      </c>
      <c r="L22" s="43">
        <f t="shared" si="3"/>
        <v>17.909759999999995</v>
      </c>
      <c r="M22" s="44">
        <f t="shared" si="4"/>
        <v>0.63455782312925157</v>
      </c>
      <c r="N22" s="45" t="s">
        <v>104</v>
      </c>
      <c r="Q22" s="47">
        <f>J22/I22*10^3</f>
        <v>7350.0000000000009</v>
      </c>
      <c r="R22" s="48">
        <f t="shared" si="6"/>
        <v>0</v>
      </c>
    </row>
    <row r="23" spans="1:18" ht="20.5" outlineLevel="1" x14ac:dyDescent="0.35">
      <c r="A23" s="35">
        <v>19</v>
      </c>
      <c r="B23" s="57" t="s">
        <v>123</v>
      </c>
      <c r="C23" s="51" t="s">
        <v>124</v>
      </c>
      <c r="D23" s="38" t="s">
        <v>88</v>
      </c>
      <c r="E23" s="52">
        <v>6500</v>
      </c>
      <c r="F23" s="39">
        <v>23389</v>
      </c>
      <c r="G23" s="53"/>
      <c r="H23" s="54"/>
      <c r="I23" s="55">
        <v>6.1360000000000001</v>
      </c>
      <c r="J23" s="56">
        <v>39.884</v>
      </c>
      <c r="K23" s="43">
        <f t="shared" si="7"/>
        <v>143.514904</v>
      </c>
      <c r="L23" s="43">
        <f t="shared" si="3"/>
        <v>103.630904</v>
      </c>
      <c r="M23" s="44">
        <f t="shared" si="4"/>
        <v>2.5983076923076922</v>
      </c>
      <c r="N23" s="45" t="s">
        <v>104</v>
      </c>
      <c r="Q23" s="47">
        <f t="shared" ref="Q23:Q28" si="8">J23/I23*10^3</f>
        <v>6500</v>
      </c>
      <c r="R23" s="48">
        <f t="shared" si="6"/>
        <v>0</v>
      </c>
    </row>
    <row r="24" spans="1:18" ht="20.5" outlineLevel="1" x14ac:dyDescent="0.35">
      <c r="A24" s="49">
        <v>20</v>
      </c>
      <c r="B24" s="57" t="s">
        <v>125</v>
      </c>
      <c r="C24" s="51" t="s">
        <v>126</v>
      </c>
      <c r="D24" s="38" t="s">
        <v>88</v>
      </c>
      <c r="E24" s="52">
        <v>1000</v>
      </c>
      <c r="F24" s="39">
        <v>21500</v>
      </c>
      <c r="G24" s="53"/>
      <c r="H24" s="54"/>
      <c r="I24" s="55">
        <v>4.0510000000000002</v>
      </c>
      <c r="J24" s="56">
        <v>4.0510000000000002</v>
      </c>
      <c r="K24" s="43">
        <f t="shared" si="7"/>
        <v>87.096500000000006</v>
      </c>
      <c r="L24" s="43">
        <f t="shared" si="3"/>
        <v>83.045500000000004</v>
      </c>
      <c r="M24" s="44">
        <f t="shared" si="4"/>
        <v>20.5</v>
      </c>
      <c r="N24" s="45" t="s">
        <v>104</v>
      </c>
      <c r="Q24" s="47">
        <f t="shared" si="8"/>
        <v>1000</v>
      </c>
      <c r="R24" s="48">
        <f t="shared" si="6"/>
        <v>0</v>
      </c>
    </row>
    <row r="25" spans="1:18" ht="20.5" outlineLevel="1" x14ac:dyDescent="0.35">
      <c r="A25" s="35">
        <v>21</v>
      </c>
      <c r="B25" s="57" t="s">
        <v>127</v>
      </c>
      <c r="C25" s="51" t="s">
        <v>128</v>
      </c>
      <c r="D25" s="38" t="s">
        <v>88</v>
      </c>
      <c r="E25" s="52">
        <v>8000</v>
      </c>
      <c r="F25" s="39">
        <v>16000</v>
      </c>
      <c r="G25" s="53"/>
      <c r="H25" s="54"/>
      <c r="I25" s="55">
        <v>1.3260000000000001</v>
      </c>
      <c r="J25" s="56">
        <v>10.608000000000001</v>
      </c>
      <c r="K25" s="43">
        <f t="shared" si="7"/>
        <v>21.216000000000001</v>
      </c>
      <c r="L25" s="43">
        <f t="shared" si="3"/>
        <v>10.608000000000001</v>
      </c>
      <c r="M25" s="44">
        <f t="shared" si="4"/>
        <v>1</v>
      </c>
      <c r="N25" s="45" t="s">
        <v>104</v>
      </c>
      <c r="Q25" s="47">
        <f t="shared" si="8"/>
        <v>8000</v>
      </c>
      <c r="R25" s="48">
        <f t="shared" si="6"/>
        <v>0</v>
      </c>
    </row>
    <row r="26" spans="1:18" ht="20.5" outlineLevel="1" x14ac:dyDescent="0.35">
      <c r="A26" s="49">
        <v>22</v>
      </c>
      <c r="B26" s="57" t="s">
        <v>129</v>
      </c>
      <c r="C26" s="51" t="s">
        <v>130</v>
      </c>
      <c r="D26" s="38" t="s">
        <v>88</v>
      </c>
      <c r="E26" s="52">
        <v>6500</v>
      </c>
      <c r="F26" s="39">
        <v>23389</v>
      </c>
      <c r="G26" s="53"/>
      <c r="H26" s="54"/>
      <c r="I26" s="55">
        <v>0.622</v>
      </c>
      <c r="J26" s="56">
        <v>4.0430000000000001</v>
      </c>
      <c r="K26" s="43">
        <f t="shared" si="7"/>
        <v>14.547958000000001</v>
      </c>
      <c r="L26" s="43">
        <f>K26-J26</f>
        <v>10.504958000000002</v>
      </c>
      <c r="M26" s="44">
        <f t="shared" si="4"/>
        <v>2.5983076923076927</v>
      </c>
      <c r="N26" s="45" t="s">
        <v>104</v>
      </c>
      <c r="Q26" s="47">
        <f t="shared" si="8"/>
        <v>6500</v>
      </c>
      <c r="R26" s="48">
        <f t="shared" si="6"/>
        <v>0</v>
      </c>
    </row>
    <row r="27" spans="1:18" ht="20.5" outlineLevel="1" x14ac:dyDescent="0.35">
      <c r="A27" s="35">
        <v>23</v>
      </c>
      <c r="B27" s="57" t="s">
        <v>131</v>
      </c>
      <c r="C27" s="51" t="s">
        <v>132</v>
      </c>
      <c r="D27" s="38" t="s">
        <v>88</v>
      </c>
      <c r="E27" s="52">
        <v>1</v>
      </c>
      <c r="F27" s="39">
        <v>22050</v>
      </c>
      <c r="G27" s="53"/>
      <c r="H27" s="54"/>
      <c r="I27" s="55">
        <v>20.795999999999999</v>
      </c>
      <c r="J27" s="56">
        <v>2.0795999999999999E-2</v>
      </c>
      <c r="K27" s="43">
        <f>F27*I27/10^3</f>
        <v>458.55180000000001</v>
      </c>
      <c r="L27" s="43">
        <f t="shared" si="3"/>
        <v>458.531004</v>
      </c>
      <c r="M27" s="44">
        <f t="shared" si="4"/>
        <v>22049</v>
      </c>
      <c r="N27" s="45" t="s">
        <v>89</v>
      </c>
      <c r="O27" s="46">
        <f>L27*10^6</f>
        <v>458531004</v>
      </c>
      <c r="Q27" s="47">
        <f t="shared" si="8"/>
        <v>1</v>
      </c>
      <c r="R27" s="48">
        <f t="shared" si="6"/>
        <v>0</v>
      </c>
    </row>
    <row r="28" spans="1:18" ht="20.5" outlineLevel="1" x14ac:dyDescent="0.35">
      <c r="A28" s="49">
        <v>24</v>
      </c>
      <c r="B28" s="57" t="s">
        <v>133</v>
      </c>
      <c r="C28" s="51" t="s">
        <v>134</v>
      </c>
      <c r="D28" s="38" t="s">
        <v>88</v>
      </c>
      <c r="E28" s="52">
        <v>2000</v>
      </c>
      <c r="F28" s="39">
        <v>10500</v>
      </c>
      <c r="G28" s="53"/>
      <c r="H28" s="54"/>
      <c r="I28" s="55">
        <v>1.34</v>
      </c>
      <c r="J28" s="56">
        <v>2.68</v>
      </c>
      <c r="K28" s="43">
        <f t="shared" si="7"/>
        <v>14.07</v>
      </c>
      <c r="L28" s="43">
        <f t="shared" si="3"/>
        <v>11.39</v>
      </c>
      <c r="M28" s="44">
        <f t="shared" si="4"/>
        <v>4.25</v>
      </c>
      <c r="N28" s="45" t="s">
        <v>104</v>
      </c>
      <c r="Q28" s="47">
        <f t="shared" si="8"/>
        <v>2000</v>
      </c>
      <c r="R28" s="48">
        <f t="shared" si="6"/>
        <v>0</v>
      </c>
    </row>
    <row r="29" spans="1:18" ht="20.5" outlineLevel="1" x14ac:dyDescent="0.35">
      <c r="A29" s="35">
        <v>25</v>
      </c>
      <c r="B29" s="57" t="s">
        <v>135</v>
      </c>
      <c r="C29" s="51" t="s">
        <v>114</v>
      </c>
      <c r="D29" s="38" t="s">
        <v>88</v>
      </c>
      <c r="E29" s="52"/>
      <c r="F29" s="39"/>
      <c r="G29" s="53"/>
      <c r="H29" s="54"/>
      <c r="I29" s="55"/>
      <c r="J29" s="56"/>
      <c r="K29" s="43"/>
      <c r="L29" s="43"/>
      <c r="M29" s="58"/>
    </row>
    <row r="30" spans="1:18" ht="20.5" outlineLevel="1" x14ac:dyDescent="0.35">
      <c r="A30" s="49">
        <v>26</v>
      </c>
      <c r="B30" s="57" t="s">
        <v>136</v>
      </c>
      <c r="C30" s="51" t="s">
        <v>112</v>
      </c>
      <c r="D30" s="38" t="s">
        <v>88</v>
      </c>
      <c r="E30" s="52"/>
      <c r="F30" s="39"/>
      <c r="G30" s="53"/>
      <c r="H30" s="54"/>
      <c r="I30" s="55"/>
      <c r="J30" s="56"/>
      <c r="K30" s="43"/>
      <c r="L30" s="43"/>
      <c r="M30" s="58"/>
    </row>
    <row r="31" spans="1:18" ht="20.5" outlineLevel="1" x14ac:dyDescent="0.35">
      <c r="A31" s="35">
        <v>27</v>
      </c>
      <c r="B31" s="57" t="s">
        <v>137</v>
      </c>
      <c r="C31" s="51" t="s">
        <v>138</v>
      </c>
      <c r="D31" s="38" t="s">
        <v>88</v>
      </c>
      <c r="E31" s="52"/>
      <c r="F31" s="39"/>
      <c r="G31" s="53"/>
      <c r="H31" s="54"/>
      <c r="I31" s="55"/>
      <c r="J31" s="56"/>
      <c r="K31" s="43"/>
      <c r="L31" s="43"/>
      <c r="M31" s="58"/>
    </row>
    <row r="32" spans="1:18" ht="20.5" outlineLevel="1" x14ac:dyDescent="0.35">
      <c r="A32" s="49">
        <v>28</v>
      </c>
      <c r="B32" s="57" t="s">
        <v>139</v>
      </c>
      <c r="C32" s="51" t="s">
        <v>116</v>
      </c>
      <c r="D32" s="38" t="s">
        <v>88</v>
      </c>
      <c r="E32" s="52"/>
      <c r="F32" s="39"/>
      <c r="G32" s="53"/>
      <c r="H32" s="54"/>
      <c r="I32" s="55"/>
      <c r="J32" s="56"/>
      <c r="K32" s="43"/>
      <c r="L32" s="43"/>
      <c r="M32" s="58"/>
    </row>
    <row r="33" spans="1:15" ht="20.5" outlineLevel="1" x14ac:dyDescent="0.35">
      <c r="A33" s="35">
        <v>29</v>
      </c>
      <c r="B33" s="57" t="s">
        <v>140</v>
      </c>
      <c r="C33" s="51" t="s">
        <v>141</v>
      </c>
      <c r="D33" s="38" t="s">
        <v>88</v>
      </c>
      <c r="E33" s="52"/>
      <c r="F33" s="39"/>
      <c r="G33" s="53"/>
      <c r="H33" s="54"/>
      <c r="I33" s="55"/>
      <c r="J33" s="56"/>
      <c r="K33" s="43"/>
      <c r="L33" s="43"/>
      <c r="M33" s="58"/>
    </row>
    <row r="34" spans="1:15" ht="20.5" outlineLevel="1" x14ac:dyDescent="0.35">
      <c r="A34" s="49">
        <v>30</v>
      </c>
      <c r="B34" s="57" t="s">
        <v>142</v>
      </c>
      <c r="C34" s="51" t="s">
        <v>143</v>
      </c>
      <c r="D34" s="38" t="s">
        <v>88</v>
      </c>
      <c r="E34" s="52"/>
      <c r="F34" s="39"/>
      <c r="G34" s="53"/>
      <c r="H34" s="54"/>
      <c r="I34" s="55"/>
      <c r="J34" s="56"/>
      <c r="K34" s="43"/>
      <c r="L34" s="43"/>
      <c r="M34" s="58"/>
    </row>
    <row r="35" spans="1:15" ht="20.5" outlineLevel="1" x14ac:dyDescent="0.35">
      <c r="A35" s="35">
        <v>31</v>
      </c>
      <c r="B35" s="57" t="s">
        <v>144</v>
      </c>
      <c r="C35" s="51" t="s">
        <v>145</v>
      </c>
      <c r="D35" s="38" t="s">
        <v>88</v>
      </c>
      <c r="E35" s="52"/>
      <c r="F35" s="39"/>
      <c r="G35" s="53"/>
      <c r="H35" s="54"/>
      <c r="I35" s="55"/>
      <c r="J35" s="56"/>
      <c r="K35" s="43"/>
      <c r="L35" s="43"/>
      <c r="M35" s="58"/>
    </row>
    <row r="36" spans="1:15" ht="20.5" outlineLevel="1" x14ac:dyDescent="0.35">
      <c r="A36" s="49">
        <v>32</v>
      </c>
      <c r="B36" s="57" t="s">
        <v>146</v>
      </c>
      <c r="C36" s="51" t="s">
        <v>147</v>
      </c>
      <c r="D36" s="38" t="s">
        <v>88</v>
      </c>
      <c r="E36" s="52"/>
      <c r="F36" s="39"/>
      <c r="G36" s="53"/>
      <c r="H36" s="54"/>
      <c r="I36" s="55"/>
      <c r="J36" s="56"/>
      <c r="K36" s="43"/>
      <c r="L36" s="43"/>
      <c r="M36" s="58"/>
    </row>
    <row r="37" spans="1:15" s="68" customFormat="1" ht="20" outlineLevel="1" x14ac:dyDescent="0.35">
      <c r="A37" s="59"/>
      <c r="B37" s="60"/>
      <c r="C37" s="61"/>
      <c r="D37" s="62"/>
      <c r="E37" s="63"/>
      <c r="F37" s="63"/>
      <c r="G37" s="64"/>
      <c r="H37" s="65"/>
      <c r="I37" s="66">
        <f>SUM(I5:I36)</f>
        <v>2025.4104999999997</v>
      </c>
      <c r="J37" s="66">
        <f>SUM(J5:J36)</f>
        <v>16254.052670999999</v>
      </c>
      <c r="K37" s="66">
        <f>SUM(K5:K36)</f>
        <v>36628.407788999997</v>
      </c>
      <c r="L37" s="66">
        <f>SUM(L5:L36)</f>
        <v>20374.355118000003</v>
      </c>
      <c r="M37" s="67">
        <f>IFERROR(L37/J37,)</f>
        <v>1.2534938535268392</v>
      </c>
    </row>
    <row r="38" spans="1:15" ht="20" x14ac:dyDescent="0.35">
      <c r="A38" s="473" t="s">
        <v>148</v>
      </c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</row>
    <row r="39" spans="1:15" ht="20" x14ac:dyDescent="0.35">
      <c r="B39" s="69"/>
      <c r="C39" s="70"/>
      <c r="D39" s="474"/>
      <c r="E39" s="474"/>
      <c r="F39" s="474"/>
      <c r="G39" s="474"/>
      <c r="H39" s="70"/>
      <c r="I39" s="70"/>
      <c r="K39" s="474" t="s">
        <v>149</v>
      </c>
      <c r="L39" s="474"/>
      <c r="M39" s="474"/>
    </row>
    <row r="40" spans="1:15" hidden="1" x14ac:dyDescent="0.35">
      <c r="A40" s="71"/>
      <c r="B40" s="45"/>
      <c r="C40" s="72"/>
      <c r="D40" s="71"/>
      <c r="E40" s="45"/>
      <c r="F40" s="71"/>
      <c r="G40" s="71"/>
      <c r="H40" s="45"/>
      <c r="M40" s="71"/>
    </row>
    <row r="41" spans="1:15" hidden="1" x14ac:dyDescent="0.35">
      <c r="A41" s="71"/>
      <c r="B41" s="45"/>
      <c r="C41" s="72"/>
      <c r="D41" s="71"/>
      <c r="E41" s="45"/>
      <c r="F41" s="71"/>
      <c r="G41" s="71"/>
      <c r="H41" s="45"/>
      <c r="M41" s="71"/>
    </row>
    <row r="42" spans="1:15" hidden="1" x14ac:dyDescent="0.35">
      <c r="A42" s="71"/>
      <c r="B42" s="45"/>
      <c r="C42" s="72"/>
      <c r="D42" s="71"/>
      <c r="E42" s="45"/>
      <c r="F42" s="71"/>
      <c r="G42" s="71"/>
      <c r="H42" s="45"/>
      <c r="M42" s="71"/>
    </row>
    <row r="43" spans="1:15" hidden="1" x14ac:dyDescent="0.35">
      <c r="A43" s="71"/>
      <c r="B43" s="45"/>
      <c r="C43" s="72"/>
      <c r="D43" s="71"/>
      <c r="E43" s="45"/>
      <c r="F43" s="71"/>
      <c r="G43" s="71"/>
      <c r="H43" s="45"/>
      <c r="M43" s="71"/>
    </row>
    <row r="44" spans="1:15" hidden="1" x14ac:dyDescent="0.35">
      <c r="A44" s="71"/>
      <c r="B44" s="45"/>
      <c r="C44" s="72"/>
      <c r="D44" s="71"/>
      <c r="E44" s="45"/>
      <c r="F44" s="71"/>
      <c r="G44" s="71"/>
      <c r="H44" s="45"/>
      <c r="M44" s="71"/>
    </row>
    <row r="45" spans="1:15" hidden="1" x14ac:dyDescent="0.35">
      <c r="A45" s="71"/>
      <c r="B45" s="45"/>
      <c r="C45" s="72"/>
      <c r="D45" s="71"/>
      <c r="E45" s="45"/>
      <c r="F45" s="71"/>
      <c r="G45" s="71"/>
      <c r="H45" s="45"/>
      <c r="M45" s="71"/>
    </row>
    <row r="46" spans="1:15" ht="20" hidden="1" x14ac:dyDescent="0.35">
      <c r="B46" s="69"/>
      <c r="C46" s="70"/>
      <c r="D46" s="474"/>
      <c r="E46" s="474"/>
      <c r="F46" s="474"/>
      <c r="G46" s="474"/>
      <c r="H46" s="70"/>
      <c r="I46" s="70"/>
      <c r="K46" s="474" t="s">
        <v>150</v>
      </c>
      <c r="L46" s="474"/>
      <c r="M46" s="474"/>
    </row>
    <row r="47" spans="1:15" x14ac:dyDescent="0.35">
      <c r="M47" s="77"/>
    </row>
    <row r="48" spans="1:15" s="78" customFormat="1" ht="22.5" x14ac:dyDescent="0.35">
      <c r="B48" s="79" t="s">
        <v>151</v>
      </c>
      <c r="D48" s="80" t="s">
        <v>152</v>
      </c>
      <c r="E48" s="81"/>
      <c r="G48" s="82"/>
      <c r="H48" s="82"/>
      <c r="I48" s="78" t="s">
        <v>153</v>
      </c>
      <c r="K48" s="78" t="s">
        <v>149</v>
      </c>
      <c r="M48" s="83"/>
      <c r="O48" s="84">
        <f>SUM(O5:O27)</f>
        <v>16581861943</v>
      </c>
    </row>
    <row r="54" spans="2:13" s="78" customFormat="1" ht="22.5" x14ac:dyDescent="0.35">
      <c r="B54" s="79" t="s">
        <v>154</v>
      </c>
      <c r="D54" s="80" t="s">
        <v>155</v>
      </c>
      <c r="E54" s="81"/>
      <c r="G54" s="82"/>
      <c r="H54" s="82"/>
      <c r="I54" s="78" t="s">
        <v>150</v>
      </c>
      <c r="K54" s="78" t="s">
        <v>156</v>
      </c>
      <c r="M54" s="83"/>
    </row>
  </sheetData>
  <mergeCells count="14">
    <mergeCell ref="B1:M1"/>
    <mergeCell ref="A2:A3"/>
    <mergeCell ref="B2:B3"/>
    <mergeCell ref="C2:C3"/>
    <mergeCell ref="D2:F2"/>
    <mergeCell ref="I2:I3"/>
    <mergeCell ref="J2:M2"/>
    <mergeCell ref="A38:M38"/>
    <mergeCell ref="D39:E39"/>
    <mergeCell ref="F39:G39"/>
    <mergeCell ref="K39:M39"/>
    <mergeCell ref="D46:E46"/>
    <mergeCell ref="F46:G46"/>
    <mergeCell ref="K46:M4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0D8D-56F7-4AF9-8E8A-3623767CA726}">
  <sheetPr>
    <outlinePr summaryBelow="0" summaryRight="0"/>
  </sheetPr>
  <dimension ref="A1:CR97"/>
  <sheetViews>
    <sheetView showGridLines="0" zoomScale="85" zoomScaleNormal="85" workbookViewId="0">
      <pane xSplit="9" ySplit="6" topLeftCell="M16" activePane="bottomRight" state="frozen"/>
      <selection activeCell="AE5" sqref="AE5"/>
      <selection pane="topRight" activeCell="AE5" sqref="AE5"/>
      <selection pane="bottomLeft" activeCell="AE5" sqref="AE5"/>
      <selection pane="bottomRight" activeCell="AE5" sqref="AE5"/>
    </sheetView>
  </sheetViews>
  <sheetFormatPr defaultColWidth="8.08203125" defaultRowHeight="14.5" outlineLevelRow="2" outlineLevelCol="1" x14ac:dyDescent="0.35"/>
  <cols>
    <col min="1" max="1" width="8.08203125" style="110" hidden="1" customWidth="1" outlineLevel="1" collapsed="1"/>
    <col min="2" max="2" width="17.75" style="110" hidden="1" customWidth="1" outlineLevel="1"/>
    <col min="3" max="3" width="3.5" style="111" bestFit="1" customWidth="1" collapsed="1"/>
    <col min="4" max="4" width="8.33203125" style="111" bestFit="1" customWidth="1"/>
    <col min="5" max="5" width="16.08203125" style="111" customWidth="1"/>
    <col min="6" max="6" width="10.08203125" style="111" bestFit="1" customWidth="1"/>
    <col min="7" max="7" width="37.33203125" style="111" bestFit="1" customWidth="1"/>
    <col min="8" max="8" width="15.5" style="111" customWidth="1"/>
    <col min="9" max="9" width="1.25" style="111" customWidth="1"/>
    <col min="10" max="12" width="9.08203125" style="111" hidden="1" customWidth="1"/>
    <col min="13" max="13" width="1.08203125" style="111" customWidth="1" collapsed="1"/>
    <col min="14" max="14" width="8.08203125" style="111" hidden="1" customWidth="1" outlineLevel="1"/>
    <col min="15" max="15" width="10.25" style="111" hidden="1" customWidth="1" outlineLevel="1"/>
    <col min="16" max="16" width="10.75" style="111" hidden="1" customWidth="1" outlineLevel="1"/>
    <col min="17" max="17" width="1.25" style="111" hidden="1" customWidth="1" outlineLevel="1"/>
    <col min="18" max="18" width="11.08203125" style="111" customWidth="1"/>
    <col min="19" max="19" width="1.25" style="111" customWidth="1"/>
    <col min="20" max="20" width="11.08203125" style="111" customWidth="1"/>
    <col min="21" max="21" width="1.25" style="111" customWidth="1" collapsed="1"/>
    <col min="22" max="27" width="15.08203125" style="111" hidden="1" customWidth="1" outlineLevel="1"/>
    <col min="28" max="28" width="15.08203125" style="111" customWidth="1" collapsed="1"/>
    <col min="29" max="29" width="15.08203125" style="111" hidden="1" customWidth="1" outlineLevel="1"/>
    <col min="30" max="30" width="41.25" style="111" hidden="1" customWidth="1" outlineLevel="1"/>
    <col min="31" max="31" width="53.33203125" style="111" hidden="1" customWidth="1" outlineLevel="1"/>
    <col min="32" max="32" width="1.33203125" style="111" customWidth="1"/>
    <col min="33" max="33" width="16.5" style="111" customWidth="1"/>
    <col min="34" max="34" width="1.33203125" style="111" customWidth="1"/>
    <col min="35" max="35" width="11" style="111" customWidth="1"/>
    <col min="36" max="37" width="9.75" style="111" customWidth="1"/>
    <col min="38" max="38" width="10.33203125" style="111" customWidth="1"/>
    <col min="39" max="39" width="1.33203125" style="111" customWidth="1"/>
    <col min="40" max="40" width="8.08203125" style="111" customWidth="1"/>
    <col min="41" max="41" width="10.5" style="111" customWidth="1"/>
    <col min="42" max="42" width="8.08203125" style="111" customWidth="1"/>
    <col min="43" max="43" width="9.08203125" style="111" customWidth="1"/>
    <col min="44" max="44" width="10.75" style="111" bestFit="1" customWidth="1"/>
    <col min="45" max="45" width="11.25" style="111" bestFit="1" customWidth="1"/>
    <col min="46" max="64" width="8.08203125" style="111"/>
    <col min="65" max="65" width="12.75" style="111" customWidth="1"/>
    <col min="66" max="74" width="12.75" style="111" customWidth="1" outlineLevel="1"/>
    <col min="75" max="75" width="1.33203125" style="111" customWidth="1"/>
    <col min="76" max="84" width="12.25" style="111" customWidth="1" outlineLevel="1"/>
    <col min="85" max="85" width="1.33203125" style="111" customWidth="1"/>
    <col min="86" max="94" width="13.75" style="111" customWidth="1" outlineLevel="1"/>
    <col min="95" max="95" width="1.33203125" style="111" customWidth="1" collapsed="1"/>
    <col min="96" max="96" width="9.75" style="112" customWidth="1"/>
    <col min="97" max="16384" width="8.08203125" style="111"/>
  </cols>
  <sheetData>
    <row r="1" spans="1:96" s="107" customFormat="1" ht="33" customHeight="1" x14ac:dyDescent="0.35">
      <c r="A1" s="106"/>
      <c r="B1" s="106"/>
      <c r="G1" s="108" t="s">
        <v>166</v>
      </c>
      <c r="CR1" s="109"/>
    </row>
    <row r="2" spans="1:96" x14ac:dyDescent="0.35">
      <c r="AC2" s="111" t="s">
        <v>167</v>
      </c>
    </row>
    <row r="3" spans="1:96" s="114" customFormat="1" ht="15" thickBot="1" x14ac:dyDescent="0.4">
      <c r="A3" s="113"/>
      <c r="B3" s="113"/>
      <c r="C3" s="485" t="s">
        <v>168</v>
      </c>
      <c r="D3" s="485" t="s">
        <v>169</v>
      </c>
      <c r="E3" s="485" t="s">
        <v>170</v>
      </c>
      <c r="F3" s="485" t="s">
        <v>1</v>
      </c>
      <c r="G3" s="485" t="s">
        <v>2</v>
      </c>
      <c r="H3" s="485" t="s">
        <v>171</v>
      </c>
      <c r="J3" s="487" t="s">
        <v>172</v>
      </c>
      <c r="K3" s="487" t="s">
        <v>173</v>
      </c>
      <c r="L3" s="485" t="s">
        <v>174</v>
      </c>
      <c r="N3" s="488" t="s">
        <v>175</v>
      </c>
      <c r="O3" s="488"/>
      <c r="P3" s="488"/>
      <c r="R3" s="489" t="s">
        <v>176</v>
      </c>
      <c r="T3" s="489" t="s">
        <v>177</v>
      </c>
      <c r="V3" s="490" t="s">
        <v>178</v>
      </c>
      <c r="W3" s="490"/>
      <c r="X3" s="490"/>
      <c r="Y3" s="490"/>
      <c r="Z3" s="490"/>
      <c r="AA3" s="490"/>
      <c r="AB3" s="491"/>
      <c r="AC3" s="492" t="s">
        <v>179</v>
      </c>
      <c r="AD3" s="492" t="s">
        <v>180</v>
      </c>
      <c r="AE3" s="492" t="s">
        <v>181</v>
      </c>
      <c r="AG3" s="493" t="s">
        <v>182</v>
      </c>
      <c r="AI3" s="486" t="s">
        <v>183</v>
      </c>
      <c r="AJ3" s="486"/>
      <c r="AK3" s="486"/>
      <c r="AL3" s="486"/>
      <c r="AN3" s="495" t="s">
        <v>184</v>
      </c>
      <c r="AO3" s="495"/>
      <c r="AR3" s="498" t="s">
        <v>375</v>
      </c>
      <c r="BM3" s="496" t="s">
        <v>185</v>
      </c>
      <c r="BN3" s="497" t="s">
        <v>186</v>
      </c>
      <c r="BO3" s="497" t="s">
        <v>187</v>
      </c>
      <c r="BP3" s="497" t="s">
        <v>188</v>
      </c>
      <c r="BQ3" s="497" t="s">
        <v>189</v>
      </c>
      <c r="BR3" s="497" t="s">
        <v>190</v>
      </c>
      <c r="BS3" s="497" t="s">
        <v>191</v>
      </c>
      <c r="BT3" s="497" t="s">
        <v>192</v>
      </c>
      <c r="BU3" s="497" t="s">
        <v>193</v>
      </c>
      <c r="BV3" s="497" t="s">
        <v>194</v>
      </c>
      <c r="BX3" s="494" t="s">
        <v>186</v>
      </c>
      <c r="BY3" s="494" t="s">
        <v>187</v>
      </c>
      <c r="BZ3" s="494" t="s">
        <v>188</v>
      </c>
      <c r="CA3" s="494" t="s">
        <v>189</v>
      </c>
      <c r="CB3" s="494" t="s">
        <v>190</v>
      </c>
      <c r="CC3" s="494" t="s">
        <v>191</v>
      </c>
      <c r="CD3" s="494" t="s">
        <v>192</v>
      </c>
      <c r="CE3" s="494" t="s">
        <v>193</v>
      </c>
      <c r="CF3" s="494" t="s">
        <v>194</v>
      </c>
      <c r="CH3" s="499" t="s">
        <v>186</v>
      </c>
      <c r="CI3" s="499" t="s">
        <v>187</v>
      </c>
      <c r="CJ3" s="499" t="s">
        <v>188</v>
      </c>
      <c r="CK3" s="499" t="s">
        <v>189</v>
      </c>
      <c r="CL3" s="499" t="s">
        <v>190</v>
      </c>
      <c r="CM3" s="499" t="s">
        <v>191</v>
      </c>
      <c r="CN3" s="499" t="s">
        <v>192</v>
      </c>
      <c r="CO3" s="499" t="s">
        <v>193</v>
      </c>
      <c r="CP3" s="499" t="s">
        <v>194</v>
      </c>
      <c r="CR3" s="116"/>
    </row>
    <row r="4" spans="1:96" s="118" customFormat="1" ht="24.65" customHeight="1" thickTop="1" x14ac:dyDescent="0.35">
      <c r="A4" s="117" t="s">
        <v>169</v>
      </c>
      <c r="B4" s="117" t="s">
        <v>170</v>
      </c>
      <c r="C4" s="485"/>
      <c r="D4" s="485"/>
      <c r="E4" s="485"/>
      <c r="F4" s="485"/>
      <c r="G4" s="485"/>
      <c r="H4" s="485"/>
      <c r="J4" s="487"/>
      <c r="K4" s="487"/>
      <c r="L4" s="485"/>
      <c r="N4" s="119" t="s">
        <v>162</v>
      </c>
      <c r="O4" s="119" t="s">
        <v>195</v>
      </c>
      <c r="P4" s="119" t="s">
        <v>163</v>
      </c>
      <c r="R4" s="489"/>
      <c r="T4" s="485"/>
      <c r="V4" s="115" t="s">
        <v>196</v>
      </c>
      <c r="W4" s="120" t="s">
        <v>197</v>
      </c>
      <c r="X4" s="120" t="s">
        <v>198</v>
      </c>
      <c r="Y4" s="115" t="s">
        <v>199</v>
      </c>
      <c r="Z4" s="115" t="s">
        <v>200</v>
      </c>
      <c r="AA4" s="115" t="s">
        <v>201</v>
      </c>
      <c r="AB4" s="121" t="s">
        <v>202</v>
      </c>
      <c r="AC4" s="492"/>
      <c r="AD4" s="492" t="s">
        <v>203</v>
      </c>
      <c r="AE4" s="492" t="s">
        <v>203</v>
      </c>
      <c r="AG4" s="493"/>
      <c r="AI4" s="122" t="s">
        <v>204</v>
      </c>
      <c r="AJ4" s="122" t="s">
        <v>195</v>
      </c>
      <c r="AK4" s="122" t="s">
        <v>163</v>
      </c>
      <c r="AL4" s="123" t="s">
        <v>205</v>
      </c>
      <c r="AN4" s="124" t="s">
        <v>163</v>
      </c>
      <c r="AO4" s="124" t="s">
        <v>195</v>
      </c>
      <c r="AR4" s="498"/>
      <c r="BM4" s="496"/>
      <c r="BN4" s="497"/>
      <c r="BO4" s="497"/>
      <c r="BP4" s="497"/>
      <c r="BQ4" s="497"/>
      <c r="BR4" s="497"/>
      <c r="BS4" s="497"/>
      <c r="BT4" s="497"/>
      <c r="BU4" s="497"/>
      <c r="BV4" s="497"/>
      <c r="BX4" s="494"/>
      <c r="BY4" s="494"/>
      <c r="BZ4" s="494"/>
      <c r="CA4" s="494"/>
      <c r="CB4" s="494"/>
      <c r="CC4" s="494"/>
      <c r="CD4" s="494"/>
      <c r="CE4" s="494"/>
      <c r="CF4" s="494"/>
      <c r="CH4" s="499"/>
      <c r="CI4" s="499"/>
      <c r="CJ4" s="499"/>
      <c r="CK4" s="499"/>
      <c r="CL4" s="499"/>
      <c r="CM4" s="499"/>
      <c r="CN4" s="499"/>
      <c r="CO4" s="499"/>
      <c r="CP4" s="499"/>
      <c r="CR4" s="125" t="s">
        <v>206</v>
      </c>
    </row>
    <row r="5" spans="1:96" s="128" customFormat="1" ht="12" x14ac:dyDescent="0.3">
      <c r="A5" s="126"/>
      <c r="B5" s="126"/>
      <c r="C5" s="127"/>
      <c r="J5" s="128" t="s">
        <v>160</v>
      </c>
      <c r="K5" s="128" t="s">
        <v>160</v>
      </c>
      <c r="L5" s="128" t="s">
        <v>160</v>
      </c>
      <c r="N5" s="128" t="s">
        <v>159</v>
      </c>
      <c r="O5" s="128" t="s">
        <v>161</v>
      </c>
      <c r="P5" s="128" t="s">
        <v>160</v>
      </c>
      <c r="R5" s="128" t="s">
        <v>160</v>
      </c>
      <c r="T5" s="128" t="s">
        <v>160</v>
      </c>
      <c r="V5" s="128" t="s">
        <v>160</v>
      </c>
      <c r="W5" s="128" t="s">
        <v>160</v>
      </c>
      <c r="X5" s="128" t="s">
        <v>160</v>
      </c>
      <c r="Y5" s="128" t="s">
        <v>160</v>
      </c>
      <c r="Z5" s="128" t="s">
        <v>160</v>
      </c>
      <c r="AA5" s="128" t="s">
        <v>160</v>
      </c>
      <c r="AB5" s="129" t="s">
        <v>160</v>
      </c>
      <c r="AG5" s="128" t="s">
        <v>160</v>
      </c>
      <c r="AI5" s="128" t="s">
        <v>159</v>
      </c>
      <c r="AJ5" s="128" t="s">
        <v>161</v>
      </c>
      <c r="AK5" s="128" t="s">
        <v>160</v>
      </c>
      <c r="AN5" s="128" t="s">
        <v>161</v>
      </c>
      <c r="AO5" s="128" t="s">
        <v>161</v>
      </c>
      <c r="CR5" s="130"/>
    </row>
    <row r="6" spans="1:96" s="134" customFormat="1" ht="18.5" x14ac:dyDescent="0.45">
      <c r="A6" s="131"/>
      <c r="B6" s="132"/>
      <c r="C6" s="133"/>
      <c r="D6" s="134" t="s">
        <v>207</v>
      </c>
      <c r="N6" s="135">
        <f>N8+N39+N77</f>
        <v>3110.6766900000002</v>
      </c>
      <c r="O6" s="135">
        <f>O8+O39+O77</f>
        <v>36000.660603000004</v>
      </c>
      <c r="P6" s="136">
        <f>O6/N6*10^3</f>
        <v>11573.25694397382</v>
      </c>
      <c r="W6" s="132"/>
      <c r="X6" s="132"/>
      <c r="AB6" s="137"/>
      <c r="AI6" s="135">
        <f>AI8+AI39+AI77</f>
        <v>3234.113429</v>
      </c>
      <c r="AJ6" s="135">
        <f>AJ8+AJ39+AJ77</f>
        <v>37307.383489</v>
      </c>
      <c r="AK6" s="136">
        <f>AJ6/AI6*10^3</f>
        <v>11535.582875500932</v>
      </c>
      <c r="AL6" s="135">
        <f>AL8+AL39+AL77</f>
        <v>22217.418932000004</v>
      </c>
      <c r="AO6" s="135">
        <f>AO8+AO39+AO77</f>
        <v>-15089.964557000001</v>
      </c>
      <c r="AQ6" s="135"/>
      <c r="CR6" s="138"/>
    </row>
    <row r="7" spans="1:96" s="128" customFormat="1" ht="12" x14ac:dyDescent="0.3">
      <c r="A7" s="126"/>
      <c r="B7" s="126"/>
      <c r="C7" s="127"/>
      <c r="W7" s="126"/>
      <c r="X7" s="126"/>
      <c r="AB7" s="129"/>
      <c r="CH7" s="139"/>
      <c r="CI7" s="139"/>
      <c r="CJ7" s="139"/>
      <c r="CK7" s="139"/>
      <c r="CL7" s="139"/>
      <c r="CM7" s="139"/>
      <c r="CN7" s="139"/>
      <c r="CO7" s="139"/>
      <c r="CP7" s="139"/>
      <c r="CR7" s="130"/>
    </row>
    <row r="8" spans="1:96" s="142" customFormat="1" ht="17" x14ac:dyDescent="0.4">
      <c r="A8" s="110" t="s">
        <v>89</v>
      </c>
      <c r="B8" s="140"/>
      <c r="C8" s="141" t="str">
        <f>IF($F8&lt;&gt;"",COUNTA($F$8:F8),"")</f>
        <v/>
      </c>
      <c r="D8" s="142" t="s">
        <v>208</v>
      </c>
      <c r="N8" s="143">
        <f>N9+N14+N24+N18</f>
        <v>2250.1491900000001</v>
      </c>
      <c r="O8" s="143">
        <f>O9+O14+O24+O18</f>
        <v>26240.746032000003</v>
      </c>
      <c r="P8" s="143">
        <f>O8/N8*10^3</f>
        <v>11661.780538205114</v>
      </c>
      <c r="W8" s="140"/>
      <c r="X8" s="140"/>
      <c r="AB8" s="144"/>
      <c r="AI8" s="143">
        <f>AI9+AI14+AI24+AI18</f>
        <v>2382.7189290000001</v>
      </c>
      <c r="AJ8" s="143">
        <f>AJ9+AJ14+AJ24+AJ18</f>
        <v>27471.615364999998</v>
      </c>
      <c r="AK8" s="143">
        <f>AJ8/AI8*10^3</f>
        <v>11529.524120803255</v>
      </c>
      <c r="AL8" s="143">
        <f>AL9+AL14+AL24+AL18</f>
        <v>16596.394932000003</v>
      </c>
      <c r="AN8" s="143"/>
      <c r="AO8" s="143">
        <f>AO9+AO14+AO24+AO18</f>
        <v>-10875.220433</v>
      </c>
      <c r="CH8" s="145"/>
      <c r="CI8" s="145"/>
      <c r="CJ8" s="145"/>
      <c r="CK8" s="145"/>
      <c r="CL8" s="145"/>
      <c r="CM8" s="145"/>
      <c r="CN8" s="145"/>
      <c r="CO8" s="145"/>
      <c r="CP8" s="145"/>
      <c r="CR8" s="146"/>
    </row>
    <row r="9" spans="1:96" s="150" customFormat="1" outlineLevel="1" x14ac:dyDescent="0.35">
      <c r="A9" s="110" t="s">
        <v>89</v>
      </c>
      <c r="B9" s="147"/>
      <c r="C9" s="148" t="str">
        <f>IF($F9&lt;&gt;"",COUNTA($F$8:F9),"")</f>
        <v/>
      </c>
      <c r="D9" s="149"/>
      <c r="E9" s="149" t="s">
        <v>209</v>
      </c>
      <c r="F9" s="149"/>
      <c r="G9" s="149"/>
      <c r="H9" s="149"/>
      <c r="J9" s="149"/>
      <c r="K9" s="149"/>
      <c r="L9" s="149"/>
      <c r="N9" s="151">
        <f>SUM(N10:N13)</f>
        <v>1008.8389000000001</v>
      </c>
      <c r="O9" s="151">
        <f>SUM(O10:O13)</f>
        <v>10972.758572000002</v>
      </c>
      <c r="P9" s="151">
        <f>O9/N9*10^3</f>
        <v>10876.621204832607</v>
      </c>
      <c r="R9" s="149"/>
      <c r="T9" s="149"/>
      <c r="V9" s="149"/>
      <c r="W9" s="152"/>
      <c r="X9" s="152"/>
      <c r="Y9" s="149"/>
      <c r="Z9" s="149"/>
      <c r="AA9" s="149"/>
      <c r="AB9" s="153"/>
      <c r="AC9" s="149"/>
      <c r="AD9" s="149"/>
      <c r="AE9" s="149"/>
      <c r="AG9" s="149"/>
      <c r="AI9" s="151">
        <f>SUM(AI10:AI13)</f>
        <v>1239.7870000000003</v>
      </c>
      <c r="AJ9" s="151">
        <f>SUM(AJ10:AJ13)</f>
        <v>13497.119011999999</v>
      </c>
      <c r="AK9" s="151">
        <f>AJ9/AI9*10^3</f>
        <v>10886.643441171747</v>
      </c>
      <c r="AL9" s="151">
        <f>SUM(AL10:AL13)</f>
        <v>6198.9350000000004</v>
      </c>
      <c r="AN9" s="151"/>
      <c r="AO9" s="151">
        <f>SUM(AO10:AO13)</f>
        <v>-7298.1840119999997</v>
      </c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X9" s="149"/>
      <c r="BY9" s="149"/>
      <c r="BZ9" s="149"/>
      <c r="CA9" s="149"/>
      <c r="CB9" s="149"/>
      <c r="CC9" s="149"/>
      <c r="CD9" s="149"/>
      <c r="CE9" s="149"/>
      <c r="CF9" s="149"/>
      <c r="CH9" s="154"/>
      <c r="CI9" s="154"/>
      <c r="CJ9" s="154"/>
      <c r="CK9" s="154"/>
      <c r="CL9" s="154"/>
      <c r="CM9" s="154"/>
      <c r="CN9" s="154"/>
      <c r="CO9" s="154"/>
      <c r="CP9" s="154"/>
      <c r="CR9" s="155"/>
    </row>
    <row r="10" spans="1:96" outlineLevel="2" x14ac:dyDescent="0.35">
      <c r="A10" s="110" t="s">
        <v>89</v>
      </c>
      <c r="B10" s="110" t="s">
        <v>210</v>
      </c>
      <c r="C10" s="156">
        <f>IF($F10&lt;&gt;"",COUNTA($F$8:F10),"")</f>
        <v>1</v>
      </c>
      <c r="D10" s="157"/>
      <c r="E10" s="157"/>
      <c r="F10" s="157" t="s">
        <v>111</v>
      </c>
      <c r="G10" s="157" t="s">
        <v>211</v>
      </c>
      <c r="H10" s="157" t="s">
        <v>189</v>
      </c>
      <c r="J10" s="158">
        <v>17800</v>
      </c>
      <c r="K10" s="158">
        <v>1632.034397662454</v>
      </c>
      <c r="L10" s="158">
        <f>SUM(J10:K10)</f>
        <v>19432.034397662454</v>
      </c>
      <c r="N10" s="158">
        <v>175.489</v>
      </c>
      <c r="O10" s="158">
        <v>1730.6056679999999</v>
      </c>
      <c r="P10" s="158">
        <f>IFERROR(O10/N10,0)*10^3</f>
        <v>9861.6190644427843</v>
      </c>
      <c r="R10" s="158">
        <v>10500</v>
      </c>
      <c r="T10" s="158">
        <v>1000</v>
      </c>
      <c r="V10" s="158" t="s">
        <v>212</v>
      </c>
      <c r="W10" s="159">
        <f>IFERROR(_xlfn.NUMBERVALUE(IF(V10=0,0,LEFT($V10,LEN($V10)-SEARCH("đ",$V10)-4))),$V10)</f>
        <v>1500</v>
      </c>
      <c r="X10" s="159">
        <f>IFERROR(IF(V10=0,0,_xlfn.NUMBERVALUE(MID($V10,SEARCH("- ",$V10)+2,LEN($V10)-SEARCH("- ",$V10)-2))),$V10)</f>
        <v>1800</v>
      </c>
      <c r="Y10" s="158">
        <v>3000</v>
      </c>
      <c r="Z10" s="158">
        <v>2000</v>
      </c>
      <c r="AA10" s="158">
        <v>5000</v>
      </c>
      <c r="AB10" s="160">
        <f>IF(MAX(W10:AA10)=0,"Không có",MAX(W10:AA10))</f>
        <v>5000</v>
      </c>
      <c r="AC10" s="157"/>
      <c r="AD10" s="157"/>
      <c r="AE10" s="157"/>
      <c r="AG10" s="158">
        <v>5000</v>
      </c>
      <c r="AI10" s="158">
        <v>189.3561</v>
      </c>
      <c r="AJ10" s="158">
        <v>1876.2102179999999</v>
      </c>
      <c r="AK10" s="158">
        <f>IFERROR(AJ10/AI10,0)*10^3</f>
        <v>9908.3695640119331</v>
      </c>
      <c r="AL10" s="158">
        <f>AG10*AI10/10^3</f>
        <v>946.78049999999996</v>
      </c>
      <c r="AN10" s="158">
        <f>AG10-AK10</f>
        <v>-4908.3695640119331</v>
      </c>
      <c r="AO10" s="158">
        <f>AL10-AJ10</f>
        <v>-929.42971799999998</v>
      </c>
      <c r="AR10" s="192">
        <v>10500</v>
      </c>
      <c r="AS10" s="192">
        <f>AR10-R10</f>
        <v>0</v>
      </c>
      <c r="BM10" s="158">
        <f>SUM(BN10:BV10)</f>
        <v>1632.034397662454</v>
      </c>
      <c r="BN10" s="158">
        <f t="shared" ref="BN10:BV13" si="0">BX10*CH10</f>
        <v>0</v>
      </c>
      <c r="BO10" s="158">
        <f t="shared" si="0"/>
        <v>0</v>
      </c>
      <c r="BP10" s="158">
        <f t="shared" si="0"/>
        <v>0</v>
      </c>
      <c r="BQ10" s="158">
        <f t="shared" si="0"/>
        <v>1632.034397662454</v>
      </c>
      <c r="BR10" s="158">
        <f t="shared" si="0"/>
        <v>0</v>
      </c>
      <c r="BS10" s="158">
        <f t="shared" si="0"/>
        <v>0</v>
      </c>
      <c r="BT10" s="158">
        <f t="shared" si="0"/>
        <v>0</v>
      </c>
      <c r="BU10" s="158">
        <f t="shared" si="0"/>
        <v>0</v>
      </c>
      <c r="BV10" s="158">
        <f t="shared" si="0"/>
        <v>0</v>
      </c>
      <c r="BX10" s="158">
        <v>0</v>
      </c>
      <c r="BY10" s="158">
        <v>0</v>
      </c>
      <c r="BZ10" s="158">
        <v>0</v>
      </c>
      <c r="CA10" s="158">
        <v>5440.114658874847</v>
      </c>
      <c r="CB10" s="158">
        <v>0</v>
      </c>
      <c r="CC10" s="158">
        <v>0</v>
      </c>
      <c r="CD10" s="158">
        <v>0</v>
      </c>
      <c r="CE10" s="158">
        <v>0</v>
      </c>
      <c r="CF10" s="158">
        <v>0</v>
      </c>
      <c r="CH10" s="161">
        <v>0</v>
      </c>
      <c r="CI10" s="161">
        <v>0</v>
      </c>
      <c r="CJ10" s="161">
        <v>0</v>
      </c>
      <c r="CK10" s="161">
        <v>0.3</v>
      </c>
      <c r="CL10" s="161">
        <v>0</v>
      </c>
      <c r="CM10" s="161">
        <v>0</v>
      </c>
      <c r="CN10" s="161">
        <v>0</v>
      </c>
      <c r="CO10" s="161">
        <v>0</v>
      </c>
      <c r="CP10" s="161">
        <v>0</v>
      </c>
      <c r="CR10" s="162">
        <f>K10-BM10</f>
        <v>0</v>
      </c>
    </row>
    <row r="11" spans="1:96" outlineLevel="2" x14ac:dyDescent="0.35">
      <c r="A11" s="110" t="s">
        <v>89</v>
      </c>
      <c r="B11" s="110" t="s">
        <v>210</v>
      </c>
      <c r="C11" s="156">
        <f>IF($F11&lt;&gt;"",COUNTA($F$8:F11),"")</f>
        <v>2</v>
      </c>
      <c r="D11" s="157"/>
      <c r="E11" s="157"/>
      <c r="F11" s="157" t="s">
        <v>115</v>
      </c>
      <c r="G11" s="157" t="s">
        <v>213</v>
      </c>
      <c r="H11" s="157" t="s">
        <v>189</v>
      </c>
      <c r="J11" s="158">
        <v>17800</v>
      </c>
      <c r="K11" s="158">
        <v>3808.0802612123925</v>
      </c>
      <c r="L11" s="158">
        <f>SUM(J11:K11)</f>
        <v>21608.080261212392</v>
      </c>
      <c r="N11" s="158">
        <v>759.54750000000001</v>
      </c>
      <c r="O11" s="158">
        <v>8513.3914650000006</v>
      </c>
      <c r="P11" s="158">
        <f>IFERROR(O11/N11,0)*10^3</f>
        <v>11208.504359503522</v>
      </c>
      <c r="R11" s="158">
        <v>12600</v>
      </c>
      <c r="T11" s="158">
        <v>3150</v>
      </c>
      <c r="V11" s="158" t="s">
        <v>212</v>
      </c>
      <c r="W11" s="159">
        <f>IFERROR(_xlfn.NUMBERVALUE(IF(V11=0,0,LEFT($V11,LEN($V11)-SEARCH("đ",$V11)-4))),$V11)</f>
        <v>1500</v>
      </c>
      <c r="X11" s="159">
        <f>IFERROR(IF(V11=0,0,_xlfn.NUMBERVALUE(MID($V11,SEARCH("- ",$V11)+2,LEN($V11)-SEARCH("- ",$V11)-2))),$V11)</f>
        <v>1800</v>
      </c>
      <c r="Y11" s="158">
        <v>3000</v>
      </c>
      <c r="Z11" s="158">
        <v>2000</v>
      </c>
      <c r="AA11" s="158">
        <v>5000</v>
      </c>
      <c r="AB11" s="160">
        <f>IF(MAX(W11:AA11)=0,"Không có",MAX(W11:AA11))</f>
        <v>5000</v>
      </c>
      <c r="AC11" s="157"/>
      <c r="AD11" s="157"/>
      <c r="AE11" s="157" t="s">
        <v>214</v>
      </c>
      <c r="AG11" s="158">
        <v>5000</v>
      </c>
      <c r="AI11" s="158">
        <v>972.88340000000005</v>
      </c>
      <c r="AJ11" s="158">
        <v>10852.823805</v>
      </c>
      <c r="AK11" s="158">
        <f>IFERROR(AJ11/AI11,0)*10^3</f>
        <v>11155.318103896108</v>
      </c>
      <c r="AL11" s="158">
        <f>AG11*AI11/10^3</f>
        <v>4864.4170000000004</v>
      </c>
      <c r="AN11" s="158">
        <f>AG11-AK11</f>
        <v>-6155.3181038961084</v>
      </c>
      <c r="AO11" s="158">
        <f>AL11-AJ11</f>
        <v>-5988.4068049999996</v>
      </c>
      <c r="AR11" s="192">
        <v>12600</v>
      </c>
      <c r="AS11" s="192">
        <f t="shared" ref="AS11:AS13" si="1">AR11-R11</f>
        <v>0</v>
      </c>
      <c r="BM11" s="158">
        <f>SUM(BN11:BV11)</f>
        <v>3808.0802612123925</v>
      </c>
      <c r="BN11" s="158">
        <f t="shared" si="0"/>
        <v>0</v>
      </c>
      <c r="BO11" s="158">
        <f t="shared" si="0"/>
        <v>0</v>
      </c>
      <c r="BP11" s="158">
        <f t="shared" si="0"/>
        <v>0</v>
      </c>
      <c r="BQ11" s="158">
        <f t="shared" si="0"/>
        <v>3808.0802612123925</v>
      </c>
      <c r="BR11" s="158">
        <f t="shared" si="0"/>
        <v>0</v>
      </c>
      <c r="BS11" s="158">
        <f t="shared" si="0"/>
        <v>0</v>
      </c>
      <c r="BT11" s="158">
        <f t="shared" si="0"/>
        <v>0</v>
      </c>
      <c r="BU11" s="158">
        <f t="shared" si="0"/>
        <v>0</v>
      </c>
      <c r="BV11" s="158">
        <f t="shared" si="0"/>
        <v>0</v>
      </c>
      <c r="BX11" s="158">
        <v>0</v>
      </c>
      <c r="BY11" s="158">
        <v>0</v>
      </c>
      <c r="BZ11" s="158">
        <v>0</v>
      </c>
      <c r="CA11" s="158">
        <v>5440.114658874847</v>
      </c>
      <c r="CB11" s="158">
        <v>0</v>
      </c>
      <c r="CC11" s="158">
        <v>0</v>
      </c>
      <c r="CD11" s="158">
        <v>0</v>
      </c>
      <c r="CE11" s="158">
        <v>0</v>
      </c>
      <c r="CF11" s="158">
        <v>0</v>
      </c>
      <c r="CH11" s="161">
        <v>0</v>
      </c>
      <c r="CI11" s="161">
        <v>0</v>
      </c>
      <c r="CJ11" s="161">
        <v>0</v>
      </c>
      <c r="CK11" s="161">
        <v>0.7</v>
      </c>
      <c r="CL11" s="161">
        <v>0</v>
      </c>
      <c r="CM11" s="161">
        <v>0</v>
      </c>
      <c r="CN11" s="161">
        <v>0</v>
      </c>
      <c r="CO11" s="161">
        <v>0</v>
      </c>
      <c r="CP11" s="161">
        <v>0</v>
      </c>
      <c r="CR11" s="162">
        <f>K11-BM11</f>
        <v>0</v>
      </c>
    </row>
    <row r="12" spans="1:96" outlineLevel="2" x14ac:dyDescent="0.35">
      <c r="A12" s="110" t="s">
        <v>89</v>
      </c>
      <c r="B12" s="110" t="s">
        <v>210</v>
      </c>
      <c r="C12" s="156">
        <f>IF($F12&lt;&gt;"",COUNTA($F$8:F12),"")</f>
        <v>3</v>
      </c>
      <c r="D12" s="157"/>
      <c r="E12" s="157"/>
      <c r="F12" s="157" t="s">
        <v>215</v>
      </c>
      <c r="G12" s="157" t="s">
        <v>216</v>
      </c>
      <c r="H12" s="157" t="s">
        <v>193</v>
      </c>
      <c r="J12" s="158">
        <v>17800</v>
      </c>
      <c r="K12" s="158">
        <v>2688.8931701968468</v>
      </c>
      <c r="L12" s="158">
        <f>SUM(J12:K12)</f>
        <v>20488.893170196847</v>
      </c>
      <c r="N12" s="158">
        <v>9.4843999999999991</v>
      </c>
      <c r="O12" s="158">
        <v>98.907815999999997</v>
      </c>
      <c r="P12" s="158">
        <f>IFERROR(O12/N12,0)*10^3</f>
        <v>10428.473704187929</v>
      </c>
      <c r="R12" s="158">
        <v>10500</v>
      </c>
      <c r="T12" s="158" t="s">
        <v>217</v>
      </c>
      <c r="V12" s="158" t="s">
        <v>212</v>
      </c>
      <c r="W12" s="159">
        <f>IFERROR(_xlfn.NUMBERVALUE(IF(V12=0,0,LEFT($V12,LEN($V12)-SEARCH("đ",$V12)-4))),$V12)</f>
        <v>1500</v>
      </c>
      <c r="X12" s="159">
        <f>IFERROR(IF(V12=0,0,_xlfn.NUMBERVALUE(MID($V12,SEARCH("- ",$V12)+2,LEN($V12)-SEARCH("- ",$V12)-2))),$V12)</f>
        <v>1800</v>
      </c>
      <c r="Y12" s="158">
        <v>3000</v>
      </c>
      <c r="Z12" s="158">
        <v>2000</v>
      </c>
      <c r="AA12" s="158">
        <v>5000</v>
      </c>
      <c r="AB12" s="160">
        <f>IF(MAX(W12:AA12)=0,"Không có",MAX(W12:AA12))</f>
        <v>5000</v>
      </c>
      <c r="AC12" s="157"/>
      <c r="AD12" s="157"/>
      <c r="AE12" s="157"/>
      <c r="AG12" s="158">
        <v>5000</v>
      </c>
      <c r="AI12" s="158">
        <v>9.7215000000000007</v>
      </c>
      <c r="AJ12" s="158">
        <v>101.39736600000001</v>
      </c>
      <c r="AK12" s="158">
        <f>IFERROR(AJ12/AI12,0)*10^3</f>
        <v>10430.218176207376</v>
      </c>
      <c r="AL12" s="158">
        <f>AG12*AI12/10^3</f>
        <v>48.607500000000002</v>
      </c>
      <c r="AN12" s="158">
        <f>AG12-AK12</f>
        <v>-5430.218176207376</v>
      </c>
      <c r="AO12" s="158">
        <f>AL12-AJ12</f>
        <v>-52.789866000000004</v>
      </c>
      <c r="AR12" s="192">
        <v>10500</v>
      </c>
      <c r="AS12" s="192">
        <f t="shared" si="1"/>
        <v>0</v>
      </c>
      <c r="BM12" s="158">
        <f>SUM(BN12:BV12)</f>
        <v>2688.8931701968468</v>
      </c>
      <c r="BN12" s="158">
        <f t="shared" si="0"/>
        <v>2058.8819088333789</v>
      </c>
      <c r="BO12" s="158">
        <f t="shared" si="0"/>
        <v>0</v>
      </c>
      <c r="BP12" s="158">
        <f t="shared" si="0"/>
        <v>338.12327500414688</v>
      </c>
      <c r="BQ12" s="158">
        <f t="shared" si="0"/>
        <v>0</v>
      </c>
      <c r="BR12" s="158">
        <f t="shared" si="0"/>
        <v>0</v>
      </c>
      <c r="BS12" s="158">
        <f t="shared" si="0"/>
        <v>0</v>
      </c>
      <c r="BT12" s="158">
        <f t="shared" si="0"/>
        <v>0</v>
      </c>
      <c r="BU12" s="158">
        <f t="shared" si="0"/>
        <v>291.88798635932125</v>
      </c>
      <c r="BV12" s="158">
        <f t="shared" si="0"/>
        <v>0</v>
      </c>
      <c r="BX12" s="158">
        <v>2058.8819088333789</v>
      </c>
      <c r="BY12" s="158">
        <v>0</v>
      </c>
      <c r="BZ12" s="158">
        <v>3381.2327500414685</v>
      </c>
      <c r="CA12" s="158">
        <v>0</v>
      </c>
      <c r="CB12" s="158">
        <v>0</v>
      </c>
      <c r="CC12" s="158">
        <v>0</v>
      </c>
      <c r="CD12" s="158">
        <v>0</v>
      </c>
      <c r="CE12" s="158">
        <v>2918.8798635932121</v>
      </c>
      <c r="CF12" s="158">
        <v>0</v>
      </c>
      <c r="CH12" s="161">
        <v>1</v>
      </c>
      <c r="CI12" s="161">
        <v>0</v>
      </c>
      <c r="CJ12" s="161">
        <v>0.1</v>
      </c>
      <c r="CK12" s="161">
        <v>0</v>
      </c>
      <c r="CL12" s="161">
        <v>0</v>
      </c>
      <c r="CM12" s="161">
        <v>0</v>
      </c>
      <c r="CN12" s="161">
        <v>0</v>
      </c>
      <c r="CO12" s="161">
        <v>0.1</v>
      </c>
      <c r="CP12" s="161">
        <v>0</v>
      </c>
      <c r="CR12" s="162">
        <f>K12-BM12</f>
        <v>0</v>
      </c>
    </row>
    <row r="13" spans="1:96" outlineLevel="2" x14ac:dyDescent="0.35">
      <c r="A13" s="110" t="s">
        <v>89</v>
      </c>
      <c r="B13" s="110" t="s">
        <v>210</v>
      </c>
      <c r="C13" s="156">
        <f>IF($F13&lt;&gt;"",COUNTA($F$8:F13),"")</f>
        <v>4</v>
      </c>
      <c r="D13" s="157"/>
      <c r="E13" s="157"/>
      <c r="F13" s="157" t="s">
        <v>218</v>
      </c>
      <c r="G13" s="157" t="s">
        <v>219</v>
      </c>
      <c r="H13" s="157" t="s">
        <v>189</v>
      </c>
      <c r="J13" s="158">
        <v>17800</v>
      </c>
      <c r="K13" s="158">
        <v>3808.0802612123925</v>
      </c>
      <c r="L13" s="158">
        <f>SUM(J13:K13)</f>
        <v>21608.080261212392</v>
      </c>
      <c r="N13" s="158">
        <v>64.317999999999998</v>
      </c>
      <c r="O13" s="158">
        <v>629.85362299999997</v>
      </c>
      <c r="P13" s="158">
        <f>IFERROR(O13/N13,0)*10^3</f>
        <v>9792.8048602257531</v>
      </c>
      <c r="R13" s="158">
        <v>10500</v>
      </c>
      <c r="T13" s="158" t="s">
        <v>217</v>
      </c>
      <c r="V13" s="158" t="s">
        <v>212</v>
      </c>
      <c r="W13" s="159">
        <f>IFERROR(_xlfn.NUMBERVALUE(IF(V13=0,0,LEFT($V13,LEN($V13)-SEARCH("đ",$V13)-4))),$V13)</f>
        <v>1500</v>
      </c>
      <c r="X13" s="159">
        <f>IFERROR(IF(V13=0,0,_xlfn.NUMBERVALUE(MID($V13,SEARCH("- ",$V13)+2,LEN($V13)-SEARCH("- ",$V13)-2))),$V13)</f>
        <v>1800</v>
      </c>
      <c r="Y13" s="158">
        <v>3000</v>
      </c>
      <c r="Z13" s="158">
        <v>2000</v>
      </c>
      <c r="AA13" s="158">
        <v>5000</v>
      </c>
      <c r="AB13" s="160">
        <f>IF(MAX(W13:AA13)=0,"Không có",MAX(W13:AA13))</f>
        <v>5000</v>
      </c>
      <c r="AC13" s="157"/>
      <c r="AD13" s="157"/>
      <c r="AE13" s="157"/>
      <c r="AG13" s="158">
        <v>5000</v>
      </c>
      <c r="AI13" s="158">
        <v>67.825999999999993</v>
      </c>
      <c r="AJ13" s="158">
        <v>666.68762300000003</v>
      </c>
      <c r="AK13" s="158">
        <f>IFERROR(AJ13/AI13,0)*10^3</f>
        <v>9829.3814024120547</v>
      </c>
      <c r="AL13" s="158">
        <f>AG13*AI13/10^3</f>
        <v>339.12999999999994</v>
      </c>
      <c r="AN13" s="158">
        <f>AG13-AK13</f>
        <v>-4829.3814024120547</v>
      </c>
      <c r="AO13" s="158">
        <f>AL13-AJ13</f>
        <v>-327.55762300000009</v>
      </c>
      <c r="AR13" s="192">
        <v>10500</v>
      </c>
      <c r="AS13" s="192">
        <f t="shared" si="1"/>
        <v>0</v>
      </c>
      <c r="BM13" s="158">
        <f>SUM(BN13:BV13)</f>
        <v>3808.0802612123925</v>
      </c>
      <c r="BN13" s="158">
        <f t="shared" si="0"/>
        <v>0</v>
      </c>
      <c r="BO13" s="158">
        <f t="shared" si="0"/>
        <v>0</v>
      </c>
      <c r="BP13" s="158">
        <f t="shared" si="0"/>
        <v>0</v>
      </c>
      <c r="BQ13" s="158">
        <f t="shared" si="0"/>
        <v>3808.0802612123925</v>
      </c>
      <c r="BR13" s="158">
        <f t="shared" si="0"/>
        <v>0</v>
      </c>
      <c r="BS13" s="158">
        <f t="shared" si="0"/>
        <v>0</v>
      </c>
      <c r="BT13" s="158">
        <f t="shared" si="0"/>
        <v>0</v>
      </c>
      <c r="BU13" s="158">
        <f t="shared" si="0"/>
        <v>0</v>
      </c>
      <c r="BV13" s="158">
        <f t="shared" si="0"/>
        <v>0</v>
      </c>
      <c r="BX13" s="158">
        <v>0</v>
      </c>
      <c r="BY13" s="158">
        <v>0</v>
      </c>
      <c r="BZ13" s="158">
        <v>0</v>
      </c>
      <c r="CA13" s="158">
        <v>5440.114658874847</v>
      </c>
      <c r="CB13" s="158">
        <v>0</v>
      </c>
      <c r="CC13" s="158">
        <v>0</v>
      </c>
      <c r="CD13" s="158">
        <v>0</v>
      </c>
      <c r="CE13" s="158">
        <v>0</v>
      </c>
      <c r="CF13" s="158">
        <v>0</v>
      </c>
      <c r="CH13" s="161">
        <v>0</v>
      </c>
      <c r="CI13" s="161">
        <v>0</v>
      </c>
      <c r="CJ13" s="161">
        <v>0</v>
      </c>
      <c r="CK13" s="161">
        <v>0.7</v>
      </c>
      <c r="CL13" s="161">
        <v>0</v>
      </c>
      <c r="CM13" s="161">
        <v>0</v>
      </c>
      <c r="CN13" s="161">
        <v>0</v>
      </c>
      <c r="CO13" s="161">
        <v>0</v>
      </c>
      <c r="CP13" s="161">
        <v>0</v>
      </c>
      <c r="CR13" s="162">
        <f>K13-BM13</f>
        <v>0</v>
      </c>
    </row>
    <row r="14" spans="1:96" outlineLevel="1" x14ac:dyDescent="0.35">
      <c r="A14" s="110" t="s">
        <v>89</v>
      </c>
      <c r="C14" s="156" t="str">
        <f>IF($F14&lt;&gt;"",COUNTA($F$8:F14),"")</f>
        <v/>
      </c>
      <c r="D14" s="157"/>
      <c r="E14" s="149" t="s">
        <v>220</v>
      </c>
      <c r="F14" s="157"/>
      <c r="G14" s="157"/>
      <c r="H14" s="157"/>
      <c r="J14" s="157"/>
      <c r="K14" s="157"/>
      <c r="L14" s="157"/>
      <c r="N14" s="151">
        <f>SUM(N15:N17)</f>
        <v>368.16769999999997</v>
      </c>
      <c r="O14" s="151">
        <f>SUM(O15:O17)</f>
        <v>5145.9523940000008</v>
      </c>
      <c r="P14" s="151">
        <f>O14/N14*10^3</f>
        <v>13977.196788311418</v>
      </c>
      <c r="R14" s="157"/>
      <c r="T14" s="157"/>
      <c r="V14" s="157"/>
      <c r="W14" s="163"/>
      <c r="X14" s="163"/>
      <c r="Y14" s="157"/>
      <c r="Z14" s="157"/>
      <c r="AA14" s="157"/>
      <c r="AB14" s="164"/>
      <c r="AC14" s="157"/>
      <c r="AD14" s="157"/>
      <c r="AE14" s="157"/>
      <c r="AG14" s="157"/>
      <c r="AI14" s="151">
        <f>SUM(AI15:AI17)</f>
        <v>451.12270000000001</v>
      </c>
      <c r="AJ14" s="151">
        <f>SUM(AJ15:AJ17)</f>
        <v>6788.0160740000001</v>
      </c>
      <c r="AK14" s="151">
        <f>AJ14/AI14*10^3</f>
        <v>15046.939721720943</v>
      </c>
      <c r="AL14" s="151">
        <f>SUM(AL15:AL17)</f>
        <v>4216.7708499999999</v>
      </c>
      <c r="AN14" s="151"/>
      <c r="AO14" s="151">
        <f>SUM(AO15:AO17)</f>
        <v>-2571.2452239999998</v>
      </c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X14" s="157"/>
      <c r="BY14" s="157"/>
      <c r="BZ14" s="157"/>
      <c r="CA14" s="157"/>
      <c r="CB14" s="157"/>
      <c r="CC14" s="157"/>
      <c r="CD14" s="157"/>
      <c r="CE14" s="157"/>
      <c r="CF14" s="157"/>
      <c r="CH14" s="165"/>
      <c r="CI14" s="165"/>
      <c r="CJ14" s="165"/>
      <c r="CK14" s="165"/>
      <c r="CL14" s="165"/>
      <c r="CM14" s="165"/>
      <c r="CN14" s="165"/>
      <c r="CO14" s="165"/>
      <c r="CP14" s="165"/>
    </row>
    <row r="15" spans="1:96" outlineLevel="2" x14ac:dyDescent="0.35">
      <c r="A15" s="110" t="s">
        <v>89</v>
      </c>
      <c r="B15" s="110" t="s">
        <v>221</v>
      </c>
      <c r="C15" s="156">
        <f>IF($F15&lt;&gt;"",COUNTA($F$8:F15),"")</f>
        <v>5</v>
      </c>
      <c r="D15" s="157"/>
      <c r="E15" s="157"/>
      <c r="F15" s="157" t="s">
        <v>36</v>
      </c>
      <c r="G15" s="157" t="s">
        <v>37</v>
      </c>
      <c r="H15" s="157" t="s">
        <v>188</v>
      </c>
      <c r="J15" s="158">
        <v>17800</v>
      </c>
      <c r="K15" s="158">
        <v>4763.8681088665544</v>
      </c>
      <c r="L15" s="158">
        <f>SUM(J15:K15)</f>
        <v>22563.868108866554</v>
      </c>
      <c r="N15" s="158">
        <v>263.71469999999999</v>
      </c>
      <c r="O15" s="158">
        <v>4669.8899730000003</v>
      </c>
      <c r="P15" s="158">
        <f>IFERROR(O15/N15,0)*10^3</f>
        <v>17708.114007296521</v>
      </c>
      <c r="R15" s="158">
        <v>19736</v>
      </c>
      <c r="T15" s="158" t="s">
        <v>217</v>
      </c>
      <c r="V15" s="158">
        <v>0</v>
      </c>
      <c r="W15" s="159">
        <f>IFERROR(_xlfn.NUMBERVALUE(IF(V15=0,0,LEFT($V15,LEN($V15)-SEARCH("đ",$V15)-4))),$V15)</f>
        <v>0</v>
      </c>
      <c r="X15" s="159">
        <f>IFERROR(IF(V15=0,0,_xlfn.NUMBERVALUE(MID($V15,SEARCH("- ",$V15)+2,LEN($V15)-SEARCH("- ",$V15)-2))),$V15)</f>
        <v>0</v>
      </c>
      <c r="Y15" s="158">
        <v>10500</v>
      </c>
      <c r="Z15" s="158">
        <v>0</v>
      </c>
      <c r="AA15" s="158">
        <v>0</v>
      </c>
      <c r="AB15" s="160">
        <f>IF(MAX(W15:AA15)=0,"Không có",MAX(W15:AA15))</f>
        <v>10500</v>
      </c>
      <c r="AC15" s="157"/>
      <c r="AD15" s="157"/>
      <c r="AE15" s="157"/>
      <c r="AG15" s="158">
        <v>10500</v>
      </c>
      <c r="AI15" s="158">
        <v>346.16370000000001</v>
      </c>
      <c r="AJ15" s="158">
        <v>6280.093844</v>
      </c>
      <c r="AK15" s="158">
        <f>IFERROR(AJ15/AI15,0)*10^3</f>
        <v>18141.976885502438</v>
      </c>
      <c r="AL15" s="158">
        <f>AG15*AI15/10^3</f>
        <v>3634.7188500000002</v>
      </c>
      <c r="AN15" s="158">
        <f>AG15-AK15</f>
        <v>-7641.9768855024377</v>
      </c>
      <c r="AO15" s="158">
        <f>AL15-AJ15</f>
        <v>-2645.3749939999998</v>
      </c>
      <c r="AR15" s="247">
        <v>8554</v>
      </c>
      <c r="AS15" s="247">
        <f t="shared" ref="AS15:AS17" si="2">AR15-R15</f>
        <v>-11182</v>
      </c>
      <c r="BM15" s="158">
        <f>SUM(BN15:BV15)</f>
        <v>4763.8681088665544</v>
      </c>
      <c r="BN15" s="158">
        <f t="shared" ref="BN15:BV17" si="3">BX15*CH15</f>
        <v>2058.8819088333789</v>
      </c>
      <c r="BO15" s="158">
        <f t="shared" si="3"/>
        <v>0</v>
      </c>
      <c r="BP15" s="158">
        <f t="shared" si="3"/>
        <v>2704.986200033175</v>
      </c>
      <c r="BQ15" s="158">
        <f t="shared" si="3"/>
        <v>0</v>
      </c>
      <c r="BR15" s="158">
        <f t="shared" si="3"/>
        <v>0</v>
      </c>
      <c r="BS15" s="158">
        <f t="shared" si="3"/>
        <v>0</v>
      </c>
      <c r="BT15" s="158">
        <f t="shared" si="3"/>
        <v>0</v>
      </c>
      <c r="BU15" s="158">
        <f t="shared" si="3"/>
        <v>0</v>
      </c>
      <c r="BV15" s="158">
        <f t="shared" si="3"/>
        <v>0</v>
      </c>
      <c r="BX15" s="158">
        <v>2058.8819088333789</v>
      </c>
      <c r="BY15" s="158">
        <v>0</v>
      </c>
      <c r="BZ15" s="158">
        <v>3381.2327500414685</v>
      </c>
      <c r="CA15" s="158">
        <v>0</v>
      </c>
      <c r="CB15" s="158">
        <v>0</v>
      </c>
      <c r="CC15" s="158">
        <v>0</v>
      </c>
      <c r="CD15" s="158">
        <v>0</v>
      </c>
      <c r="CE15" s="158">
        <v>0</v>
      </c>
      <c r="CF15" s="158">
        <v>0</v>
      </c>
      <c r="CH15" s="161">
        <v>1</v>
      </c>
      <c r="CI15" s="161">
        <v>0</v>
      </c>
      <c r="CJ15" s="161">
        <v>0.8</v>
      </c>
      <c r="CK15" s="161">
        <v>0</v>
      </c>
      <c r="CL15" s="161">
        <v>0</v>
      </c>
      <c r="CM15" s="161">
        <v>0</v>
      </c>
      <c r="CN15" s="161">
        <v>0</v>
      </c>
      <c r="CO15" s="161">
        <v>0</v>
      </c>
      <c r="CP15" s="161">
        <v>0</v>
      </c>
      <c r="CR15" s="162">
        <f>K15-BM15</f>
        <v>0</v>
      </c>
    </row>
    <row r="16" spans="1:96" outlineLevel="2" x14ac:dyDescent="0.35">
      <c r="A16" s="110" t="s">
        <v>89</v>
      </c>
      <c r="B16" s="110" t="s">
        <v>221</v>
      </c>
      <c r="C16" s="156">
        <f>IF($F16&lt;&gt;"",COUNTA($F$8:F16),"")</f>
        <v>6</v>
      </c>
      <c r="D16" s="157"/>
      <c r="E16" s="157"/>
      <c r="F16" s="157" t="s">
        <v>222</v>
      </c>
      <c r="G16" s="157" t="s">
        <v>223</v>
      </c>
      <c r="H16" s="157" t="s">
        <v>188</v>
      </c>
      <c r="J16" s="158">
        <v>17800</v>
      </c>
      <c r="K16" s="158">
        <v>4763.8681088665544</v>
      </c>
      <c r="L16" s="158">
        <f>SUM(J16:K16)</f>
        <v>22563.868108866554</v>
      </c>
      <c r="N16" s="158">
        <v>61.780999999999999</v>
      </c>
      <c r="O16" s="158">
        <v>379.859443</v>
      </c>
      <c r="P16" s="158">
        <f>IFERROR(O16/N16,0)*10^3</f>
        <v>6148.483239183568</v>
      </c>
      <c r="R16" s="158">
        <v>8000</v>
      </c>
      <c r="T16" s="158">
        <v>8000</v>
      </c>
      <c r="V16" s="158">
        <v>0</v>
      </c>
      <c r="W16" s="159">
        <f>IFERROR(_xlfn.NUMBERVALUE(IF(V16=0,0,LEFT($V16,LEN($V16)-SEARCH("đ",$V16)-4))),$V16)</f>
        <v>0</v>
      </c>
      <c r="X16" s="159">
        <f>IFERROR(IF(V16=0,0,_xlfn.NUMBERVALUE(MID($V16,SEARCH("- ",$V16)+2,LEN($V16)-SEARCH("- ",$V16)-2))),$V16)</f>
        <v>0</v>
      </c>
      <c r="Y16" s="158">
        <v>9500</v>
      </c>
      <c r="Z16" s="158">
        <v>0</v>
      </c>
      <c r="AA16" s="158">
        <v>0</v>
      </c>
      <c r="AB16" s="160">
        <f>IF(MAX(W16:AA16)=0,"Không có",MAX(W16:AA16))</f>
        <v>9500</v>
      </c>
      <c r="AC16" s="157"/>
      <c r="AD16" s="157"/>
      <c r="AE16" s="157"/>
      <c r="AG16" s="158">
        <v>8000</v>
      </c>
      <c r="AI16" s="158">
        <v>53.435000000000002</v>
      </c>
      <c r="AJ16" s="158">
        <v>353.207222</v>
      </c>
      <c r="AK16" s="158">
        <f>IFERROR(AJ16/AI16,0)*10^3</f>
        <v>6610.0350332179278</v>
      </c>
      <c r="AL16" s="158">
        <f>AG16*AI16/10^3</f>
        <v>427.48</v>
      </c>
      <c r="AN16" s="158">
        <f>AG16-AK16</f>
        <v>1389.9649667820722</v>
      </c>
      <c r="AO16" s="158">
        <f>AL16-AJ16</f>
        <v>74.272778000000017</v>
      </c>
      <c r="AR16" s="192">
        <v>8000</v>
      </c>
      <c r="AS16" s="192">
        <f t="shared" si="2"/>
        <v>0</v>
      </c>
      <c r="BM16" s="158">
        <f>SUM(BN16:BV16)</f>
        <v>4763.8681088665544</v>
      </c>
      <c r="BN16" s="158">
        <f t="shared" si="3"/>
        <v>2058.8819088333789</v>
      </c>
      <c r="BO16" s="158">
        <f t="shared" si="3"/>
        <v>0</v>
      </c>
      <c r="BP16" s="158">
        <f t="shared" si="3"/>
        <v>2704.986200033175</v>
      </c>
      <c r="BQ16" s="158">
        <f t="shared" si="3"/>
        <v>0</v>
      </c>
      <c r="BR16" s="158">
        <f t="shared" si="3"/>
        <v>0</v>
      </c>
      <c r="BS16" s="158">
        <f t="shared" si="3"/>
        <v>0</v>
      </c>
      <c r="BT16" s="158">
        <f t="shared" si="3"/>
        <v>0</v>
      </c>
      <c r="BU16" s="158">
        <f t="shared" si="3"/>
        <v>0</v>
      </c>
      <c r="BV16" s="158">
        <f t="shared" si="3"/>
        <v>0</v>
      </c>
      <c r="BX16" s="158">
        <v>2058.8819088333789</v>
      </c>
      <c r="BY16" s="158">
        <v>0</v>
      </c>
      <c r="BZ16" s="158">
        <v>3381.2327500414685</v>
      </c>
      <c r="CA16" s="158">
        <v>0</v>
      </c>
      <c r="CB16" s="158">
        <v>0</v>
      </c>
      <c r="CC16" s="158">
        <v>0</v>
      </c>
      <c r="CD16" s="158">
        <v>0</v>
      </c>
      <c r="CE16" s="158">
        <v>0</v>
      </c>
      <c r="CF16" s="158">
        <v>0</v>
      </c>
      <c r="CH16" s="161">
        <v>1</v>
      </c>
      <c r="CI16" s="161">
        <v>0</v>
      </c>
      <c r="CJ16" s="161">
        <v>0.8</v>
      </c>
      <c r="CK16" s="161">
        <v>0</v>
      </c>
      <c r="CL16" s="161">
        <v>0</v>
      </c>
      <c r="CM16" s="161">
        <v>0</v>
      </c>
      <c r="CN16" s="161">
        <v>0</v>
      </c>
      <c r="CO16" s="161">
        <v>0</v>
      </c>
      <c r="CP16" s="161">
        <v>0</v>
      </c>
      <c r="CR16" s="162">
        <f>K16-BM16</f>
        <v>0</v>
      </c>
    </row>
    <row r="17" spans="1:96" outlineLevel="2" x14ac:dyDescent="0.35">
      <c r="A17" s="110" t="s">
        <v>89</v>
      </c>
      <c r="B17" s="110" t="s">
        <v>221</v>
      </c>
      <c r="C17" s="156">
        <f>IF($F17&lt;&gt;"",COUNTA($F$8:F17),"")</f>
        <v>7</v>
      </c>
      <c r="D17" s="157"/>
      <c r="E17" s="157"/>
      <c r="F17" s="157" t="s">
        <v>224</v>
      </c>
      <c r="G17" s="157" t="s">
        <v>225</v>
      </c>
      <c r="H17" s="157" t="s">
        <v>188</v>
      </c>
      <c r="J17" s="158">
        <v>17800</v>
      </c>
      <c r="K17" s="158">
        <v>4763.8681088665544</v>
      </c>
      <c r="L17" s="158">
        <f>SUM(J17:K17)</f>
        <v>22563.868108866554</v>
      </c>
      <c r="N17" s="158">
        <v>42.671999999999997</v>
      </c>
      <c r="O17" s="158">
        <v>96.202978000000002</v>
      </c>
      <c r="P17" s="158">
        <f>IFERROR(O17/N17,0)*10^3</f>
        <v>2254.4754874390701</v>
      </c>
      <c r="R17" s="158">
        <v>8000</v>
      </c>
      <c r="T17" s="158">
        <v>8000</v>
      </c>
      <c r="V17" s="158" t="s">
        <v>217</v>
      </c>
      <c r="W17" s="159" t="str">
        <f>IFERROR(_xlfn.NUMBERVALUE(IF(V17=0,0,LEFT($V17,LEN($V17)-SEARCH("đ",$V17)-4))),$V17)</f>
        <v/>
      </c>
      <c r="X17" s="159" t="str">
        <f>IFERROR(IF(V17=0,0,_xlfn.NUMBERVALUE(MID($V17,SEARCH("- ",$V17)+2,LEN($V17)-SEARCH("- ",$V17)-2))),$V17)</f>
        <v/>
      </c>
      <c r="Y17" s="158" t="s">
        <v>217</v>
      </c>
      <c r="Z17" s="158" t="s">
        <v>217</v>
      </c>
      <c r="AA17" s="158" t="s">
        <v>217</v>
      </c>
      <c r="AB17" s="160" t="str">
        <f>IF(MAX(W17:AA17)=0,"Không có",MAX(W17:AA17))</f>
        <v>Không có</v>
      </c>
      <c r="AC17" s="157" t="s">
        <v>226</v>
      </c>
      <c r="AD17" s="158">
        <v>3000</v>
      </c>
      <c r="AE17" s="158"/>
      <c r="AG17" s="166">
        <v>3000</v>
      </c>
      <c r="AI17" s="158">
        <v>51.524000000000001</v>
      </c>
      <c r="AJ17" s="158">
        <v>154.71500800000001</v>
      </c>
      <c r="AK17" s="158">
        <f>IFERROR(AJ17/AI17,0)*10^3</f>
        <v>3002.7755609036567</v>
      </c>
      <c r="AL17" s="158">
        <f>AG17*AI17/10^3</f>
        <v>154.572</v>
      </c>
      <c r="AN17" s="158">
        <f>AG17-AK17</f>
        <v>-2.7755609036566966</v>
      </c>
      <c r="AO17" s="158">
        <f>AL17-AJ17</f>
        <v>-0.14300800000000891</v>
      </c>
      <c r="AR17" s="192">
        <v>8000</v>
      </c>
      <c r="AS17" s="192">
        <f t="shared" si="2"/>
        <v>0</v>
      </c>
      <c r="BM17" s="158">
        <f>SUM(BN17:BV17)</f>
        <v>4763.8681088665544</v>
      </c>
      <c r="BN17" s="158">
        <f t="shared" si="3"/>
        <v>2058.8819088333789</v>
      </c>
      <c r="BO17" s="158">
        <f t="shared" si="3"/>
        <v>0</v>
      </c>
      <c r="BP17" s="158">
        <f t="shared" si="3"/>
        <v>2704.986200033175</v>
      </c>
      <c r="BQ17" s="158">
        <f t="shared" si="3"/>
        <v>0</v>
      </c>
      <c r="BR17" s="158">
        <f t="shared" si="3"/>
        <v>0</v>
      </c>
      <c r="BS17" s="158">
        <f t="shared" si="3"/>
        <v>0</v>
      </c>
      <c r="BT17" s="158">
        <f t="shared" si="3"/>
        <v>0</v>
      </c>
      <c r="BU17" s="158">
        <f t="shared" si="3"/>
        <v>0</v>
      </c>
      <c r="BV17" s="158">
        <f t="shared" si="3"/>
        <v>0</v>
      </c>
      <c r="BX17" s="158">
        <v>2058.8819088333789</v>
      </c>
      <c r="BY17" s="158">
        <v>0</v>
      </c>
      <c r="BZ17" s="158">
        <v>3381.2327500414685</v>
      </c>
      <c r="CA17" s="158">
        <v>0</v>
      </c>
      <c r="CB17" s="158">
        <v>0</v>
      </c>
      <c r="CC17" s="158">
        <v>0</v>
      </c>
      <c r="CD17" s="158">
        <v>0</v>
      </c>
      <c r="CE17" s="158">
        <v>0</v>
      </c>
      <c r="CF17" s="158">
        <v>0</v>
      </c>
      <c r="CH17" s="161">
        <v>1</v>
      </c>
      <c r="CI17" s="161">
        <v>0</v>
      </c>
      <c r="CJ17" s="161">
        <v>0.8</v>
      </c>
      <c r="CK17" s="161">
        <v>0</v>
      </c>
      <c r="CL17" s="161">
        <v>0</v>
      </c>
      <c r="CM17" s="161">
        <v>0</v>
      </c>
      <c r="CN17" s="161">
        <v>0</v>
      </c>
      <c r="CO17" s="161">
        <v>0</v>
      </c>
      <c r="CP17" s="161">
        <v>0</v>
      </c>
      <c r="CR17" s="162">
        <f>K17-BM17</f>
        <v>0</v>
      </c>
    </row>
    <row r="18" spans="1:96" outlineLevel="1" x14ac:dyDescent="0.35">
      <c r="A18" s="110" t="s">
        <v>89</v>
      </c>
      <c r="C18" s="156" t="str">
        <f>IF($F18&lt;&gt;"",COUNTA($F$8:F18),"")</f>
        <v/>
      </c>
      <c r="D18" s="157"/>
      <c r="E18" s="149" t="s">
        <v>227</v>
      </c>
      <c r="F18" s="157"/>
      <c r="G18" s="157"/>
      <c r="H18" s="157"/>
      <c r="J18" s="157"/>
      <c r="K18" s="157"/>
      <c r="L18" s="157"/>
      <c r="N18" s="151">
        <f>SUM(N19:N23)</f>
        <v>473.16908999999998</v>
      </c>
      <c r="O18" s="151">
        <f>SUM(O19:O23)</f>
        <v>4229.5228989999996</v>
      </c>
      <c r="P18" s="151">
        <f>O18/N18*10^3</f>
        <v>8938.7134290619015</v>
      </c>
      <c r="R18" s="157"/>
      <c r="T18" s="157"/>
      <c r="V18" s="157"/>
      <c r="W18" s="163"/>
      <c r="X18" s="163"/>
      <c r="Y18" s="157"/>
      <c r="Z18" s="157"/>
      <c r="AA18" s="157"/>
      <c r="AB18" s="164"/>
      <c r="AC18" s="157"/>
      <c r="AD18" s="157"/>
      <c r="AE18" s="157"/>
      <c r="AG18" s="157"/>
      <c r="AI18" s="151">
        <f>SUM(AI19:AI23)</f>
        <v>387.13529</v>
      </c>
      <c r="AJ18" s="151">
        <f>SUM(AJ19:AJ23)</f>
        <v>2810.4951689999998</v>
      </c>
      <c r="AK18" s="151">
        <f>AJ18/AI18*10^3</f>
        <v>7259.7235168098468</v>
      </c>
      <c r="AL18" s="151">
        <f>SUM(AL19:AL23)</f>
        <v>3097.08232</v>
      </c>
      <c r="AN18" s="151"/>
      <c r="AO18" s="151">
        <f>SUM(AO19:AO23)</f>
        <v>286.5871510000004</v>
      </c>
      <c r="BM18" s="157"/>
      <c r="BN18" s="157"/>
      <c r="BO18" s="157"/>
      <c r="BP18" s="157"/>
      <c r="BQ18" s="157"/>
      <c r="BR18" s="157"/>
      <c r="BS18" s="157"/>
      <c r="BT18" s="157"/>
      <c r="BU18" s="157"/>
      <c r="BV18" s="157"/>
      <c r="BX18" s="157"/>
      <c r="BY18" s="157"/>
      <c r="BZ18" s="157"/>
      <c r="CA18" s="157"/>
      <c r="CB18" s="157"/>
      <c r="CC18" s="157"/>
      <c r="CD18" s="157"/>
      <c r="CE18" s="157"/>
      <c r="CF18" s="157"/>
      <c r="CH18" s="165"/>
      <c r="CI18" s="165"/>
      <c r="CJ18" s="165"/>
      <c r="CK18" s="165"/>
      <c r="CL18" s="165"/>
      <c r="CM18" s="165"/>
      <c r="CN18" s="165"/>
      <c r="CO18" s="165"/>
      <c r="CP18" s="165"/>
    </row>
    <row r="19" spans="1:96" outlineLevel="2" x14ac:dyDescent="0.35">
      <c r="A19" s="110" t="s">
        <v>89</v>
      </c>
      <c r="B19" s="110" t="s">
        <v>228</v>
      </c>
      <c r="C19" s="156">
        <f>IF($F19&lt;&gt;"",COUNTA($F$8:F19),"")</f>
        <v>8</v>
      </c>
      <c r="D19" s="157"/>
      <c r="E19" s="157"/>
      <c r="F19" s="157" t="s">
        <v>17</v>
      </c>
      <c r="G19" s="157" t="s">
        <v>18</v>
      </c>
      <c r="H19" s="157" t="s">
        <v>188</v>
      </c>
      <c r="J19" s="158">
        <v>17800</v>
      </c>
      <c r="K19" s="158">
        <v>4763.8681088665544</v>
      </c>
      <c r="L19" s="158">
        <f>SUM(J19:K19)</f>
        <v>22563.868108866554</v>
      </c>
      <c r="N19" s="158">
        <v>185.62409</v>
      </c>
      <c r="O19" s="158">
        <v>2904.82555</v>
      </c>
      <c r="P19" s="158">
        <f>IFERROR(O19/N19,0)*10^3</f>
        <v>15648.96856868093</v>
      </c>
      <c r="R19" s="158">
        <v>19192</v>
      </c>
      <c r="T19" s="158">
        <v>8000</v>
      </c>
      <c r="V19" s="158">
        <v>0</v>
      </c>
      <c r="W19" s="159">
        <f>IFERROR(_xlfn.NUMBERVALUE(IF(V19=0,0,LEFT($V19,LEN($V19)-SEARCH("đ",$V19)-4))),$V19)</f>
        <v>0</v>
      </c>
      <c r="X19" s="159">
        <f>IFERROR(IF(V19=0,0,_xlfn.NUMBERVALUE(MID($V19,SEARCH("- ",$V19)+2,LEN($V19)-SEARCH("- ",$V19)-2))),$V19)</f>
        <v>0</v>
      </c>
      <c r="Y19" s="158">
        <v>11000</v>
      </c>
      <c r="Z19" s="158">
        <v>0</v>
      </c>
      <c r="AA19" s="158">
        <v>0</v>
      </c>
      <c r="AB19" s="160">
        <f>IF(MAX(W19:AA19)=0,"Không có",MAX(W19:AA19))</f>
        <v>11000</v>
      </c>
      <c r="AC19" s="157"/>
      <c r="AD19" s="157"/>
      <c r="AE19" s="157"/>
      <c r="AG19" s="158">
        <v>8000</v>
      </c>
      <c r="AI19" s="158">
        <v>61.239089999999997</v>
      </c>
      <c r="AJ19" s="158">
        <v>958.32859499999995</v>
      </c>
      <c r="AK19" s="158">
        <f>IFERROR(AJ19/AI19,0)*10^3</f>
        <v>15648.968575463809</v>
      </c>
      <c r="AL19" s="158">
        <f>AG19*AI19/10^3</f>
        <v>489.91271999999998</v>
      </c>
      <c r="AN19" s="158">
        <f>AG19-AK19</f>
        <v>-7648.9685754638085</v>
      </c>
      <c r="AO19" s="158">
        <f>AL19-AJ19</f>
        <v>-468.41587499999997</v>
      </c>
      <c r="AR19" s="192">
        <v>19192</v>
      </c>
      <c r="AS19" s="192">
        <f t="shared" ref="AS19:AS23" si="4">AR19-R19</f>
        <v>0</v>
      </c>
      <c r="BM19" s="158">
        <f>SUM(BN19:BV19)</f>
        <v>4763.8681088665544</v>
      </c>
      <c r="BN19" s="158">
        <f t="shared" ref="BN19:BV23" si="5">BX19*CH19</f>
        <v>2058.8819088333789</v>
      </c>
      <c r="BO19" s="158">
        <f t="shared" si="5"/>
        <v>0</v>
      </c>
      <c r="BP19" s="158">
        <f t="shared" si="5"/>
        <v>2704.986200033175</v>
      </c>
      <c r="BQ19" s="158">
        <f t="shared" si="5"/>
        <v>0</v>
      </c>
      <c r="BR19" s="158">
        <f t="shared" si="5"/>
        <v>0</v>
      </c>
      <c r="BS19" s="158">
        <f t="shared" si="5"/>
        <v>0</v>
      </c>
      <c r="BT19" s="158">
        <f t="shared" si="5"/>
        <v>0</v>
      </c>
      <c r="BU19" s="158">
        <f t="shared" si="5"/>
        <v>0</v>
      </c>
      <c r="BV19" s="158">
        <f t="shared" si="5"/>
        <v>0</v>
      </c>
      <c r="BX19" s="158">
        <v>2058.8819088333789</v>
      </c>
      <c r="BY19" s="158">
        <v>0</v>
      </c>
      <c r="BZ19" s="158">
        <v>3381.2327500414685</v>
      </c>
      <c r="CA19" s="158">
        <v>0</v>
      </c>
      <c r="CB19" s="158">
        <v>0</v>
      </c>
      <c r="CC19" s="158">
        <v>0</v>
      </c>
      <c r="CD19" s="158">
        <v>0</v>
      </c>
      <c r="CE19" s="158">
        <v>0</v>
      </c>
      <c r="CF19" s="158">
        <v>0</v>
      </c>
      <c r="CH19" s="161">
        <v>1</v>
      </c>
      <c r="CI19" s="161">
        <v>0</v>
      </c>
      <c r="CJ19" s="161">
        <v>0.8</v>
      </c>
      <c r="CK19" s="161">
        <v>0</v>
      </c>
      <c r="CL19" s="161">
        <v>0</v>
      </c>
      <c r="CM19" s="161">
        <v>0</v>
      </c>
      <c r="CN19" s="161">
        <v>0</v>
      </c>
      <c r="CO19" s="161">
        <v>0</v>
      </c>
      <c r="CP19" s="161">
        <v>0</v>
      </c>
      <c r="CR19" s="162">
        <f>K19-BM19</f>
        <v>0</v>
      </c>
    </row>
    <row r="20" spans="1:96" outlineLevel="2" x14ac:dyDescent="0.35">
      <c r="A20" s="110" t="s">
        <v>89</v>
      </c>
      <c r="B20" s="110" t="s">
        <v>228</v>
      </c>
      <c r="C20" s="156">
        <f>IF($F20&lt;&gt;"",COUNTA($F$8:F20),"")</f>
        <v>9</v>
      </c>
      <c r="D20" s="157"/>
      <c r="E20" s="157"/>
      <c r="F20" s="157" t="s">
        <v>229</v>
      </c>
      <c r="G20" s="157" t="s">
        <v>230</v>
      </c>
      <c r="H20" s="157" t="s">
        <v>189</v>
      </c>
      <c r="J20" s="158">
        <v>17800</v>
      </c>
      <c r="K20" s="158">
        <v>4352.091727099878</v>
      </c>
      <c r="L20" s="158">
        <f>SUM(J20:K20)</f>
        <v>22152.091727099876</v>
      </c>
      <c r="N20" s="158">
        <v>23.579000000000001</v>
      </c>
      <c r="O20" s="158">
        <v>235.78189599999999</v>
      </c>
      <c r="P20" s="158">
        <f>IFERROR(O20/N20,0)*10^3</f>
        <v>9999.656304338605</v>
      </c>
      <c r="R20" s="158">
        <v>10000</v>
      </c>
      <c r="T20" s="158">
        <v>8000</v>
      </c>
      <c r="V20" s="158">
        <v>0</v>
      </c>
      <c r="W20" s="159">
        <f>IFERROR(_xlfn.NUMBERVALUE(IF(V20=0,0,LEFT($V20,LEN($V20)-SEARCH("đ",$V20)-4))),$V20)</f>
        <v>0</v>
      </c>
      <c r="X20" s="159">
        <f>IFERROR(IF(V20=0,0,_xlfn.NUMBERVALUE(MID($V20,SEARCH("- ",$V20)+2,LEN($V20)-SEARCH("- ",$V20)-2))),$V20)</f>
        <v>0</v>
      </c>
      <c r="Y20" s="158">
        <v>11000</v>
      </c>
      <c r="Z20" s="158">
        <v>0</v>
      </c>
      <c r="AA20" s="158">
        <v>0</v>
      </c>
      <c r="AB20" s="160">
        <f>IF(MAX(W20:AA20)=0,"Không có",MAX(W20:AA20))</f>
        <v>11000</v>
      </c>
      <c r="AC20" s="157"/>
      <c r="AD20" s="157"/>
      <c r="AE20" s="157"/>
      <c r="AG20" s="158">
        <v>8000</v>
      </c>
      <c r="AI20" s="158">
        <v>31.314</v>
      </c>
      <c r="AJ20" s="158">
        <v>313.13189599999998</v>
      </c>
      <c r="AK20" s="158">
        <f>IFERROR(AJ20/AI20,0)*10^3</f>
        <v>9999.7412020182655</v>
      </c>
      <c r="AL20" s="158">
        <f>AG20*AI20/10^3</f>
        <v>250.512</v>
      </c>
      <c r="AN20" s="158">
        <f>AG20-AK20</f>
        <v>-1999.7412020182655</v>
      </c>
      <c r="AO20" s="158">
        <f>AL20-AJ20</f>
        <v>-62.619895999999983</v>
      </c>
      <c r="AR20" s="192">
        <v>10000</v>
      </c>
      <c r="AS20" s="192">
        <f t="shared" si="4"/>
        <v>0</v>
      </c>
      <c r="BM20" s="158">
        <f>SUM(BN20:BV20)</f>
        <v>4352.091727099878</v>
      </c>
      <c r="BN20" s="158">
        <f t="shared" si="5"/>
        <v>0</v>
      </c>
      <c r="BO20" s="158">
        <f t="shared" si="5"/>
        <v>0</v>
      </c>
      <c r="BP20" s="158">
        <f t="shared" si="5"/>
        <v>0</v>
      </c>
      <c r="BQ20" s="158">
        <f t="shared" si="5"/>
        <v>4352.091727099878</v>
      </c>
      <c r="BR20" s="158">
        <f t="shared" si="5"/>
        <v>0</v>
      </c>
      <c r="BS20" s="158">
        <f t="shared" si="5"/>
        <v>0</v>
      </c>
      <c r="BT20" s="158">
        <f t="shared" si="5"/>
        <v>0</v>
      </c>
      <c r="BU20" s="158">
        <f t="shared" si="5"/>
        <v>0</v>
      </c>
      <c r="BV20" s="158">
        <f t="shared" si="5"/>
        <v>0</v>
      </c>
      <c r="BX20" s="158">
        <v>0</v>
      </c>
      <c r="BY20" s="158">
        <v>0</v>
      </c>
      <c r="BZ20" s="158">
        <v>0</v>
      </c>
      <c r="CA20" s="158">
        <v>5440.114658874847</v>
      </c>
      <c r="CB20" s="158">
        <v>0</v>
      </c>
      <c r="CC20" s="158">
        <v>0</v>
      </c>
      <c r="CD20" s="158">
        <v>0</v>
      </c>
      <c r="CE20" s="158">
        <v>0</v>
      </c>
      <c r="CF20" s="158">
        <v>0</v>
      </c>
      <c r="CH20" s="161">
        <v>0</v>
      </c>
      <c r="CI20" s="161">
        <v>0</v>
      </c>
      <c r="CJ20" s="161">
        <v>0</v>
      </c>
      <c r="CK20" s="161">
        <v>0.8</v>
      </c>
      <c r="CL20" s="161">
        <v>0</v>
      </c>
      <c r="CM20" s="161">
        <v>0</v>
      </c>
      <c r="CN20" s="161">
        <v>0</v>
      </c>
      <c r="CO20" s="161">
        <v>0</v>
      </c>
      <c r="CP20" s="161">
        <v>0</v>
      </c>
      <c r="CR20" s="162">
        <f>K20-BM20</f>
        <v>0</v>
      </c>
    </row>
    <row r="21" spans="1:96" outlineLevel="2" x14ac:dyDescent="0.35">
      <c r="A21" s="110" t="s">
        <v>89</v>
      </c>
      <c r="B21" s="110" t="s">
        <v>228</v>
      </c>
      <c r="C21" s="156">
        <f>IF($F21&lt;&gt;"",COUNTA($F$8:F21),"")</f>
        <v>10</v>
      </c>
      <c r="D21" s="157"/>
      <c r="E21" s="157"/>
      <c r="F21" s="157" t="s">
        <v>231</v>
      </c>
      <c r="G21" s="157" t="s">
        <v>232</v>
      </c>
      <c r="H21" s="157" t="s">
        <v>188</v>
      </c>
      <c r="J21" s="158">
        <v>17800</v>
      </c>
      <c r="K21" s="158">
        <v>4763.8681088665544</v>
      </c>
      <c r="L21" s="158">
        <f>SUM(J21:K21)</f>
        <v>22563.868108866554</v>
      </c>
      <c r="N21" s="158">
        <v>11.99</v>
      </c>
      <c r="O21" s="158">
        <v>203.83</v>
      </c>
      <c r="P21" s="158">
        <f>IFERROR(O21/N21,0)*10^3</f>
        <v>17000</v>
      </c>
      <c r="R21" s="158">
        <v>17000</v>
      </c>
      <c r="T21" s="158">
        <v>8000</v>
      </c>
      <c r="V21" s="158">
        <v>0</v>
      </c>
      <c r="W21" s="159">
        <f>IFERROR(_xlfn.NUMBERVALUE(IF(V21=0,0,LEFT($V21,LEN($V21)-SEARCH("đ",$V21)-4))),$V21)</f>
        <v>0</v>
      </c>
      <c r="X21" s="159">
        <f>IFERROR(IF(V21=0,0,_xlfn.NUMBERVALUE(MID($V21,SEARCH("- ",$V21)+2,LEN($V21)-SEARCH("- ",$V21)-2))),$V21)</f>
        <v>0</v>
      </c>
      <c r="Y21" s="158">
        <v>9500</v>
      </c>
      <c r="Z21" s="158">
        <v>0</v>
      </c>
      <c r="AA21" s="158">
        <v>0</v>
      </c>
      <c r="AB21" s="160">
        <f>IF(MAX(W21:AA21)=0,"Không có",MAX(W21:AA21))</f>
        <v>9500</v>
      </c>
      <c r="AC21" s="157"/>
      <c r="AD21" s="157"/>
      <c r="AE21" s="157"/>
      <c r="AG21" s="158">
        <v>8000</v>
      </c>
      <c r="AI21" s="158">
        <v>11.99</v>
      </c>
      <c r="AJ21" s="158">
        <v>203.83</v>
      </c>
      <c r="AK21" s="158">
        <f>IFERROR(AJ21/AI21,0)*10^3</f>
        <v>17000</v>
      </c>
      <c r="AL21" s="158">
        <f>AG21*AI21/10^3</f>
        <v>95.92</v>
      </c>
      <c r="AN21" s="158">
        <f>AG21-AK21</f>
        <v>-9000</v>
      </c>
      <c r="AO21" s="158">
        <f>AL21-AJ21</f>
        <v>-107.91000000000001</v>
      </c>
      <c r="AR21" s="192">
        <v>17000</v>
      </c>
      <c r="AS21" s="192">
        <f t="shared" si="4"/>
        <v>0</v>
      </c>
      <c r="BM21" s="158">
        <f>SUM(BN21:BV21)</f>
        <v>4763.8681088665544</v>
      </c>
      <c r="BN21" s="158">
        <f t="shared" si="5"/>
        <v>2058.8819088333789</v>
      </c>
      <c r="BO21" s="158">
        <f t="shared" si="5"/>
        <v>0</v>
      </c>
      <c r="BP21" s="158">
        <f t="shared" si="5"/>
        <v>2704.986200033175</v>
      </c>
      <c r="BQ21" s="158">
        <f t="shared" si="5"/>
        <v>0</v>
      </c>
      <c r="BR21" s="158">
        <f t="shared" si="5"/>
        <v>0</v>
      </c>
      <c r="BS21" s="158">
        <f t="shared" si="5"/>
        <v>0</v>
      </c>
      <c r="BT21" s="158">
        <f t="shared" si="5"/>
        <v>0</v>
      </c>
      <c r="BU21" s="158">
        <f t="shared" si="5"/>
        <v>0</v>
      </c>
      <c r="BV21" s="158">
        <f t="shared" si="5"/>
        <v>0</v>
      </c>
      <c r="BX21" s="158">
        <v>2058.8819088333789</v>
      </c>
      <c r="BY21" s="158">
        <v>0</v>
      </c>
      <c r="BZ21" s="158">
        <v>3381.2327500414685</v>
      </c>
      <c r="CA21" s="158">
        <v>0</v>
      </c>
      <c r="CB21" s="158">
        <v>0</v>
      </c>
      <c r="CC21" s="158">
        <v>0</v>
      </c>
      <c r="CD21" s="158">
        <v>0</v>
      </c>
      <c r="CE21" s="158">
        <v>0</v>
      </c>
      <c r="CF21" s="158">
        <v>0</v>
      </c>
      <c r="CH21" s="161">
        <v>1</v>
      </c>
      <c r="CI21" s="161">
        <v>0</v>
      </c>
      <c r="CJ21" s="161">
        <v>0.8</v>
      </c>
      <c r="CK21" s="161">
        <v>0</v>
      </c>
      <c r="CL21" s="161">
        <v>0</v>
      </c>
      <c r="CM21" s="161">
        <v>0</v>
      </c>
      <c r="CN21" s="161">
        <v>0</v>
      </c>
      <c r="CO21" s="161">
        <v>0</v>
      </c>
      <c r="CP21" s="161">
        <v>0</v>
      </c>
      <c r="CR21" s="162">
        <f>K21-BM21</f>
        <v>0</v>
      </c>
    </row>
    <row r="22" spans="1:96" outlineLevel="2" x14ac:dyDescent="0.35">
      <c r="A22" s="110" t="s">
        <v>89</v>
      </c>
      <c r="B22" s="110" t="s">
        <v>228</v>
      </c>
      <c r="C22" s="156">
        <f>IF($F22&lt;&gt;"",COUNTA($F$8:F22),"")</f>
        <v>11</v>
      </c>
      <c r="D22" s="157"/>
      <c r="E22" s="157"/>
      <c r="F22" s="157" t="s">
        <v>233</v>
      </c>
      <c r="G22" s="157" t="s">
        <v>234</v>
      </c>
      <c r="H22" s="157" t="s">
        <v>188</v>
      </c>
      <c r="J22" s="158">
        <v>17800</v>
      </c>
      <c r="K22" s="158">
        <v>4763.8681088665544</v>
      </c>
      <c r="L22" s="158">
        <f>SUM(J22:K22)</f>
        <v>22563.868108866554</v>
      </c>
      <c r="N22" s="158">
        <v>6.4630000000000001</v>
      </c>
      <c r="O22" s="158">
        <v>76.851607999999999</v>
      </c>
      <c r="P22" s="158">
        <f>IFERROR(O22/N22,0)*10^3</f>
        <v>11891.011604518026</v>
      </c>
      <c r="R22" s="158">
        <v>12000</v>
      </c>
      <c r="T22" s="158">
        <v>8000</v>
      </c>
      <c r="V22" s="158" t="s">
        <v>217</v>
      </c>
      <c r="W22" s="159" t="str">
        <f>IFERROR(_xlfn.NUMBERVALUE(IF(V22=0,0,LEFT($V22,LEN($V22)-SEARCH("đ",$V22)-4))),$V22)</f>
        <v/>
      </c>
      <c r="X22" s="159" t="str">
        <f>IFERROR(IF(V22=0,0,_xlfn.NUMBERVALUE(MID($V22,SEARCH("- ",$V22)+2,LEN($V22)-SEARCH("- ",$V22)-2))),$V22)</f>
        <v/>
      </c>
      <c r="Y22" s="158" t="s">
        <v>217</v>
      </c>
      <c r="Z22" s="158" t="s">
        <v>217</v>
      </c>
      <c r="AA22" s="158" t="s">
        <v>217</v>
      </c>
      <c r="AB22" s="160" t="str">
        <f>IF(MAX(W22:AA22)=0,"Không có",MAX(W22:AA22))</f>
        <v>Không có</v>
      </c>
      <c r="AC22" s="157" t="s">
        <v>226</v>
      </c>
      <c r="AD22" s="157" t="s">
        <v>235</v>
      </c>
      <c r="AE22" s="157"/>
      <c r="AG22" s="166">
        <v>8000</v>
      </c>
      <c r="AI22" s="158">
        <v>6.4630000000000001</v>
      </c>
      <c r="AJ22" s="158">
        <v>76.851607999999999</v>
      </c>
      <c r="AK22" s="158">
        <f>IFERROR(AJ22/AI22,0)*10^3</f>
        <v>11891.011604518026</v>
      </c>
      <c r="AL22" s="158">
        <f>AG22*AI22/10^3</f>
        <v>51.704000000000001</v>
      </c>
      <c r="AN22" s="158">
        <f>AG22-AK22</f>
        <v>-3891.0116045180257</v>
      </c>
      <c r="AO22" s="158">
        <f>AL22-AJ22</f>
        <v>-25.147607999999998</v>
      </c>
      <c r="AR22" s="192">
        <v>12000</v>
      </c>
      <c r="AS22" s="192">
        <f t="shared" si="4"/>
        <v>0</v>
      </c>
      <c r="BM22" s="158">
        <f>SUM(BN22:BV22)</f>
        <v>4763.8681088665544</v>
      </c>
      <c r="BN22" s="158">
        <f t="shared" si="5"/>
        <v>2058.8819088333789</v>
      </c>
      <c r="BO22" s="158">
        <f t="shared" si="5"/>
        <v>0</v>
      </c>
      <c r="BP22" s="158">
        <f t="shared" si="5"/>
        <v>2704.986200033175</v>
      </c>
      <c r="BQ22" s="158">
        <f t="shared" si="5"/>
        <v>0</v>
      </c>
      <c r="BR22" s="158">
        <f t="shared" si="5"/>
        <v>0</v>
      </c>
      <c r="BS22" s="158">
        <f t="shared" si="5"/>
        <v>0</v>
      </c>
      <c r="BT22" s="158">
        <f t="shared" si="5"/>
        <v>0</v>
      </c>
      <c r="BU22" s="158">
        <f t="shared" si="5"/>
        <v>0</v>
      </c>
      <c r="BV22" s="158">
        <f t="shared" si="5"/>
        <v>0</v>
      </c>
      <c r="BX22" s="158">
        <v>2058.8819088333789</v>
      </c>
      <c r="BY22" s="158">
        <v>0</v>
      </c>
      <c r="BZ22" s="158">
        <v>3381.2327500414685</v>
      </c>
      <c r="CA22" s="158">
        <v>0</v>
      </c>
      <c r="CB22" s="158">
        <v>0</v>
      </c>
      <c r="CC22" s="158">
        <v>0</v>
      </c>
      <c r="CD22" s="158">
        <v>0</v>
      </c>
      <c r="CE22" s="158">
        <v>0</v>
      </c>
      <c r="CF22" s="158">
        <v>0</v>
      </c>
      <c r="CH22" s="161">
        <v>1</v>
      </c>
      <c r="CI22" s="161">
        <v>0</v>
      </c>
      <c r="CJ22" s="161">
        <v>0.8</v>
      </c>
      <c r="CK22" s="161">
        <v>0</v>
      </c>
      <c r="CL22" s="161">
        <v>0</v>
      </c>
      <c r="CM22" s="161">
        <v>0</v>
      </c>
      <c r="CN22" s="161">
        <v>0</v>
      </c>
      <c r="CO22" s="161">
        <v>0</v>
      </c>
      <c r="CP22" s="161">
        <v>0</v>
      </c>
      <c r="CR22" s="162">
        <f>K22-BM22</f>
        <v>0</v>
      </c>
    </row>
    <row r="23" spans="1:96" outlineLevel="2" x14ac:dyDescent="0.35">
      <c r="A23" s="110" t="s">
        <v>89</v>
      </c>
      <c r="B23" s="110" t="s">
        <v>228</v>
      </c>
      <c r="C23" s="156">
        <f>IF($F23&lt;&gt;"",COUNTA($F$8:F23),"")</f>
        <v>12</v>
      </c>
      <c r="D23" s="157"/>
      <c r="E23" s="157"/>
      <c r="F23" s="157" t="s">
        <v>34</v>
      </c>
      <c r="G23" s="157" t="s">
        <v>35</v>
      </c>
      <c r="H23" s="157" t="s">
        <v>188</v>
      </c>
      <c r="J23" s="158">
        <v>17800</v>
      </c>
      <c r="K23" s="158">
        <v>4763.8681088665544</v>
      </c>
      <c r="L23" s="158">
        <f>SUM(J23:K23)</f>
        <v>22563.868108866554</v>
      </c>
      <c r="N23" s="158">
        <v>245.51300000000001</v>
      </c>
      <c r="O23" s="158">
        <v>808.23384499999997</v>
      </c>
      <c r="P23" s="158">
        <f>IFERROR(O23/N23,0)*10^3</f>
        <v>3292.0205651024585</v>
      </c>
      <c r="R23" s="158">
        <v>8000</v>
      </c>
      <c r="T23" s="158">
        <v>8000</v>
      </c>
      <c r="V23" s="158" t="s">
        <v>217</v>
      </c>
      <c r="W23" s="159" t="str">
        <f>IFERROR(_xlfn.NUMBERVALUE(IF(V23=0,0,LEFT($V23,LEN($V23)-SEARCH("đ",$V23)-4))),$V23)</f>
        <v/>
      </c>
      <c r="X23" s="159" t="str">
        <f>IFERROR(IF(V23=0,0,_xlfn.NUMBERVALUE(MID($V23,SEARCH("- ",$V23)+2,LEN($V23)-SEARCH("- ",$V23)-2))),$V23)</f>
        <v/>
      </c>
      <c r="Y23" s="158" t="s">
        <v>217</v>
      </c>
      <c r="Z23" s="158" t="s">
        <v>217</v>
      </c>
      <c r="AA23" s="158" t="s">
        <v>217</v>
      </c>
      <c r="AB23" s="160" t="str">
        <f>IF(MAX(W23:AA23)=0,"Không có",MAX(W23:AA23))</f>
        <v>Không có</v>
      </c>
      <c r="AC23" s="157" t="s">
        <v>226</v>
      </c>
      <c r="AD23" s="158">
        <v>3000</v>
      </c>
      <c r="AE23" s="158"/>
      <c r="AG23" s="166">
        <v>8000</v>
      </c>
      <c r="AI23" s="158">
        <v>276.12920000000003</v>
      </c>
      <c r="AJ23" s="158">
        <v>1258.3530699999999</v>
      </c>
      <c r="AK23" s="158">
        <f>IFERROR(AJ23/AI23,0)*10^3</f>
        <v>4557.1169945083666</v>
      </c>
      <c r="AL23" s="158">
        <f>AG23*AI23/10^3</f>
        <v>2209.0336000000002</v>
      </c>
      <c r="AN23" s="158">
        <f>AG23-AK23</f>
        <v>3442.8830054916334</v>
      </c>
      <c r="AO23" s="158">
        <f>AL23-AJ23</f>
        <v>950.68053000000032</v>
      </c>
      <c r="AR23" s="192">
        <v>8000</v>
      </c>
      <c r="AS23" s="192">
        <f t="shared" si="4"/>
        <v>0</v>
      </c>
      <c r="BM23" s="158">
        <f>SUM(BN23:BV23)</f>
        <v>4763.8681088665544</v>
      </c>
      <c r="BN23" s="158">
        <f t="shared" si="5"/>
        <v>2058.8819088333789</v>
      </c>
      <c r="BO23" s="158">
        <f t="shared" si="5"/>
        <v>0</v>
      </c>
      <c r="BP23" s="158">
        <f t="shared" si="5"/>
        <v>2704.986200033175</v>
      </c>
      <c r="BQ23" s="158">
        <f t="shared" si="5"/>
        <v>0</v>
      </c>
      <c r="BR23" s="158">
        <f t="shared" si="5"/>
        <v>0</v>
      </c>
      <c r="BS23" s="158">
        <f t="shared" si="5"/>
        <v>0</v>
      </c>
      <c r="BT23" s="158">
        <f t="shared" si="5"/>
        <v>0</v>
      </c>
      <c r="BU23" s="158">
        <f t="shared" si="5"/>
        <v>0</v>
      </c>
      <c r="BV23" s="158">
        <f t="shared" si="5"/>
        <v>0</v>
      </c>
      <c r="BX23" s="158">
        <v>2058.8819088333789</v>
      </c>
      <c r="BY23" s="158">
        <v>0</v>
      </c>
      <c r="BZ23" s="158">
        <v>3381.2327500414685</v>
      </c>
      <c r="CA23" s="158">
        <v>0</v>
      </c>
      <c r="CB23" s="158">
        <v>0</v>
      </c>
      <c r="CC23" s="158">
        <v>0</v>
      </c>
      <c r="CD23" s="158">
        <v>0</v>
      </c>
      <c r="CE23" s="158">
        <v>0</v>
      </c>
      <c r="CF23" s="158">
        <v>0</v>
      </c>
      <c r="CH23" s="161">
        <v>1</v>
      </c>
      <c r="CI23" s="161">
        <v>0</v>
      </c>
      <c r="CJ23" s="161">
        <v>0.8</v>
      </c>
      <c r="CK23" s="161">
        <v>0</v>
      </c>
      <c r="CL23" s="161">
        <v>0</v>
      </c>
      <c r="CM23" s="161">
        <v>0</v>
      </c>
      <c r="CN23" s="161">
        <v>0</v>
      </c>
      <c r="CO23" s="161">
        <v>0</v>
      </c>
      <c r="CP23" s="161">
        <v>0</v>
      </c>
      <c r="CR23" s="162">
        <f>K23-BM23</f>
        <v>0</v>
      </c>
    </row>
    <row r="24" spans="1:96" outlineLevel="1" x14ac:dyDescent="0.35">
      <c r="A24" s="110" t="s">
        <v>89</v>
      </c>
      <c r="C24" s="156" t="str">
        <f>IF($F24&lt;&gt;"",COUNTA($F$8:F24),"")</f>
        <v/>
      </c>
      <c r="D24" s="157"/>
      <c r="E24" s="149" t="s">
        <v>236</v>
      </c>
      <c r="F24" s="157"/>
      <c r="G24" s="157"/>
      <c r="H24" s="157"/>
      <c r="J24" s="157"/>
      <c r="K24" s="157"/>
      <c r="L24" s="157"/>
      <c r="N24" s="151">
        <f>SUM(N25:N37)</f>
        <v>399.9735</v>
      </c>
      <c r="O24" s="151">
        <f>SUM(O25:O37)</f>
        <v>5892.5121669999999</v>
      </c>
      <c r="P24" s="151">
        <f>O24/N24*10^3</f>
        <v>14732.256429488454</v>
      </c>
      <c r="R24" s="157"/>
      <c r="T24" s="157"/>
      <c r="V24" s="157"/>
      <c r="W24" s="163"/>
      <c r="X24" s="163"/>
      <c r="Y24" s="157"/>
      <c r="Z24" s="157"/>
      <c r="AA24" s="157"/>
      <c r="AB24" s="164"/>
      <c r="AC24" s="157"/>
      <c r="AD24" s="157"/>
      <c r="AE24" s="157"/>
      <c r="AG24" s="157"/>
      <c r="AI24" s="151">
        <f>SUM(AI25:AI37)</f>
        <v>304.67393900000002</v>
      </c>
      <c r="AJ24" s="151">
        <f>SUM(AJ25:AJ37)</f>
        <v>4375.9851099999987</v>
      </c>
      <c r="AK24" s="151">
        <f>AJ24/AI24*10^3</f>
        <v>14362.846800625106</v>
      </c>
      <c r="AL24" s="151">
        <f>SUM(AL25:AL37)</f>
        <v>3083.6067620000003</v>
      </c>
      <c r="AN24" s="151"/>
      <c r="AO24" s="151">
        <f>SUM(AO25:AO37)</f>
        <v>-1292.3783479999997</v>
      </c>
      <c r="BM24" s="157"/>
      <c r="BN24" s="157"/>
      <c r="BO24" s="157"/>
      <c r="BP24" s="157"/>
      <c r="BQ24" s="157"/>
      <c r="BR24" s="157"/>
      <c r="BS24" s="157"/>
      <c r="BT24" s="157"/>
      <c r="BU24" s="157"/>
      <c r="BV24" s="157"/>
      <c r="BX24" s="157"/>
      <c r="BY24" s="157"/>
      <c r="BZ24" s="157"/>
      <c r="CA24" s="157"/>
      <c r="CB24" s="157"/>
      <c r="CC24" s="157"/>
      <c r="CD24" s="157"/>
      <c r="CE24" s="157"/>
      <c r="CF24" s="157"/>
      <c r="CH24" s="165"/>
      <c r="CI24" s="165"/>
      <c r="CJ24" s="165"/>
      <c r="CK24" s="165"/>
      <c r="CL24" s="165"/>
      <c r="CM24" s="165"/>
      <c r="CN24" s="165"/>
      <c r="CO24" s="165"/>
      <c r="CP24" s="165"/>
    </row>
    <row r="25" spans="1:96" outlineLevel="2" x14ac:dyDescent="0.35">
      <c r="A25" s="110" t="s">
        <v>89</v>
      </c>
      <c r="B25" s="110" t="s">
        <v>237</v>
      </c>
      <c r="C25" s="156">
        <f>IF($F25&lt;&gt;"",COUNTA($F$8:F25),"")</f>
        <v>13</v>
      </c>
      <c r="D25" s="157"/>
      <c r="E25" s="157"/>
      <c r="F25" s="157" t="s">
        <v>113</v>
      </c>
      <c r="G25" s="157" t="s">
        <v>238</v>
      </c>
      <c r="H25" s="157" t="s">
        <v>186</v>
      </c>
      <c r="J25" s="158">
        <v>17800</v>
      </c>
      <c r="K25" s="158">
        <v>2058.8819088333789</v>
      </c>
      <c r="L25" s="158">
        <f t="shared" ref="L25:L37" si="6">SUM(J25:K25)</f>
        <v>19858.88190883338</v>
      </c>
      <c r="N25" s="158">
        <v>83.988500000000002</v>
      </c>
      <c r="O25" s="158">
        <v>1433.6386620000001</v>
      </c>
      <c r="P25" s="158">
        <f t="shared" ref="P25:P37" si="7">IFERROR(O25/N25,0)*10^3</f>
        <v>17069.463819451474</v>
      </c>
      <c r="R25" s="158">
        <v>17014</v>
      </c>
      <c r="T25" s="158">
        <v>8000</v>
      </c>
      <c r="V25" s="158" t="s">
        <v>239</v>
      </c>
      <c r="W25" s="159">
        <f t="shared" ref="W25:W37" si="8">IFERROR(_xlfn.NUMBERVALUE(IF(V25=0,0,LEFT($V25,LEN($V25)-SEARCH("đ",$V25)-4))),$V25)</f>
        <v>4500</v>
      </c>
      <c r="X25" s="159">
        <f t="shared" ref="X25:X37" si="9">IFERROR(IF(V25=0,0,_xlfn.NUMBERVALUE(MID($V25,SEARCH("- ",$V25)+2,LEN($V25)-SEARCH("- ",$V25)-2))),$V25)</f>
        <v>9000</v>
      </c>
      <c r="Y25" s="158">
        <v>8500</v>
      </c>
      <c r="Z25" s="158">
        <v>9500</v>
      </c>
      <c r="AA25" s="158">
        <v>10500</v>
      </c>
      <c r="AB25" s="160">
        <f t="shared" ref="AB25:AB37" si="10">IF(MAX(W25:AA25)=0,"Không có",MAX(W25:AA25))</f>
        <v>10500</v>
      </c>
      <c r="AC25" s="157"/>
      <c r="AD25" s="157"/>
      <c r="AE25" s="157"/>
      <c r="AG25" s="158">
        <v>8000</v>
      </c>
      <c r="AI25" s="158">
        <v>23.542999999999999</v>
      </c>
      <c r="AJ25" s="158">
        <v>401.25652100000002</v>
      </c>
      <c r="AK25" s="158">
        <f t="shared" ref="AK25:AK37" si="11">IFERROR(AJ25/AI25,0)*10^3</f>
        <v>17043.559486896316</v>
      </c>
      <c r="AL25" s="158">
        <f t="shared" ref="AL25:AL37" si="12">AG25*AI25/10^3</f>
        <v>188.34399999999999</v>
      </c>
      <c r="AN25" s="158">
        <f t="shared" ref="AN25:AN37" si="13">AG25-AK25</f>
        <v>-9043.5594868963162</v>
      </c>
      <c r="AO25" s="158">
        <f t="shared" ref="AO25:AO37" si="14">AL25-AJ25</f>
        <v>-212.91252100000003</v>
      </c>
      <c r="AR25" s="192">
        <v>17014</v>
      </c>
      <c r="AS25" s="192">
        <f t="shared" ref="AS25:AS37" si="15">AR25-R25</f>
        <v>0</v>
      </c>
      <c r="BM25" s="158">
        <f t="shared" ref="BM25:BM37" si="16">SUM(BN25:BV25)</f>
        <v>2058.8819088333789</v>
      </c>
      <c r="BN25" s="158">
        <f t="shared" ref="BN25:BV37" si="17">BX25*CH25</f>
        <v>2058.8819088333789</v>
      </c>
      <c r="BO25" s="158">
        <f t="shared" si="17"/>
        <v>0</v>
      </c>
      <c r="BP25" s="158">
        <f t="shared" si="17"/>
        <v>0</v>
      </c>
      <c r="BQ25" s="158">
        <f t="shared" si="17"/>
        <v>0</v>
      </c>
      <c r="BR25" s="158">
        <f t="shared" si="17"/>
        <v>0</v>
      </c>
      <c r="BS25" s="158">
        <f t="shared" si="17"/>
        <v>0</v>
      </c>
      <c r="BT25" s="158">
        <f t="shared" si="17"/>
        <v>0</v>
      </c>
      <c r="BU25" s="158">
        <f t="shared" si="17"/>
        <v>0</v>
      </c>
      <c r="BV25" s="158">
        <f t="shared" si="17"/>
        <v>0</v>
      </c>
      <c r="BX25" s="158">
        <v>2058.8819088333789</v>
      </c>
      <c r="BY25" s="158">
        <v>0</v>
      </c>
      <c r="BZ25" s="158">
        <v>0</v>
      </c>
      <c r="CA25" s="158">
        <v>0</v>
      </c>
      <c r="CB25" s="158">
        <v>0</v>
      </c>
      <c r="CC25" s="158">
        <v>0</v>
      </c>
      <c r="CD25" s="158">
        <v>0</v>
      </c>
      <c r="CE25" s="158">
        <v>0</v>
      </c>
      <c r="CF25" s="158">
        <v>0</v>
      </c>
      <c r="CH25" s="161">
        <v>1</v>
      </c>
      <c r="CI25" s="161">
        <v>0</v>
      </c>
      <c r="CJ25" s="161">
        <v>0</v>
      </c>
      <c r="CK25" s="161">
        <v>0</v>
      </c>
      <c r="CL25" s="161">
        <v>0</v>
      </c>
      <c r="CM25" s="161">
        <v>0</v>
      </c>
      <c r="CN25" s="161">
        <v>0</v>
      </c>
      <c r="CO25" s="161">
        <v>0</v>
      </c>
      <c r="CP25" s="161">
        <v>0</v>
      </c>
      <c r="CR25" s="162">
        <f t="shared" ref="CR25:CR37" si="18">K25-BM25</f>
        <v>0</v>
      </c>
    </row>
    <row r="26" spans="1:96" outlineLevel="2" x14ac:dyDescent="0.35">
      <c r="A26" s="110" t="s">
        <v>89</v>
      </c>
      <c r="B26" s="110" t="s">
        <v>237</v>
      </c>
      <c r="C26" s="156">
        <f>IF($F26&lt;&gt;"",COUNTA($F$8:F26),"")</f>
        <v>14</v>
      </c>
      <c r="D26" s="157"/>
      <c r="E26" s="157"/>
      <c r="F26" s="157" t="s">
        <v>117</v>
      </c>
      <c r="G26" s="157" t="s">
        <v>240</v>
      </c>
      <c r="H26" s="157" t="s">
        <v>186</v>
      </c>
      <c r="J26" s="158">
        <v>17800</v>
      </c>
      <c r="K26" s="158">
        <v>2058.8819088333789</v>
      </c>
      <c r="L26" s="158">
        <f t="shared" si="6"/>
        <v>19858.88190883338</v>
      </c>
      <c r="N26" s="158">
        <v>31.75</v>
      </c>
      <c r="O26" s="158">
        <v>498.88787400000001</v>
      </c>
      <c r="P26" s="158">
        <f t="shared" si="7"/>
        <v>15713.003905511812</v>
      </c>
      <c r="R26" s="158">
        <v>17014</v>
      </c>
      <c r="T26" s="158">
        <v>8000</v>
      </c>
      <c r="V26" s="158" t="s">
        <v>239</v>
      </c>
      <c r="W26" s="159">
        <f t="shared" si="8"/>
        <v>4500</v>
      </c>
      <c r="X26" s="159">
        <f t="shared" si="9"/>
        <v>9000</v>
      </c>
      <c r="Y26" s="158">
        <v>8500</v>
      </c>
      <c r="Z26" s="158">
        <v>9500</v>
      </c>
      <c r="AA26" s="158">
        <v>10500</v>
      </c>
      <c r="AB26" s="160">
        <f t="shared" si="10"/>
        <v>10500</v>
      </c>
      <c r="AC26" s="157"/>
      <c r="AD26" s="157"/>
      <c r="AE26" s="157"/>
      <c r="AG26" s="158">
        <v>8000</v>
      </c>
      <c r="AI26" s="158">
        <v>19.559000000000001</v>
      </c>
      <c r="AJ26" s="158">
        <v>310.555072</v>
      </c>
      <c r="AK26" s="158">
        <f t="shared" si="11"/>
        <v>15877.860422311978</v>
      </c>
      <c r="AL26" s="158">
        <f t="shared" si="12"/>
        <v>156.47200000000001</v>
      </c>
      <c r="AN26" s="158">
        <f t="shared" si="13"/>
        <v>-7877.8604223119783</v>
      </c>
      <c r="AO26" s="158">
        <f t="shared" si="14"/>
        <v>-154.08307199999999</v>
      </c>
      <c r="AR26" s="192">
        <v>17014</v>
      </c>
      <c r="AS26" s="192">
        <f t="shared" si="15"/>
        <v>0</v>
      </c>
      <c r="BM26" s="158">
        <f t="shared" si="16"/>
        <v>2058.8819088333789</v>
      </c>
      <c r="BN26" s="158">
        <f t="shared" si="17"/>
        <v>2058.8819088333789</v>
      </c>
      <c r="BO26" s="158">
        <f t="shared" si="17"/>
        <v>0</v>
      </c>
      <c r="BP26" s="158">
        <f t="shared" si="17"/>
        <v>0</v>
      </c>
      <c r="BQ26" s="158">
        <f t="shared" si="17"/>
        <v>0</v>
      </c>
      <c r="BR26" s="158">
        <f t="shared" si="17"/>
        <v>0</v>
      </c>
      <c r="BS26" s="158">
        <f t="shared" si="17"/>
        <v>0</v>
      </c>
      <c r="BT26" s="158">
        <f t="shared" si="17"/>
        <v>0</v>
      </c>
      <c r="BU26" s="158">
        <f t="shared" si="17"/>
        <v>0</v>
      </c>
      <c r="BV26" s="158">
        <f t="shared" si="17"/>
        <v>0</v>
      </c>
      <c r="BX26" s="158">
        <v>2058.8819088333789</v>
      </c>
      <c r="BY26" s="158">
        <v>0</v>
      </c>
      <c r="BZ26" s="158">
        <v>0</v>
      </c>
      <c r="CA26" s="158">
        <v>0</v>
      </c>
      <c r="CB26" s="158">
        <v>0</v>
      </c>
      <c r="CC26" s="158">
        <v>0</v>
      </c>
      <c r="CD26" s="158">
        <v>0</v>
      </c>
      <c r="CE26" s="158">
        <v>0</v>
      </c>
      <c r="CF26" s="158">
        <v>0</v>
      </c>
      <c r="CH26" s="161">
        <v>1</v>
      </c>
      <c r="CI26" s="161">
        <v>0</v>
      </c>
      <c r="CJ26" s="161">
        <v>0</v>
      </c>
      <c r="CK26" s="161">
        <v>0</v>
      </c>
      <c r="CL26" s="161">
        <v>0</v>
      </c>
      <c r="CM26" s="161">
        <v>0</v>
      </c>
      <c r="CN26" s="161">
        <v>0</v>
      </c>
      <c r="CO26" s="161">
        <v>0</v>
      </c>
      <c r="CP26" s="161">
        <v>0</v>
      </c>
      <c r="CR26" s="162">
        <f t="shared" si="18"/>
        <v>0</v>
      </c>
    </row>
    <row r="27" spans="1:96" outlineLevel="2" x14ac:dyDescent="0.35">
      <c r="A27" s="110" t="s">
        <v>89</v>
      </c>
      <c r="B27" s="110" t="s">
        <v>237</v>
      </c>
      <c r="C27" s="156">
        <f>IF($F27&lt;&gt;"",COUNTA($F$8:F27),"")</f>
        <v>15</v>
      </c>
      <c r="D27" s="157"/>
      <c r="E27" s="157"/>
      <c r="F27" s="157" t="s">
        <v>119</v>
      </c>
      <c r="G27" s="157" t="s">
        <v>241</v>
      </c>
      <c r="H27" s="157" t="s">
        <v>186</v>
      </c>
      <c r="J27" s="158">
        <v>17800</v>
      </c>
      <c r="K27" s="158">
        <v>2058.8819088333789</v>
      </c>
      <c r="L27" s="158">
        <f t="shared" si="6"/>
        <v>19858.88190883338</v>
      </c>
      <c r="N27" s="158">
        <v>38.573</v>
      </c>
      <c r="O27" s="158">
        <v>590.42498999999998</v>
      </c>
      <c r="P27" s="158">
        <f t="shared" si="7"/>
        <v>15306.690949627977</v>
      </c>
      <c r="R27" s="158">
        <v>17014</v>
      </c>
      <c r="T27" s="158">
        <v>8000</v>
      </c>
      <c r="V27" s="158" t="s">
        <v>239</v>
      </c>
      <c r="W27" s="159">
        <f t="shared" si="8"/>
        <v>4500</v>
      </c>
      <c r="X27" s="159">
        <f t="shared" si="9"/>
        <v>9000</v>
      </c>
      <c r="Y27" s="158">
        <v>8500</v>
      </c>
      <c r="Z27" s="158">
        <v>9500</v>
      </c>
      <c r="AA27" s="158">
        <v>10500</v>
      </c>
      <c r="AB27" s="160">
        <f t="shared" si="10"/>
        <v>10500</v>
      </c>
      <c r="AC27" s="157"/>
      <c r="AD27" s="157"/>
      <c r="AE27" s="157"/>
      <c r="AG27" s="158">
        <v>8000</v>
      </c>
      <c r="AI27" s="158">
        <v>11.36</v>
      </c>
      <c r="AJ27" s="158">
        <v>173.88400899999999</v>
      </c>
      <c r="AK27" s="158">
        <f t="shared" si="11"/>
        <v>15306.690933098593</v>
      </c>
      <c r="AL27" s="158">
        <f t="shared" si="12"/>
        <v>90.88</v>
      </c>
      <c r="AN27" s="158">
        <f t="shared" si="13"/>
        <v>-7306.6909330985927</v>
      </c>
      <c r="AO27" s="158">
        <f t="shared" si="14"/>
        <v>-83.004008999999996</v>
      </c>
      <c r="AR27" s="192">
        <v>17014</v>
      </c>
      <c r="AS27" s="192">
        <f t="shared" si="15"/>
        <v>0</v>
      </c>
      <c r="BM27" s="158">
        <f t="shared" si="16"/>
        <v>2058.8819088333789</v>
      </c>
      <c r="BN27" s="158">
        <f t="shared" si="17"/>
        <v>2058.8819088333789</v>
      </c>
      <c r="BO27" s="158">
        <f t="shared" si="17"/>
        <v>0</v>
      </c>
      <c r="BP27" s="158">
        <f t="shared" si="17"/>
        <v>0</v>
      </c>
      <c r="BQ27" s="158">
        <f t="shared" si="17"/>
        <v>0</v>
      </c>
      <c r="BR27" s="158">
        <f t="shared" si="17"/>
        <v>0</v>
      </c>
      <c r="BS27" s="158">
        <f t="shared" si="17"/>
        <v>0</v>
      </c>
      <c r="BT27" s="158">
        <f t="shared" si="17"/>
        <v>0</v>
      </c>
      <c r="BU27" s="158">
        <f t="shared" si="17"/>
        <v>0</v>
      </c>
      <c r="BV27" s="158">
        <f t="shared" si="17"/>
        <v>0</v>
      </c>
      <c r="BX27" s="158">
        <v>2058.8819088333789</v>
      </c>
      <c r="BY27" s="158">
        <v>0</v>
      </c>
      <c r="BZ27" s="158">
        <v>0</v>
      </c>
      <c r="CA27" s="158">
        <v>0</v>
      </c>
      <c r="CB27" s="158">
        <v>0</v>
      </c>
      <c r="CC27" s="158">
        <v>0</v>
      </c>
      <c r="CD27" s="158">
        <v>0</v>
      </c>
      <c r="CE27" s="158">
        <v>0</v>
      </c>
      <c r="CF27" s="158">
        <v>0</v>
      </c>
      <c r="CH27" s="161">
        <v>1</v>
      </c>
      <c r="CI27" s="161">
        <v>0</v>
      </c>
      <c r="CJ27" s="161">
        <v>0</v>
      </c>
      <c r="CK27" s="161">
        <v>0</v>
      </c>
      <c r="CL27" s="161">
        <v>0</v>
      </c>
      <c r="CM27" s="161">
        <v>0</v>
      </c>
      <c r="CN27" s="161">
        <v>0</v>
      </c>
      <c r="CO27" s="161">
        <v>0</v>
      </c>
      <c r="CP27" s="161">
        <v>0</v>
      </c>
      <c r="CR27" s="162">
        <f t="shared" si="18"/>
        <v>0</v>
      </c>
    </row>
    <row r="28" spans="1:96" outlineLevel="2" x14ac:dyDescent="0.35">
      <c r="A28" s="110" t="s">
        <v>89</v>
      </c>
      <c r="B28" s="110" t="s">
        <v>237</v>
      </c>
      <c r="C28" s="156">
        <f>IF($F28&lt;&gt;"",COUNTA($F$8:F28),"")</f>
        <v>16</v>
      </c>
      <c r="D28" s="157"/>
      <c r="E28" s="157"/>
      <c r="F28" s="157" t="s">
        <v>121</v>
      </c>
      <c r="G28" s="157" t="s">
        <v>242</v>
      </c>
      <c r="H28" s="157" t="s">
        <v>186</v>
      </c>
      <c r="J28" s="158">
        <v>17800</v>
      </c>
      <c r="K28" s="158">
        <v>2058.8819088333789</v>
      </c>
      <c r="L28" s="158">
        <f t="shared" si="6"/>
        <v>19858.88190883338</v>
      </c>
      <c r="N28" s="158">
        <v>6.88</v>
      </c>
      <c r="O28" s="158">
        <v>104.304818</v>
      </c>
      <c r="P28" s="158">
        <f t="shared" si="7"/>
        <v>15160.584011627907</v>
      </c>
      <c r="R28" s="158">
        <v>17014</v>
      </c>
      <c r="T28" s="158">
        <v>8000</v>
      </c>
      <c r="V28" s="158" t="s">
        <v>239</v>
      </c>
      <c r="W28" s="159">
        <f t="shared" si="8"/>
        <v>4500</v>
      </c>
      <c r="X28" s="159">
        <f t="shared" si="9"/>
        <v>9000</v>
      </c>
      <c r="Y28" s="158">
        <v>8500</v>
      </c>
      <c r="Z28" s="158">
        <v>9500</v>
      </c>
      <c r="AA28" s="158">
        <v>10500</v>
      </c>
      <c r="AB28" s="160">
        <f t="shared" si="10"/>
        <v>10500</v>
      </c>
      <c r="AC28" s="157"/>
      <c r="AD28" s="157"/>
      <c r="AE28" s="157"/>
      <c r="AG28" s="158">
        <v>8000</v>
      </c>
      <c r="AI28" s="158">
        <v>6.88</v>
      </c>
      <c r="AJ28" s="158">
        <v>104.304818</v>
      </c>
      <c r="AK28" s="158">
        <f t="shared" si="11"/>
        <v>15160.584011627907</v>
      </c>
      <c r="AL28" s="158">
        <f t="shared" si="12"/>
        <v>55.04</v>
      </c>
      <c r="AN28" s="158">
        <f t="shared" si="13"/>
        <v>-7160.5840116279069</v>
      </c>
      <c r="AO28" s="158">
        <f t="shared" si="14"/>
        <v>-49.264817999999998</v>
      </c>
      <c r="AR28" s="192">
        <v>17014</v>
      </c>
      <c r="AS28" s="192">
        <f t="shared" si="15"/>
        <v>0</v>
      </c>
      <c r="BM28" s="158">
        <f t="shared" si="16"/>
        <v>2058.8819088333789</v>
      </c>
      <c r="BN28" s="158">
        <f t="shared" si="17"/>
        <v>2058.8819088333789</v>
      </c>
      <c r="BO28" s="158">
        <f t="shared" si="17"/>
        <v>0</v>
      </c>
      <c r="BP28" s="158">
        <f t="shared" si="17"/>
        <v>0</v>
      </c>
      <c r="BQ28" s="158">
        <f t="shared" si="17"/>
        <v>0</v>
      </c>
      <c r="BR28" s="158">
        <f t="shared" si="17"/>
        <v>0</v>
      </c>
      <c r="BS28" s="158">
        <f t="shared" si="17"/>
        <v>0</v>
      </c>
      <c r="BT28" s="158">
        <f t="shared" si="17"/>
        <v>0</v>
      </c>
      <c r="BU28" s="158">
        <f t="shared" si="17"/>
        <v>0</v>
      </c>
      <c r="BV28" s="158">
        <f t="shared" si="17"/>
        <v>0</v>
      </c>
      <c r="BX28" s="158">
        <v>2058.8819088333789</v>
      </c>
      <c r="BY28" s="158">
        <v>0</v>
      </c>
      <c r="BZ28" s="158">
        <v>0</v>
      </c>
      <c r="CA28" s="158">
        <v>0</v>
      </c>
      <c r="CB28" s="158">
        <v>0</v>
      </c>
      <c r="CC28" s="158">
        <v>0</v>
      </c>
      <c r="CD28" s="158">
        <v>0</v>
      </c>
      <c r="CE28" s="158">
        <v>0</v>
      </c>
      <c r="CF28" s="158">
        <v>0</v>
      </c>
      <c r="CH28" s="161">
        <v>1</v>
      </c>
      <c r="CI28" s="161">
        <v>0</v>
      </c>
      <c r="CJ28" s="161">
        <v>0</v>
      </c>
      <c r="CK28" s="161">
        <v>0</v>
      </c>
      <c r="CL28" s="161">
        <v>0</v>
      </c>
      <c r="CM28" s="161">
        <v>0</v>
      </c>
      <c r="CN28" s="161">
        <v>0</v>
      </c>
      <c r="CO28" s="161">
        <v>0</v>
      </c>
      <c r="CP28" s="161">
        <v>0</v>
      </c>
      <c r="CR28" s="162">
        <f t="shared" si="18"/>
        <v>0</v>
      </c>
    </row>
    <row r="29" spans="1:96" outlineLevel="2" x14ac:dyDescent="0.35">
      <c r="A29" s="110" t="s">
        <v>89</v>
      </c>
      <c r="B29" s="110" t="s">
        <v>237</v>
      </c>
      <c r="C29" s="156">
        <f>IF($F29&lt;&gt;"",COUNTA($F$8:F29),"")</f>
        <v>17</v>
      </c>
      <c r="D29" s="157"/>
      <c r="E29" s="157"/>
      <c r="F29" s="157" t="s">
        <v>243</v>
      </c>
      <c r="G29" s="157" t="s">
        <v>244</v>
      </c>
      <c r="H29" s="157" t="s">
        <v>186</v>
      </c>
      <c r="J29" s="158">
        <v>17800</v>
      </c>
      <c r="K29" s="158">
        <v>2058.8819088333789</v>
      </c>
      <c r="L29" s="158">
        <f t="shared" si="6"/>
        <v>19858.88190883338</v>
      </c>
      <c r="N29" s="158">
        <v>7.7389999999999999</v>
      </c>
      <c r="O29" s="158">
        <v>97.734966999999997</v>
      </c>
      <c r="P29" s="158">
        <f t="shared" si="7"/>
        <v>12628.888357668948</v>
      </c>
      <c r="R29" s="158">
        <v>17000</v>
      </c>
      <c r="T29" s="158" t="s">
        <v>217</v>
      </c>
      <c r="V29" s="158" t="s">
        <v>239</v>
      </c>
      <c r="W29" s="159">
        <f t="shared" si="8"/>
        <v>4500</v>
      </c>
      <c r="X29" s="159">
        <f t="shared" si="9"/>
        <v>9000</v>
      </c>
      <c r="Y29" s="158">
        <v>8500</v>
      </c>
      <c r="Z29" s="158">
        <v>9500</v>
      </c>
      <c r="AA29" s="158">
        <v>10500</v>
      </c>
      <c r="AB29" s="160">
        <f t="shared" si="10"/>
        <v>10500</v>
      </c>
      <c r="AC29" s="157"/>
      <c r="AD29" s="157"/>
      <c r="AE29" s="157"/>
      <c r="AG29" s="158">
        <v>10500</v>
      </c>
      <c r="AI29" s="158">
        <v>7.7389999999999999</v>
      </c>
      <c r="AJ29" s="158">
        <v>97.734966999999997</v>
      </c>
      <c r="AK29" s="158">
        <f t="shared" si="11"/>
        <v>12628.888357668948</v>
      </c>
      <c r="AL29" s="158">
        <f t="shared" si="12"/>
        <v>81.259500000000003</v>
      </c>
      <c r="AN29" s="158">
        <f t="shared" si="13"/>
        <v>-2128.8883576689477</v>
      </c>
      <c r="AO29" s="158">
        <f t="shared" si="14"/>
        <v>-16.475466999999995</v>
      </c>
      <c r="AR29" s="192">
        <v>17000</v>
      </c>
      <c r="AS29" s="192">
        <f t="shared" si="15"/>
        <v>0</v>
      </c>
      <c r="BM29" s="158">
        <f t="shared" si="16"/>
        <v>2058.8819088333789</v>
      </c>
      <c r="BN29" s="158">
        <f t="shared" si="17"/>
        <v>2058.8819088333789</v>
      </c>
      <c r="BO29" s="158">
        <f t="shared" si="17"/>
        <v>0</v>
      </c>
      <c r="BP29" s="158">
        <f t="shared" si="17"/>
        <v>0</v>
      </c>
      <c r="BQ29" s="158">
        <f t="shared" si="17"/>
        <v>0</v>
      </c>
      <c r="BR29" s="158">
        <f t="shared" si="17"/>
        <v>0</v>
      </c>
      <c r="BS29" s="158">
        <f t="shared" si="17"/>
        <v>0</v>
      </c>
      <c r="BT29" s="158">
        <f t="shared" si="17"/>
        <v>0</v>
      </c>
      <c r="BU29" s="158">
        <f t="shared" si="17"/>
        <v>0</v>
      </c>
      <c r="BV29" s="158">
        <f t="shared" si="17"/>
        <v>0</v>
      </c>
      <c r="BX29" s="158">
        <v>2058.8819088333789</v>
      </c>
      <c r="BY29" s="158">
        <v>0</v>
      </c>
      <c r="BZ29" s="158">
        <v>0</v>
      </c>
      <c r="CA29" s="158">
        <v>0</v>
      </c>
      <c r="CB29" s="158">
        <v>0</v>
      </c>
      <c r="CC29" s="158">
        <v>0</v>
      </c>
      <c r="CD29" s="158">
        <v>0</v>
      </c>
      <c r="CE29" s="158">
        <v>0</v>
      </c>
      <c r="CF29" s="158">
        <v>0</v>
      </c>
      <c r="CH29" s="161">
        <v>1</v>
      </c>
      <c r="CI29" s="161">
        <v>0</v>
      </c>
      <c r="CJ29" s="161">
        <v>0</v>
      </c>
      <c r="CK29" s="161">
        <v>0</v>
      </c>
      <c r="CL29" s="161">
        <v>0</v>
      </c>
      <c r="CM29" s="161">
        <v>0</v>
      </c>
      <c r="CN29" s="161">
        <v>0</v>
      </c>
      <c r="CO29" s="161">
        <v>0</v>
      </c>
      <c r="CP29" s="161">
        <v>0</v>
      </c>
      <c r="CR29" s="162">
        <f t="shared" si="18"/>
        <v>0</v>
      </c>
    </row>
    <row r="30" spans="1:96" outlineLevel="2" x14ac:dyDescent="0.35">
      <c r="A30" s="110" t="s">
        <v>89</v>
      </c>
      <c r="B30" s="110" t="s">
        <v>245</v>
      </c>
      <c r="C30" s="156">
        <f>IF($F30&lt;&gt;"",COUNTA($F$8:F30),"")</f>
        <v>18</v>
      </c>
      <c r="D30" s="157"/>
      <c r="E30" s="157"/>
      <c r="F30" s="157" t="s">
        <v>246</v>
      </c>
      <c r="G30" s="157" t="s">
        <v>247</v>
      </c>
      <c r="H30" s="157" t="s">
        <v>193</v>
      </c>
      <c r="J30" s="158">
        <v>17800</v>
      </c>
      <c r="K30" s="158">
        <v>8358.9945224680596</v>
      </c>
      <c r="L30" s="158">
        <f t="shared" si="6"/>
        <v>26158.99452246806</v>
      </c>
      <c r="N30" s="158">
        <v>71.334999999999994</v>
      </c>
      <c r="O30" s="158">
        <v>1421.970239</v>
      </c>
      <c r="P30" s="158">
        <f t="shared" si="7"/>
        <v>19933.696488399808</v>
      </c>
      <c r="R30" s="158">
        <v>20000</v>
      </c>
      <c r="T30" s="158">
        <v>15000</v>
      </c>
      <c r="V30" s="158">
        <v>0</v>
      </c>
      <c r="W30" s="159">
        <f t="shared" si="8"/>
        <v>0</v>
      </c>
      <c r="X30" s="159">
        <f t="shared" si="9"/>
        <v>0</v>
      </c>
      <c r="Y30" s="158">
        <v>15000</v>
      </c>
      <c r="Z30" s="158">
        <v>12000</v>
      </c>
      <c r="AA30" s="158">
        <v>0</v>
      </c>
      <c r="AB30" s="160">
        <f t="shared" si="10"/>
        <v>15000</v>
      </c>
      <c r="AC30" s="157"/>
      <c r="AD30" s="157"/>
      <c r="AE30" s="157"/>
      <c r="AG30" s="158">
        <v>15000</v>
      </c>
      <c r="AI30" s="158">
        <v>80.926000000000002</v>
      </c>
      <c r="AJ30" s="158">
        <v>1613.7902389999999</v>
      </c>
      <c r="AK30" s="158">
        <f t="shared" si="11"/>
        <v>19941.554494229295</v>
      </c>
      <c r="AL30" s="158">
        <f t="shared" si="12"/>
        <v>1213.8900000000001</v>
      </c>
      <c r="AN30" s="158">
        <f t="shared" si="13"/>
        <v>-4941.5544942292945</v>
      </c>
      <c r="AO30" s="158">
        <f t="shared" si="14"/>
        <v>-399.90023899999983</v>
      </c>
      <c r="AR30" s="192">
        <v>20000</v>
      </c>
      <c r="AS30" s="192">
        <f t="shared" si="15"/>
        <v>0</v>
      </c>
      <c r="BM30" s="158">
        <f t="shared" si="16"/>
        <v>8358.9945224680596</v>
      </c>
      <c r="BN30" s="158">
        <f t="shared" si="17"/>
        <v>2058.8819088333789</v>
      </c>
      <c r="BO30" s="158">
        <f t="shared" si="17"/>
        <v>0</v>
      </c>
      <c r="BP30" s="158">
        <f t="shared" si="17"/>
        <v>3381.2327500414685</v>
      </c>
      <c r="BQ30" s="158">
        <f t="shared" si="17"/>
        <v>0</v>
      </c>
      <c r="BR30" s="158">
        <f t="shared" si="17"/>
        <v>0</v>
      </c>
      <c r="BS30" s="158">
        <f t="shared" si="17"/>
        <v>0</v>
      </c>
      <c r="BT30" s="158">
        <f t="shared" si="17"/>
        <v>0</v>
      </c>
      <c r="BU30" s="158">
        <f t="shared" si="17"/>
        <v>2918.8798635932121</v>
      </c>
      <c r="BV30" s="158">
        <f t="shared" si="17"/>
        <v>0</v>
      </c>
      <c r="BX30" s="158">
        <v>2058.8819088333789</v>
      </c>
      <c r="BY30" s="158">
        <v>0</v>
      </c>
      <c r="BZ30" s="158">
        <v>3381.2327500414685</v>
      </c>
      <c r="CA30" s="158">
        <v>0</v>
      </c>
      <c r="CB30" s="158">
        <v>0</v>
      </c>
      <c r="CC30" s="158">
        <v>0</v>
      </c>
      <c r="CD30" s="158">
        <v>0</v>
      </c>
      <c r="CE30" s="158">
        <v>2918.8798635932121</v>
      </c>
      <c r="CF30" s="158">
        <v>0</v>
      </c>
      <c r="CH30" s="161">
        <v>1</v>
      </c>
      <c r="CI30" s="161">
        <v>0</v>
      </c>
      <c r="CJ30" s="161">
        <v>1</v>
      </c>
      <c r="CK30" s="161">
        <v>0</v>
      </c>
      <c r="CL30" s="161">
        <v>0</v>
      </c>
      <c r="CM30" s="161">
        <v>0</v>
      </c>
      <c r="CN30" s="161">
        <v>0</v>
      </c>
      <c r="CO30" s="161">
        <v>1</v>
      </c>
      <c r="CP30" s="161">
        <v>0</v>
      </c>
      <c r="CR30" s="162">
        <f t="shared" si="18"/>
        <v>0</v>
      </c>
    </row>
    <row r="31" spans="1:96" outlineLevel="2" x14ac:dyDescent="0.35">
      <c r="A31" s="110" t="s">
        <v>89</v>
      </c>
      <c r="B31" s="110" t="s">
        <v>248</v>
      </c>
      <c r="C31" s="156">
        <f>IF($F31&lt;&gt;"",COUNTA($F$8:F31),"")</f>
        <v>19</v>
      </c>
      <c r="D31" s="157"/>
      <c r="E31" s="157"/>
      <c r="F31" s="157" t="s">
        <v>249</v>
      </c>
      <c r="G31" s="157" t="s">
        <v>250</v>
      </c>
      <c r="H31" s="157" t="s">
        <v>193</v>
      </c>
      <c r="J31" s="158">
        <v>17800</v>
      </c>
      <c r="K31" s="158">
        <v>6315.7786179528102</v>
      </c>
      <c r="L31" s="158">
        <f t="shared" si="6"/>
        <v>24115.778617952812</v>
      </c>
      <c r="N31" s="158">
        <v>86.504000000000005</v>
      </c>
      <c r="O31" s="158">
        <v>864.41132500000003</v>
      </c>
      <c r="P31" s="158">
        <f t="shared" si="7"/>
        <v>9992.7324169980584</v>
      </c>
      <c r="R31" s="158">
        <v>10000</v>
      </c>
      <c r="T31" s="158">
        <v>9500</v>
      </c>
      <c r="V31" s="158">
        <v>0</v>
      </c>
      <c r="W31" s="159">
        <f t="shared" si="8"/>
        <v>0</v>
      </c>
      <c r="X31" s="159">
        <f t="shared" si="9"/>
        <v>0</v>
      </c>
      <c r="Y31" s="158">
        <v>9500</v>
      </c>
      <c r="Z31" s="158">
        <v>0</v>
      </c>
      <c r="AA31" s="158">
        <v>0</v>
      </c>
      <c r="AB31" s="160">
        <f t="shared" si="10"/>
        <v>9500</v>
      </c>
      <c r="AC31" s="157"/>
      <c r="AD31" s="157"/>
      <c r="AE31" s="157"/>
      <c r="AG31" s="158">
        <v>9500</v>
      </c>
      <c r="AI31" s="158">
        <v>94.600999999999999</v>
      </c>
      <c r="AJ31" s="158">
        <v>945.54700700000001</v>
      </c>
      <c r="AK31" s="158">
        <f t="shared" si="11"/>
        <v>9995.1058339763858</v>
      </c>
      <c r="AL31" s="158">
        <f t="shared" si="12"/>
        <v>898.70950000000005</v>
      </c>
      <c r="AN31" s="158">
        <f t="shared" si="13"/>
        <v>-495.10583397638584</v>
      </c>
      <c r="AO31" s="158">
        <f t="shared" si="14"/>
        <v>-46.83750699999996</v>
      </c>
      <c r="AR31" s="192">
        <v>10000</v>
      </c>
      <c r="AS31" s="192">
        <f t="shared" si="15"/>
        <v>0</v>
      </c>
      <c r="BM31" s="158">
        <f t="shared" si="16"/>
        <v>6315.7786179528102</v>
      </c>
      <c r="BN31" s="158">
        <f t="shared" si="17"/>
        <v>2058.8819088333789</v>
      </c>
      <c r="BO31" s="158">
        <f t="shared" si="17"/>
        <v>0</v>
      </c>
      <c r="BP31" s="158">
        <f t="shared" si="17"/>
        <v>3381.2327500414685</v>
      </c>
      <c r="BQ31" s="158">
        <f t="shared" si="17"/>
        <v>0</v>
      </c>
      <c r="BR31" s="158">
        <f t="shared" si="17"/>
        <v>0</v>
      </c>
      <c r="BS31" s="158">
        <f t="shared" si="17"/>
        <v>0</v>
      </c>
      <c r="BT31" s="158">
        <f t="shared" si="17"/>
        <v>0</v>
      </c>
      <c r="BU31" s="158">
        <f t="shared" si="17"/>
        <v>875.66395907796357</v>
      </c>
      <c r="BV31" s="158">
        <f t="shared" si="17"/>
        <v>0</v>
      </c>
      <c r="BX31" s="158">
        <v>2058.8819088333789</v>
      </c>
      <c r="BY31" s="158">
        <v>0</v>
      </c>
      <c r="BZ31" s="158">
        <v>3381.2327500414685</v>
      </c>
      <c r="CA31" s="158">
        <v>0</v>
      </c>
      <c r="CB31" s="158">
        <v>0</v>
      </c>
      <c r="CC31" s="158">
        <v>0</v>
      </c>
      <c r="CD31" s="158">
        <v>0</v>
      </c>
      <c r="CE31" s="158">
        <v>2918.8798635932121</v>
      </c>
      <c r="CF31" s="158">
        <v>0</v>
      </c>
      <c r="CH31" s="161">
        <v>1</v>
      </c>
      <c r="CI31" s="161">
        <v>0</v>
      </c>
      <c r="CJ31" s="161">
        <v>1</v>
      </c>
      <c r="CK31" s="161">
        <v>0</v>
      </c>
      <c r="CL31" s="161">
        <v>0</v>
      </c>
      <c r="CM31" s="161">
        <v>0</v>
      </c>
      <c r="CN31" s="161">
        <v>0</v>
      </c>
      <c r="CO31" s="161">
        <v>0.3</v>
      </c>
      <c r="CP31" s="161">
        <v>0</v>
      </c>
      <c r="CR31" s="162">
        <f t="shared" si="18"/>
        <v>0</v>
      </c>
    </row>
    <row r="32" spans="1:96" outlineLevel="2" x14ac:dyDescent="0.35">
      <c r="A32" s="110" t="s">
        <v>89</v>
      </c>
      <c r="B32" s="110" t="s">
        <v>251</v>
      </c>
      <c r="C32" s="156">
        <f>IF($F32&lt;&gt;"",COUNTA($F$8:F32),"")</f>
        <v>20</v>
      </c>
      <c r="D32" s="157"/>
      <c r="E32" s="157"/>
      <c r="F32" s="157" t="s">
        <v>131</v>
      </c>
      <c r="G32" s="157" t="s">
        <v>252</v>
      </c>
      <c r="H32" s="157" t="s">
        <v>193</v>
      </c>
      <c r="J32" s="158">
        <v>17800</v>
      </c>
      <c r="K32" s="158">
        <v>6607.6666043121322</v>
      </c>
      <c r="L32" s="158">
        <f t="shared" si="6"/>
        <v>24407.666604312133</v>
      </c>
      <c r="N32" s="158">
        <v>6.6580000000000004</v>
      </c>
      <c r="O32" s="158">
        <v>146.808897</v>
      </c>
      <c r="P32" s="158">
        <f t="shared" si="7"/>
        <v>22049.999549414239</v>
      </c>
      <c r="R32" s="158">
        <v>22050</v>
      </c>
      <c r="T32" s="158" t="s">
        <v>217</v>
      </c>
      <c r="V32" s="158">
        <v>0</v>
      </c>
      <c r="W32" s="159">
        <f t="shared" si="8"/>
        <v>0</v>
      </c>
      <c r="X32" s="159">
        <f t="shared" si="9"/>
        <v>0</v>
      </c>
      <c r="Y32" s="158">
        <v>8000</v>
      </c>
      <c r="Z32" s="158">
        <v>8000</v>
      </c>
      <c r="AA32" s="158">
        <v>8000</v>
      </c>
      <c r="AB32" s="160">
        <f t="shared" si="10"/>
        <v>8000</v>
      </c>
      <c r="AC32" s="157"/>
      <c r="AD32" s="157"/>
      <c r="AE32" s="157"/>
      <c r="AG32" s="158">
        <v>8000</v>
      </c>
      <c r="AI32" s="158">
        <v>2.1310390000000003</v>
      </c>
      <c r="AJ32" s="158">
        <v>46.989409999999999</v>
      </c>
      <c r="AK32" s="158">
        <f t="shared" si="11"/>
        <v>22050.00002346273</v>
      </c>
      <c r="AL32" s="158">
        <f t="shared" si="12"/>
        <v>17.048312000000003</v>
      </c>
      <c r="AN32" s="158">
        <f t="shared" si="13"/>
        <v>-14050.00002346273</v>
      </c>
      <c r="AO32" s="158">
        <f t="shared" si="14"/>
        <v>-29.941097999999997</v>
      </c>
      <c r="AR32" s="192">
        <v>22050</v>
      </c>
      <c r="AS32" s="192">
        <f t="shared" si="15"/>
        <v>0</v>
      </c>
      <c r="BM32" s="158">
        <f t="shared" si="16"/>
        <v>6607.6666043121322</v>
      </c>
      <c r="BN32" s="158">
        <f t="shared" si="17"/>
        <v>2058.8819088333789</v>
      </c>
      <c r="BO32" s="158">
        <f t="shared" si="17"/>
        <v>0</v>
      </c>
      <c r="BP32" s="158">
        <f t="shared" si="17"/>
        <v>3381.2327500414685</v>
      </c>
      <c r="BQ32" s="158">
        <f t="shared" si="17"/>
        <v>0</v>
      </c>
      <c r="BR32" s="158">
        <f t="shared" si="17"/>
        <v>0</v>
      </c>
      <c r="BS32" s="158">
        <f t="shared" si="17"/>
        <v>0</v>
      </c>
      <c r="BT32" s="158">
        <f t="shared" si="17"/>
        <v>0</v>
      </c>
      <c r="BU32" s="158">
        <f t="shared" si="17"/>
        <v>1167.551945437285</v>
      </c>
      <c r="BV32" s="158">
        <f t="shared" si="17"/>
        <v>0</v>
      </c>
      <c r="BX32" s="158">
        <v>2058.8819088333789</v>
      </c>
      <c r="BY32" s="158">
        <v>0</v>
      </c>
      <c r="BZ32" s="158">
        <v>3381.2327500414685</v>
      </c>
      <c r="CA32" s="158">
        <v>0</v>
      </c>
      <c r="CB32" s="158">
        <v>0</v>
      </c>
      <c r="CC32" s="158">
        <v>0</v>
      </c>
      <c r="CD32" s="158">
        <v>0</v>
      </c>
      <c r="CE32" s="158">
        <v>2918.8798635932121</v>
      </c>
      <c r="CF32" s="158">
        <v>0</v>
      </c>
      <c r="CH32" s="161">
        <v>1</v>
      </c>
      <c r="CI32" s="161">
        <v>0</v>
      </c>
      <c r="CJ32" s="161">
        <v>1</v>
      </c>
      <c r="CK32" s="161">
        <v>0</v>
      </c>
      <c r="CL32" s="161">
        <v>0</v>
      </c>
      <c r="CM32" s="161">
        <v>0</v>
      </c>
      <c r="CN32" s="161">
        <v>0</v>
      </c>
      <c r="CO32" s="161">
        <v>0.4</v>
      </c>
      <c r="CP32" s="161">
        <v>0</v>
      </c>
      <c r="CR32" s="162">
        <f t="shared" si="18"/>
        <v>0</v>
      </c>
    </row>
    <row r="33" spans="1:96" outlineLevel="2" x14ac:dyDescent="0.35">
      <c r="A33" s="110" t="s">
        <v>89</v>
      </c>
      <c r="B33" s="110" t="s">
        <v>251</v>
      </c>
      <c r="C33" s="156">
        <f>IF($F33&lt;&gt;"",COUNTA($F$8:F33),"")</f>
        <v>21</v>
      </c>
      <c r="D33" s="157"/>
      <c r="E33" s="157"/>
      <c r="F33" s="157" t="s">
        <v>253</v>
      </c>
      <c r="G33" s="157" t="s">
        <v>254</v>
      </c>
      <c r="H33" s="157" t="s">
        <v>193</v>
      </c>
      <c r="J33" s="158">
        <v>17800</v>
      </c>
      <c r="K33" s="158">
        <v>6607.6666043121322</v>
      </c>
      <c r="L33" s="158">
        <f t="shared" si="6"/>
        <v>24407.666604312133</v>
      </c>
      <c r="N33" s="158">
        <v>7.3109999999999999</v>
      </c>
      <c r="O33" s="158">
        <v>161.20755</v>
      </c>
      <c r="P33" s="158">
        <f t="shared" si="7"/>
        <v>22050</v>
      </c>
      <c r="R33" s="158">
        <v>22050</v>
      </c>
      <c r="T33" s="158" t="s">
        <v>217</v>
      </c>
      <c r="V33" s="158" t="s">
        <v>217</v>
      </c>
      <c r="W33" s="159" t="str">
        <f t="shared" si="8"/>
        <v/>
      </c>
      <c r="X33" s="159" t="str">
        <f t="shared" si="9"/>
        <v/>
      </c>
      <c r="Y33" s="158" t="s">
        <v>217</v>
      </c>
      <c r="Z33" s="158" t="s">
        <v>217</v>
      </c>
      <c r="AA33" s="158" t="s">
        <v>217</v>
      </c>
      <c r="AB33" s="160" t="str">
        <f t="shared" si="10"/>
        <v>Không có</v>
      </c>
      <c r="AC33" s="157" t="s">
        <v>226</v>
      </c>
      <c r="AD33" s="157" t="s">
        <v>255</v>
      </c>
      <c r="AE33" s="157"/>
      <c r="AG33" s="158">
        <v>3000</v>
      </c>
      <c r="AI33" s="158">
        <v>7.3109999999999999</v>
      </c>
      <c r="AJ33" s="158">
        <v>161.20755</v>
      </c>
      <c r="AK33" s="158">
        <f t="shared" si="11"/>
        <v>22050</v>
      </c>
      <c r="AL33" s="158">
        <f t="shared" si="12"/>
        <v>21.933</v>
      </c>
      <c r="AN33" s="158">
        <f t="shared" si="13"/>
        <v>-19050</v>
      </c>
      <c r="AO33" s="158">
        <f t="shared" si="14"/>
        <v>-139.27455</v>
      </c>
      <c r="AR33" s="192">
        <v>22050</v>
      </c>
      <c r="AS33" s="192">
        <f t="shared" si="15"/>
        <v>0</v>
      </c>
      <c r="BM33" s="158">
        <f t="shared" si="16"/>
        <v>6607.6666043121322</v>
      </c>
      <c r="BN33" s="158">
        <f t="shared" si="17"/>
        <v>2058.8819088333789</v>
      </c>
      <c r="BO33" s="158">
        <f t="shared" si="17"/>
        <v>0</v>
      </c>
      <c r="BP33" s="158">
        <f t="shared" si="17"/>
        <v>3381.2327500414685</v>
      </c>
      <c r="BQ33" s="158">
        <f t="shared" si="17"/>
        <v>0</v>
      </c>
      <c r="BR33" s="158">
        <f t="shared" si="17"/>
        <v>0</v>
      </c>
      <c r="BS33" s="158">
        <f t="shared" si="17"/>
        <v>0</v>
      </c>
      <c r="BT33" s="158">
        <f t="shared" si="17"/>
        <v>0</v>
      </c>
      <c r="BU33" s="158">
        <f t="shared" si="17"/>
        <v>1167.551945437285</v>
      </c>
      <c r="BV33" s="158">
        <f t="shared" si="17"/>
        <v>0</v>
      </c>
      <c r="BX33" s="158">
        <v>2058.8819088333789</v>
      </c>
      <c r="BY33" s="158">
        <v>0</v>
      </c>
      <c r="BZ33" s="158">
        <v>3381.2327500414685</v>
      </c>
      <c r="CA33" s="158">
        <v>0</v>
      </c>
      <c r="CB33" s="158">
        <v>0</v>
      </c>
      <c r="CC33" s="158">
        <v>0</v>
      </c>
      <c r="CD33" s="158">
        <v>0</v>
      </c>
      <c r="CE33" s="158">
        <v>2918.8798635932121</v>
      </c>
      <c r="CF33" s="158">
        <v>0</v>
      </c>
      <c r="CH33" s="161">
        <v>1</v>
      </c>
      <c r="CI33" s="161">
        <v>0</v>
      </c>
      <c r="CJ33" s="161">
        <v>1</v>
      </c>
      <c r="CK33" s="161">
        <v>0</v>
      </c>
      <c r="CL33" s="161">
        <v>0</v>
      </c>
      <c r="CM33" s="161">
        <v>0</v>
      </c>
      <c r="CN33" s="161">
        <v>0</v>
      </c>
      <c r="CO33" s="161">
        <v>0.4</v>
      </c>
      <c r="CP33" s="161">
        <v>0</v>
      </c>
      <c r="CR33" s="162">
        <f t="shared" si="18"/>
        <v>0</v>
      </c>
    </row>
    <row r="34" spans="1:96" outlineLevel="2" x14ac:dyDescent="0.35">
      <c r="A34" s="110" t="s">
        <v>89</v>
      </c>
      <c r="B34" s="110" t="s">
        <v>256</v>
      </c>
      <c r="C34" s="156">
        <f>IF($F34&lt;&gt;"",COUNTA($F$8:F34),"")</f>
        <v>22</v>
      </c>
      <c r="D34" s="157"/>
      <c r="E34" s="157"/>
      <c r="F34" s="157" t="s">
        <v>257</v>
      </c>
      <c r="G34" s="157" t="s">
        <v>258</v>
      </c>
      <c r="H34" s="157" t="s">
        <v>189</v>
      </c>
      <c r="J34" s="158">
        <v>17800</v>
      </c>
      <c r="K34" s="158">
        <v>4352.091727099878</v>
      </c>
      <c r="L34" s="158">
        <f t="shared" si="6"/>
        <v>22152.091727099876</v>
      </c>
      <c r="N34" s="158">
        <v>26.86</v>
      </c>
      <c r="O34" s="158">
        <v>281.95411899999999</v>
      </c>
      <c r="P34" s="158">
        <f t="shared" si="7"/>
        <v>10497.174944154876</v>
      </c>
      <c r="R34" s="158">
        <v>10500</v>
      </c>
      <c r="T34" s="158">
        <v>10500</v>
      </c>
      <c r="V34" s="158">
        <v>0</v>
      </c>
      <c r="W34" s="159">
        <f t="shared" si="8"/>
        <v>0</v>
      </c>
      <c r="X34" s="159">
        <f t="shared" si="9"/>
        <v>0</v>
      </c>
      <c r="Y34" s="158">
        <v>11000</v>
      </c>
      <c r="Z34" s="158">
        <v>0</v>
      </c>
      <c r="AA34" s="158">
        <v>0</v>
      </c>
      <c r="AB34" s="160">
        <f t="shared" si="10"/>
        <v>11000</v>
      </c>
      <c r="AC34" s="157"/>
      <c r="AD34" s="157"/>
      <c r="AE34" s="157"/>
      <c r="AG34" s="158">
        <v>10500</v>
      </c>
      <c r="AI34" s="158">
        <v>14.9489</v>
      </c>
      <c r="AJ34" s="158">
        <v>156.94679099999999</v>
      </c>
      <c r="AK34" s="158">
        <f t="shared" si="11"/>
        <v>10498.885603623008</v>
      </c>
      <c r="AL34" s="158">
        <f t="shared" si="12"/>
        <v>156.96345000000002</v>
      </c>
      <c r="AN34" s="158">
        <f t="shared" si="13"/>
        <v>1.1143963769918628</v>
      </c>
      <c r="AO34" s="158">
        <f t="shared" si="14"/>
        <v>1.665900000003262E-2</v>
      </c>
      <c r="AR34" s="192">
        <v>10500</v>
      </c>
      <c r="AS34" s="192">
        <f t="shared" si="15"/>
        <v>0</v>
      </c>
      <c r="BM34" s="158">
        <f t="shared" si="16"/>
        <v>4352.091727099878</v>
      </c>
      <c r="BN34" s="158">
        <f t="shared" si="17"/>
        <v>0</v>
      </c>
      <c r="BO34" s="158">
        <f t="shared" si="17"/>
        <v>0</v>
      </c>
      <c r="BP34" s="158">
        <f t="shared" si="17"/>
        <v>0</v>
      </c>
      <c r="BQ34" s="158">
        <f t="shared" si="17"/>
        <v>4352.091727099878</v>
      </c>
      <c r="BR34" s="158">
        <f t="shared" si="17"/>
        <v>0</v>
      </c>
      <c r="BS34" s="158">
        <f t="shared" si="17"/>
        <v>0</v>
      </c>
      <c r="BT34" s="158">
        <f t="shared" si="17"/>
        <v>0</v>
      </c>
      <c r="BU34" s="158">
        <f t="shared" si="17"/>
        <v>0</v>
      </c>
      <c r="BV34" s="158">
        <f t="shared" si="17"/>
        <v>0</v>
      </c>
      <c r="BX34" s="158">
        <v>0</v>
      </c>
      <c r="BY34" s="158">
        <v>0</v>
      </c>
      <c r="BZ34" s="158">
        <v>0</v>
      </c>
      <c r="CA34" s="158">
        <v>5440.114658874847</v>
      </c>
      <c r="CB34" s="158">
        <v>0</v>
      </c>
      <c r="CC34" s="158">
        <v>0</v>
      </c>
      <c r="CD34" s="158">
        <v>0</v>
      </c>
      <c r="CE34" s="158">
        <v>0</v>
      </c>
      <c r="CF34" s="158">
        <v>0</v>
      </c>
      <c r="CH34" s="161">
        <v>0</v>
      </c>
      <c r="CI34" s="161">
        <v>0</v>
      </c>
      <c r="CJ34" s="161">
        <v>0</v>
      </c>
      <c r="CK34" s="161">
        <v>0.8</v>
      </c>
      <c r="CL34" s="161">
        <v>0</v>
      </c>
      <c r="CM34" s="161">
        <v>0</v>
      </c>
      <c r="CN34" s="161">
        <v>0</v>
      </c>
      <c r="CO34" s="161">
        <v>0</v>
      </c>
      <c r="CP34" s="161">
        <v>0</v>
      </c>
      <c r="CR34" s="162">
        <f t="shared" si="18"/>
        <v>0</v>
      </c>
    </row>
    <row r="35" spans="1:96" outlineLevel="2" x14ac:dyDescent="0.35">
      <c r="A35" s="110" t="s">
        <v>89</v>
      </c>
      <c r="B35" s="110" t="s">
        <v>259</v>
      </c>
      <c r="C35" s="156">
        <f>IF($F35&lt;&gt;"",COUNTA($F$8:F35),"")</f>
        <v>23</v>
      </c>
      <c r="D35" s="157"/>
      <c r="E35" s="157"/>
      <c r="F35" s="157" t="s">
        <v>260</v>
      </c>
      <c r="G35" s="157" t="s">
        <v>261</v>
      </c>
      <c r="H35" s="157" t="s">
        <v>189</v>
      </c>
      <c r="J35" s="158">
        <v>17800</v>
      </c>
      <c r="K35" s="158">
        <v>544.01146588748475</v>
      </c>
      <c r="L35" s="158">
        <f t="shared" si="6"/>
        <v>18344.011465887485</v>
      </c>
      <c r="N35" s="158">
        <v>16.350999999999999</v>
      </c>
      <c r="O35" s="158">
        <v>171.12072599999999</v>
      </c>
      <c r="P35" s="158">
        <f t="shared" si="7"/>
        <v>10465.459360283776</v>
      </c>
      <c r="R35" s="158">
        <v>10500</v>
      </c>
      <c r="T35" s="158" t="s">
        <v>217</v>
      </c>
      <c r="V35" s="158" t="s">
        <v>212</v>
      </c>
      <c r="W35" s="159">
        <f t="shared" si="8"/>
        <v>1500</v>
      </c>
      <c r="X35" s="159">
        <f t="shared" si="9"/>
        <v>1800</v>
      </c>
      <c r="Y35" s="158">
        <v>3000</v>
      </c>
      <c r="Z35" s="158">
        <v>2000</v>
      </c>
      <c r="AA35" s="158">
        <v>5000</v>
      </c>
      <c r="AB35" s="160">
        <f t="shared" si="10"/>
        <v>5000</v>
      </c>
      <c r="AC35" s="157"/>
      <c r="AD35" s="157"/>
      <c r="AE35" s="157"/>
      <c r="AG35" s="158">
        <v>5000</v>
      </c>
      <c r="AI35" s="158">
        <v>16.350999999999999</v>
      </c>
      <c r="AJ35" s="158">
        <v>171.12072599999999</v>
      </c>
      <c r="AK35" s="158">
        <f t="shared" si="11"/>
        <v>10465.459360283776</v>
      </c>
      <c r="AL35" s="158">
        <f t="shared" si="12"/>
        <v>81.754999999999995</v>
      </c>
      <c r="AN35" s="158">
        <f t="shared" si="13"/>
        <v>-5465.4593602837758</v>
      </c>
      <c r="AO35" s="158">
        <f t="shared" si="14"/>
        <v>-89.365725999999995</v>
      </c>
      <c r="AR35" s="192">
        <v>10500</v>
      </c>
      <c r="AS35" s="192">
        <f t="shared" si="15"/>
        <v>0</v>
      </c>
      <c r="BM35" s="158">
        <f t="shared" si="16"/>
        <v>544.01146588748475</v>
      </c>
      <c r="BN35" s="158">
        <f t="shared" si="17"/>
        <v>0</v>
      </c>
      <c r="BO35" s="158">
        <f t="shared" si="17"/>
        <v>0</v>
      </c>
      <c r="BP35" s="158">
        <f t="shared" si="17"/>
        <v>0</v>
      </c>
      <c r="BQ35" s="158">
        <f t="shared" si="17"/>
        <v>544.01146588748475</v>
      </c>
      <c r="BR35" s="158">
        <f t="shared" si="17"/>
        <v>0</v>
      </c>
      <c r="BS35" s="158">
        <f t="shared" si="17"/>
        <v>0</v>
      </c>
      <c r="BT35" s="158">
        <f t="shared" si="17"/>
        <v>0</v>
      </c>
      <c r="BU35" s="158">
        <f t="shared" si="17"/>
        <v>0</v>
      </c>
      <c r="BV35" s="158">
        <f t="shared" si="17"/>
        <v>0</v>
      </c>
      <c r="BX35" s="158">
        <v>0</v>
      </c>
      <c r="BY35" s="158">
        <v>0</v>
      </c>
      <c r="BZ35" s="158">
        <v>0</v>
      </c>
      <c r="CA35" s="158">
        <v>5440.114658874847</v>
      </c>
      <c r="CB35" s="158">
        <v>0</v>
      </c>
      <c r="CC35" s="158">
        <v>0</v>
      </c>
      <c r="CD35" s="158">
        <v>0</v>
      </c>
      <c r="CE35" s="158">
        <v>0</v>
      </c>
      <c r="CF35" s="158">
        <v>0</v>
      </c>
      <c r="CH35" s="161">
        <v>0</v>
      </c>
      <c r="CI35" s="161">
        <v>0</v>
      </c>
      <c r="CJ35" s="161">
        <v>0</v>
      </c>
      <c r="CK35" s="161">
        <v>0.1</v>
      </c>
      <c r="CL35" s="161">
        <v>0</v>
      </c>
      <c r="CM35" s="161">
        <v>0</v>
      </c>
      <c r="CN35" s="161">
        <v>0</v>
      </c>
      <c r="CO35" s="161">
        <v>0</v>
      </c>
      <c r="CP35" s="161">
        <v>0</v>
      </c>
      <c r="CR35" s="162">
        <f t="shared" si="18"/>
        <v>0</v>
      </c>
    </row>
    <row r="36" spans="1:96" outlineLevel="2" x14ac:dyDescent="0.35">
      <c r="A36" s="110" t="s">
        <v>89</v>
      </c>
      <c r="B36" s="110" t="s">
        <v>262</v>
      </c>
      <c r="C36" s="156">
        <f>IF($F36&lt;&gt;"",COUNTA($F$8:F36),"")</f>
        <v>24</v>
      </c>
      <c r="D36" s="157"/>
      <c r="E36" s="157"/>
      <c r="F36" s="157" t="s">
        <v>263</v>
      </c>
      <c r="G36" s="157" t="s">
        <v>264</v>
      </c>
      <c r="H36" s="157" t="s">
        <v>193</v>
      </c>
      <c r="J36" s="158">
        <v>17800</v>
      </c>
      <c r="K36" s="158">
        <v>6899.5545906714533</v>
      </c>
      <c r="L36" s="158">
        <f t="shared" si="6"/>
        <v>24699.554590671454</v>
      </c>
      <c r="N36" s="158">
        <v>4.4000000000000004</v>
      </c>
      <c r="O36" s="158">
        <v>96.8</v>
      </c>
      <c r="P36" s="158">
        <f t="shared" si="7"/>
        <v>21999.999999999996</v>
      </c>
      <c r="R36" s="158">
        <v>22000</v>
      </c>
      <c r="T36" s="158">
        <v>15000</v>
      </c>
      <c r="V36" s="158">
        <v>0</v>
      </c>
      <c r="W36" s="159">
        <f t="shared" si="8"/>
        <v>0</v>
      </c>
      <c r="X36" s="159">
        <f t="shared" si="9"/>
        <v>0</v>
      </c>
      <c r="Y36" s="158">
        <v>15000</v>
      </c>
      <c r="Z36" s="158">
        <v>0</v>
      </c>
      <c r="AA36" s="158">
        <v>0</v>
      </c>
      <c r="AB36" s="160">
        <f t="shared" si="10"/>
        <v>15000</v>
      </c>
      <c r="AC36" s="157"/>
      <c r="AD36" s="157"/>
      <c r="AE36" s="157"/>
      <c r="AG36" s="158">
        <v>15000</v>
      </c>
      <c r="AI36" s="158">
        <v>7.7</v>
      </c>
      <c r="AJ36" s="158">
        <v>169.4</v>
      </c>
      <c r="AK36" s="158">
        <f t="shared" si="11"/>
        <v>22000</v>
      </c>
      <c r="AL36" s="158">
        <f t="shared" si="12"/>
        <v>115.5</v>
      </c>
      <c r="AN36" s="158">
        <f t="shared" si="13"/>
        <v>-7000</v>
      </c>
      <c r="AO36" s="158">
        <f t="shared" si="14"/>
        <v>-53.900000000000006</v>
      </c>
      <c r="AR36" s="192">
        <v>22000</v>
      </c>
      <c r="AS36" s="192">
        <f t="shared" si="15"/>
        <v>0</v>
      </c>
      <c r="BM36" s="158">
        <f t="shared" si="16"/>
        <v>6899.5545906714533</v>
      </c>
      <c r="BN36" s="158">
        <f t="shared" si="17"/>
        <v>2058.8819088333789</v>
      </c>
      <c r="BO36" s="158">
        <f t="shared" si="17"/>
        <v>0</v>
      </c>
      <c r="BP36" s="158">
        <f t="shared" si="17"/>
        <v>3381.2327500414685</v>
      </c>
      <c r="BQ36" s="158">
        <f t="shared" si="17"/>
        <v>0</v>
      </c>
      <c r="BR36" s="158">
        <f t="shared" si="17"/>
        <v>0</v>
      </c>
      <c r="BS36" s="158">
        <f t="shared" si="17"/>
        <v>0</v>
      </c>
      <c r="BT36" s="158">
        <f t="shared" si="17"/>
        <v>0</v>
      </c>
      <c r="BU36" s="158">
        <f t="shared" si="17"/>
        <v>1459.4399317966061</v>
      </c>
      <c r="BV36" s="158">
        <f t="shared" si="17"/>
        <v>0</v>
      </c>
      <c r="BX36" s="158">
        <v>2058.8819088333789</v>
      </c>
      <c r="BY36" s="158">
        <v>0</v>
      </c>
      <c r="BZ36" s="158">
        <v>3381.2327500414685</v>
      </c>
      <c r="CA36" s="158">
        <v>0</v>
      </c>
      <c r="CB36" s="158">
        <v>0</v>
      </c>
      <c r="CC36" s="158">
        <v>0</v>
      </c>
      <c r="CD36" s="158">
        <v>0</v>
      </c>
      <c r="CE36" s="158">
        <v>2918.8798635932121</v>
      </c>
      <c r="CF36" s="158">
        <v>0</v>
      </c>
      <c r="CH36" s="161">
        <v>1</v>
      </c>
      <c r="CI36" s="161">
        <v>0</v>
      </c>
      <c r="CJ36" s="161">
        <v>1</v>
      </c>
      <c r="CK36" s="161">
        <v>0</v>
      </c>
      <c r="CL36" s="161">
        <v>0</v>
      </c>
      <c r="CM36" s="161">
        <v>0</v>
      </c>
      <c r="CN36" s="161">
        <v>0</v>
      </c>
      <c r="CO36" s="161">
        <v>0.5</v>
      </c>
      <c r="CP36" s="161">
        <v>0</v>
      </c>
      <c r="CR36" s="162">
        <f t="shared" si="18"/>
        <v>0</v>
      </c>
    </row>
    <row r="37" spans="1:96" outlineLevel="2" x14ac:dyDescent="0.35">
      <c r="A37" s="110" t="s">
        <v>89</v>
      </c>
      <c r="B37" s="110" t="s">
        <v>265</v>
      </c>
      <c r="C37" s="156">
        <f>IF($F37&lt;&gt;"",COUNTA($F$8:F37),"")</f>
        <v>25</v>
      </c>
      <c r="D37" s="157"/>
      <c r="E37" s="157"/>
      <c r="F37" s="157" t="s">
        <v>266</v>
      </c>
      <c r="G37" s="157" t="s">
        <v>267</v>
      </c>
      <c r="H37" s="157" t="s">
        <v>186</v>
      </c>
      <c r="J37" s="158">
        <v>17800</v>
      </c>
      <c r="K37" s="158">
        <v>2058.8819088333789</v>
      </c>
      <c r="L37" s="158">
        <f t="shared" si="6"/>
        <v>19858.88190883338</v>
      </c>
      <c r="N37" s="158">
        <v>11.624000000000001</v>
      </c>
      <c r="O37" s="158">
        <v>23.248000000000001</v>
      </c>
      <c r="P37" s="158">
        <f t="shared" si="7"/>
        <v>2000</v>
      </c>
      <c r="R37" s="158">
        <v>2000</v>
      </c>
      <c r="T37" s="158" t="s">
        <v>217</v>
      </c>
      <c r="V37" s="158">
        <v>500</v>
      </c>
      <c r="W37" s="159">
        <f t="shared" si="8"/>
        <v>500</v>
      </c>
      <c r="X37" s="159">
        <f t="shared" si="9"/>
        <v>500</v>
      </c>
      <c r="Y37" s="158">
        <v>0</v>
      </c>
      <c r="Z37" s="158">
        <v>0</v>
      </c>
      <c r="AA37" s="158">
        <v>0</v>
      </c>
      <c r="AB37" s="160">
        <f t="shared" si="10"/>
        <v>500</v>
      </c>
      <c r="AC37" s="157"/>
      <c r="AD37" s="157"/>
      <c r="AE37" s="157"/>
      <c r="AG37" s="158">
        <v>500</v>
      </c>
      <c r="AI37" s="158">
        <v>11.624000000000001</v>
      </c>
      <c r="AJ37" s="158">
        <v>23.248000000000001</v>
      </c>
      <c r="AK37" s="158">
        <f t="shared" si="11"/>
        <v>2000</v>
      </c>
      <c r="AL37" s="158">
        <f t="shared" si="12"/>
        <v>5.8120000000000003</v>
      </c>
      <c r="AN37" s="158">
        <f t="shared" si="13"/>
        <v>-1500</v>
      </c>
      <c r="AO37" s="158">
        <f t="shared" si="14"/>
        <v>-17.436</v>
      </c>
      <c r="AR37" s="192">
        <v>2000</v>
      </c>
      <c r="AS37" s="192">
        <f t="shared" si="15"/>
        <v>0</v>
      </c>
      <c r="BM37" s="158">
        <f t="shared" si="16"/>
        <v>2058.8819088333789</v>
      </c>
      <c r="BN37" s="158">
        <f t="shared" si="17"/>
        <v>2058.8819088333789</v>
      </c>
      <c r="BO37" s="158">
        <f t="shared" si="17"/>
        <v>0</v>
      </c>
      <c r="BP37" s="158">
        <f t="shared" si="17"/>
        <v>0</v>
      </c>
      <c r="BQ37" s="158">
        <f t="shared" si="17"/>
        <v>0</v>
      </c>
      <c r="BR37" s="158">
        <f t="shared" si="17"/>
        <v>0</v>
      </c>
      <c r="BS37" s="158">
        <f t="shared" si="17"/>
        <v>0</v>
      </c>
      <c r="BT37" s="158">
        <f t="shared" si="17"/>
        <v>0</v>
      </c>
      <c r="BU37" s="158">
        <f t="shared" si="17"/>
        <v>0</v>
      </c>
      <c r="BV37" s="158">
        <f t="shared" si="17"/>
        <v>0</v>
      </c>
      <c r="BX37" s="158">
        <v>2058.8819088333789</v>
      </c>
      <c r="BY37" s="158">
        <v>0</v>
      </c>
      <c r="BZ37" s="158">
        <v>0</v>
      </c>
      <c r="CA37" s="158">
        <v>0</v>
      </c>
      <c r="CB37" s="158">
        <v>0</v>
      </c>
      <c r="CC37" s="158">
        <v>0</v>
      </c>
      <c r="CD37" s="158">
        <v>0</v>
      </c>
      <c r="CE37" s="158">
        <v>0</v>
      </c>
      <c r="CF37" s="158">
        <v>0</v>
      </c>
      <c r="CH37" s="161">
        <v>1</v>
      </c>
      <c r="CI37" s="161">
        <v>0</v>
      </c>
      <c r="CJ37" s="161">
        <v>0</v>
      </c>
      <c r="CK37" s="161">
        <v>0</v>
      </c>
      <c r="CL37" s="161">
        <v>0</v>
      </c>
      <c r="CM37" s="161">
        <v>0</v>
      </c>
      <c r="CN37" s="161">
        <v>0</v>
      </c>
      <c r="CO37" s="161">
        <v>0</v>
      </c>
      <c r="CP37" s="161">
        <v>0</v>
      </c>
      <c r="CR37" s="162">
        <f t="shared" si="18"/>
        <v>0</v>
      </c>
    </row>
    <row r="38" spans="1:96" x14ac:dyDescent="0.35">
      <c r="C38" s="167" t="str">
        <f>IF($F38&lt;&gt;"",COUNTA($F$8:F38),"")</f>
        <v/>
      </c>
      <c r="W38" s="110"/>
      <c r="X38" s="110"/>
      <c r="AB38" s="168"/>
      <c r="CH38" s="169"/>
      <c r="CI38" s="169"/>
      <c r="CJ38" s="169"/>
      <c r="CK38" s="169"/>
      <c r="CL38" s="169"/>
      <c r="CM38" s="169"/>
      <c r="CN38" s="169"/>
      <c r="CO38" s="169"/>
      <c r="CP38" s="169"/>
    </row>
    <row r="39" spans="1:96" s="142" customFormat="1" ht="17" x14ac:dyDescent="0.4">
      <c r="A39" s="110"/>
      <c r="B39" s="140"/>
      <c r="C39" s="170" t="str">
        <f>IF($F39&lt;&gt;"",COUNTA($F$8:F39),"")</f>
        <v/>
      </c>
      <c r="D39" s="142" t="s">
        <v>268</v>
      </c>
      <c r="N39" s="143">
        <f>N40+N50+N56</f>
        <v>804.6875</v>
      </c>
      <c r="O39" s="143">
        <f>O40+O50+O56</f>
        <v>9156.3935710000005</v>
      </c>
      <c r="P39" s="143">
        <f>O39/N39*10^3</f>
        <v>11378.819195029128</v>
      </c>
      <c r="W39" s="140"/>
      <c r="X39" s="140"/>
      <c r="AB39" s="144"/>
      <c r="AI39" s="143">
        <f>AI40+AI50+AI56</f>
        <v>793.99350000000004</v>
      </c>
      <c r="AJ39" s="143">
        <f>AJ40+AJ50+AJ56</f>
        <v>9206.856624</v>
      </c>
      <c r="AK39" s="143">
        <f>AJ39/AI39*10^3</f>
        <v>11595.632236284051</v>
      </c>
      <c r="AL39" s="143">
        <f>AL40+AL50+AL56</f>
        <v>5427.7920000000004</v>
      </c>
      <c r="AN39" s="143"/>
      <c r="AO39" s="143">
        <f>AO40+AO50+AO56</f>
        <v>-3779.0646240000001</v>
      </c>
      <c r="CH39" s="145"/>
      <c r="CI39" s="145"/>
      <c r="CJ39" s="145"/>
      <c r="CK39" s="145"/>
      <c r="CL39" s="145"/>
      <c r="CM39" s="145"/>
      <c r="CN39" s="145"/>
      <c r="CO39" s="145"/>
      <c r="CP39" s="145"/>
      <c r="CR39" s="146"/>
    </row>
    <row r="40" spans="1:96" s="150" customFormat="1" outlineLevel="1" x14ac:dyDescent="0.35">
      <c r="A40" s="147"/>
      <c r="B40" s="147"/>
      <c r="C40" s="171" t="str">
        <f>IF($F40&lt;&gt;"",COUNTA($F$8:F40),"")</f>
        <v/>
      </c>
      <c r="D40" s="149"/>
      <c r="E40" s="149" t="s">
        <v>269</v>
      </c>
      <c r="F40" s="149"/>
      <c r="G40" s="149"/>
      <c r="H40" s="149"/>
      <c r="J40" s="149"/>
      <c r="K40" s="149"/>
      <c r="L40" s="149"/>
      <c r="N40" s="151">
        <f>SUM(N41:N49)</f>
        <v>225.52399999999997</v>
      </c>
      <c r="O40" s="151">
        <f>SUM(O41:O49)</f>
        <v>3567.1432830000003</v>
      </c>
      <c r="P40" s="151">
        <f>O40/N40*10^3</f>
        <v>15817.13379950693</v>
      </c>
      <c r="R40" s="149"/>
      <c r="T40" s="149"/>
      <c r="V40" s="149"/>
      <c r="W40" s="152"/>
      <c r="X40" s="152"/>
      <c r="Y40" s="149"/>
      <c r="Z40" s="149"/>
      <c r="AA40" s="149"/>
      <c r="AB40" s="153"/>
      <c r="AC40" s="149"/>
      <c r="AD40" s="149"/>
      <c r="AE40" s="149"/>
      <c r="AG40" s="149"/>
      <c r="AI40" s="151">
        <f>SUM(AI41:AI49)</f>
        <v>169.70799999999997</v>
      </c>
      <c r="AJ40" s="151">
        <f>SUM(AJ41:AJ49)</f>
        <v>2862.9643259999998</v>
      </c>
      <c r="AK40" s="151">
        <f>AJ40/AI40*10^3</f>
        <v>16869.943231904213</v>
      </c>
      <c r="AL40" s="151">
        <f>SUM(AL41:AL49)</f>
        <v>2306.1770000000001</v>
      </c>
      <c r="AN40" s="151"/>
      <c r="AO40" s="151">
        <f>SUM(AO41:AO49)</f>
        <v>-556.78732599999989</v>
      </c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X40" s="149"/>
      <c r="BY40" s="149"/>
      <c r="BZ40" s="149"/>
      <c r="CA40" s="149"/>
      <c r="CB40" s="149"/>
      <c r="CC40" s="149"/>
      <c r="CD40" s="149"/>
      <c r="CE40" s="149"/>
      <c r="CF40" s="149"/>
      <c r="CH40" s="154"/>
      <c r="CI40" s="154"/>
      <c r="CJ40" s="154"/>
      <c r="CK40" s="154"/>
      <c r="CL40" s="154"/>
      <c r="CM40" s="154"/>
      <c r="CN40" s="154"/>
      <c r="CO40" s="154"/>
      <c r="CP40" s="154"/>
      <c r="CR40" s="155"/>
    </row>
    <row r="41" spans="1:96" outlineLevel="2" x14ac:dyDescent="0.35">
      <c r="A41" s="110" t="s">
        <v>104</v>
      </c>
      <c r="B41" s="110" t="s">
        <v>270</v>
      </c>
      <c r="C41" s="172">
        <f>IF($F41&lt;&gt;"",COUNTA($F$8:F41),"")</f>
        <v>26</v>
      </c>
      <c r="D41" s="157"/>
      <c r="E41" s="157"/>
      <c r="F41" s="157" t="s">
        <v>105</v>
      </c>
      <c r="G41" s="157" t="s">
        <v>106</v>
      </c>
      <c r="H41" s="157" t="s">
        <v>191</v>
      </c>
      <c r="J41" s="158">
        <v>21200</v>
      </c>
      <c r="K41" s="158">
        <v>2593.5696584678221</v>
      </c>
      <c r="L41" s="158">
        <f t="shared" ref="L41:L49" si="19">SUM(J41:K41)</f>
        <v>23793.569658467823</v>
      </c>
      <c r="N41" s="158">
        <v>76.27</v>
      </c>
      <c r="O41" s="158">
        <v>1193.2156500000001</v>
      </c>
      <c r="P41" s="158">
        <f t="shared" ref="P41:P49" si="20">IFERROR(O41/N41,0)*10^3</f>
        <v>15644.626327520653</v>
      </c>
      <c r="R41" s="158">
        <v>23389</v>
      </c>
      <c r="T41" s="158">
        <v>8000</v>
      </c>
      <c r="V41" s="158" t="s">
        <v>271</v>
      </c>
      <c r="W41" s="159">
        <f t="shared" ref="W41:W49" si="21">IFERROR(_xlfn.NUMBERVALUE(IF(V41=0,0,LEFT($V41,LEN($V41)-SEARCH("đ",$V41)-4))),$V41)</f>
        <v>21200</v>
      </c>
      <c r="X41" s="159">
        <f t="shared" ref="X41:X49" si="22">IFERROR(IF(V41=0,0,_xlfn.NUMBERVALUE(MID($V41,SEARCH("- ",$V41)+2,LEN($V41)-SEARCH("- ",$V41)-2))),$V41)</f>
        <v>21500</v>
      </c>
      <c r="Y41" s="158">
        <v>14000</v>
      </c>
      <c r="Z41" s="158">
        <v>0</v>
      </c>
      <c r="AA41" s="158">
        <v>0</v>
      </c>
      <c r="AB41" s="160">
        <f t="shared" ref="AB41:AB49" si="23">IF(MAX(W41:AA41)=0,"Không có",MAX(W41:AA41))</f>
        <v>21500</v>
      </c>
      <c r="AC41" s="157"/>
      <c r="AD41" s="157"/>
      <c r="AE41" s="157"/>
      <c r="AG41" s="158">
        <v>15000</v>
      </c>
      <c r="AI41" s="158">
        <v>40.581000000000003</v>
      </c>
      <c r="AJ41" s="158">
        <v>666.23043199999995</v>
      </c>
      <c r="AK41" s="158">
        <f t="shared" ref="AK41:AK49" si="24">IFERROR(AJ41/AI41,0)*10^3</f>
        <v>16417.299524407972</v>
      </c>
      <c r="AL41" s="158">
        <f t="shared" ref="AL41:AL49" si="25">AG41*AI41/10^3</f>
        <v>608.71500000000003</v>
      </c>
      <c r="AN41" s="158">
        <f t="shared" ref="AN41:AN49" si="26">AG41-AK41</f>
        <v>-1417.2995244079721</v>
      </c>
      <c r="AO41" s="158">
        <f t="shared" ref="AO41:AO49" si="27">AL41-AJ41</f>
        <v>-57.515431999999919</v>
      </c>
      <c r="AR41" s="192">
        <v>23389</v>
      </c>
      <c r="AS41" s="192">
        <f t="shared" ref="AS41:AS49" si="28">AR41-R41</f>
        <v>0</v>
      </c>
      <c r="BM41" s="158">
        <f t="shared" ref="BM41:BM49" si="29">SUM(BN41:BV41)</f>
        <v>2593.5696584678221</v>
      </c>
      <c r="BN41" s="158">
        <f t="shared" ref="BN41:BV49" si="30">BX41*CH41</f>
        <v>0</v>
      </c>
      <c r="BO41" s="158">
        <f t="shared" si="30"/>
        <v>0</v>
      </c>
      <c r="BP41" s="158">
        <f t="shared" si="30"/>
        <v>0</v>
      </c>
      <c r="BQ41" s="158">
        <f t="shared" si="30"/>
        <v>0</v>
      </c>
      <c r="BR41" s="158">
        <f t="shared" si="30"/>
        <v>0</v>
      </c>
      <c r="BS41" s="158">
        <f t="shared" si="30"/>
        <v>2593.5696584678221</v>
      </c>
      <c r="BT41" s="158">
        <f t="shared" si="30"/>
        <v>0</v>
      </c>
      <c r="BU41" s="158">
        <f t="shared" si="30"/>
        <v>0</v>
      </c>
      <c r="BV41" s="158">
        <f t="shared" si="30"/>
        <v>0</v>
      </c>
      <c r="BX41" s="158">
        <v>0</v>
      </c>
      <c r="BY41" s="158">
        <v>0</v>
      </c>
      <c r="BZ41" s="158">
        <v>0</v>
      </c>
      <c r="CA41" s="158">
        <v>0</v>
      </c>
      <c r="CB41" s="158">
        <v>0</v>
      </c>
      <c r="CC41" s="158">
        <v>2593.5696584678221</v>
      </c>
      <c r="CD41" s="158">
        <v>0</v>
      </c>
      <c r="CE41" s="158">
        <v>0</v>
      </c>
      <c r="CF41" s="158">
        <v>0</v>
      </c>
      <c r="CH41" s="161">
        <v>0</v>
      </c>
      <c r="CI41" s="161">
        <v>0</v>
      </c>
      <c r="CJ41" s="161">
        <v>0</v>
      </c>
      <c r="CK41" s="161">
        <v>0</v>
      </c>
      <c r="CL41" s="161">
        <v>0</v>
      </c>
      <c r="CM41" s="161">
        <v>1</v>
      </c>
      <c r="CN41" s="161">
        <v>0</v>
      </c>
      <c r="CO41" s="161">
        <v>0</v>
      </c>
      <c r="CP41" s="161">
        <v>0</v>
      </c>
      <c r="CR41" s="162">
        <f t="shared" ref="CR41:CR49" si="31">K41-BM41</f>
        <v>0</v>
      </c>
    </row>
    <row r="42" spans="1:96" outlineLevel="2" x14ac:dyDescent="0.35">
      <c r="A42" s="110" t="s">
        <v>104</v>
      </c>
      <c r="B42" s="110" t="s">
        <v>270</v>
      </c>
      <c r="C42" s="172">
        <f>IF($F42&lt;&gt;"",COUNTA($F$8:F42),"")</f>
        <v>27</v>
      </c>
      <c r="D42" s="157"/>
      <c r="E42" s="157"/>
      <c r="F42" s="157" t="s">
        <v>102</v>
      </c>
      <c r="G42" s="157" t="s">
        <v>103</v>
      </c>
      <c r="H42" s="157" t="s">
        <v>191</v>
      </c>
      <c r="J42" s="158">
        <v>21200</v>
      </c>
      <c r="K42" s="158">
        <v>2593.5696584678221</v>
      </c>
      <c r="L42" s="158">
        <f t="shared" si="19"/>
        <v>23793.569658467823</v>
      </c>
      <c r="N42" s="158">
        <v>45.195999999999998</v>
      </c>
      <c r="O42" s="158">
        <v>762.66037100000005</v>
      </c>
      <c r="P42" s="158">
        <f t="shared" si="20"/>
        <v>16874.510377024519</v>
      </c>
      <c r="R42" s="158">
        <v>23389</v>
      </c>
      <c r="T42" s="158">
        <v>8000</v>
      </c>
      <c r="V42" s="158" t="s">
        <v>272</v>
      </c>
      <c r="W42" s="159">
        <f t="shared" si="21"/>
        <v>23000</v>
      </c>
      <c r="X42" s="159">
        <f t="shared" si="22"/>
        <v>24000</v>
      </c>
      <c r="Y42" s="158">
        <v>15500</v>
      </c>
      <c r="Z42" s="158">
        <v>0</v>
      </c>
      <c r="AA42" s="158">
        <v>0</v>
      </c>
      <c r="AB42" s="160">
        <f t="shared" si="23"/>
        <v>24000</v>
      </c>
      <c r="AC42" s="157"/>
      <c r="AD42" s="157"/>
      <c r="AE42" s="157"/>
      <c r="AG42" s="158">
        <v>16000</v>
      </c>
      <c r="AI42" s="158">
        <v>41.823</v>
      </c>
      <c r="AJ42" s="158">
        <v>707.681918</v>
      </c>
      <c r="AK42" s="158">
        <f t="shared" si="24"/>
        <v>16920.878894388257</v>
      </c>
      <c r="AL42" s="158">
        <f t="shared" si="25"/>
        <v>669.16800000000001</v>
      </c>
      <c r="AN42" s="158">
        <f t="shared" si="26"/>
        <v>-920.87889438825732</v>
      </c>
      <c r="AO42" s="158">
        <f t="shared" si="27"/>
        <v>-38.51391799999999</v>
      </c>
      <c r="AR42" s="192">
        <v>23389</v>
      </c>
      <c r="AS42" s="192">
        <f t="shared" si="28"/>
        <v>0</v>
      </c>
      <c r="BM42" s="158">
        <f t="shared" si="29"/>
        <v>2593.5696584678221</v>
      </c>
      <c r="BN42" s="158">
        <f t="shared" si="30"/>
        <v>0</v>
      </c>
      <c r="BO42" s="158">
        <f t="shared" si="30"/>
        <v>0</v>
      </c>
      <c r="BP42" s="158">
        <f t="shared" si="30"/>
        <v>0</v>
      </c>
      <c r="BQ42" s="158">
        <f t="shared" si="30"/>
        <v>0</v>
      </c>
      <c r="BR42" s="158">
        <f t="shared" si="30"/>
        <v>0</v>
      </c>
      <c r="BS42" s="158">
        <f t="shared" si="30"/>
        <v>2593.5696584678221</v>
      </c>
      <c r="BT42" s="158">
        <f t="shared" si="30"/>
        <v>0</v>
      </c>
      <c r="BU42" s="158">
        <f t="shared" si="30"/>
        <v>0</v>
      </c>
      <c r="BV42" s="158">
        <f t="shared" si="30"/>
        <v>0</v>
      </c>
      <c r="BX42" s="158">
        <v>0</v>
      </c>
      <c r="BY42" s="158">
        <v>0</v>
      </c>
      <c r="BZ42" s="158">
        <v>0</v>
      </c>
      <c r="CA42" s="158">
        <v>0</v>
      </c>
      <c r="CB42" s="158">
        <v>0</v>
      </c>
      <c r="CC42" s="158">
        <v>2593.5696584678221</v>
      </c>
      <c r="CD42" s="158">
        <v>0</v>
      </c>
      <c r="CE42" s="158">
        <v>0</v>
      </c>
      <c r="CF42" s="158">
        <v>0</v>
      </c>
      <c r="CH42" s="161">
        <v>0</v>
      </c>
      <c r="CI42" s="161">
        <v>0</v>
      </c>
      <c r="CJ42" s="161">
        <v>0</v>
      </c>
      <c r="CK42" s="161">
        <v>0</v>
      </c>
      <c r="CL42" s="161">
        <v>0</v>
      </c>
      <c r="CM42" s="161">
        <v>1</v>
      </c>
      <c r="CN42" s="161">
        <v>0</v>
      </c>
      <c r="CO42" s="161">
        <v>0</v>
      </c>
      <c r="CP42" s="161">
        <v>0</v>
      </c>
      <c r="CR42" s="162">
        <f t="shared" si="31"/>
        <v>0</v>
      </c>
    </row>
    <row r="43" spans="1:96" outlineLevel="2" x14ac:dyDescent="0.35">
      <c r="A43" s="110" t="s">
        <v>104</v>
      </c>
      <c r="B43" s="110" t="s">
        <v>270</v>
      </c>
      <c r="C43" s="172">
        <f>IF($F43&lt;&gt;"",COUNTA($F$8:F43),"")</f>
        <v>28</v>
      </c>
      <c r="D43" s="157"/>
      <c r="E43" s="157"/>
      <c r="F43" s="157" t="s">
        <v>273</v>
      </c>
      <c r="G43" s="157" t="s">
        <v>274</v>
      </c>
      <c r="H43" s="157" t="s">
        <v>188</v>
      </c>
      <c r="J43" s="158">
        <v>21200</v>
      </c>
      <c r="K43" s="158">
        <v>1296.7848292339111</v>
      </c>
      <c r="L43" s="158">
        <f t="shared" si="19"/>
        <v>22496.784829233911</v>
      </c>
      <c r="N43" s="158">
        <v>25.219000000000001</v>
      </c>
      <c r="O43" s="158">
        <v>479.161</v>
      </c>
      <c r="P43" s="158">
        <f t="shared" si="20"/>
        <v>19000</v>
      </c>
      <c r="R43" s="158">
        <v>19000</v>
      </c>
      <c r="T43" s="158" t="s">
        <v>217</v>
      </c>
      <c r="V43" s="158" t="s">
        <v>217</v>
      </c>
      <c r="W43" s="159" t="str">
        <f t="shared" si="21"/>
        <v/>
      </c>
      <c r="X43" s="159" t="str">
        <f t="shared" si="22"/>
        <v/>
      </c>
      <c r="Y43" s="158" t="s">
        <v>217</v>
      </c>
      <c r="Z43" s="158" t="s">
        <v>217</v>
      </c>
      <c r="AA43" s="158" t="s">
        <v>217</v>
      </c>
      <c r="AB43" s="160" t="str">
        <f t="shared" si="23"/>
        <v>Không có</v>
      </c>
      <c r="AC43" s="157" t="s">
        <v>275</v>
      </c>
      <c r="AD43" s="157" t="s">
        <v>276</v>
      </c>
      <c r="AE43" s="157"/>
      <c r="AG43" s="166">
        <v>10000</v>
      </c>
      <c r="AI43" s="158">
        <v>25.219000000000001</v>
      </c>
      <c r="AJ43" s="158">
        <v>479.161</v>
      </c>
      <c r="AK43" s="158">
        <f t="shared" si="24"/>
        <v>19000</v>
      </c>
      <c r="AL43" s="158">
        <f t="shared" si="25"/>
        <v>252.19</v>
      </c>
      <c r="AN43" s="158">
        <f t="shared" si="26"/>
        <v>-9000</v>
      </c>
      <c r="AO43" s="158">
        <f t="shared" si="27"/>
        <v>-226.971</v>
      </c>
      <c r="AR43" s="192">
        <v>19000</v>
      </c>
      <c r="AS43" s="192">
        <f t="shared" si="28"/>
        <v>0</v>
      </c>
      <c r="BM43" s="158">
        <f t="shared" si="29"/>
        <v>1296.7848292339111</v>
      </c>
      <c r="BN43" s="158">
        <f t="shared" si="30"/>
        <v>0</v>
      </c>
      <c r="BO43" s="158">
        <f t="shared" si="30"/>
        <v>0</v>
      </c>
      <c r="BP43" s="158">
        <f t="shared" si="30"/>
        <v>1296.7848292339111</v>
      </c>
      <c r="BQ43" s="158">
        <f t="shared" si="30"/>
        <v>0</v>
      </c>
      <c r="BR43" s="158">
        <f t="shared" si="30"/>
        <v>0</v>
      </c>
      <c r="BS43" s="158">
        <f t="shared" si="30"/>
        <v>0</v>
      </c>
      <c r="BT43" s="158">
        <f t="shared" si="30"/>
        <v>0</v>
      </c>
      <c r="BU43" s="158">
        <f t="shared" si="30"/>
        <v>0</v>
      </c>
      <c r="BV43" s="158">
        <f t="shared" si="30"/>
        <v>0</v>
      </c>
      <c r="BX43" s="158">
        <v>0</v>
      </c>
      <c r="BY43" s="158">
        <v>0</v>
      </c>
      <c r="BZ43" s="158">
        <v>1296.7848292339111</v>
      </c>
      <c r="CA43" s="158">
        <v>0</v>
      </c>
      <c r="CB43" s="158">
        <v>0</v>
      </c>
      <c r="CC43" s="158">
        <v>0</v>
      </c>
      <c r="CD43" s="158">
        <v>0</v>
      </c>
      <c r="CE43" s="158">
        <v>0</v>
      </c>
      <c r="CF43" s="158">
        <v>0</v>
      </c>
      <c r="CH43" s="161">
        <v>0</v>
      </c>
      <c r="CI43" s="161">
        <v>0</v>
      </c>
      <c r="CJ43" s="161">
        <v>1</v>
      </c>
      <c r="CK43" s="161">
        <v>0</v>
      </c>
      <c r="CL43" s="161">
        <v>0</v>
      </c>
      <c r="CM43" s="161">
        <v>0</v>
      </c>
      <c r="CN43" s="161">
        <v>0</v>
      </c>
      <c r="CO43" s="161">
        <v>0</v>
      </c>
      <c r="CP43" s="161">
        <v>0</v>
      </c>
      <c r="CR43" s="162">
        <f t="shared" si="31"/>
        <v>0</v>
      </c>
    </row>
    <row r="44" spans="1:96" outlineLevel="2" x14ac:dyDescent="0.35">
      <c r="A44" s="110" t="s">
        <v>104</v>
      </c>
      <c r="B44" s="110" t="s">
        <v>270</v>
      </c>
      <c r="C44" s="172">
        <f>IF($F44&lt;&gt;"",COUNTA($F$8:F44),"")</f>
        <v>29</v>
      </c>
      <c r="D44" s="157"/>
      <c r="E44" s="157"/>
      <c r="F44" s="157" t="s">
        <v>277</v>
      </c>
      <c r="G44" s="157" t="s">
        <v>278</v>
      </c>
      <c r="H44" s="157" t="s">
        <v>188</v>
      </c>
      <c r="J44" s="158">
        <v>21200</v>
      </c>
      <c r="K44" s="158">
        <v>1296.7848292339111</v>
      </c>
      <c r="L44" s="158">
        <f t="shared" si="19"/>
        <v>22496.784829233911</v>
      </c>
      <c r="N44" s="158">
        <v>30.349</v>
      </c>
      <c r="O44" s="158">
        <v>453.89756699999998</v>
      </c>
      <c r="P44" s="158">
        <f t="shared" si="20"/>
        <v>14955.931562819202</v>
      </c>
      <c r="R44" s="158">
        <v>15000</v>
      </c>
      <c r="T44" s="158" t="s">
        <v>217</v>
      </c>
      <c r="V44" s="158" t="s">
        <v>217</v>
      </c>
      <c r="W44" s="159" t="str">
        <f t="shared" si="21"/>
        <v/>
      </c>
      <c r="X44" s="159" t="str">
        <f t="shared" si="22"/>
        <v/>
      </c>
      <c r="Y44" s="158" t="s">
        <v>217</v>
      </c>
      <c r="Z44" s="158" t="s">
        <v>217</v>
      </c>
      <c r="AA44" s="158" t="s">
        <v>217</v>
      </c>
      <c r="AB44" s="160" t="str">
        <f t="shared" si="23"/>
        <v>Không có</v>
      </c>
      <c r="AC44" s="157" t="s">
        <v>275</v>
      </c>
      <c r="AD44" s="157" t="s">
        <v>276</v>
      </c>
      <c r="AE44" s="157"/>
      <c r="AG44" s="166">
        <v>10000</v>
      </c>
      <c r="AI44" s="158">
        <v>30.349</v>
      </c>
      <c r="AJ44" s="158">
        <v>453.89756699999998</v>
      </c>
      <c r="AK44" s="158">
        <f t="shared" si="24"/>
        <v>14955.931562819202</v>
      </c>
      <c r="AL44" s="158">
        <f t="shared" si="25"/>
        <v>303.49</v>
      </c>
      <c r="AN44" s="158">
        <f t="shared" si="26"/>
        <v>-4955.9315628192016</v>
      </c>
      <c r="AO44" s="158">
        <f t="shared" si="27"/>
        <v>-150.40756699999997</v>
      </c>
      <c r="AR44" s="192">
        <v>15000</v>
      </c>
      <c r="AS44" s="192">
        <f t="shared" si="28"/>
        <v>0</v>
      </c>
      <c r="BM44" s="158">
        <f t="shared" si="29"/>
        <v>1296.7848292339111</v>
      </c>
      <c r="BN44" s="158">
        <f t="shared" si="30"/>
        <v>0</v>
      </c>
      <c r="BO44" s="158">
        <f t="shared" si="30"/>
        <v>0</v>
      </c>
      <c r="BP44" s="158">
        <f t="shared" si="30"/>
        <v>1296.7848292339111</v>
      </c>
      <c r="BQ44" s="158">
        <f t="shared" si="30"/>
        <v>0</v>
      </c>
      <c r="BR44" s="158">
        <f t="shared" si="30"/>
        <v>0</v>
      </c>
      <c r="BS44" s="158">
        <f t="shared" si="30"/>
        <v>0</v>
      </c>
      <c r="BT44" s="158">
        <f t="shared" si="30"/>
        <v>0</v>
      </c>
      <c r="BU44" s="158">
        <f t="shared" si="30"/>
        <v>0</v>
      </c>
      <c r="BV44" s="158">
        <f t="shared" si="30"/>
        <v>0</v>
      </c>
      <c r="BX44" s="158">
        <v>0</v>
      </c>
      <c r="BY44" s="158">
        <v>0</v>
      </c>
      <c r="BZ44" s="158">
        <v>1296.7848292339111</v>
      </c>
      <c r="CA44" s="158">
        <v>0</v>
      </c>
      <c r="CB44" s="158">
        <v>0</v>
      </c>
      <c r="CC44" s="158">
        <v>0</v>
      </c>
      <c r="CD44" s="158">
        <v>0</v>
      </c>
      <c r="CE44" s="158">
        <v>0</v>
      </c>
      <c r="CF44" s="158">
        <v>0</v>
      </c>
      <c r="CH44" s="161">
        <v>0</v>
      </c>
      <c r="CI44" s="161">
        <v>0</v>
      </c>
      <c r="CJ44" s="161">
        <v>1</v>
      </c>
      <c r="CK44" s="161">
        <v>0</v>
      </c>
      <c r="CL44" s="161">
        <v>0</v>
      </c>
      <c r="CM44" s="161">
        <v>0</v>
      </c>
      <c r="CN44" s="161">
        <v>0</v>
      </c>
      <c r="CO44" s="161">
        <v>0</v>
      </c>
      <c r="CP44" s="161">
        <v>0</v>
      </c>
      <c r="CR44" s="162">
        <f t="shared" si="31"/>
        <v>0</v>
      </c>
    </row>
    <row r="45" spans="1:96" outlineLevel="2" x14ac:dyDescent="0.35">
      <c r="A45" s="110" t="s">
        <v>104</v>
      </c>
      <c r="B45" s="110" t="s">
        <v>270</v>
      </c>
      <c r="C45" s="172">
        <f>IF($F45&lt;&gt;"",COUNTA($F$8:F45),"")</f>
        <v>30</v>
      </c>
      <c r="D45" s="157"/>
      <c r="E45" s="157"/>
      <c r="F45" s="157" t="s">
        <v>279</v>
      </c>
      <c r="G45" s="157" t="s">
        <v>280</v>
      </c>
      <c r="H45" s="157" t="s">
        <v>188</v>
      </c>
      <c r="J45" s="158">
        <v>21200</v>
      </c>
      <c r="K45" s="158">
        <v>1296.7848292339111</v>
      </c>
      <c r="L45" s="158">
        <f t="shared" si="19"/>
        <v>22496.784829233911</v>
      </c>
      <c r="N45" s="158">
        <v>28.236000000000001</v>
      </c>
      <c r="O45" s="158">
        <v>341.24098700000002</v>
      </c>
      <c r="P45" s="158">
        <f t="shared" si="20"/>
        <v>12085.316156679417</v>
      </c>
      <c r="R45" s="158">
        <v>21000</v>
      </c>
      <c r="T45" s="158" t="s">
        <v>217</v>
      </c>
      <c r="V45" s="158" t="s">
        <v>281</v>
      </c>
      <c r="W45" s="159">
        <f t="shared" si="21"/>
        <v>16000</v>
      </c>
      <c r="X45" s="159">
        <f t="shared" si="22"/>
        <v>17000</v>
      </c>
      <c r="Y45" s="158">
        <v>15500</v>
      </c>
      <c r="Z45" s="158">
        <v>15000</v>
      </c>
      <c r="AA45" s="158">
        <v>0</v>
      </c>
      <c r="AB45" s="160">
        <f t="shared" si="23"/>
        <v>17000</v>
      </c>
      <c r="AC45" s="157"/>
      <c r="AD45" s="157"/>
      <c r="AE45" s="157"/>
      <c r="AG45" s="158">
        <v>11000</v>
      </c>
      <c r="AI45" s="158">
        <v>4</v>
      </c>
      <c r="AJ45" s="158">
        <v>50.796595000000003</v>
      </c>
      <c r="AK45" s="158">
        <f t="shared" si="24"/>
        <v>12699.14875</v>
      </c>
      <c r="AL45" s="158">
        <f t="shared" si="25"/>
        <v>44</v>
      </c>
      <c r="AN45" s="158">
        <f t="shared" si="26"/>
        <v>-1699.1487500000003</v>
      </c>
      <c r="AO45" s="158">
        <f t="shared" si="27"/>
        <v>-6.7965950000000035</v>
      </c>
      <c r="AR45" s="192">
        <v>21000</v>
      </c>
      <c r="AS45" s="192">
        <f t="shared" si="28"/>
        <v>0</v>
      </c>
      <c r="BM45" s="158">
        <f t="shared" si="29"/>
        <v>1296.7848292339111</v>
      </c>
      <c r="BN45" s="158">
        <f t="shared" si="30"/>
        <v>0</v>
      </c>
      <c r="BO45" s="158">
        <f t="shared" si="30"/>
        <v>0</v>
      </c>
      <c r="BP45" s="158">
        <f t="shared" si="30"/>
        <v>1296.7848292339111</v>
      </c>
      <c r="BQ45" s="158">
        <f t="shared" si="30"/>
        <v>0</v>
      </c>
      <c r="BR45" s="158">
        <f t="shared" si="30"/>
        <v>0</v>
      </c>
      <c r="BS45" s="158">
        <f t="shared" si="30"/>
        <v>0</v>
      </c>
      <c r="BT45" s="158">
        <f t="shared" si="30"/>
        <v>0</v>
      </c>
      <c r="BU45" s="158">
        <f t="shared" si="30"/>
        <v>0</v>
      </c>
      <c r="BV45" s="158">
        <f t="shared" si="30"/>
        <v>0</v>
      </c>
      <c r="BX45" s="158">
        <v>0</v>
      </c>
      <c r="BY45" s="158">
        <v>0</v>
      </c>
      <c r="BZ45" s="158">
        <v>1296.7848292339111</v>
      </c>
      <c r="CA45" s="158">
        <v>0</v>
      </c>
      <c r="CB45" s="158">
        <v>0</v>
      </c>
      <c r="CC45" s="158">
        <v>0</v>
      </c>
      <c r="CD45" s="158">
        <v>0</v>
      </c>
      <c r="CE45" s="158">
        <v>0</v>
      </c>
      <c r="CF45" s="158">
        <v>0</v>
      </c>
      <c r="CH45" s="161">
        <v>0</v>
      </c>
      <c r="CI45" s="161">
        <v>0</v>
      </c>
      <c r="CJ45" s="161">
        <v>1</v>
      </c>
      <c r="CK45" s="161">
        <v>0</v>
      </c>
      <c r="CL45" s="161">
        <v>0</v>
      </c>
      <c r="CM45" s="161">
        <v>0</v>
      </c>
      <c r="CN45" s="161">
        <v>0</v>
      </c>
      <c r="CO45" s="161">
        <v>0</v>
      </c>
      <c r="CP45" s="161">
        <v>0</v>
      </c>
      <c r="CR45" s="162">
        <f t="shared" si="31"/>
        <v>0</v>
      </c>
    </row>
    <row r="46" spans="1:96" outlineLevel="2" x14ac:dyDescent="0.35">
      <c r="A46" s="110" t="s">
        <v>104</v>
      </c>
      <c r="B46" s="110" t="s">
        <v>270</v>
      </c>
      <c r="C46" s="172">
        <f>IF($F46&lt;&gt;"",COUNTA($F$8:F46),"")</f>
        <v>31</v>
      </c>
      <c r="D46" s="157"/>
      <c r="E46" s="157"/>
      <c r="F46" s="157" t="s">
        <v>282</v>
      </c>
      <c r="G46" s="157" t="s">
        <v>283</v>
      </c>
      <c r="H46" s="157" t="s">
        <v>187</v>
      </c>
      <c r="J46" s="158">
        <v>21200</v>
      </c>
      <c r="K46" s="158">
        <v>3673.9616571794872</v>
      </c>
      <c r="L46" s="158">
        <f t="shared" si="19"/>
        <v>24873.961657179487</v>
      </c>
      <c r="N46" s="158">
        <v>8.5180000000000007</v>
      </c>
      <c r="O46" s="158">
        <v>187.39599999999999</v>
      </c>
      <c r="P46" s="158">
        <f t="shared" si="20"/>
        <v>21999.999999999996</v>
      </c>
      <c r="R46" s="158">
        <v>22000</v>
      </c>
      <c r="T46" s="158" t="s">
        <v>217</v>
      </c>
      <c r="V46" s="158">
        <v>0</v>
      </c>
      <c r="W46" s="159">
        <f t="shared" si="21"/>
        <v>0</v>
      </c>
      <c r="X46" s="159">
        <f t="shared" si="22"/>
        <v>0</v>
      </c>
      <c r="Y46" s="158">
        <v>0</v>
      </c>
      <c r="Z46" s="158">
        <v>11500</v>
      </c>
      <c r="AA46" s="158">
        <v>0</v>
      </c>
      <c r="AB46" s="160">
        <f t="shared" si="23"/>
        <v>11500</v>
      </c>
      <c r="AC46" s="157"/>
      <c r="AD46" s="157"/>
      <c r="AE46" s="157"/>
      <c r="AG46" s="158">
        <v>11500</v>
      </c>
      <c r="AI46" s="158">
        <v>1.34</v>
      </c>
      <c r="AJ46" s="158">
        <v>29.48</v>
      </c>
      <c r="AK46" s="158">
        <f t="shared" si="24"/>
        <v>22000</v>
      </c>
      <c r="AL46" s="158">
        <f t="shared" si="25"/>
        <v>15.410000000000002</v>
      </c>
      <c r="AN46" s="158">
        <f t="shared" si="26"/>
        <v>-10500</v>
      </c>
      <c r="AO46" s="158">
        <f t="shared" si="27"/>
        <v>-14.069999999999999</v>
      </c>
      <c r="AR46" s="192">
        <v>22000</v>
      </c>
      <c r="AS46" s="192">
        <f t="shared" si="28"/>
        <v>0</v>
      </c>
      <c r="BM46" s="158">
        <f t="shared" si="29"/>
        <v>3673.9616571794872</v>
      </c>
      <c r="BN46" s="158">
        <f t="shared" si="30"/>
        <v>0</v>
      </c>
      <c r="BO46" s="158">
        <f t="shared" si="30"/>
        <v>3673.9616571794872</v>
      </c>
      <c r="BP46" s="158">
        <f t="shared" si="30"/>
        <v>0</v>
      </c>
      <c r="BQ46" s="158">
        <f t="shared" si="30"/>
        <v>0</v>
      </c>
      <c r="BR46" s="158">
        <f t="shared" si="30"/>
        <v>0</v>
      </c>
      <c r="BS46" s="158">
        <f t="shared" si="30"/>
        <v>0</v>
      </c>
      <c r="BT46" s="158">
        <f t="shared" si="30"/>
        <v>0</v>
      </c>
      <c r="BU46" s="158">
        <f t="shared" si="30"/>
        <v>0</v>
      </c>
      <c r="BV46" s="158">
        <f t="shared" si="30"/>
        <v>0</v>
      </c>
      <c r="BX46" s="158">
        <v>0</v>
      </c>
      <c r="BY46" s="158">
        <v>3673.9616571794872</v>
      </c>
      <c r="BZ46" s="158">
        <v>0</v>
      </c>
      <c r="CA46" s="158">
        <v>0</v>
      </c>
      <c r="CB46" s="158">
        <v>0</v>
      </c>
      <c r="CC46" s="158">
        <v>0</v>
      </c>
      <c r="CD46" s="158">
        <v>0</v>
      </c>
      <c r="CE46" s="158">
        <v>0</v>
      </c>
      <c r="CF46" s="158">
        <v>0</v>
      </c>
      <c r="CH46" s="161">
        <v>0</v>
      </c>
      <c r="CI46" s="161">
        <v>1</v>
      </c>
      <c r="CJ46" s="161">
        <v>0</v>
      </c>
      <c r="CK46" s="161">
        <v>0</v>
      </c>
      <c r="CL46" s="161">
        <v>0</v>
      </c>
      <c r="CM46" s="161">
        <v>0</v>
      </c>
      <c r="CN46" s="161">
        <v>0</v>
      </c>
      <c r="CO46" s="161">
        <v>0</v>
      </c>
      <c r="CP46" s="161">
        <v>0</v>
      </c>
      <c r="CR46" s="162">
        <f t="shared" si="31"/>
        <v>0</v>
      </c>
    </row>
    <row r="47" spans="1:96" outlineLevel="2" x14ac:dyDescent="0.35">
      <c r="A47" s="110" t="s">
        <v>104</v>
      </c>
      <c r="B47" s="110" t="s">
        <v>270</v>
      </c>
      <c r="C47" s="172">
        <f>IF($F47&lt;&gt;"",COUNTA($F$8:F47),"")</f>
        <v>32</v>
      </c>
      <c r="D47" s="157"/>
      <c r="E47" s="157"/>
      <c r="F47" s="157" t="s">
        <v>284</v>
      </c>
      <c r="G47" s="157" t="s">
        <v>285</v>
      </c>
      <c r="H47" s="157" t="s">
        <v>188</v>
      </c>
      <c r="J47" s="158">
        <v>21200</v>
      </c>
      <c r="K47" s="158">
        <v>1296.7848292339111</v>
      </c>
      <c r="L47" s="158">
        <f t="shared" si="19"/>
        <v>22496.784829233911</v>
      </c>
      <c r="N47" s="158">
        <v>6.6760000000000002</v>
      </c>
      <c r="O47" s="158">
        <v>62.331707999999999</v>
      </c>
      <c r="P47" s="158">
        <f t="shared" si="20"/>
        <v>9336.684841222288</v>
      </c>
      <c r="R47" s="158">
        <v>21000</v>
      </c>
      <c r="T47" s="158" t="s">
        <v>217</v>
      </c>
      <c r="V47" s="158" t="s">
        <v>286</v>
      </c>
      <c r="W47" s="159">
        <f t="shared" si="21"/>
        <v>19000</v>
      </c>
      <c r="X47" s="159">
        <f t="shared" si="22"/>
        <v>20000</v>
      </c>
      <c r="Y47" s="158">
        <v>16000</v>
      </c>
      <c r="Z47" s="158">
        <v>15000</v>
      </c>
      <c r="AA47" s="158">
        <v>0</v>
      </c>
      <c r="AB47" s="160">
        <f t="shared" si="23"/>
        <v>20000</v>
      </c>
      <c r="AC47" s="157"/>
      <c r="AD47" s="157"/>
      <c r="AE47" s="157"/>
      <c r="AG47" s="158">
        <v>15000</v>
      </c>
      <c r="AI47" s="158">
        <v>21.5</v>
      </c>
      <c r="AJ47" s="158">
        <v>392.08481399999999</v>
      </c>
      <c r="AK47" s="158">
        <f t="shared" si="24"/>
        <v>18236.502976744188</v>
      </c>
      <c r="AL47" s="158">
        <f t="shared" si="25"/>
        <v>322.5</v>
      </c>
      <c r="AN47" s="158">
        <f t="shared" si="26"/>
        <v>-3236.5029767441883</v>
      </c>
      <c r="AO47" s="158">
        <f t="shared" si="27"/>
        <v>-69.584813999999994</v>
      </c>
      <c r="AR47" s="192">
        <v>21000</v>
      </c>
      <c r="AS47" s="192">
        <f t="shared" si="28"/>
        <v>0</v>
      </c>
      <c r="BM47" s="158">
        <f t="shared" si="29"/>
        <v>1296.7848292339111</v>
      </c>
      <c r="BN47" s="158">
        <f t="shared" si="30"/>
        <v>0</v>
      </c>
      <c r="BO47" s="158">
        <f t="shared" si="30"/>
        <v>0</v>
      </c>
      <c r="BP47" s="158">
        <f t="shared" si="30"/>
        <v>1296.7848292339111</v>
      </c>
      <c r="BQ47" s="158">
        <f t="shared" si="30"/>
        <v>0</v>
      </c>
      <c r="BR47" s="158">
        <f t="shared" si="30"/>
        <v>0</v>
      </c>
      <c r="BS47" s="158">
        <f t="shared" si="30"/>
        <v>0</v>
      </c>
      <c r="BT47" s="158">
        <f t="shared" si="30"/>
        <v>0</v>
      </c>
      <c r="BU47" s="158">
        <f t="shared" si="30"/>
        <v>0</v>
      </c>
      <c r="BV47" s="158">
        <f t="shared" si="30"/>
        <v>0</v>
      </c>
      <c r="BX47" s="158">
        <v>0</v>
      </c>
      <c r="BY47" s="158">
        <v>0</v>
      </c>
      <c r="BZ47" s="158">
        <v>1296.7848292339111</v>
      </c>
      <c r="CA47" s="158">
        <v>0</v>
      </c>
      <c r="CB47" s="158">
        <v>0</v>
      </c>
      <c r="CC47" s="158">
        <v>0</v>
      </c>
      <c r="CD47" s="158">
        <v>0</v>
      </c>
      <c r="CE47" s="158">
        <v>0</v>
      </c>
      <c r="CF47" s="158">
        <v>0</v>
      </c>
      <c r="CH47" s="161">
        <v>0</v>
      </c>
      <c r="CI47" s="161">
        <v>0</v>
      </c>
      <c r="CJ47" s="161">
        <v>1</v>
      </c>
      <c r="CK47" s="161">
        <v>0</v>
      </c>
      <c r="CL47" s="161">
        <v>0</v>
      </c>
      <c r="CM47" s="161">
        <v>0</v>
      </c>
      <c r="CN47" s="161">
        <v>0</v>
      </c>
      <c r="CO47" s="161">
        <v>0</v>
      </c>
      <c r="CP47" s="161">
        <v>0</v>
      </c>
      <c r="CR47" s="162">
        <f t="shared" si="31"/>
        <v>0</v>
      </c>
    </row>
    <row r="48" spans="1:96" outlineLevel="2" x14ac:dyDescent="0.35">
      <c r="A48" s="110" t="s">
        <v>104</v>
      </c>
      <c r="B48" s="110" t="s">
        <v>270</v>
      </c>
      <c r="C48" s="172">
        <f>IF($F48&lt;&gt;"",COUNTA($F$8:F48),"")</f>
        <v>33</v>
      </c>
      <c r="D48" s="157"/>
      <c r="E48" s="157"/>
      <c r="F48" s="157" t="s">
        <v>287</v>
      </c>
      <c r="G48" s="157" t="s">
        <v>288</v>
      </c>
      <c r="H48" s="157" t="s">
        <v>194</v>
      </c>
      <c r="J48" s="158">
        <v>21200</v>
      </c>
      <c r="K48" s="158">
        <v>634</v>
      </c>
      <c r="L48" s="158">
        <f t="shared" si="19"/>
        <v>21834</v>
      </c>
      <c r="N48" s="158">
        <v>3.44</v>
      </c>
      <c r="O48" s="158">
        <v>51.6</v>
      </c>
      <c r="P48" s="158">
        <f t="shared" si="20"/>
        <v>15000</v>
      </c>
      <c r="R48" s="158">
        <v>15000</v>
      </c>
      <c r="T48" s="158" t="s">
        <v>217</v>
      </c>
      <c r="V48" s="158" t="s">
        <v>217</v>
      </c>
      <c r="W48" s="159" t="str">
        <f t="shared" si="21"/>
        <v/>
      </c>
      <c r="X48" s="159" t="str">
        <f t="shared" si="22"/>
        <v/>
      </c>
      <c r="Y48" s="158" t="s">
        <v>217</v>
      </c>
      <c r="Z48" s="158" t="s">
        <v>217</v>
      </c>
      <c r="AA48" s="158" t="s">
        <v>217</v>
      </c>
      <c r="AB48" s="160" t="str">
        <f t="shared" si="23"/>
        <v>Không có</v>
      </c>
      <c r="AC48" s="157" t="s">
        <v>275</v>
      </c>
      <c r="AD48" s="157" t="s">
        <v>289</v>
      </c>
      <c r="AE48" s="157"/>
      <c r="AG48" s="166">
        <v>21500</v>
      </c>
      <c r="AI48" s="158">
        <v>3.44</v>
      </c>
      <c r="AJ48" s="158">
        <v>51.6</v>
      </c>
      <c r="AK48" s="158">
        <f t="shared" si="24"/>
        <v>15000</v>
      </c>
      <c r="AL48" s="158">
        <f t="shared" si="25"/>
        <v>73.959999999999994</v>
      </c>
      <c r="AN48" s="158">
        <f t="shared" si="26"/>
        <v>6500</v>
      </c>
      <c r="AO48" s="158">
        <f t="shared" si="27"/>
        <v>22.359999999999992</v>
      </c>
      <c r="AR48" s="192">
        <v>15000</v>
      </c>
      <c r="AS48" s="192">
        <f t="shared" si="28"/>
        <v>0</v>
      </c>
      <c r="BM48" s="158">
        <f t="shared" si="29"/>
        <v>634</v>
      </c>
      <c r="BN48" s="158">
        <f t="shared" si="30"/>
        <v>0</v>
      </c>
      <c r="BO48" s="158">
        <f t="shared" si="30"/>
        <v>0</v>
      </c>
      <c r="BP48" s="158">
        <f t="shared" si="30"/>
        <v>0</v>
      </c>
      <c r="BQ48" s="158">
        <f t="shared" si="30"/>
        <v>0</v>
      </c>
      <c r="BR48" s="158">
        <f t="shared" si="30"/>
        <v>0</v>
      </c>
      <c r="BS48" s="158">
        <f t="shared" si="30"/>
        <v>0</v>
      </c>
      <c r="BT48" s="158">
        <f t="shared" si="30"/>
        <v>0</v>
      </c>
      <c r="BU48" s="158">
        <f t="shared" si="30"/>
        <v>0</v>
      </c>
      <c r="BV48" s="158">
        <f t="shared" si="30"/>
        <v>634</v>
      </c>
      <c r="BX48" s="158">
        <v>0</v>
      </c>
      <c r="BY48" s="158">
        <v>0</v>
      </c>
      <c r="BZ48" s="158">
        <v>0</v>
      </c>
      <c r="CA48" s="158">
        <v>0</v>
      </c>
      <c r="CB48" s="158">
        <v>0</v>
      </c>
      <c r="CC48" s="158">
        <v>0</v>
      </c>
      <c r="CD48" s="158">
        <v>0</v>
      </c>
      <c r="CE48" s="158">
        <v>0</v>
      </c>
      <c r="CF48" s="158">
        <v>634</v>
      </c>
      <c r="CH48" s="161">
        <v>0</v>
      </c>
      <c r="CI48" s="161">
        <v>0</v>
      </c>
      <c r="CJ48" s="161">
        <v>0</v>
      </c>
      <c r="CK48" s="161">
        <v>0</v>
      </c>
      <c r="CL48" s="161">
        <v>0</v>
      </c>
      <c r="CM48" s="161">
        <v>0</v>
      </c>
      <c r="CN48" s="161">
        <v>0</v>
      </c>
      <c r="CO48" s="161">
        <v>0</v>
      </c>
      <c r="CP48" s="161">
        <v>1</v>
      </c>
      <c r="CR48" s="162">
        <f t="shared" si="31"/>
        <v>0</v>
      </c>
    </row>
    <row r="49" spans="1:96" outlineLevel="2" x14ac:dyDescent="0.35">
      <c r="A49" s="110" t="s">
        <v>104</v>
      </c>
      <c r="B49" s="110" t="s">
        <v>270</v>
      </c>
      <c r="C49" s="172">
        <f>IF($F49&lt;&gt;"",COUNTA($F$8:F49),"")</f>
        <v>34</v>
      </c>
      <c r="D49" s="157"/>
      <c r="E49" s="157"/>
      <c r="F49" s="157" t="s">
        <v>290</v>
      </c>
      <c r="G49" s="157" t="s">
        <v>291</v>
      </c>
      <c r="H49" s="157" t="s">
        <v>187</v>
      </c>
      <c r="J49" s="158">
        <v>21200</v>
      </c>
      <c r="K49" s="158">
        <v>3673.9616571794872</v>
      </c>
      <c r="L49" s="158">
        <f t="shared" si="19"/>
        <v>24873.961657179487</v>
      </c>
      <c r="N49" s="158">
        <v>1.62</v>
      </c>
      <c r="O49" s="158">
        <v>35.64</v>
      </c>
      <c r="P49" s="158">
        <f t="shared" si="20"/>
        <v>22000</v>
      </c>
      <c r="R49" s="158">
        <v>22000</v>
      </c>
      <c r="T49" s="158" t="s">
        <v>217</v>
      </c>
      <c r="V49" s="158">
        <v>0</v>
      </c>
      <c r="W49" s="159">
        <f t="shared" si="21"/>
        <v>0</v>
      </c>
      <c r="X49" s="159">
        <f t="shared" si="22"/>
        <v>0</v>
      </c>
      <c r="Y49" s="158">
        <v>0</v>
      </c>
      <c r="Z49" s="158">
        <v>11500</v>
      </c>
      <c r="AA49" s="158">
        <v>0</v>
      </c>
      <c r="AB49" s="160">
        <f t="shared" si="23"/>
        <v>11500</v>
      </c>
      <c r="AC49" s="157"/>
      <c r="AD49" s="157"/>
      <c r="AE49" s="157"/>
      <c r="AG49" s="158">
        <v>11500</v>
      </c>
      <c r="AI49" s="158">
        <v>1.456</v>
      </c>
      <c r="AJ49" s="158">
        <v>32.031999999999996</v>
      </c>
      <c r="AK49" s="158">
        <f t="shared" si="24"/>
        <v>21999.999999999996</v>
      </c>
      <c r="AL49" s="158">
        <f t="shared" si="25"/>
        <v>16.744</v>
      </c>
      <c r="AN49" s="158">
        <f t="shared" si="26"/>
        <v>-10499.999999999996</v>
      </c>
      <c r="AO49" s="158">
        <f t="shared" si="27"/>
        <v>-15.287999999999997</v>
      </c>
      <c r="AR49" s="192">
        <v>22000</v>
      </c>
      <c r="AS49" s="192">
        <f t="shared" si="28"/>
        <v>0</v>
      </c>
      <c r="BM49" s="158">
        <f t="shared" si="29"/>
        <v>3673.9616571794872</v>
      </c>
      <c r="BN49" s="158">
        <f t="shared" si="30"/>
        <v>0</v>
      </c>
      <c r="BO49" s="158">
        <f t="shared" si="30"/>
        <v>3673.9616571794872</v>
      </c>
      <c r="BP49" s="158">
        <f t="shared" si="30"/>
        <v>0</v>
      </c>
      <c r="BQ49" s="158">
        <f t="shared" si="30"/>
        <v>0</v>
      </c>
      <c r="BR49" s="158">
        <f t="shared" si="30"/>
        <v>0</v>
      </c>
      <c r="BS49" s="158">
        <f t="shared" si="30"/>
        <v>0</v>
      </c>
      <c r="BT49" s="158">
        <f t="shared" si="30"/>
        <v>0</v>
      </c>
      <c r="BU49" s="158">
        <f t="shared" si="30"/>
        <v>0</v>
      </c>
      <c r="BV49" s="158">
        <f t="shared" si="30"/>
        <v>0</v>
      </c>
      <c r="BX49" s="158">
        <v>0</v>
      </c>
      <c r="BY49" s="158">
        <v>3673.9616571794872</v>
      </c>
      <c r="BZ49" s="158">
        <v>0</v>
      </c>
      <c r="CA49" s="158">
        <v>0</v>
      </c>
      <c r="CB49" s="158">
        <v>0</v>
      </c>
      <c r="CC49" s="158">
        <v>0</v>
      </c>
      <c r="CD49" s="158">
        <v>0</v>
      </c>
      <c r="CE49" s="158">
        <v>0</v>
      </c>
      <c r="CF49" s="158">
        <v>0</v>
      </c>
      <c r="CH49" s="161">
        <v>0</v>
      </c>
      <c r="CI49" s="161">
        <v>1</v>
      </c>
      <c r="CJ49" s="161">
        <v>0</v>
      </c>
      <c r="CK49" s="161">
        <v>0</v>
      </c>
      <c r="CL49" s="161">
        <v>0</v>
      </c>
      <c r="CM49" s="161">
        <v>0</v>
      </c>
      <c r="CN49" s="161">
        <v>0</v>
      </c>
      <c r="CO49" s="161">
        <v>0</v>
      </c>
      <c r="CP49" s="161">
        <v>0</v>
      </c>
      <c r="CR49" s="162">
        <f t="shared" si="31"/>
        <v>0</v>
      </c>
    </row>
    <row r="50" spans="1:96" s="150" customFormat="1" outlineLevel="1" x14ac:dyDescent="0.35">
      <c r="A50" s="147"/>
      <c r="B50" s="147"/>
      <c r="C50" s="171" t="str">
        <f>IF($F50&lt;&gt;"",COUNTA($F$8:F50),"")</f>
        <v/>
      </c>
      <c r="D50" s="149"/>
      <c r="E50" s="149" t="s">
        <v>292</v>
      </c>
      <c r="F50" s="149"/>
      <c r="G50" s="149"/>
      <c r="H50" s="149"/>
      <c r="J50" s="149"/>
      <c r="K50" s="149"/>
      <c r="L50" s="149"/>
      <c r="N50" s="151">
        <f>SUM(N51:N55)</f>
        <v>193.57399999999998</v>
      </c>
      <c r="O50" s="151">
        <f>SUM(O51:O55)</f>
        <v>2847.2868159999998</v>
      </c>
      <c r="P50" s="151">
        <f>O50/N50*10^3</f>
        <v>14709.035386983789</v>
      </c>
      <c r="R50" s="149"/>
      <c r="T50" s="149"/>
      <c r="V50" s="149"/>
      <c r="W50" s="152"/>
      <c r="X50" s="152"/>
      <c r="Y50" s="149"/>
      <c r="Z50" s="149"/>
      <c r="AA50" s="149"/>
      <c r="AB50" s="153"/>
      <c r="AC50" s="149"/>
      <c r="AD50" s="149"/>
      <c r="AE50" s="149"/>
      <c r="AG50" s="149"/>
      <c r="AI50" s="151">
        <f>SUM(AI51:AI55)</f>
        <v>226.11500000000001</v>
      </c>
      <c r="AJ50" s="151">
        <f>SUM(AJ51:AJ55)</f>
        <v>3391.3901420000002</v>
      </c>
      <c r="AK50" s="151">
        <f>AJ50/AI50*10^3</f>
        <v>14998.519080998607</v>
      </c>
      <c r="AL50" s="151">
        <f>SUM(AL51:AL55)</f>
        <v>1177.8599999999999</v>
      </c>
      <c r="AN50" s="151"/>
      <c r="AO50" s="151">
        <f>SUM(AO51:AO55)</f>
        <v>-2213.5301420000005</v>
      </c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X50" s="149"/>
      <c r="BY50" s="149"/>
      <c r="BZ50" s="149"/>
      <c r="CA50" s="149"/>
      <c r="CB50" s="149"/>
      <c r="CC50" s="149"/>
      <c r="CD50" s="149"/>
      <c r="CE50" s="149"/>
      <c r="CF50" s="149"/>
      <c r="CH50" s="154"/>
      <c r="CI50" s="154"/>
      <c r="CJ50" s="154"/>
      <c r="CK50" s="154"/>
      <c r="CL50" s="154"/>
      <c r="CM50" s="154"/>
      <c r="CN50" s="154"/>
      <c r="CO50" s="154"/>
      <c r="CP50" s="154"/>
      <c r="CR50" s="155"/>
    </row>
    <row r="51" spans="1:96" outlineLevel="2" x14ac:dyDescent="0.35">
      <c r="A51" s="110" t="s">
        <v>104</v>
      </c>
      <c r="B51" s="110" t="s">
        <v>237</v>
      </c>
      <c r="C51" s="172">
        <f>IF($F51&lt;&gt;"",COUNTA($F$8:F51),"")</f>
        <v>35</v>
      </c>
      <c r="D51" s="157"/>
      <c r="E51" s="157"/>
      <c r="F51" s="173" t="s">
        <v>293</v>
      </c>
      <c r="G51" s="173" t="s">
        <v>294</v>
      </c>
      <c r="H51" s="173" t="s">
        <v>192</v>
      </c>
      <c r="J51" s="158">
        <v>21200</v>
      </c>
      <c r="K51" s="158">
        <v>2514.8132606483705</v>
      </c>
      <c r="L51" s="158">
        <f>SUM(J51:K51)</f>
        <v>23714.81326064837</v>
      </c>
      <c r="N51" s="158">
        <v>131.28399999999999</v>
      </c>
      <c r="O51" s="158">
        <v>1724.723894</v>
      </c>
      <c r="P51" s="158">
        <f>IFERROR(O51/N51,0)*10^3</f>
        <v>13137.350278784925</v>
      </c>
      <c r="R51" s="158">
        <v>8000</v>
      </c>
      <c r="T51" s="158" t="s">
        <v>217</v>
      </c>
      <c r="V51" s="158">
        <v>0</v>
      </c>
      <c r="W51" s="159">
        <f>IFERROR(_xlfn.NUMBERVALUE(IF(V51=0,0,LEFT($V51,LEN($V51)-SEARCH("đ",$V51)-4))),$V51)</f>
        <v>0</v>
      </c>
      <c r="X51" s="159">
        <f>IFERROR(IF(V51=0,0,_xlfn.NUMBERVALUE(MID($V51,SEARCH("- ",$V51)+2,LEN($V51)-SEARCH("- ",$V51)-2))),$V51)</f>
        <v>0</v>
      </c>
      <c r="Y51" s="158">
        <v>4000</v>
      </c>
      <c r="Z51" s="158">
        <v>0</v>
      </c>
      <c r="AA51" s="158">
        <v>0</v>
      </c>
      <c r="AB51" s="160">
        <f>IF(MAX(W51:AA51)=0,"Không có",MAX(W51:AA51))</f>
        <v>4000</v>
      </c>
      <c r="AC51" s="173"/>
      <c r="AD51" s="173"/>
      <c r="AE51" s="173"/>
      <c r="AG51" s="158">
        <v>4000</v>
      </c>
      <c r="AI51" s="158">
        <v>125.98399999999999</v>
      </c>
      <c r="AJ51" s="158">
        <v>1627.712006</v>
      </c>
      <c r="AK51" s="158">
        <f>IFERROR(AJ51/AI51,0)*10^3</f>
        <v>12919.989887604776</v>
      </c>
      <c r="AL51" s="158">
        <f>AG51*AI51/10^3</f>
        <v>503.93599999999998</v>
      </c>
      <c r="AN51" s="158">
        <f>AG51-AK51</f>
        <v>-8919.9898876047755</v>
      </c>
      <c r="AO51" s="158">
        <f>AL51-AJ51</f>
        <v>-1123.7760060000001</v>
      </c>
      <c r="AR51" s="192">
        <v>8000</v>
      </c>
      <c r="AS51" s="192">
        <f t="shared" ref="AS51:AS55" si="32">AR51-R51</f>
        <v>0</v>
      </c>
      <c r="BM51" s="158">
        <f>SUM(BN51:BV51)</f>
        <v>2514.8132606483705</v>
      </c>
      <c r="BN51" s="158">
        <f t="shared" ref="BN51:BV55" si="33">BX51*CH51</f>
        <v>0</v>
      </c>
      <c r="BO51" s="158">
        <f t="shared" si="33"/>
        <v>0</v>
      </c>
      <c r="BP51" s="158">
        <f t="shared" si="33"/>
        <v>0</v>
      </c>
      <c r="BQ51" s="158">
        <f t="shared" si="33"/>
        <v>0</v>
      </c>
      <c r="BR51" s="158">
        <f t="shared" si="33"/>
        <v>0</v>
      </c>
      <c r="BS51" s="158">
        <f t="shared" si="33"/>
        <v>0</v>
      </c>
      <c r="BT51" s="158">
        <f t="shared" si="33"/>
        <v>2514.8132606483705</v>
      </c>
      <c r="BU51" s="158">
        <f t="shared" si="33"/>
        <v>0</v>
      </c>
      <c r="BV51" s="158">
        <f t="shared" si="33"/>
        <v>0</v>
      </c>
      <c r="BX51" s="158">
        <v>0</v>
      </c>
      <c r="BY51" s="158">
        <v>0</v>
      </c>
      <c r="BZ51" s="158">
        <v>0</v>
      </c>
      <c r="CA51" s="158">
        <v>0</v>
      </c>
      <c r="CB51" s="158">
        <v>0</v>
      </c>
      <c r="CC51" s="158">
        <v>0</v>
      </c>
      <c r="CD51" s="158">
        <v>2514.8132606483705</v>
      </c>
      <c r="CE51" s="158">
        <v>0</v>
      </c>
      <c r="CF51" s="158">
        <v>0</v>
      </c>
      <c r="CH51" s="161">
        <v>0</v>
      </c>
      <c r="CI51" s="161">
        <v>0</v>
      </c>
      <c r="CJ51" s="161">
        <v>0</v>
      </c>
      <c r="CK51" s="161">
        <v>0</v>
      </c>
      <c r="CL51" s="161">
        <v>0</v>
      </c>
      <c r="CM51" s="161">
        <v>0</v>
      </c>
      <c r="CN51" s="161">
        <v>1</v>
      </c>
      <c r="CO51" s="161">
        <v>0</v>
      </c>
      <c r="CP51" s="161">
        <v>0</v>
      </c>
      <c r="CR51" s="162">
        <f>K51-BM51</f>
        <v>0</v>
      </c>
    </row>
    <row r="52" spans="1:96" outlineLevel="2" x14ac:dyDescent="0.35">
      <c r="A52" s="110" t="s">
        <v>104</v>
      </c>
      <c r="B52" s="110" t="s">
        <v>237</v>
      </c>
      <c r="C52" s="172">
        <f>IF($F52&lt;&gt;"",COUNTA($F$8:F52),"")</f>
        <v>36</v>
      </c>
      <c r="D52" s="157"/>
      <c r="E52" s="157"/>
      <c r="F52" s="173" t="s">
        <v>295</v>
      </c>
      <c r="G52" s="173" t="s">
        <v>296</v>
      </c>
      <c r="H52" s="173" t="s">
        <v>188</v>
      </c>
      <c r="J52" s="158">
        <v>21200</v>
      </c>
      <c r="K52" s="158">
        <v>1296.7848292339111</v>
      </c>
      <c r="L52" s="158">
        <f>SUM(J52:K52)</f>
        <v>22496.784829233911</v>
      </c>
      <c r="N52" s="158">
        <v>24.074999999999999</v>
      </c>
      <c r="O52" s="158">
        <v>439.63056</v>
      </c>
      <c r="P52" s="158">
        <f>IFERROR(O52/N52,0)*10^3</f>
        <v>18260.87476635514</v>
      </c>
      <c r="R52" s="158">
        <v>17000</v>
      </c>
      <c r="T52" s="158" t="s">
        <v>217</v>
      </c>
      <c r="V52" s="158" t="s">
        <v>217</v>
      </c>
      <c r="W52" s="159" t="str">
        <f>IFERROR(_xlfn.NUMBERVALUE(IF(V52=0,0,LEFT($V52,LEN($V52)-SEARCH("đ",$V52)-4))),$V52)</f>
        <v/>
      </c>
      <c r="X52" s="159" t="str">
        <f>IFERROR(IF(V52=0,0,_xlfn.NUMBERVALUE(MID($V52,SEARCH("- ",$V52)+2,LEN($V52)-SEARCH("- ",$V52)-2))),$V52)</f>
        <v/>
      </c>
      <c r="Y52" s="158" t="s">
        <v>217</v>
      </c>
      <c r="Z52" s="158" t="s">
        <v>217</v>
      </c>
      <c r="AA52" s="158" t="s">
        <v>217</v>
      </c>
      <c r="AB52" s="160" t="str">
        <f>IF(MAX(W52:AA52)=0,"Không có",MAX(W52:AA52))</f>
        <v>Không có</v>
      </c>
      <c r="AC52" s="173" t="s">
        <v>275</v>
      </c>
      <c r="AD52" s="173" t="s">
        <v>297</v>
      </c>
      <c r="AE52" s="173"/>
      <c r="AG52" s="166">
        <v>8000</v>
      </c>
      <c r="AI52" s="158">
        <v>29.585000000000001</v>
      </c>
      <c r="AJ52" s="158">
        <v>533.30056000000002</v>
      </c>
      <c r="AK52" s="158">
        <f>IFERROR(AJ52/AI52,0)*10^3</f>
        <v>18026.045631232046</v>
      </c>
      <c r="AL52" s="158">
        <f>AG52*AI52/10^3</f>
        <v>236.68</v>
      </c>
      <c r="AN52" s="158">
        <f>AG52-AK52</f>
        <v>-10026.045631232046</v>
      </c>
      <c r="AO52" s="158">
        <f>AL52-AJ52</f>
        <v>-296.62056000000001</v>
      </c>
      <c r="AR52" s="192">
        <v>17000</v>
      </c>
      <c r="AS52" s="192">
        <f t="shared" si="32"/>
        <v>0</v>
      </c>
      <c r="BM52" s="158">
        <f>SUM(BN52:BV52)</f>
        <v>1296.7848292339111</v>
      </c>
      <c r="BN52" s="158">
        <f t="shared" si="33"/>
        <v>0</v>
      </c>
      <c r="BO52" s="158">
        <f t="shared" si="33"/>
        <v>0</v>
      </c>
      <c r="BP52" s="158">
        <f t="shared" si="33"/>
        <v>1296.7848292339111</v>
      </c>
      <c r="BQ52" s="158">
        <f t="shared" si="33"/>
        <v>0</v>
      </c>
      <c r="BR52" s="158">
        <f t="shared" si="33"/>
        <v>0</v>
      </c>
      <c r="BS52" s="158">
        <f t="shared" si="33"/>
        <v>0</v>
      </c>
      <c r="BT52" s="158">
        <f t="shared" si="33"/>
        <v>0</v>
      </c>
      <c r="BU52" s="158">
        <f t="shared" si="33"/>
        <v>0</v>
      </c>
      <c r="BV52" s="158">
        <f t="shared" si="33"/>
        <v>0</v>
      </c>
      <c r="BX52" s="158">
        <v>0</v>
      </c>
      <c r="BY52" s="158">
        <v>0</v>
      </c>
      <c r="BZ52" s="158">
        <v>1296.7848292339111</v>
      </c>
      <c r="CA52" s="158">
        <v>0</v>
      </c>
      <c r="CB52" s="158">
        <v>0</v>
      </c>
      <c r="CC52" s="158">
        <v>0</v>
      </c>
      <c r="CD52" s="158">
        <v>0</v>
      </c>
      <c r="CE52" s="158">
        <v>0</v>
      </c>
      <c r="CF52" s="158">
        <v>0</v>
      </c>
      <c r="CH52" s="161">
        <v>0</v>
      </c>
      <c r="CI52" s="161">
        <v>0</v>
      </c>
      <c r="CJ52" s="161">
        <v>1</v>
      </c>
      <c r="CK52" s="161">
        <v>0</v>
      </c>
      <c r="CL52" s="161">
        <v>0</v>
      </c>
      <c r="CM52" s="161">
        <v>0</v>
      </c>
      <c r="CN52" s="161">
        <v>0</v>
      </c>
      <c r="CO52" s="161">
        <v>0</v>
      </c>
      <c r="CP52" s="161">
        <v>0</v>
      </c>
      <c r="CR52" s="162">
        <f>K52-BM52</f>
        <v>0</v>
      </c>
    </row>
    <row r="53" spans="1:96" outlineLevel="2" x14ac:dyDescent="0.35">
      <c r="A53" s="110" t="s">
        <v>104</v>
      </c>
      <c r="B53" s="110" t="s">
        <v>237</v>
      </c>
      <c r="C53" s="172">
        <f>IF($F53&lt;&gt;"",COUNTA($F$8:F53),"")</f>
        <v>37</v>
      </c>
      <c r="D53" s="157"/>
      <c r="E53" s="157"/>
      <c r="F53" s="173" t="s">
        <v>298</v>
      </c>
      <c r="G53" s="173" t="s">
        <v>299</v>
      </c>
      <c r="H53" s="173" t="s">
        <v>188</v>
      </c>
      <c r="J53" s="158">
        <v>21200</v>
      </c>
      <c r="K53" s="158">
        <v>1296.7848292339111</v>
      </c>
      <c r="L53" s="158">
        <f>SUM(J53:K53)</f>
        <v>22496.784829233911</v>
      </c>
      <c r="N53" s="158">
        <v>21.664999999999999</v>
      </c>
      <c r="O53" s="158">
        <v>386.19821899999999</v>
      </c>
      <c r="P53" s="158">
        <f>IFERROR(O53/N53,0)*10^3</f>
        <v>17825.904408031387</v>
      </c>
      <c r="R53" s="158">
        <v>17000</v>
      </c>
      <c r="T53" s="158" t="s">
        <v>217</v>
      </c>
      <c r="V53" s="158" t="s">
        <v>217</v>
      </c>
      <c r="W53" s="159" t="str">
        <f>IFERROR(_xlfn.NUMBERVALUE(IF(V53=0,0,LEFT($V53,LEN($V53)-SEARCH("đ",$V53)-4))),$V53)</f>
        <v/>
      </c>
      <c r="X53" s="159" t="str">
        <f>IFERROR(IF(V53=0,0,_xlfn.NUMBERVALUE(MID($V53,SEARCH("- ",$V53)+2,LEN($V53)-SEARCH("- ",$V53)-2))),$V53)</f>
        <v/>
      </c>
      <c r="Y53" s="158" t="s">
        <v>217</v>
      </c>
      <c r="Z53" s="158" t="s">
        <v>217</v>
      </c>
      <c r="AA53" s="158" t="s">
        <v>217</v>
      </c>
      <c r="AB53" s="160" t="str">
        <f>IF(MAX(W53:AA53)=0,"Không có",MAX(W53:AA53))</f>
        <v>Không có</v>
      </c>
      <c r="AC53" s="173" t="s">
        <v>275</v>
      </c>
      <c r="AD53" s="173" t="s">
        <v>297</v>
      </c>
      <c r="AE53" s="173"/>
      <c r="AG53" s="166">
        <v>8000</v>
      </c>
      <c r="AI53" s="158">
        <v>38.765000000000001</v>
      </c>
      <c r="AJ53" s="158">
        <v>676.89821900000004</v>
      </c>
      <c r="AK53" s="158">
        <f>IFERROR(AJ53/AI53,0)*10^3</f>
        <v>17461.581813491553</v>
      </c>
      <c r="AL53" s="158">
        <f>AG53*AI53/10^3</f>
        <v>310.12</v>
      </c>
      <c r="AN53" s="158">
        <f>AG53-AK53</f>
        <v>-9461.5818134915535</v>
      </c>
      <c r="AO53" s="158">
        <f>AL53-AJ53</f>
        <v>-366.77821900000004</v>
      </c>
      <c r="AR53" s="192">
        <v>17000</v>
      </c>
      <c r="AS53" s="192">
        <f t="shared" si="32"/>
        <v>0</v>
      </c>
      <c r="BM53" s="158">
        <f>SUM(BN53:BV53)</f>
        <v>1296.7848292339111</v>
      </c>
      <c r="BN53" s="158">
        <f t="shared" si="33"/>
        <v>0</v>
      </c>
      <c r="BO53" s="158">
        <f t="shared" si="33"/>
        <v>0</v>
      </c>
      <c r="BP53" s="158">
        <f t="shared" si="33"/>
        <v>1296.7848292339111</v>
      </c>
      <c r="BQ53" s="158">
        <f t="shared" si="33"/>
        <v>0</v>
      </c>
      <c r="BR53" s="158">
        <f t="shared" si="33"/>
        <v>0</v>
      </c>
      <c r="BS53" s="158">
        <f t="shared" si="33"/>
        <v>0</v>
      </c>
      <c r="BT53" s="158">
        <f t="shared" si="33"/>
        <v>0</v>
      </c>
      <c r="BU53" s="158">
        <f t="shared" si="33"/>
        <v>0</v>
      </c>
      <c r="BV53" s="158">
        <f t="shared" si="33"/>
        <v>0</v>
      </c>
      <c r="BX53" s="158">
        <v>0</v>
      </c>
      <c r="BY53" s="158">
        <v>0</v>
      </c>
      <c r="BZ53" s="158">
        <v>1296.7848292339111</v>
      </c>
      <c r="CA53" s="158">
        <v>0</v>
      </c>
      <c r="CB53" s="158">
        <v>0</v>
      </c>
      <c r="CC53" s="158">
        <v>0</v>
      </c>
      <c r="CD53" s="158">
        <v>0</v>
      </c>
      <c r="CE53" s="158">
        <v>0</v>
      </c>
      <c r="CF53" s="158">
        <v>0</v>
      </c>
      <c r="CH53" s="161">
        <v>0</v>
      </c>
      <c r="CI53" s="161">
        <v>0</v>
      </c>
      <c r="CJ53" s="161">
        <v>1</v>
      </c>
      <c r="CK53" s="161">
        <v>0</v>
      </c>
      <c r="CL53" s="161">
        <v>0</v>
      </c>
      <c r="CM53" s="161">
        <v>0</v>
      </c>
      <c r="CN53" s="161">
        <v>0</v>
      </c>
      <c r="CO53" s="161">
        <v>0</v>
      </c>
      <c r="CP53" s="161">
        <v>0</v>
      </c>
      <c r="CR53" s="162">
        <f>K53-BM53</f>
        <v>0</v>
      </c>
    </row>
    <row r="54" spans="1:96" outlineLevel="2" x14ac:dyDescent="0.35">
      <c r="A54" s="110" t="s">
        <v>104</v>
      </c>
      <c r="B54" s="110" t="s">
        <v>237</v>
      </c>
      <c r="C54" s="172">
        <f>IF($F54&lt;&gt;"",COUNTA($F$8:F54),"")</f>
        <v>38</v>
      </c>
      <c r="D54" s="157"/>
      <c r="E54" s="157"/>
      <c r="F54" s="173" t="s">
        <v>300</v>
      </c>
      <c r="G54" s="173" t="s">
        <v>301</v>
      </c>
      <c r="H54" s="173" t="s">
        <v>192</v>
      </c>
      <c r="J54" s="158">
        <v>21200</v>
      </c>
      <c r="K54" s="158">
        <v>1760.3692824538593</v>
      </c>
      <c r="L54" s="158">
        <f>SUM(J54:K54)</f>
        <v>22960.369282453859</v>
      </c>
      <c r="N54" s="158">
        <v>11.55</v>
      </c>
      <c r="O54" s="158">
        <v>196.80407099999999</v>
      </c>
      <c r="P54" s="158">
        <f>IFERROR(O54/N54,0)*10^3</f>
        <v>17039.313506493505</v>
      </c>
      <c r="R54" s="158">
        <v>17000</v>
      </c>
      <c r="T54" s="158" t="s">
        <v>217</v>
      </c>
      <c r="V54" s="158" t="s">
        <v>217</v>
      </c>
      <c r="W54" s="159" t="str">
        <f>IFERROR(_xlfn.NUMBERVALUE(IF(V54=0,0,LEFT($V54,LEN($V54)-SEARCH("đ",$V54)-4))),$V54)</f>
        <v/>
      </c>
      <c r="X54" s="159" t="str">
        <f>IFERROR(IF(V54=0,0,_xlfn.NUMBERVALUE(MID($V54,SEARCH("- ",$V54)+2,LEN($V54)-SEARCH("- ",$V54)-2))),$V54)</f>
        <v/>
      </c>
      <c r="Y54" s="158" t="s">
        <v>217</v>
      </c>
      <c r="Z54" s="158" t="s">
        <v>217</v>
      </c>
      <c r="AA54" s="158" t="s">
        <v>217</v>
      </c>
      <c r="AB54" s="160" t="str">
        <f>IF(MAX(W54:AA54)=0,"Không có",MAX(W54:AA54))</f>
        <v>Không có</v>
      </c>
      <c r="AC54" s="173" t="s">
        <v>275</v>
      </c>
      <c r="AD54" s="173" t="s">
        <v>302</v>
      </c>
      <c r="AE54" s="173"/>
      <c r="AG54" s="166">
        <v>4000</v>
      </c>
      <c r="AI54" s="158">
        <v>25.760999999999999</v>
      </c>
      <c r="AJ54" s="158">
        <v>438.33607599999999</v>
      </c>
      <c r="AK54" s="158">
        <f>IFERROR(AJ54/AI54,0)*10^3</f>
        <v>17015.491479368036</v>
      </c>
      <c r="AL54" s="158">
        <f>AG54*AI54/10^3</f>
        <v>103.044</v>
      </c>
      <c r="AN54" s="158">
        <f>AG54-AK54</f>
        <v>-13015.491479368036</v>
      </c>
      <c r="AO54" s="158">
        <f>AL54-AJ54</f>
        <v>-335.29207600000001</v>
      </c>
      <c r="AR54" s="192">
        <v>17000</v>
      </c>
      <c r="AS54" s="192">
        <f t="shared" si="32"/>
        <v>0</v>
      </c>
      <c r="BM54" s="158">
        <f>SUM(BN54:BV54)</f>
        <v>1760.3692824538593</v>
      </c>
      <c r="BN54" s="158">
        <f t="shared" si="33"/>
        <v>0</v>
      </c>
      <c r="BO54" s="158">
        <f t="shared" si="33"/>
        <v>0</v>
      </c>
      <c r="BP54" s="158">
        <f t="shared" si="33"/>
        <v>0</v>
      </c>
      <c r="BQ54" s="158">
        <f t="shared" si="33"/>
        <v>0</v>
      </c>
      <c r="BR54" s="158">
        <f t="shared" si="33"/>
        <v>0</v>
      </c>
      <c r="BS54" s="158">
        <f t="shared" si="33"/>
        <v>0</v>
      </c>
      <c r="BT54" s="158">
        <f t="shared" si="33"/>
        <v>1760.3692824538593</v>
      </c>
      <c r="BU54" s="158">
        <f t="shared" si="33"/>
        <v>0</v>
      </c>
      <c r="BV54" s="158">
        <f t="shared" si="33"/>
        <v>0</v>
      </c>
      <c r="BX54" s="158">
        <v>0</v>
      </c>
      <c r="BY54" s="158">
        <v>0</v>
      </c>
      <c r="BZ54" s="158">
        <v>0</v>
      </c>
      <c r="CA54" s="158">
        <v>0</v>
      </c>
      <c r="CB54" s="158">
        <v>0</v>
      </c>
      <c r="CC54" s="158">
        <v>0</v>
      </c>
      <c r="CD54" s="158">
        <v>2514.8132606483705</v>
      </c>
      <c r="CE54" s="158">
        <v>0</v>
      </c>
      <c r="CF54" s="158">
        <v>0</v>
      </c>
      <c r="CH54" s="161">
        <v>0</v>
      </c>
      <c r="CI54" s="161">
        <v>0</v>
      </c>
      <c r="CJ54" s="161">
        <v>0</v>
      </c>
      <c r="CK54" s="161">
        <v>0</v>
      </c>
      <c r="CL54" s="161">
        <v>0</v>
      </c>
      <c r="CM54" s="161">
        <v>0</v>
      </c>
      <c r="CN54" s="161">
        <v>0.7</v>
      </c>
      <c r="CO54" s="161">
        <v>0</v>
      </c>
      <c r="CP54" s="161">
        <v>0</v>
      </c>
      <c r="CR54" s="162">
        <f>K54-BM54</f>
        <v>0</v>
      </c>
    </row>
    <row r="55" spans="1:96" outlineLevel="2" x14ac:dyDescent="0.35">
      <c r="A55" s="110" t="s">
        <v>104</v>
      </c>
      <c r="B55" s="110" t="s">
        <v>237</v>
      </c>
      <c r="C55" s="172">
        <f>IF($F55&lt;&gt;"",COUNTA($F$8:F55),"")</f>
        <v>39</v>
      </c>
      <c r="D55" s="157"/>
      <c r="E55" s="157"/>
      <c r="F55" s="173" t="s">
        <v>303</v>
      </c>
      <c r="G55" s="173" t="s">
        <v>304</v>
      </c>
      <c r="H55" s="173" t="s">
        <v>192</v>
      </c>
      <c r="J55" s="158">
        <v>21200</v>
      </c>
      <c r="K55" s="158">
        <v>1760.3692824538593</v>
      </c>
      <c r="L55" s="158">
        <f>SUM(J55:K55)</f>
        <v>22960.369282453859</v>
      </c>
      <c r="N55" s="158">
        <v>5</v>
      </c>
      <c r="O55" s="158">
        <v>99.930071999999996</v>
      </c>
      <c r="P55" s="158">
        <f>IFERROR(O55/N55,0)*10^3</f>
        <v>19986.0144</v>
      </c>
      <c r="R55" s="158">
        <v>17000</v>
      </c>
      <c r="T55" s="158" t="s">
        <v>217</v>
      </c>
      <c r="V55" s="158" t="s">
        <v>217</v>
      </c>
      <c r="W55" s="159" t="str">
        <f>IFERROR(_xlfn.NUMBERVALUE(IF(V55=0,0,LEFT($V55,LEN($V55)-SEARCH("đ",$V55)-4))),$V55)</f>
        <v/>
      </c>
      <c r="X55" s="159" t="str">
        <f>IFERROR(IF(V55=0,0,_xlfn.NUMBERVALUE(MID($V55,SEARCH("- ",$V55)+2,LEN($V55)-SEARCH("- ",$V55)-2))),$V55)</f>
        <v/>
      </c>
      <c r="Y55" s="158" t="s">
        <v>217</v>
      </c>
      <c r="Z55" s="158" t="s">
        <v>217</v>
      </c>
      <c r="AA55" s="158" t="s">
        <v>217</v>
      </c>
      <c r="AB55" s="160" t="str">
        <f>IF(MAX(W55:AA55)=0,"Không có",MAX(W55:AA55))</f>
        <v>Không có</v>
      </c>
      <c r="AC55" s="173" t="s">
        <v>275</v>
      </c>
      <c r="AD55" s="173" t="s">
        <v>302</v>
      </c>
      <c r="AE55" s="173"/>
      <c r="AG55" s="166">
        <v>4000</v>
      </c>
      <c r="AI55" s="158">
        <v>6.02</v>
      </c>
      <c r="AJ55" s="158">
        <v>115.143281</v>
      </c>
      <c r="AK55" s="158">
        <f>IFERROR(AJ55/AI55,0)*10^3</f>
        <v>19126.790863787377</v>
      </c>
      <c r="AL55" s="158">
        <f>AG55*AI55/10^3</f>
        <v>24.08</v>
      </c>
      <c r="AN55" s="158">
        <f>AG55-AK55</f>
        <v>-15126.790863787377</v>
      </c>
      <c r="AO55" s="158">
        <f>AL55-AJ55</f>
        <v>-91.063281000000003</v>
      </c>
      <c r="AR55" s="192">
        <v>17000</v>
      </c>
      <c r="AS55" s="192">
        <f t="shared" si="32"/>
        <v>0</v>
      </c>
      <c r="BM55" s="158">
        <f>SUM(BN55:BV55)</f>
        <v>1760.3692824538593</v>
      </c>
      <c r="BN55" s="158">
        <f t="shared" si="33"/>
        <v>0</v>
      </c>
      <c r="BO55" s="158">
        <f t="shared" si="33"/>
        <v>0</v>
      </c>
      <c r="BP55" s="158">
        <f t="shared" si="33"/>
        <v>0</v>
      </c>
      <c r="BQ55" s="158">
        <f t="shared" si="33"/>
        <v>0</v>
      </c>
      <c r="BR55" s="158">
        <f t="shared" si="33"/>
        <v>0</v>
      </c>
      <c r="BS55" s="158">
        <f t="shared" si="33"/>
        <v>0</v>
      </c>
      <c r="BT55" s="158">
        <f t="shared" si="33"/>
        <v>1760.3692824538593</v>
      </c>
      <c r="BU55" s="158">
        <f t="shared" si="33"/>
        <v>0</v>
      </c>
      <c r="BV55" s="158">
        <f t="shared" si="33"/>
        <v>0</v>
      </c>
      <c r="BX55" s="158">
        <v>0</v>
      </c>
      <c r="BY55" s="158">
        <v>0</v>
      </c>
      <c r="BZ55" s="158">
        <v>0</v>
      </c>
      <c r="CA55" s="158">
        <v>0</v>
      </c>
      <c r="CB55" s="158">
        <v>0</v>
      </c>
      <c r="CC55" s="158">
        <v>0</v>
      </c>
      <c r="CD55" s="158">
        <v>2514.8132606483705</v>
      </c>
      <c r="CE55" s="158">
        <v>0</v>
      </c>
      <c r="CF55" s="158">
        <v>0</v>
      </c>
      <c r="CH55" s="161">
        <v>0</v>
      </c>
      <c r="CI55" s="161">
        <v>0</v>
      </c>
      <c r="CJ55" s="161">
        <v>0</v>
      </c>
      <c r="CK55" s="161">
        <v>0</v>
      </c>
      <c r="CL55" s="161">
        <v>0</v>
      </c>
      <c r="CM55" s="161">
        <v>0</v>
      </c>
      <c r="CN55" s="161">
        <v>0.7</v>
      </c>
      <c r="CO55" s="161">
        <v>0</v>
      </c>
      <c r="CP55" s="161">
        <v>0</v>
      </c>
      <c r="CR55" s="162">
        <f>K55-BM55</f>
        <v>0</v>
      </c>
    </row>
    <row r="56" spans="1:96" s="150" customFormat="1" outlineLevel="1" x14ac:dyDescent="0.35">
      <c r="A56" s="147"/>
      <c r="B56" s="147"/>
      <c r="C56" s="171" t="str">
        <f>IF($F56&lt;&gt;"",COUNTA($F$8:F56),"")</f>
        <v/>
      </c>
      <c r="D56" s="149"/>
      <c r="E56" s="149" t="s">
        <v>305</v>
      </c>
      <c r="F56" s="149"/>
      <c r="G56" s="149"/>
      <c r="H56" s="149"/>
      <c r="J56" s="149"/>
      <c r="K56" s="149"/>
      <c r="L56" s="149"/>
      <c r="N56" s="151">
        <f>SUM(N57:N75)</f>
        <v>385.58950000000004</v>
      </c>
      <c r="O56" s="151">
        <f>SUM(O57:O75)</f>
        <v>2741.9634719999995</v>
      </c>
      <c r="P56" s="151">
        <f>O56/N56*10^3</f>
        <v>7111.094757507658</v>
      </c>
      <c r="R56" s="149"/>
      <c r="T56" s="149"/>
      <c r="V56" s="149"/>
      <c r="W56" s="152"/>
      <c r="X56" s="152"/>
      <c r="Y56" s="149"/>
      <c r="Z56" s="149"/>
      <c r="AA56" s="149"/>
      <c r="AB56" s="153"/>
      <c r="AC56" s="149"/>
      <c r="AD56" s="149"/>
      <c r="AE56" s="149"/>
      <c r="AG56" s="149"/>
      <c r="AI56" s="151">
        <f>SUM(AI57:AI75)</f>
        <v>398.17050000000006</v>
      </c>
      <c r="AJ56" s="151">
        <f>SUM(AJ57:AJ75)</f>
        <v>2952.502156</v>
      </c>
      <c r="AK56" s="151">
        <f>AJ56/AI56*10^3</f>
        <v>7415.1705261941797</v>
      </c>
      <c r="AL56" s="151">
        <f>SUM(AL57:AL75)</f>
        <v>1943.7549999999999</v>
      </c>
      <c r="AN56" s="151"/>
      <c r="AO56" s="151">
        <f>SUM(AO57:AO75)</f>
        <v>-1008.7471559999998</v>
      </c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X56" s="149"/>
      <c r="BY56" s="149"/>
      <c r="BZ56" s="149"/>
      <c r="CA56" s="149"/>
      <c r="CB56" s="149"/>
      <c r="CC56" s="149"/>
      <c r="CD56" s="149"/>
      <c r="CE56" s="149"/>
      <c r="CF56" s="149"/>
      <c r="CH56" s="154"/>
      <c r="CI56" s="154"/>
      <c r="CJ56" s="154"/>
      <c r="CK56" s="154"/>
      <c r="CL56" s="154"/>
      <c r="CM56" s="154"/>
      <c r="CN56" s="154"/>
      <c r="CO56" s="154"/>
      <c r="CP56" s="154"/>
      <c r="CR56" s="155"/>
    </row>
    <row r="57" spans="1:96" outlineLevel="2" x14ac:dyDescent="0.35">
      <c r="A57" s="110" t="s">
        <v>104</v>
      </c>
      <c r="B57" s="110" t="s">
        <v>306</v>
      </c>
      <c r="C57" s="172">
        <f>IF($F57&lt;&gt;"",COUNTA($F$8:F57),"")</f>
        <v>40</v>
      </c>
      <c r="D57" s="157"/>
      <c r="E57" s="157"/>
      <c r="F57" s="157" t="s">
        <v>307</v>
      </c>
      <c r="G57" s="157" t="s">
        <v>308</v>
      </c>
      <c r="H57" s="157" t="s">
        <v>192</v>
      </c>
      <c r="J57" s="158">
        <v>21200</v>
      </c>
      <c r="K57" s="158">
        <v>2514.8132606483705</v>
      </c>
      <c r="L57" s="158">
        <f t="shared" ref="L57:L75" si="34">SUM(J57:K57)</f>
        <v>23714.81326064837</v>
      </c>
      <c r="N57" s="158">
        <v>61.6</v>
      </c>
      <c r="O57" s="158">
        <v>492.8</v>
      </c>
      <c r="P57" s="158">
        <f t="shared" ref="P57:P75" si="35">IFERROR(O57/N57,0)*10^3</f>
        <v>8000</v>
      </c>
      <c r="R57" s="158">
        <v>8000</v>
      </c>
      <c r="T57" s="158" t="s">
        <v>217</v>
      </c>
      <c r="V57" s="158" t="s">
        <v>217</v>
      </c>
      <c r="W57" s="159" t="str">
        <f t="shared" ref="W57:W75" si="36">IFERROR(_xlfn.NUMBERVALUE(IF(V57=0,0,LEFT($V57,LEN($V57)-SEARCH("đ",$V57)-4))),$V57)</f>
        <v/>
      </c>
      <c r="X57" s="159" t="str">
        <f t="shared" ref="X57:X75" si="37">IFERROR(IF(V57=0,0,_xlfn.NUMBERVALUE(MID($V57,SEARCH("- ",$V57)+2,LEN($V57)-SEARCH("- ",$V57)-2))),$V57)</f>
        <v/>
      </c>
      <c r="Y57" s="158" t="s">
        <v>217</v>
      </c>
      <c r="Z57" s="158" t="s">
        <v>217</v>
      </c>
      <c r="AA57" s="158" t="s">
        <v>217</v>
      </c>
      <c r="AB57" s="160" t="str">
        <f t="shared" ref="AB57:AB75" si="38">IF(MAX(W57:AA57)=0,"Không có",MAX(W57:AA57))</f>
        <v>Không có</v>
      </c>
      <c r="AC57" s="157" t="s">
        <v>275</v>
      </c>
      <c r="AD57" s="157" t="s">
        <v>309</v>
      </c>
      <c r="AE57" s="157"/>
      <c r="AG57" s="166">
        <v>7000</v>
      </c>
      <c r="AI57" s="158">
        <v>61.2</v>
      </c>
      <c r="AJ57" s="158">
        <v>489.6</v>
      </c>
      <c r="AK57" s="158">
        <f t="shared" ref="AK57:AK75" si="39">IFERROR(AJ57/AI57,0)*10^3</f>
        <v>8000</v>
      </c>
      <c r="AL57" s="158">
        <f t="shared" ref="AL57:AL75" si="40">AG57*AI57/10^3</f>
        <v>428.4</v>
      </c>
      <c r="AN57" s="158">
        <f t="shared" ref="AN57:AN75" si="41">AG57-AK57</f>
        <v>-1000</v>
      </c>
      <c r="AO57" s="158">
        <f t="shared" ref="AO57:AO75" si="42">AL57-AJ57</f>
        <v>-61.200000000000045</v>
      </c>
      <c r="AR57" s="192">
        <v>8000</v>
      </c>
      <c r="AS57" s="192">
        <f t="shared" ref="AS57:AS75" si="43">AR57-R57</f>
        <v>0</v>
      </c>
      <c r="BM57" s="158">
        <f t="shared" ref="BM57:BM75" si="44">SUM(BN57:BV57)</f>
        <v>2514.8132606483705</v>
      </c>
      <c r="BN57" s="158">
        <f t="shared" ref="BN57:BV75" si="45">BX57*CH57</f>
        <v>0</v>
      </c>
      <c r="BO57" s="158">
        <f t="shared" si="45"/>
        <v>0</v>
      </c>
      <c r="BP57" s="158">
        <f t="shared" si="45"/>
        <v>0</v>
      </c>
      <c r="BQ57" s="158">
        <f t="shared" si="45"/>
        <v>0</v>
      </c>
      <c r="BR57" s="158">
        <f t="shared" si="45"/>
        <v>0</v>
      </c>
      <c r="BS57" s="158">
        <f t="shared" si="45"/>
        <v>0</v>
      </c>
      <c r="BT57" s="158">
        <f t="shared" si="45"/>
        <v>2514.8132606483705</v>
      </c>
      <c r="BU57" s="158">
        <f t="shared" si="45"/>
        <v>0</v>
      </c>
      <c r="BV57" s="158">
        <f t="shared" si="45"/>
        <v>0</v>
      </c>
      <c r="BX57" s="158">
        <v>0</v>
      </c>
      <c r="BY57" s="158">
        <v>0</v>
      </c>
      <c r="BZ57" s="158">
        <v>0</v>
      </c>
      <c r="CA57" s="158">
        <v>0</v>
      </c>
      <c r="CB57" s="158">
        <v>0</v>
      </c>
      <c r="CC57" s="158">
        <v>0</v>
      </c>
      <c r="CD57" s="158">
        <v>2514.8132606483705</v>
      </c>
      <c r="CE57" s="158">
        <v>0</v>
      </c>
      <c r="CF57" s="158">
        <v>0</v>
      </c>
      <c r="CH57" s="161">
        <v>0</v>
      </c>
      <c r="CI57" s="161">
        <v>0</v>
      </c>
      <c r="CJ57" s="161">
        <v>0</v>
      </c>
      <c r="CK57" s="161">
        <v>0</v>
      </c>
      <c r="CL57" s="161">
        <v>0</v>
      </c>
      <c r="CM57" s="161">
        <v>0</v>
      </c>
      <c r="CN57" s="161">
        <v>1</v>
      </c>
      <c r="CO57" s="161">
        <v>0</v>
      </c>
      <c r="CP57" s="161">
        <v>0</v>
      </c>
      <c r="CR57" s="162">
        <f t="shared" ref="CR57:CR75" si="46">K57-BM57</f>
        <v>0</v>
      </c>
    </row>
    <row r="58" spans="1:96" outlineLevel="2" x14ac:dyDescent="0.35">
      <c r="A58" s="110" t="s">
        <v>104</v>
      </c>
      <c r="B58" s="110" t="s">
        <v>210</v>
      </c>
      <c r="C58" s="172">
        <f>IF($F58&lt;&gt;"",COUNTA($F$8:F58),"")</f>
        <v>41</v>
      </c>
      <c r="D58" s="157"/>
      <c r="E58" s="157"/>
      <c r="F58" s="157" t="s">
        <v>133</v>
      </c>
      <c r="G58" s="157" t="s">
        <v>134</v>
      </c>
      <c r="H58" s="157" t="s">
        <v>188</v>
      </c>
      <c r="J58" s="158">
        <v>21200</v>
      </c>
      <c r="K58" s="158">
        <v>648.39241461695553</v>
      </c>
      <c r="L58" s="158">
        <f t="shared" si="34"/>
        <v>21848.392414616956</v>
      </c>
      <c r="N58" s="158">
        <v>38.098999999999997</v>
      </c>
      <c r="O58" s="158">
        <v>388.64949999999999</v>
      </c>
      <c r="P58" s="158">
        <f t="shared" si="35"/>
        <v>10201.042022100319</v>
      </c>
      <c r="R58" s="158">
        <v>10500</v>
      </c>
      <c r="T58" s="158" t="s">
        <v>217</v>
      </c>
      <c r="V58" s="158" t="s">
        <v>212</v>
      </c>
      <c r="W58" s="159">
        <f t="shared" si="36"/>
        <v>1500</v>
      </c>
      <c r="X58" s="159">
        <f t="shared" si="37"/>
        <v>1800</v>
      </c>
      <c r="Y58" s="158">
        <v>3000</v>
      </c>
      <c r="Z58" s="158">
        <v>2000</v>
      </c>
      <c r="AA58" s="158">
        <v>5000</v>
      </c>
      <c r="AB58" s="160">
        <f t="shared" si="38"/>
        <v>5000</v>
      </c>
      <c r="AC58" s="157"/>
      <c r="AD58" s="157"/>
      <c r="AE58" s="157"/>
      <c r="AG58" s="158">
        <v>5000</v>
      </c>
      <c r="AI58" s="158">
        <v>43.784999999999997</v>
      </c>
      <c r="AJ58" s="158">
        <v>448.35250000000002</v>
      </c>
      <c r="AK58" s="158">
        <f t="shared" si="39"/>
        <v>10239.86525065662</v>
      </c>
      <c r="AL58" s="158">
        <f t="shared" si="40"/>
        <v>218.92499999999998</v>
      </c>
      <c r="AN58" s="158">
        <f t="shared" si="41"/>
        <v>-5239.8652506566195</v>
      </c>
      <c r="AO58" s="158">
        <f t="shared" si="42"/>
        <v>-229.42750000000004</v>
      </c>
      <c r="AR58" s="192">
        <v>10500</v>
      </c>
      <c r="AS58" s="192">
        <f t="shared" si="43"/>
        <v>0</v>
      </c>
      <c r="BM58" s="158">
        <f t="shared" si="44"/>
        <v>648.39241461695553</v>
      </c>
      <c r="BN58" s="158">
        <f t="shared" si="45"/>
        <v>0</v>
      </c>
      <c r="BO58" s="158">
        <f t="shared" si="45"/>
        <v>0</v>
      </c>
      <c r="BP58" s="158">
        <f t="shared" si="45"/>
        <v>648.39241461695553</v>
      </c>
      <c r="BQ58" s="158">
        <f t="shared" si="45"/>
        <v>0</v>
      </c>
      <c r="BR58" s="158">
        <f t="shared" si="45"/>
        <v>0</v>
      </c>
      <c r="BS58" s="158">
        <f t="shared" si="45"/>
        <v>0</v>
      </c>
      <c r="BT58" s="158">
        <f t="shared" si="45"/>
        <v>0</v>
      </c>
      <c r="BU58" s="158">
        <f t="shared" si="45"/>
        <v>0</v>
      </c>
      <c r="BV58" s="158">
        <f t="shared" si="45"/>
        <v>0</v>
      </c>
      <c r="BX58" s="158">
        <v>0</v>
      </c>
      <c r="BY58" s="158">
        <v>0</v>
      </c>
      <c r="BZ58" s="158">
        <v>1296.7848292339111</v>
      </c>
      <c r="CA58" s="158">
        <v>0</v>
      </c>
      <c r="CB58" s="158">
        <v>0</v>
      </c>
      <c r="CC58" s="158">
        <v>0</v>
      </c>
      <c r="CD58" s="158">
        <v>0</v>
      </c>
      <c r="CE58" s="158">
        <v>0</v>
      </c>
      <c r="CF58" s="158">
        <v>0</v>
      </c>
      <c r="CH58" s="161">
        <v>0</v>
      </c>
      <c r="CI58" s="161">
        <v>0</v>
      </c>
      <c r="CJ58" s="161">
        <v>0.5</v>
      </c>
      <c r="CK58" s="161">
        <v>0</v>
      </c>
      <c r="CL58" s="161">
        <v>0</v>
      </c>
      <c r="CM58" s="161">
        <v>0</v>
      </c>
      <c r="CN58" s="161">
        <v>0</v>
      </c>
      <c r="CO58" s="161">
        <v>0</v>
      </c>
      <c r="CP58" s="161">
        <v>0</v>
      </c>
      <c r="CR58" s="162">
        <f t="shared" si="46"/>
        <v>0</v>
      </c>
    </row>
    <row r="59" spans="1:96" outlineLevel="2" x14ac:dyDescent="0.35">
      <c r="A59" s="110" t="s">
        <v>104</v>
      </c>
      <c r="B59" s="110" t="s">
        <v>310</v>
      </c>
      <c r="C59" s="172">
        <f>IF($F59&lt;&gt;"",COUNTA($F$8:F59),"")</f>
        <v>42</v>
      </c>
      <c r="D59" s="157"/>
      <c r="E59" s="157"/>
      <c r="F59" s="157" t="s">
        <v>125</v>
      </c>
      <c r="G59" s="157" t="s">
        <v>126</v>
      </c>
      <c r="H59" s="157" t="s">
        <v>190</v>
      </c>
      <c r="J59" s="158">
        <v>21200</v>
      </c>
      <c r="K59" s="158">
        <v>2093.1506662058205</v>
      </c>
      <c r="L59" s="158">
        <f t="shared" si="34"/>
        <v>23293.15066620582</v>
      </c>
      <c r="N59" s="158">
        <v>20.881</v>
      </c>
      <c r="O59" s="158">
        <v>346.344065</v>
      </c>
      <c r="P59" s="158">
        <f t="shared" si="35"/>
        <v>16586.565059144676</v>
      </c>
      <c r="R59" s="158">
        <v>17014</v>
      </c>
      <c r="T59" s="158">
        <v>8000</v>
      </c>
      <c r="V59" s="158">
        <v>0</v>
      </c>
      <c r="W59" s="159">
        <f t="shared" si="36"/>
        <v>0</v>
      </c>
      <c r="X59" s="159">
        <f t="shared" si="37"/>
        <v>0</v>
      </c>
      <c r="Y59" s="158">
        <v>8000</v>
      </c>
      <c r="Z59" s="158">
        <v>0</v>
      </c>
      <c r="AA59" s="158">
        <v>0</v>
      </c>
      <c r="AB59" s="160">
        <f t="shared" si="38"/>
        <v>8000</v>
      </c>
      <c r="AC59" s="157"/>
      <c r="AD59" s="157"/>
      <c r="AE59" s="157"/>
      <c r="AG59" s="158">
        <v>8000</v>
      </c>
      <c r="AI59" s="158">
        <v>31.712</v>
      </c>
      <c r="AJ59" s="158">
        <v>531.57304199999999</v>
      </c>
      <c r="AK59" s="158">
        <f t="shared" si="39"/>
        <v>16762.520244702318</v>
      </c>
      <c r="AL59" s="158">
        <f t="shared" si="40"/>
        <v>253.696</v>
      </c>
      <c r="AN59" s="158">
        <f t="shared" si="41"/>
        <v>-8762.5202447023185</v>
      </c>
      <c r="AO59" s="158">
        <f t="shared" si="42"/>
        <v>-277.87704199999996</v>
      </c>
      <c r="AR59" s="192">
        <v>17014</v>
      </c>
      <c r="AS59" s="192">
        <f t="shared" si="43"/>
        <v>0</v>
      </c>
      <c r="BM59" s="158">
        <f t="shared" si="44"/>
        <v>2093.1506662058205</v>
      </c>
      <c r="BN59" s="158">
        <f t="shared" si="45"/>
        <v>0</v>
      </c>
      <c r="BO59" s="158">
        <f t="shared" si="45"/>
        <v>0</v>
      </c>
      <c r="BP59" s="158">
        <f t="shared" si="45"/>
        <v>0</v>
      </c>
      <c r="BQ59" s="158">
        <f t="shared" si="45"/>
        <v>0</v>
      </c>
      <c r="BR59" s="158">
        <f t="shared" si="45"/>
        <v>2093.1506662058205</v>
      </c>
      <c r="BS59" s="158">
        <f t="shared" si="45"/>
        <v>0</v>
      </c>
      <c r="BT59" s="158">
        <f t="shared" si="45"/>
        <v>0</v>
      </c>
      <c r="BU59" s="158">
        <f t="shared" si="45"/>
        <v>0</v>
      </c>
      <c r="BV59" s="158">
        <f t="shared" si="45"/>
        <v>0</v>
      </c>
      <c r="BX59" s="158">
        <v>0</v>
      </c>
      <c r="BY59" s="158">
        <v>0</v>
      </c>
      <c r="BZ59" s="158">
        <v>0</v>
      </c>
      <c r="CA59" s="158">
        <v>0</v>
      </c>
      <c r="CB59" s="158">
        <v>2616.4383327572755</v>
      </c>
      <c r="CC59" s="158">
        <v>0</v>
      </c>
      <c r="CD59" s="158">
        <v>0</v>
      </c>
      <c r="CE59" s="158">
        <v>0</v>
      </c>
      <c r="CF59" s="158">
        <v>0</v>
      </c>
      <c r="CH59" s="161">
        <v>0</v>
      </c>
      <c r="CI59" s="161">
        <v>0</v>
      </c>
      <c r="CJ59" s="161">
        <v>0</v>
      </c>
      <c r="CK59" s="161">
        <v>0</v>
      </c>
      <c r="CL59" s="161">
        <v>0.8</v>
      </c>
      <c r="CM59" s="161">
        <v>0</v>
      </c>
      <c r="CN59" s="161">
        <v>0</v>
      </c>
      <c r="CO59" s="161">
        <v>0</v>
      </c>
      <c r="CP59" s="161">
        <v>0</v>
      </c>
      <c r="CR59" s="162">
        <f t="shared" si="46"/>
        <v>0</v>
      </c>
    </row>
    <row r="60" spans="1:96" outlineLevel="2" x14ac:dyDescent="0.35">
      <c r="A60" s="110" t="s">
        <v>104</v>
      </c>
      <c r="B60" s="110" t="s">
        <v>251</v>
      </c>
      <c r="C60" s="172">
        <f>IF($F60&lt;&gt;"",COUNTA($F$8:F60),"")</f>
        <v>43</v>
      </c>
      <c r="D60" s="157"/>
      <c r="E60" s="157"/>
      <c r="F60" s="157" t="s">
        <v>123</v>
      </c>
      <c r="G60" s="157" t="s">
        <v>124</v>
      </c>
      <c r="H60" s="157" t="s">
        <v>193</v>
      </c>
      <c r="J60" s="158">
        <v>21200</v>
      </c>
      <c r="K60" s="158">
        <v>6736.1766108763277</v>
      </c>
      <c r="L60" s="158">
        <f t="shared" si="34"/>
        <v>27936.176610876326</v>
      </c>
      <c r="N60" s="158">
        <v>11.496499999999999</v>
      </c>
      <c r="O60" s="158">
        <v>239.29798600000001</v>
      </c>
      <c r="P60" s="158">
        <f t="shared" si="35"/>
        <v>20814.855477754099</v>
      </c>
      <c r="R60" s="158">
        <v>22050</v>
      </c>
      <c r="T60" s="158" t="s">
        <v>217</v>
      </c>
      <c r="V60" s="158">
        <v>0</v>
      </c>
      <c r="W60" s="159">
        <f t="shared" si="36"/>
        <v>0</v>
      </c>
      <c r="X60" s="159">
        <f t="shared" si="37"/>
        <v>0</v>
      </c>
      <c r="Y60" s="158">
        <v>8000</v>
      </c>
      <c r="Z60" s="158">
        <v>8000</v>
      </c>
      <c r="AA60" s="158">
        <v>8000</v>
      </c>
      <c r="AB60" s="160">
        <f t="shared" si="38"/>
        <v>8000</v>
      </c>
      <c r="AC60" s="157"/>
      <c r="AD60" s="157"/>
      <c r="AE60" s="157"/>
      <c r="AG60" s="158">
        <v>8000</v>
      </c>
      <c r="AI60" s="158">
        <v>17.4725</v>
      </c>
      <c r="AJ60" s="158">
        <v>371.06878599999999</v>
      </c>
      <c r="AK60" s="158">
        <f t="shared" si="39"/>
        <v>21237.303534125054</v>
      </c>
      <c r="AL60" s="158">
        <f t="shared" si="40"/>
        <v>139.78</v>
      </c>
      <c r="AN60" s="158">
        <f t="shared" si="41"/>
        <v>-13237.303534125054</v>
      </c>
      <c r="AO60" s="158">
        <f t="shared" si="42"/>
        <v>-231.28878599999999</v>
      </c>
      <c r="AR60" s="192">
        <v>22050</v>
      </c>
      <c r="AS60" s="192">
        <f t="shared" si="43"/>
        <v>0</v>
      </c>
      <c r="BM60" s="158">
        <f t="shared" si="44"/>
        <v>6736.1766108763277</v>
      </c>
      <c r="BN60" s="158">
        <f t="shared" si="45"/>
        <v>0</v>
      </c>
      <c r="BO60" s="158">
        <f t="shared" si="45"/>
        <v>0</v>
      </c>
      <c r="BP60" s="158">
        <f t="shared" si="45"/>
        <v>0</v>
      </c>
      <c r="BQ60" s="158">
        <f t="shared" si="45"/>
        <v>0</v>
      </c>
      <c r="BR60" s="158">
        <f t="shared" si="45"/>
        <v>2616.4383327572755</v>
      </c>
      <c r="BS60" s="158">
        <f t="shared" si="45"/>
        <v>0</v>
      </c>
      <c r="BT60" s="158">
        <f t="shared" si="45"/>
        <v>0</v>
      </c>
      <c r="BU60" s="158">
        <f t="shared" si="45"/>
        <v>4119.7382781190527</v>
      </c>
      <c r="BV60" s="158">
        <f t="shared" si="45"/>
        <v>0</v>
      </c>
      <c r="BX60" s="158">
        <v>0</v>
      </c>
      <c r="BY60" s="158">
        <v>0</v>
      </c>
      <c r="BZ60" s="158">
        <v>0</v>
      </c>
      <c r="CA60" s="158">
        <v>0</v>
      </c>
      <c r="CB60" s="158">
        <v>2616.4383327572755</v>
      </c>
      <c r="CC60" s="158">
        <v>0</v>
      </c>
      <c r="CD60" s="158">
        <v>0</v>
      </c>
      <c r="CE60" s="158">
        <v>4119.7382781190527</v>
      </c>
      <c r="CF60" s="158">
        <v>0</v>
      </c>
      <c r="CH60" s="161">
        <v>0</v>
      </c>
      <c r="CI60" s="161">
        <v>0</v>
      </c>
      <c r="CJ60" s="161">
        <v>0</v>
      </c>
      <c r="CK60" s="161">
        <v>0</v>
      </c>
      <c r="CL60" s="161">
        <v>1</v>
      </c>
      <c r="CM60" s="161">
        <v>0</v>
      </c>
      <c r="CN60" s="161">
        <v>0</v>
      </c>
      <c r="CO60" s="161">
        <v>1</v>
      </c>
      <c r="CP60" s="161">
        <v>0</v>
      </c>
      <c r="CR60" s="162">
        <f t="shared" si="46"/>
        <v>0</v>
      </c>
    </row>
    <row r="61" spans="1:96" outlineLevel="2" x14ac:dyDescent="0.35">
      <c r="A61" s="110" t="s">
        <v>104</v>
      </c>
      <c r="B61" s="110" t="s">
        <v>251</v>
      </c>
      <c r="C61" s="172">
        <f>IF($F61&lt;&gt;"",COUNTA($F$8:F61),"")</f>
        <v>44</v>
      </c>
      <c r="D61" s="157"/>
      <c r="E61" s="157"/>
      <c r="F61" s="157" t="s">
        <v>311</v>
      </c>
      <c r="G61" s="157" t="s">
        <v>312</v>
      </c>
      <c r="H61" s="157" t="s">
        <v>193</v>
      </c>
      <c r="J61" s="158">
        <v>21200</v>
      </c>
      <c r="K61" s="158">
        <v>6736.1766108763277</v>
      </c>
      <c r="L61" s="158">
        <f t="shared" si="34"/>
        <v>27936.176610876326</v>
      </c>
      <c r="N61" s="158">
        <v>12.250500000000001</v>
      </c>
      <c r="O61" s="158">
        <v>234.406575</v>
      </c>
      <c r="P61" s="158">
        <f t="shared" si="35"/>
        <v>19134.449614301455</v>
      </c>
      <c r="R61" s="158">
        <v>18000</v>
      </c>
      <c r="T61" s="158" t="s">
        <v>217</v>
      </c>
      <c r="V61" s="158">
        <v>0</v>
      </c>
      <c r="W61" s="159">
        <f t="shared" si="36"/>
        <v>0</v>
      </c>
      <c r="X61" s="159">
        <f t="shared" si="37"/>
        <v>0</v>
      </c>
      <c r="Y61" s="158">
        <v>8000</v>
      </c>
      <c r="Z61" s="158">
        <v>8000</v>
      </c>
      <c r="AA61" s="158">
        <v>8000</v>
      </c>
      <c r="AB61" s="160">
        <f t="shared" si="38"/>
        <v>8000</v>
      </c>
      <c r="AC61" s="157"/>
      <c r="AD61" s="157"/>
      <c r="AE61" s="157"/>
      <c r="AG61" s="158">
        <v>8000</v>
      </c>
      <c r="AI61" s="158">
        <v>12.349500000000001</v>
      </c>
      <c r="AJ61" s="158">
        <v>236.18857499999999</v>
      </c>
      <c r="AK61" s="158">
        <f t="shared" si="39"/>
        <v>19125.355277541599</v>
      </c>
      <c r="AL61" s="158">
        <f t="shared" si="40"/>
        <v>98.796000000000006</v>
      </c>
      <c r="AN61" s="158">
        <f t="shared" si="41"/>
        <v>-11125.355277541599</v>
      </c>
      <c r="AO61" s="158">
        <f t="shared" si="42"/>
        <v>-137.39257499999997</v>
      </c>
      <c r="AR61" s="192">
        <v>18000</v>
      </c>
      <c r="AS61" s="192">
        <f t="shared" si="43"/>
        <v>0</v>
      </c>
      <c r="BM61" s="158">
        <f t="shared" si="44"/>
        <v>6736.1766108763277</v>
      </c>
      <c r="BN61" s="158">
        <f t="shared" si="45"/>
        <v>0</v>
      </c>
      <c r="BO61" s="158">
        <f t="shared" si="45"/>
        <v>0</v>
      </c>
      <c r="BP61" s="158">
        <f t="shared" si="45"/>
        <v>0</v>
      </c>
      <c r="BQ61" s="158">
        <f t="shared" si="45"/>
        <v>0</v>
      </c>
      <c r="BR61" s="158">
        <f t="shared" si="45"/>
        <v>2616.4383327572755</v>
      </c>
      <c r="BS61" s="158">
        <f t="shared" si="45"/>
        <v>0</v>
      </c>
      <c r="BT61" s="158">
        <f t="shared" si="45"/>
        <v>0</v>
      </c>
      <c r="BU61" s="158">
        <f t="shared" si="45"/>
        <v>4119.7382781190527</v>
      </c>
      <c r="BV61" s="158">
        <f t="shared" si="45"/>
        <v>0</v>
      </c>
      <c r="BX61" s="158">
        <v>0</v>
      </c>
      <c r="BY61" s="158">
        <v>0</v>
      </c>
      <c r="BZ61" s="158">
        <v>0</v>
      </c>
      <c r="CA61" s="158">
        <v>0</v>
      </c>
      <c r="CB61" s="158">
        <v>2616.4383327572755</v>
      </c>
      <c r="CC61" s="158">
        <v>0</v>
      </c>
      <c r="CD61" s="158">
        <v>0</v>
      </c>
      <c r="CE61" s="158">
        <v>4119.7382781190527</v>
      </c>
      <c r="CF61" s="158">
        <v>0</v>
      </c>
      <c r="CH61" s="161">
        <v>0</v>
      </c>
      <c r="CI61" s="161">
        <v>0</v>
      </c>
      <c r="CJ61" s="161">
        <v>0</v>
      </c>
      <c r="CK61" s="161">
        <v>0</v>
      </c>
      <c r="CL61" s="161">
        <v>1</v>
      </c>
      <c r="CM61" s="161">
        <v>0</v>
      </c>
      <c r="CN61" s="161">
        <v>0</v>
      </c>
      <c r="CO61" s="161">
        <v>1</v>
      </c>
      <c r="CP61" s="161">
        <v>0</v>
      </c>
      <c r="CR61" s="162">
        <f t="shared" si="46"/>
        <v>0</v>
      </c>
    </row>
    <row r="62" spans="1:96" outlineLevel="2" x14ac:dyDescent="0.35">
      <c r="A62" s="110" t="s">
        <v>104</v>
      </c>
      <c r="B62" s="110" t="s">
        <v>313</v>
      </c>
      <c r="C62" s="172">
        <f>IF($F62&lt;&gt;"",COUNTA($F$8:F62),"")</f>
        <v>45</v>
      </c>
      <c r="D62" s="157"/>
      <c r="E62" s="157"/>
      <c r="F62" s="157" t="s">
        <v>314</v>
      </c>
      <c r="G62" s="157" t="s">
        <v>315</v>
      </c>
      <c r="H62" s="157" t="s">
        <v>188</v>
      </c>
      <c r="J62" s="158">
        <v>21200</v>
      </c>
      <c r="K62" s="158">
        <v>907.74938046373768</v>
      </c>
      <c r="L62" s="158">
        <f t="shared" si="34"/>
        <v>22107.749380463738</v>
      </c>
      <c r="N62" s="158">
        <v>22.558</v>
      </c>
      <c r="O62" s="158">
        <v>206.86335700000001</v>
      </c>
      <c r="P62" s="158">
        <f t="shared" si="35"/>
        <v>9170.2880131217298</v>
      </c>
      <c r="R62" s="158">
        <v>10500</v>
      </c>
      <c r="T62" s="158" t="s">
        <v>217</v>
      </c>
      <c r="V62" s="158">
        <v>0</v>
      </c>
      <c r="W62" s="159">
        <f t="shared" si="36"/>
        <v>0</v>
      </c>
      <c r="X62" s="159">
        <f t="shared" si="37"/>
        <v>0</v>
      </c>
      <c r="Y62" s="158">
        <v>15000</v>
      </c>
      <c r="Z62" s="158">
        <v>0</v>
      </c>
      <c r="AA62" s="158">
        <v>0</v>
      </c>
      <c r="AB62" s="160">
        <f t="shared" si="38"/>
        <v>15000</v>
      </c>
      <c r="AC62" s="157"/>
      <c r="AD62" s="157"/>
      <c r="AE62" s="157"/>
      <c r="AG62" s="158">
        <v>11000</v>
      </c>
      <c r="AI62" s="158">
        <v>7.9569999999999999</v>
      </c>
      <c r="AJ62" s="158">
        <v>72.967982000000006</v>
      </c>
      <c r="AK62" s="158">
        <f t="shared" si="39"/>
        <v>9170.2880482593955</v>
      </c>
      <c r="AL62" s="158">
        <f t="shared" si="40"/>
        <v>87.527000000000001</v>
      </c>
      <c r="AN62" s="158">
        <f t="shared" si="41"/>
        <v>1829.7119517406045</v>
      </c>
      <c r="AO62" s="158">
        <f t="shared" si="42"/>
        <v>14.559017999999995</v>
      </c>
      <c r="AR62" s="192">
        <v>10500</v>
      </c>
      <c r="AS62" s="192">
        <f t="shared" si="43"/>
        <v>0</v>
      </c>
      <c r="BM62" s="158">
        <f t="shared" si="44"/>
        <v>907.74938046373768</v>
      </c>
      <c r="BN62" s="158">
        <f t="shared" si="45"/>
        <v>0</v>
      </c>
      <c r="BO62" s="158">
        <f t="shared" si="45"/>
        <v>0</v>
      </c>
      <c r="BP62" s="158">
        <f t="shared" si="45"/>
        <v>907.74938046373768</v>
      </c>
      <c r="BQ62" s="158">
        <f t="shared" si="45"/>
        <v>0</v>
      </c>
      <c r="BR62" s="158">
        <f t="shared" si="45"/>
        <v>0</v>
      </c>
      <c r="BS62" s="158">
        <f t="shared" si="45"/>
        <v>0</v>
      </c>
      <c r="BT62" s="158">
        <f t="shared" si="45"/>
        <v>0</v>
      </c>
      <c r="BU62" s="158">
        <f t="shared" si="45"/>
        <v>0</v>
      </c>
      <c r="BV62" s="158">
        <f t="shared" si="45"/>
        <v>0</v>
      </c>
      <c r="BX62" s="158">
        <v>0</v>
      </c>
      <c r="BY62" s="158">
        <v>0</v>
      </c>
      <c r="BZ62" s="158">
        <v>1296.7848292339111</v>
      </c>
      <c r="CA62" s="158">
        <v>0</v>
      </c>
      <c r="CB62" s="158">
        <v>0</v>
      </c>
      <c r="CC62" s="158">
        <v>0</v>
      </c>
      <c r="CD62" s="158">
        <v>0</v>
      </c>
      <c r="CE62" s="158">
        <v>0</v>
      </c>
      <c r="CF62" s="158">
        <v>0</v>
      </c>
      <c r="CH62" s="161">
        <v>0</v>
      </c>
      <c r="CI62" s="161">
        <v>0</v>
      </c>
      <c r="CJ62" s="161">
        <v>0.7</v>
      </c>
      <c r="CK62" s="161">
        <v>0</v>
      </c>
      <c r="CL62" s="161">
        <v>0</v>
      </c>
      <c r="CM62" s="161">
        <v>0</v>
      </c>
      <c r="CN62" s="161">
        <v>0</v>
      </c>
      <c r="CO62" s="161">
        <v>0</v>
      </c>
      <c r="CP62" s="161">
        <v>0</v>
      </c>
      <c r="CR62" s="162">
        <f t="shared" si="46"/>
        <v>0</v>
      </c>
    </row>
    <row r="63" spans="1:96" outlineLevel="2" x14ac:dyDescent="0.35">
      <c r="A63" s="110" t="s">
        <v>104</v>
      </c>
      <c r="B63" s="110" t="s">
        <v>245</v>
      </c>
      <c r="C63" s="172">
        <f>IF($F63&lt;&gt;"",COUNTA($F$8:F63),"")</f>
        <v>46</v>
      </c>
      <c r="D63" s="157"/>
      <c r="E63" s="157"/>
      <c r="F63" s="157" t="s">
        <v>129</v>
      </c>
      <c r="G63" s="157" t="s">
        <v>130</v>
      </c>
      <c r="H63" s="157" t="s">
        <v>193</v>
      </c>
      <c r="J63" s="158">
        <v>21200</v>
      </c>
      <c r="K63" s="158">
        <v>6212.8889443248736</v>
      </c>
      <c r="L63" s="158">
        <f t="shared" si="34"/>
        <v>27412.888944324874</v>
      </c>
      <c r="N63" s="158">
        <v>18.7545</v>
      </c>
      <c r="O63" s="158">
        <v>174.473333</v>
      </c>
      <c r="P63" s="158">
        <f t="shared" si="35"/>
        <v>9303.0117038577391</v>
      </c>
      <c r="R63" s="158">
        <v>20000</v>
      </c>
      <c r="T63" s="158">
        <v>8000</v>
      </c>
      <c r="V63" s="158" t="s">
        <v>271</v>
      </c>
      <c r="W63" s="159">
        <f t="shared" si="36"/>
        <v>21200</v>
      </c>
      <c r="X63" s="159">
        <f t="shared" si="37"/>
        <v>21500</v>
      </c>
      <c r="Y63" s="158">
        <v>14000</v>
      </c>
      <c r="Z63" s="158">
        <v>0</v>
      </c>
      <c r="AA63" s="158">
        <v>0</v>
      </c>
      <c r="AB63" s="160">
        <f t="shared" si="38"/>
        <v>21500</v>
      </c>
      <c r="AC63" s="157"/>
      <c r="AD63" s="157"/>
      <c r="AE63" s="157"/>
      <c r="AG63" s="158">
        <v>8000</v>
      </c>
      <c r="AI63" s="158">
        <v>16.355499999999999</v>
      </c>
      <c r="AJ63" s="158">
        <v>166.31090699999999</v>
      </c>
      <c r="AK63" s="158">
        <f t="shared" si="39"/>
        <v>10168.500320992936</v>
      </c>
      <c r="AL63" s="158">
        <f t="shared" si="40"/>
        <v>130.84399999999999</v>
      </c>
      <c r="AN63" s="158">
        <f t="shared" si="41"/>
        <v>-2168.5003209929364</v>
      </c>
      <c r="AO63" s="158">
        <f t="shared" si="42"/>
        <v>-35.466906999999992</v>
      </c>
      <c r="AR63" s="192">
        <v>20000</v>
      </c>
      <c r="AS63" s="192">
        <f t="shared" si="43"/>
        <v>0</v>
      </c>
      <c r="BM63" s="158">
        <f t="shared" si="44"/>
        <v>6212.8889443248736</v>
      </c>
      <c r="BN63" s="158">
        <f t="shared" si="45"/>
        <v>0</v>
      </c>
      <c r="BO63" s="158">
        <f t="shared" si="45"/>
        <v>0</v>
      </c>
      <c r="BP63" s="158">
        <f t="shared" si="45"/>
        <v>0</v>
      </c>
      <c r="BQ63" s="158">
        <f t="shared" si="45"/>
        <v>0</v>
      </c>
      <c r="BR63" s="158">
        <f t="shared" si="45"/>
        <v>2093.1506662058205</v>
      </c>
      <c r="BS63" s="158">
        <f t="shared" si="45"/>
        <v>0</v>
      </c>
      <c r="BT63" s="158">
        <f t="shared" si="45"/>
        <v>0</v>
      </c>
      <c r="BU63" s="158">
        <f t="shared" si="45"/>
        <v>4119.7382781190527</v>
      </c>
      <c r="BV63" s="158">
        <f t="shared" si="45"/>
        <v>0</v>
      </c>
      <c r="BX63" s="158">
        <v>0</v>
      </c>
      <c r="BY63" s="158">
        <v>0</v>
      </c>
      <c r="BZ63" s="158">
        <v>0</v>
      </c>
      <c r="CA63" s="158">
        <v>0</v>
      </c>
      <c r="CB63" s="158">
        <v>2616.4383327572755</v>
      </c>
      <c r="CC63" s="158">
        <v>0</v>
      </c>
      <c r="CD63" s="158">
        <v>0</v>
      </c>
      <c r="CE63" s="158">
        <v>4119.7382781190527</v>
      </c>
      <c r="CF63" s="158">
        <v>0</v>
      </c>
      <c r="CH63" s="161">
        <v>0</v>
      </c>
      <c r="CI63" s="161">
        <v>0</v>
      </c>
      <c r="CJ63" s="161">
        <v>0</v>
      </c>
      <c r="CK63" s="161">
        <v>0</v>
      </c>
      <c r="CL63" s="161">
        <v>0.8</v>
      </c>
      <c r="CM63" s="161">
        <v>0</v>
      </c>
      <c r="CN63" s="161">
        <v>0</v>
      </c>
      <c r="CO63" s="161">
        <v>1</v>
      </c>
      <c r="CP63" s="161">
        <v>0</v>
      </c>
      <c r="CR63" s="162">
        <f t="shared" si="46"/>
        <v>0</v>
      </c>
    </row>
    <row r="64" spans="1:96" outlineLevel="2" x14ac:dyDescent="0.35">
      <c r="A64" s="110" t="s">
        <v>104</v>
      </c>
      <c r="B64" s="110" t="s">
        <v>313</v>
      </c>
      <c r="C64" s="172">
        <f>IF($F64&lt;&gt;"",COUNTA($F$8:F64),"")</f>
        <v>47</v>
      </c>
      <c r="D64" s="157"/>
      <c r="E64" s="157"/>
      <c r="F64" s="157" t="s">
        <v>109</v>
      </c>
      <c r="G64" s="157" t="s">
        <v>110</v>
      </c>
      <c r="H64" s="157" t="s">
        <v>191</v>
      </c>
      <c r="J64" s="158">
        <v>21200</v>
      </c>
      <c r="K64" s="158">
        <v>2593.5696584678221</v>
      </c>
      <c r="L64" s="158">
        <f t="shared" si="34"/>
        <v>23793.569658467823</v>
      </c>
      <c r="N64" s="158">
        <v>140.517</v>
      </c>
      <c r="O64" s="158">
        <v>140.517</v>
      </c>
      <c r="P64" s="158">
        <f t="shared" si="35"/>
        <v>1000</v>
      </c>
      <c r="R64" s="158">
        <v>1000</v>
      </c>
      <c r="T64" s="158" t="s">
        <v>217</v>
      </c>
      <c r="V64" s="158" t="s">
        <v>217</v>
      </c>
      <c r="W64" s="159" t="str">
        <f t="shared" si="36"/>
        <v/>
      </c>
      <c r="X64" s="159" t="str">
        <f t="shared" si="37"/>
        <v/>
      </c>
      <c r="Y64" s="158" t="s">
        <v>217</v>
      </c>
      <c r="Z64" s="158" t="s">
        <v>217</v>
      </c>
      <c r="AA64" s="158" t="s">
        <v>217</v>
      </c>
      <c r="AB64" s="160" t="str">
        <f t="shared" si="38"/>
        <v>Không có</v>
      </c>
      <c r="AC64" s="157" t="s">
        <v>275</v>
      </c>
      <c r="AD64" s="157" t="s">
        <v>316</v>
      </c>
      <c r="AE64" s="157"/>
      <c r="AG64" s="174">
        <v>1000</v>
      </c>
      <c r="AI64" s="158">
        <v>151.327</v>
      </c>
      <c r="AJ64" s="158">
        <v>151.327</v>
      </c>
      <c r="AK64" s="158">
        <f t="shared" si="39"/>
        <v>1000</v>
      </c>
      <c r="AL64" s="158">
        <f t="shared" si="40"/>
        <v>151.327</v>
      </c>
      <c r="AN64" s="158">
        <f t="shared" si="41"/>
        <v>0</v>
      </c>
      <c r="AO64" s="158">
        <f t="shared" si="42"/>
        <v>0</v>
      </c>
      <c r="AR64" s="192">
        <v>1000</v>
      </c>
      <c r="AS64" s="192">
        <f t="shared" si="43"/>
        <v>0</v>
      </c>
      <c r="BM64" s="158">
        <f t="shared" si="44"/>
        <v>2593.5696584678221</v>
      </c>
      <c r="BN64" s="158">
        <f t="shared" si="45"/>
        <v>0</v>
      </c>
      <c r="BO64" s="158">
        <f t="shared" si="45"/>
        <v>0</v>
      </c>
      <c r="BP64" s="158">
        <f t="shared" si="45"/>
        <v>0</v>
      </c>
      <c r="BQ64" s="158">
        <f t="shared" si="45"/>
        <v>0</v>
      </c>
      <c r="BR64" s="158">
        <f t="shared" si="45"/>
        <v>0</v>
      </c>
      <c r="BS64" s="158">
        <f t="shared" si="45"/>
        <v>2593.5696584678221</v>
      </c>
      <c r="BT64" s="158">
        <f t="shared" si="45"/>
        <v>0</v>
      </c>
      <c r="BU64" s="158">
        <f t="shared" si="45"/>
        <v>0</v>
      </c>
      <c r="BV64" s="158">
        <f t="shared" si="45"/>
        <v>0</v>
      </c>
      <c r="BX64" s="158">
        <v>0</v>
      </c>
      <c r="BY64" s="158">
        <v>0</v>
      </c>
      <c r="BZ64" s="158">
        <v>0</v>
      </c>
      <c r="CA64" s="158">
        <v>0</v>
      </c>
      <c r="CB64" s="158">
        <v>0</v>
      </c>
      <c r="CC64" s="158">
        <v>2593.5696584678221</v>
      </c>
      <c r="CD64" s="158">
        <v>0</v>
      </c>
      <c r="CE64" s="158">
        <v>0</v>
      </c>
      <c r="CF64" s="158">
        <v>0</v>
      </c>
      <c r="CH64" s="161">
        <v>0</v>
      </c>
      <c r="CI64" s="161">
        <v>0</v>
      </c>
      <c r="CJ64" s="161">
        <v>0</v>
      </c>
      <c r="CK64" s="161">
        <v>0</v>
      </c>
      <c r="CL64" s="161">
        <v>0</v>
      </c>
      <c r="CM64" s="161">
        <v>1</v>
      </c>
      <c r="CN64" s="161">
        <v>0</v>
      </c>
      <c r="CO64" s="161">
        <v>0</v>
      </c>
      <c r="CP64" s="161">
        <v>0</v>
      </c>
      <c r="CR64" s="162">
        <f t="shared" si="46"/>
        <v>0</v>
      </c>
    </row>
    <row r="65" spans="1:96" outlineLevel="2" x14ac:dyDescent="0.35">
      <c r="A65" s="110" t="s">
        <v>104</v>
      </c>
      <c r="B65" s="110" t="s">
        <v>317</v>
      </c>
      <c r="C65" s="172">
        <f>IF($F65&lt;&gt;"",COUNTA($F$8:F65),"")</f>
        <v>48</v>
      </c>
      <c r="D65" s="157"/>
      <c r="E65" s="157"/>
      <c r="F65" s="157" t="s">
        <v>107</v>
      </c>
      <c r="G65" s="157" t="s">
        <v>108</v>
      </c>
      <c r="H65" s="157" t="s">
        <v>188</v>
      </c>
      <c r="J65" s="158">
        <v>21200</v>
      </c>
      <c r="K65" s="158">
        <v>129.6784829233911</v>
      </c>
      <c r="L65" s="158">
        <f t="shared" si="34"/>
        <v>21329.678482923391</v>
      </c>
      <c r="N65" s="158">
        <v>8.65</v>
      </c>
      <c r="O65" s="158">
        <v>122.880143</v>
      </c>
      <c r="P65" s="158">
        <f t="shared" si="35"/>
        <v>14205.796878612717</v>
      </c>
      <c r="R65" s="158">
        <v>23389</v>
      </c>
      <c r="T65" s="158">
        <v>9000</v>
      </c>
      <c r="V65" s="158" t="s">
        <v>318</v>
      </c>
      <c r="W65" s="159">
        <f t="shared" si="36"/>
        <v>17500</v>
      </c>
      <c r="X65" s="159">
        <f t="shared" si="37"/>
        <v>19000</v>
      </c>
      <c r="Y65" s="158">
        <v>15500</v>
      </c>
      <c r="Z65" s="158" t="s">
        <v>319</v>
      </c>
      <c r="AA65" s="158">
        <v>0</v>
      </c>
      <c r="AB65" s="160">
        <f t="shared" si="38"/>
        <v>19000</v>
      </c>
      <c r="AC65" s="157"/>
      <c r="AD65" s="157"/>
      <c r="AE65" s="157"/>
      <c r="AG65" s="158">
        <v>19000</v>
      </c>
      <c r="AI65" s="158">
        <v>6.2190000000000003</v>
      </c>
      <c r="AJ65" s="158">
        <v>88.345850999999996</v>
      </c>
      <c r="AK65" s="158">
        <f t="shared" si="39"/>
        <v>14205.796912686927</v>
      </c>
      <c r="AL65" s="158">
        <f t="shared" si="40"/>
        <v>118.161</v>
      </c>
      <c r="AN65" s="158">
        <f t="shared" si="41"/>
        <v>4794.2030873130734</v>
      </c>
      <c r="AO65" s="158">
        <f t="shared" si="42"/>
        <v>29.815149000000005</v>
      </c>
      <c r="AR65" s="192">
        <v>23389</v>
      </c>
      <c r="AS65" s="192">
        <f t="shared" si="43"/>
        <v>0</v>
      </c>
      <c r="BM65" s="158">
        <f t="shared" si="44"/>
        <v>129.6784829233911</v>
      </c>
      <c r="BN65" s="158">
        <f t="shared" si="45"/>
        <v>0</v>
      </c>
      <c r="BO65" s="158">
        <f t="shared" si="45"/>
        <v>0</v>
      </c>
      <c r="BP65" s="158">
        <f t="shared" si="45"/>
        <v>129.6784829233911</v>
      </c>
      <c r="BQ65" s="158">
        <f t="shared" si="45"/>
        <v>0</v>
      </c>
      <c r="BR65" s="158">
        <f t="shared" si="45"/>
        <v>0</v>
      </c>
      <c r="BS65" s="158">
        <f t="shared" si="45"/>
        <v>0</v>
      </c>
      <c r="BT65" s="158">
        <f t="shared" si="45"/>
        <v>0</v>
      </c>
      <c r="BU65" s="158">
        <f t="shared" si="45"/>
        <v>0</v>
      </c>
      <c r="BV65" s="158">
        <f t="shared" si="45"/>
        <v>0</v>
      </c>
      <c r="BX65" s="158">
        <v>0</v>
      </c>
      <c r="BY65" s="158">
        <v>0</v>
      </c>
      <c r="BZ65" s="158">
        <v>1296.7848292339111</v>
      </c>
      <c r="CA65" s="158">
        <v>0</v>
      </c>
      <c r="CB65" s="158">
        <v>0</v>
      </c>
      <c r="CC65" s="158">
        <v>0</v>
      </c>
      <c r="CD65" s="158">
        <v>0</v>
      </c>
      <c r="CE65" s="158">
        <v>0</v>
      </c>
      <c r="CF65" s="158">
        <v>0</v>
      </c>
      <c r="CH65" s="161">
        <v>0</v>
      </c>
      <c r="CI65" s="161">
        <v>0</v>
      </c>
      <c r="CJ65" s="161">
        <v>0.1</v>
      </c>
      <c r="CK65" s="161">
        <v>0</v>
      </c>
      <c r="CL65" s="161">
        <v>0</v>
      </c>
      <c r="CM65" s="161">
        <v>0</v>
      </c>
      <c r="CN65" s="161">
        <v>0</v>
      </c>
      <c r="CO65" s="161">
        <v>0</v>
      </c>
      <c r="CP65" s="161">
        <v>0</v>
      </c>
      <c r="CR65" s="162">
        <f t="shared" si="46"/>
        <v>0</v>
      </c>
    </row>
    <row r="66" spans="1:96" outlineLevel="2" x14ac:dyDescent="0.35">
      <c r="A66" s="110" t="s">
        <v>104</v>
      </c>
      <c r="B66" s="110" t="s">
        <v>210</v>
      </c>
      <c r="C66" s="172">
        <f>IF($F66&lt;&gt;"",COUNTA($F$8:F66),"")</f>
        <v>49</v>
      </c>
      <c r="D66" s="157"/>
      <c r="E66" s="157"/>
      <c r="F66" s="157" t="s">
        <v>320</v>
      </c>
      <c r="G66" s="157" t="s">
        <v>321</v>
      </c>
      <c r="H66" s="157" t="s">
        <v>190</v>
      </c>
      <c r="J66" s="158">
        <v>21200</v>
      </c>
      <c r="K66" s="158">
        <v>1308.2191663786377</v>
      </c>
      <c r="L66" s="158">
        <f t="shared" si="34"/>
        <v>22508.219166378636</v>
      </c>
      <c r="N66" s="158">
        <v>11.696999999999999</v>
      </c>
      <c r="O66" s="158">
        <v>122.8185</v>
      </c>
      <c r="P66" s="158">
        <f t="shared" si="35"/>
        <v>10500</v>
      </c>
      <c r="R66" s="158">
        <v>10500</v>
      </c>
      <c r="T66" s="158" t="s">
        <v>217</v>
      </c>
      <c r="V66" s="158" t="s">
        <v>212</v>
      </c>
      <c r="W66" s="159">
        <f t="shared" si="36"/>
        <v>1500</v>
      </c>
      <c r="X66" s="159">
        <f t="shared" si="37"/>
        <v>1800</v>
      </c>
      <c r="Y66" s="158">
        <v>3000</v>
      </c>
      <c r="Z66" s="158">
        <v>2000</v>
      </c>
      <c r="AA66" s="158">
        <v>5000</v>
      </c>
      <c r="AB66" s="160">
        <f t="shared" si="38"/>
        <v>5000</v>
      </c>
      <c r="AC66" s="157"/>
      <c r="AD66" s="157"/>
      <c r="AE66" s="157"/>
      <c r="AG66" s="158">
        <v>5000</v>
      </c>
      <c r="AI66" s="158">
        <v>13.849</v>
      </c>
      <c r="AJ66" s="158">
        <v>145.4145</v>
      </c>
      <c r="AK66" s="158">
        <f t="shared" si="39"/>
        <v>10500</v>
      </c>
      <c r="AL66" s="158">
        <f t="shared" si="40"/>
        <v>69.245000000000005</v>
      </c>
      <c r="AN66" s="158">
        <f t="shared" si="41"/>
        <v>-5500</v>
      </c>
      <c r="AO66" s="158">
        <f t="shared" si="42"/>
        <v>-76.169499999999999</v>
      </c>
      <c r="AR66" s="192">
        <v>10500</v>
      </c>
      <c r="AS66" s="192">
        <f t="shared" si="43"/>
        <v>0</v>
      </c>
      <c r="BM66" s="158">
        <f t="shared" si="44"/>
        <v>1308.2191663786377</v>
      </c>
      <c r="BN66" s="158">
        <f t="shared" si="45"/>
        <v>0</v>
      </c>
      <c r="BO66" s="158">
        <f t="shared" si="45"/>
        <v>0</v>
      </c>
      <c r="BP66" s="158">
        <f t="shared" si="45"/>
        <v>0</v>
      </c>
      <c r="BQ66" s="158">
        <f t="shared" si="45"/>
        <v>0</v>
      </c>
      <c r="BR66" s="158">
        <f t="shared" si="45"/>
        <v>1308.2191663786377</v>
      </c>
      <c r="BS66" s="158">
        <f t="shared" si="45"/>
        <v>0</v>
      </c>
      <c r="BT66" s="158">
        <f t="shared" si="45"/>
        <v>0</v>
      </c>
      <c r="BU66" s="158">
        <f t="shared" si="45"/>
        <v>0</v>
      </c>
      <c r="BV66" s="158">
        <f t="shared" si="45"/>
        <v>0</v>
      </c>
      <c r="BX66" s="158">
        <v>0</v>
      </c>
      <c r="BY66" s="158">
        <v>0</v>
      </c>
      <c r="BZ66" s="158">
        <v>0</v>
      </c>
      <c r="CA66" s="158">
        <v>0</v>
      </c>
      <c r="CB66" s="158">
        <v>2616.4383327572755</v>
      </c>
      <c r="CC66" s="158">
        <v>0</v>
      </c>
      <c r="CD66" s="158">
        <v>0</v>
      </c>
      <c r="CE66" s="158">
        <v>0</v>
      </c>
      <c r="CF66" s="158">
        <v>0</v>
      </c>
      <c r="CH66" s="161">
        <v>0</v>
      </c>
      <c r="CI66" s="161">
        <v>0</v>
      </c>
      <c r="CJ66" s="161">
        <v>0</v>
      </c>
      <c r="CK66" s="161">
        <v>0</v>
      </c>
      <c r="CL66" s="161">
        <v>0.5</v>
      </c>
      <c r="CM66" s="161">
        <v>0</v>
      </c>
      <c r="CN66" s="161">
        <v>0</v>
      </c>
      <c r="CO66" s="161">
        <v>0</v>
      </c>
      <c r="CP66" s="161">
        <v>0</v>
      </c>
      <c r="CR66" s="162">
        <f t="shared" si="46"/>
        <v>0</v>
      </c>
    </row>
    <row r="67" spans="1:96" outlineLevel="2" x14ac:dyDescent="0.35">
      <c r="A67" s="110" t="s">
        <v>104</v>
      </c>
      <c r="B67" s="110" t="s">
        <v>251</v>
      </c>
      <c r="C67" s="172">
        <f>IF($F67&lt;&gt;"",COUNTA($F$8:F67),"")</f>
        <v>50</v>
      </c>
      <c r="D67" s="157"/>
      <c r="E67" s="157"/>
      <c r="F67" s="157" t="s">
        <v>322</v>
      </c>
      <c r="G67" s="157" t="s">
        <v>323</v>
      </c>
      <c r="H67" s="157" t="s">
        <v>193</v>
      </c>
      <c r="J67" s="158">
        <v>21200</v>
      </c>
      <c r="K67" s="158">
        <v>6736.1766108763277</v>
      </c>
      <c r="L67" s="158">
        <f t="shared" si="34"/>
        <v>27936.176610876326</v>
      </c>
      <c r="N67" s="158">
        <v>5.2160000000000002</v>
      </c>
      <c r="O67" s="158">
        <v>104.32</v>
      </c>
      <c r="P67" s="158">
        <f t="shared" si="35"/>
        <v>19999.999999999996</v>
      </c>
      <c r="R67" s="158">
        <v>20000</v>
      </c>
      <c r="T67" s="158">
        <v>8000</v>
      </c>
      <c r="V67" s="158">
        <v>0</v>
      </c>
      <c r="W67" s="159">
        <f t="shared" si="36"/>
        <v>0</v>
      </c>
      <c r="X67" s="159">
        <f t="shared" si="37"/>
        <v>0</v>
      </c>
      <c r="Y67" s="158">
        <v>8000</v>
      </c>
      <c r="Z67" s="158">
        <v>8000</v>
      </c>
      <c r="AA67" s="158">
        <v>8000</v>
      </c>
      <c r="AB67" s="160">
        <f t="shared" si="38"/>
        <v>8000</v>
      </c>
      <c r="AC67" s="157"/>
      <c r="AD67" s="157"/>
      <c r="AE67" s="157"/>
      <c r="AG67" s="158">
        <v>8000</v>
      </c>
      <c r="AI67" s="158">
        <v>6.202</v>
      </c>
      <c r="AJ67" s="158">
        <v>124.04</v>
      </c>
      <c r="AK67" s="158">
        <f t="shared" si="39"/>
        <v>20000</v>
      </c>
      <c r="AL67" s="158">
        <f t="shared" si="40"/>
        <v>49.616</v>
      </c>
      <c r="AN67" s="158">
        <f t="shared" si="41"/>
        <v>-12000</v>
      </c>
      <c r="AO67" s="158">
        <f t="shared" si="42"/>
        <v>-74.424000000000007</v>
      </c>
      <c r="AR67" s="192">
        <v>20000</v>
      </c>
      <c r="AS67" s="192">
        <f t="shared" si="43"/>
        <v>0</v>
      </c>
      <c r="BM67" s="158">
        <f t="shared" si="44"/>
        <v>6736.1766108763277</v>
      </c>
      <c r="BN67" s="158">
        <f t="shared" si="45"/>
        <v>0</v>
      </c>
      <c r="BO67" s="158">
        <f t="shared" si="45"/>
        <v>0</v>
      </c>
      <c r="BP67" s="158">
        <f t="shared" si="45"/>
        <v>0</v>
      </c>
      <c r="BQ67" s="158">
        <f t="shared" si="45"/>
        <v>0</v>
      </c>
      <c r="BR67" s="158">
        <f t="shared" si="45"/>
        <v>2616.4383327572755</v>
      </c>
      <c r="BS67" s="158">
        <f t="shared" si="45"/>
        <v>0</v>
      </c>
      <c r="BT67" s="158">
        <f t="shared" si="45"/>
        <v>0</v>
      </c>
      <c r="BU67" s="158">
        <f t="shared" si="45"/>
        <v>4119.7382781190527</v>
      </c>
      <c r="BV67" s="158">
        <f t="shared" si="45"/>
        <v>0</v>
      </c>
      <c r="BX67" s="158">
        <v>0</v>
      </c>
      <c r="BY67" s="158">
        <v>0</v>
      </c>
      <c r="BZ67" s="158">
        <v>0</v>
      </c>
      <c r="CA67" s="158">
        <v>0</v>
      </c>
      <c r="CB67" s="158">
        <v>2616.4383327572755</v>
      </c>
      <c r="CC67" s="158">
        <v>0</v>
      </c>
      <c r="CD67" s="158">
        <v>0</v>
      </c>
      <c r="CE67" s="158">
        <v>4119.7382781190527</v>
      </c>
      <c r="CF67" s="158">
        <v>0</v>
      </c>
      <c r="CH67" s="161">
        <v>0</v>
      </c>
      <c r="CI67" s="161">
        <v>0</v>
      </c>
      <c r="CJ67" s="161">
        <v>0</v>
      </c>
      <c r="CK67" s="161">
        <v>0</v>
      </c>
      <c r="CL67" s="161">
        <v>1</v>
      </c>
      <c r="CM67" s="161">
        <v>0</v>
      </c>
      <c r="CN67" s="161">
        <v>0</v>
      </c>
      <c r="CO67" s="161">
        <v>1</v>
      </c>
      <c r="CP67" s="161">
        <v>0</v>
      </c>
      <c r="CR67" s="162">
        <f t="shared" si="46"/>
        <v>0</v>
      </c>
    </row>
    <row r="68" spans="1:96" outlineLevel="2" x14ac:dyDescent="0.35">
      <c r="A68" s="110" t="s">
        <v>104</v>
      </c>
      <c r="B68" s="110" t="s">
        <v>210</v>
      </c>
      <c r="C68" s="172">
        <f>IF($F68&lt;&gt;"",COUNTA($F$8:F68),"")</f>
        <v>51</v>
      </c>
      <c r="D68" s="157"/>
      <c r="E68" s="157"/>
      <c r="F68" s="157" t="s">
        <v>127</v>
      </c>
      <c r="G68" s="157" t="s">
        <v>128</v>
      </c>
      <c r="H68" s="157" t="s">
        <v>190</v>
      </c>
      <c r="J68" s="158">
        <v>21200</v>
      </c>
      <c r="K68" s="158">
        <v>1308.2191663786377</v>
      </c>
      <c r="L68" s="158">
        <f t="shared" si="34"/>
        <v>22508.219166378636</v>
      </c>
      <c r="N68" s="158">
        <v>6.4720000000000004</v>
      </c>
      <c r="O68" s="158">
        <v>64.641000000000005</v>
      </c>
      <c r="P68" s="158">
        <f t="shared" si="35"/>
        <v>9987.7935723114952</v>
      </c>
      <c r="R68" s="158">
        <v>10500</v>
      </c>
      <c r="T68" s="158">
        <v>8000</v>
      </c>
      <c r="V68" s="158" t="s">
        <v>212</v>
      </c>
      <c r="W68" s="159">
        <f t="shared" si="36"/>
        <v>1500</v>
      </c>
      <c r="X68" s="159">
        <f t="shared" si="37"/>
        <v>1800</v>
      </c>
      <c r="Y68" s="158">
        <v>3000</v>
      </c>
      <c r="Z68" s="158">
        <v>2000</v>
      </c>
      <c r="AA68" s="158">
        <v>5000</v>
      </c>
      <c r="AB68" s="160">
        <f t="shared" si="38"/>
        <v>5000</v>
      </c>
      <c r="AC68" s="157"/>
      <c r="AD68" s="157"/>
      <c r="AE68" s="157"/>
      <c r="AG68" s="158">
        <v>5000</v>
      </c>
      <c r="AI68" s="158">
        <v>6.4720000000000004</v>
      </c>
      <c r="AJ68" s="158">
        <v>64.641000000000005</v>
      </c>
      <c r="AK68" s="158">
        <f t="shared" si="39"/>
        <v>9987.7935723114952</v>
      </c>
      <c r="AL68" s="158">
        <f t="shared" si="40"/>
        <v>32.360000000000007</v>
      </c>
      <c r="AN68" s="158">
        <f t="shared" si="41"/>
        <v>-4987.7935723114952</v>
      </c>
      <c r="AO68" s="158">
        <f t="shared" si="42"/>
        <v>-32.280999999999999</v>
      </c>
      <c r="AR68" s="192">
        <v>10500</v>
      </c>
      <c r="AS68" s="192">
        <f t="shared" si="43"/>
        <v>0</v>
      </c>
      <c r="BM68" s="158">
        <f t="shared" si="44"/>
        <v>1308.2191663786377</v>
      </c>
      <c r="BN68" s="158">
        <f t="shared" si="45"/>
        <v>0</v>
      </c>
      <c r="BO68" s="158">
        <f t="shared" si="45"/>
        <v>0</v>
      </c>
      <c r="BP68" s="158">
        <f t="shared" si="45"/>
        <v>0</v>
      </c>
      <c r="BQ68" s="158">
        <f t="shared" si="45"/>
        <v>0</v>
      </c>
      <c r="BR68" s="158">
        <f t="shared" si="45"/>
        <v>1308.2191663786377</v>
      </c>
      <c r="BS68" s="158">
        <f t="shared" si="45"/>
        <v>0</v>
      </c>
      <c r="BT68" s="158">
        <f t="shared" si="45"/>
        <v>0</v>
      </c>
      <c r="BU68" s="158">
        <f t="shared" si="45"/>
        <v>0</v>
      </c>
      <c r="BV68" s="158">
        <f t="shared" si="45"/>
        <v>0</v>
      </c>
      <c r="BX68" s="158">
        <v>0</v>
      </c>
      <c r="BY68" s="158">
        <v>0</v>
      </c>
      <c r="BZ68" s="158">
        <v>0</v>
      </c>
      <c r="CA68" s="158">
        <v>0</v>
      </c>
      <c r="CB68" s="158">
        <v>2616.4383327572755</v>
      </c>
      <c r="CC68" s="158">
        <v>0</v>
      </c>
      <c r="CD68" s="158">
        <v>0</v>
      </c>
      <c r="CE68" s="158">
        <v>0</v>
      </c>
      <c r="CF68" s="158">
        <v>0</v>
      </c>
      <c r="CH68" s="161">
        <v>0</v>
      </c>
      <c r="CI68" s="161">
        <v>0</v>
      </c>
      <c r="CJ68" s="161">
        <v>0</v>
      </c>
      <c r="CK68" s="161">
        <v>0</v>
      </c>
      <c r="CL68" s="161">
        <v>0.5</v>
      </c>
      <c r="CM68" s="161">
        <v>0</v>
      </c>
      <c r="CN68" s="161">
        <v>0</v>
      </c>
      <c r="CO68" s="161">
        <v>0</v>
      </c>
      <c r="CP68" s="161">
        <v>0</v>
      </c>
      <c r="CR68" s="162">
        <f t="shared" si="46"/>
        <v>0</v>
      </c>
    </row>
    <row r="69" spans="1:96" outlineLevel="2" x14ac:dyDescent="0.35">
      <c r="A69" s="110" t="s">
        <v>104</v>
      </c>
      <c r="B69" s="110" t="s">
        <v>313</v>
      </c>
      <c r="C69" s="172">
        <f>IF($F69&lt;&gt;"",COUNTA($F$8:F69),"")</f>
        <v>52</v>
      </c>
      <c r="D69" s="157"/>
      <c r="E69" s="157"/>
      <c r="F69" s="157" t="s">
        <v>324</v>
      </c>
      <c r="G69" s="157" t="s">
        <v>325</v>
      </c>
      <c r="H69" s="157" t="s">
        <v>187</v>
      </c>
      <c r="J69" s="158">
        <v>21200</v>
      </c>
      <c r="K69" s="158">
        <v>3673.9616571794872</v>
      </c>
      <c r="L69" s="158">
        <f t="shared" si="34"/>
        <v>24873.961657179487</v>
      </c>
      <c r="N69" s="158">
        <v>4.1280000000000001</v>
      </c>
      <c r="O69" s="158">
        <v>41.28</v>
      </c>
      <c r="P69" s="158">
        <f t="shared" si="35"/>
        <v>10000</v>
      </c>
      <c r="R69" s="158">
        <v>10000</v>
      </c>
      <c r="T69" s="158" t="s">
        <v>217</v>
      </c>
      <c r="V69" s="158" t="s">
        <v>217</v>
      </c>
      <c r="W69" s="159" t="str">
        <f t="shared" si="36"/>
        <v/>
      </c>
      <c r="X69" s="159" t="str">
        <f t="shared" si="37"/>
        <v/>
      </c>
      <c r="Y69" s="158" t="s">
        <v>217</v>
      </c>
      <c r="Z69" s="158" t="s">
        <v>217</v>
      </c>
      <c r="AA69" s="158" t="s">
        <v>217</v>
      </c>
      <c r="AB69" s="160" t="str">
        <f t="shared" si="38"/>
        <v>Không có</v>
      </c>
      <c r="AC69" s="157" t="s">
        <v>275</v>
      </c>
      <c r="AD69" s="157" t="s">
        <v>326</v>
      </c>
      <c r="AE69" s="157"/>
      <c r="AG69" s="166">
        <v>5000</v>
      </c>
      <c r="AI69" s="158">
        <v>0</v>
      </c>
      <c r="AJ69" s="158">
        <v>0</v>
      </c>
      <c r="AK69" s="158">
        <f t="shared" si="39"/>
        <v>0</v>
      </c>
      <c r="AL69" s="158">
        <f t="shared" si="40"/>
        <v>0</v>
      </c>
      <c r="AN69" s="158">
        <f t="shared" si="41"/>
        <v>5000</v>
      </c>
      <c r="AO69" s="158">
        <f t="shared" si="42"/>
        <v>0</v>
      </c>
      <c r="AR69" s="192">
        <v>10000</v>
      </c>
      <c r="AS69" s="192">
        <f t="shared" si="43"/>
        <v>0</v>
      </c>
      <c r="BM69" s="158">
        <f t="shared" si="44"/>
        <v>3673.9616571794872</v>
      </c>
      <c r="BN69" s="158">
        <f t="shared" si="45"/>
        <v>0</v>
      </c>
      <c r="BO69" s="158">
        <f t="shared" si="45"/>
        <v>3673.9616571794872</v>
      </c>
      <c r="BP69" s="158">
        <f t="shared" si="45"/>
        <v>0</v>
      </c>
      <c r="BQ69" s="158">
        <f t="shared" si="45"/>
        <v>0</v>
      </c>
      <c r="BR69" s="158">
        <f t="shared" si="45"/>
        <v>0</v>
      </c>
      <c r="BS69" s="158">
        <f t="shared" si="45"/>
        <v>0</v>
      </c>
      <c r="BT69" s="158">
        <f t="shared" si="45"/>
        <v>0</v>
      </c>
      <c r="BU69" s="158">
        <f t="shared" si="45"/>
        <v>0</v>
      </c>
      <c r="BV69" s="158">
        <f t="shared" si="45"/>
        <v>0</v>
      </c>
      <c r="BX69" s="158">
        <v>0</v>
      </c>
      <c r="BY69" s="158">
        <v>3673.9616571794872</v>
      </c>
      <c r="BZ69" s="158">
        <v>0</v>
      </c>
      <c r="CA69" s="158">
        <v>0</v>
      </c>
      <c r="CB69" s="158">
        <v>0</v>
      </c>
      <c r="CC69" s="158">
        <v>0</v>
      </c>
      <c r="CD69" s="158">
        <v>0</v>
      </c>
      <c r="CE69" s="158">
        <v>0</v>
      </c>
      <c r="CF69" s="158">
        <v>0</v>
      </c>
      <c r="CH69" s="161">
        <v>0</v>
      </c>
      <c r="CI69" s="161">
        <v>1</v>
      </c>
      <c r="CJ69" s="161">
        <v>0</v>
      </c>
      <c r="CK69" s="161">
        <v>0</v>
      </c>
      <c r="CL69" s="161">
        <v>0</v>
      </c>
      <c r="CM69" s="161">
        <v>0</v>
      </c>
      <c r="CN69" s="161">
        <v>0</v>
      </c>
      <c r="CO69" s="161">
        <v>0</v>
      </c>
      <c r="CP69" s="161">
        <v>0</v>
      </c>
      <c r="CR69" s="162">
        <f t="shared" si="46"/>
        <v>0</v>
      </c>
    </row>
    <row r="70" spans="1:96" outlineLevel="2" x14ac:dyDescent="0.35">
      <c r="A70" s="110" t="s">
        <v>104</v>
      </c>
      <c r="B70" s="110" t="s">
        <v>245</v>
      </c>
      <c r="C70" s="172">
        <f>IF($F70&lt;&gt;"",COUNTA($F$8:F70),"")</f>
        <v>53</v>
      </c>
      <c r="D70" s="157"/>
      <c r="E70" s="157"/>
      <c r="F70" s="157" t="s">
        <v>327</v>
      </c>
      <c r="G70" s="157" t="s">
        <v>328</v>
      </c>
      <c r="H70" s="157" t="s">
        <v>193</v>
      </c>
      <c r="J70" s="158">
        <v>21200</v>
      </c>
      <c r="K70" s="158">
        <v>6212.8889443248736</v>
      </c>
      <c r="L70" s="158">
        <f t="shared" si="34"/>
        <v>27412.888944324874</v>
      </c>
      <c r="N70" s="158">
        <v>1.742</v>
      </c>
      <c r="O70" s="158">
        <v>31.356000000000002</v>
      </c>
      <c r="P70" s="158">
        <f t="shared" si="35"/>
        <v>18000</v>
      </c>
      <c r="R70" s="158">
        <v>18000</v>
      </c>
      <c r="T70" s="158" t="s">
        <v>217</v>
      </c>
      <c r="V70" s="158" t="s">
        <v>271</v>
      </c>
      <c r="W70" s="159">
        <f t="shared" si="36"/>
        <v>21200</v>
      </c>
      <c r="X70" s="159">
        <f t="shared" si="37"/>
        <v>21500</v>
      </c>
      <c r="Y70" s="158">
        <v>14000</v>
      </c>
      <c r="Z70" s="158">
        <v>0</v>
      </c>
      <c r="AA70" s="158">
        <v>0</v>
      </c>
      <c r="AB70" s="160">
        <f t="shared" si="38"/>
        <v>21500</v>
      </c>
      <c r="AC70" s="157"/>
      <c r="AD70" s="157"/>
      <c r="AE70" s="157"/>
      <c r="AG70" s="158">
        <v>8000</v>
      </c>
      <c r="AI70" s="158">
        <v>1.742</v>
      </c>
      <c r="AJ70" s="158">
        <v>31.356000000000002</v>
      </c>
      <c r="AK70" s="158">
        <f t="shared" si="39"/>
        <v>18000</v>
      </c>
      <c r="AL70" s="158">
        <f t="shared" si="40"/>
        <v>13.936</v>
      </c>
      <c r="AN70" s="158">
        <f t="shared" si="41"/>
        <v>-10000</v>
      </c>
      <c r="AO70" s="158">
        <f t="shared" si="42"/>
        <v>-17.420000000000002</v>
      </c>
      <c r="AR70" s="192">
        <v>18000</v>
      </c>
      <c r="AS70" s="192">
        <f t="shared" si="43"/>
        <v>0</v>
      </c>
      <c r="BM70" s="158">
        <f t="shared" si="44"/>
        <v>6212.8889443248736</v>
      </c>
      <c r="BN70" s="158">
        <f t="shared" si="45"/>
        <v>0</v>
      </c>
      <c r="BO70" s="158">
        <f t="shared" si="45"/>
        <v>0</v>
      </c>
      <c r="BP70" s="158">
        <f t="shared" si="45"/>
        <v>0</v>
      </c>
      <c r="BQ70" s="158">
        <f t="shared" si="45"/>
        <v>0</v>
      </c>
      <c r="BR70" s="158">
        <f t="shared" si="45"/>
        <v>2093.1506662058205</v>
      </c>
      <c r="BS70" s="158">
        <f t="shared" si="45"/>
        <v>0</v>
      </c>
      <c r="BT70" s="158">
        <f t="shared" si="45"/>
        <v>0</v>
      </c>
      <c r="BU70" s="158">
        <f t="shared" si="45"/>
        <v>4119.7382781190527</v>
      </c>
      <c r="BV70" s="158">
        <f t="shared" si="45"/>
        <v>0</v>
      </c>
      <c r="BX70" s="158">
        <v>0</v>
      </c>
      <c r="BY70" s="158">
        <v>0</v>
      </c>
      <c r="BZ70" s="158">
        <v>0</v>
      </c>
      <c r="CA70" s="158">
        <v>0</v>
      </c>
      <c r="CB70" s="158">
        <v>2616.4383327572755</v>
      </c>
      <c r="CC70" s="158">
        <v>0</v>
      </c>
      <c r="CD70" s="158">
        <v>0</v>
      </c>
      <c r="CE70" s="158">
        <v>4119.7382781190527</v>
      </c>
      <c r="CF70" s="158">
        <v>0</v>
      </c>
      <c r="CH70" s="161">
        <v>0</v>
      </c>
      <c r="CI70" s="161">
        <v>0</v>
      </c>
      <c r="CJ70" s="161">
        <v>0</v>
      </c>
      <c r="CK70" s="161">
        <v>0</v>
      </c>
      <c r="CL70" s="161">
        <v>0.8</v>
      </c>
      <c r="CM70" s="161">
        <v>0</v>
      </c>
      <c r="CN70" s="161">
        <v>0</v>
      </c>
      <c r="CO70" s="161">
        <v>1</v>
      </c>
      <c r="CP70" s="161">
        <v>0</v>
      </c>
      <c r="CR70" s="162">
        <f t="shared" si="46"/>
        <v>0</v>
      </c>
    </row>
    <row r="71" spans="1:96" outlineLevel="2" x14ac:dyDescent="0.35">
      <c r="A71" s="110" t="s">
        <v>104</v>
      </c>
      <c r="B71" s="110" t="s">
        <v>210</v>
      </c>
      <c r="C71" s="172">
        <f>IF($F71&lt;&gt;"",COUNTA($F$8:F71),"")</f>
        <v>54</v>
      </c>
      <c r="D71" s="157"/>
      <c r="E71" s="157"/>
      <c r="F71" s="157" t="s">
        <v>329</v>
      </c>
      <c r="G71" s="157" t="s">
        <v>330</v>
      </c>
      <c r="H71" s="157" t="s">
        <v>188</v>
      </c>
      <c r="J71" s="158">
        <v>21200</v>
      </c>
      <c r="K71" s="158">
        <v>648.39241461695553</v>
      </c>
      <c r="L71" s="158">
        <f t="shared" si="34"/>
        <v>21848.392414616956</v>
      </c>
      <c r="N71" s="158">
        <v>3.125</v>
      </c>
      <c r="O71" s="158">
        <v>24.098330000000001</v>
      </c>
      <c r="P71" s="158">
        <f t="shared" si="35"/>
        <v>7711.4656000000004</v>
      </c>
      <c r="R71" s="158">
        <v>10500</v>
      </c>
      <c r="T71" s="158" t="s">
        <v>217</v>
      </c>
      <c r="V71" s="158" t="s">
        <v>217</v>
      </c>
      <c r="W71" s="159" t="str">
        <f t="shared" si="36"/>
        <v/>
      </c>
      <c r="X71" s="159" t="str">
        <f t="shared" si="37"/>
        <v/>
      </c>
      <c r="Y71" s="158" t="s">
        <v>217</v>
      </c>
      <c r="Z71" s="158" t="s">
        <v>217</v>
      </c>
      <c r="AA71" s="158" t="s">
        <v>217</v>
      </c>
      <c r="AB71" s="160" t="str">
        <f t="shared" si="38"/>
        <v>Không có</v>
      </c>
      <c r="AC71" s="157" t="s">
        <v>275</v>
      </c>
      <c r="AD71" s="157" t="s">
        <v>331</v>
      </c>
      <c r="AE71" s="157"/>
      <c r="AG71" s="166">
        <v>5000</v>
      </c>
      <c r="AI71" s="158">
        <v>3.125</v>
      </c>
      <c r="AJ71" s="158">
        <v>24.098330000000001</v>
      </c>
      <c r="AK71" s="158">
        <f t="shared" si="39"/>
        <v>7711.4656000000004</v>
      </c>
      <c r="AL71" s="158">
        <f t="shared" si="40"/>
        <v>15.625</v>
      </c>
      <c r="AN71" s="158">
        <f t="shared" si="41"/>
        <v>-2711.4656000000004</v>
      </c>
      <c r="AO71" s="158">
        <f t="shared" si="42"/>
        <v>-8.4733300000000007</v>
      </c>
      <c r="AR71" s="192">
        <v>10500</v>
      </c>
      <c r="AS71" s="192">
        <f t="shared" si="43"/>
        <v>0</v>
      </c>
      <c r="BM71" s="158">
        <f t="shared" si="44"/>
        <v>648.39241461695553</v>
      </c>
      <c r="BN71" s="158">
        <f t="shared" si="45"/>
        <v>0</v>
      </c>
      <c r="BO71" s="158">
        <f t="shared" si="45"/>
        <v>0</v>
      </c>
      <c r="BP71" s="158">
        <f t="shared" si="45"/>
        <v>648.39241461695553</v>
      </c>
      <c r="BQ71" s="158">
        <f t="shared" si="45"/>
        <v>0</v>
      </c>
      <c r="BR71" s="158">
        <f t="shared" si="45"/>
        <v>0</v>
      </c>
      <c r="BS71" s="158">
        <f t="shared" si="45"/>
        <v>0</v>
      </c>
      <c r="BT71" s="158">
        <f t="shared" si="45"/>
        <v>0</v>
      </c>
      <c r="BU71" s="158">
        <f t="shared" si="45"/>
        <v>0</v>
      </c>
      <c r="BV71" s="158">
        <f t="shared" si="45"/>
        <v>0</v>
      </c>
      <c r="BX71" s="158">
        <v>0</v>
      </c>
      <c r="BY71" s="158">
        <v>0</v>
      </c>
      <c r="BZ71" s="158">
        <v>1296.7848292339111</v>
      </c>
      <c r="CA71" s="158">
        <v>0</v>
      </c>
      <c r="CB71" s="158">
        <v>0</v>
      </c>
      <c r="CC71" s="158">
        <v>0</v>
      </c>
      <c r="CD71" s="158">
        <v>0</v>
      </c>
      <c r="CE71" s="158">
        <v>0</v>
      </c>
      <c r="CF71" s="158">
        <v>0</v>
      </c>
      <c r="CH71" s="161">
        <v>0</v>
      </c>
      <c r="CI71" s="161">
        <v>0</v>
      </c>
      <c r="CJ71" s="161">
        <v>0.5</v>
      </c>
      <c r="CK71" s="161">
        <v>0</v>
      </c>
      <c r="CL71" s="161">
        <v>0</v>
      </c>
      <c r="CM71" s="161">
        <v>0</v>
      </c>
      <c r="CN71" s="161">
        <v>0</v>
      </c>
      <c r="CO71" s="161">
        <v>0</v>
      </c>
      <c r="CP71" s="161">
        <v>0</v>
      </c>
      <c r="CR71" s="162">
        <f t="shared" si="46"/>
        <v>0</v>
      </c>
    </row>
    <row r="72" spans="1:96" outlineLevel="2" x14ac:dyDescent="0.35">
      <c r="A72" s="110" t="s">
        <v>104</v>
      </c>
      <c r="B72" s="110" t="s">
        <v>332</v>
      </c>
      <c r="C72" s="172">
        <f>IF($F72&lt;&gt;"",COUNTA($F$8:F72),"")</f>
        <v>55</v>
      </c>
      <c r="D72" s="157"/>
      <c r="E72" s="157"/>
      <c r="F72" s="157" t="s">
        <v>333</v>
      </c>
      <c r="G72" s="157" t="s">
        <v>334</v>
      </c>
      <c r="H72" s="157" t="s">
        <v>187</v>
      </c>
      <c r="J72" s="158">
        <v>21200</v>
      </c>
      <c r="K72" s="158">
        <v>3673.9616571794872</v>
      </c>
      <c r="L72" s="158">
        <f t="shared" si="34"/>
        <v>24873.961657179487</v>
      </c>
      <c r="N72" s="158">
        <v>0.72</v>
      </c>
      <c r="O72" s="158">
        <v>7.2</v>
      </c>
      <c r="P72" s="158">
        <f t="shared" si="35"/>
        <v>10000</v>
      </c>
      <c r="R72" s="158">
        <v>10000</v>
      </c>
      <c r="T72" s="158" t="s">
        <v>217</v>
      </c>
      <c r="V72" s="158" t="s">
        <v>217</v>
      </c>
      <c r="W72" s="159" t="str">
        <f t="shared" si="36"/>
        <v/>
      </c>
      <c r="X72" s="159" t="str">
        <f t="shared" si="37"/>
        <v/>
      </c>
      <c r="Y72" s="158" t="s">
        <v>217</v>
      </c>
      <c r="Z72" s="158" t="s">
        <v>217</v>
      </c>
      <c r="AA72" s="158" t="s">
        <v>217</v>
      </c>
      <c r="AB72" s="160" t="str">
        <f t="shared" si="38"/>
        <v>Không có</v>
      </c>
      <c r="AC72" s="157" t="s">
        <v>275</v>
      </c>
      <c r="AD72" s="157" t="s">
        <v>331</v>
      </c>
      <c r="AE72" s="157"/>
      <c r="AG72" s="166">
        <v>11000</v>
      </c>
      <c r="AI72" s="158">
        <v>0.72</v>
      </c>
      <c r="AJ72" s="158">
        <v>7.2</v>
      </c>
      <c r="AK72" s="158">
        <f t="shared" si="39"/>
        <v>10000</v>
      </c>
      <c r="AL72" s="158">
        <f t="shared" si="40"/>
        <v>7.92</v>
      </c>
      <c r="AN72" s="158">
        <f t="shared" si="41"/>
        <v>1000</v>
      </c>
      <c r="AO72" s="158">
        <f t="shared" si="42"/>
        <v>0.71999999999999975</v>
      </c>
      <c r="AR72" s="192">
        <v>10000</v>
      </c>
      <c r="AS72" s="192">
        <f t="shared" si="43"/>
        <v>0</v>
      </c>
      <c r="BM72" s="158">
        <f t="shared" si="44"/>
        <v>3673.9616571794872</v>
      </c>
      <c r="BN72" s="158">
        <f t="shared" si="45"/>
        <v>0</v>
      </c>
      <c r="BO72" s="158">
        <f t="shared" si="45"/>
        <v>3673.9616571794872</v>
      </c>
      <c r="BP72" s="158">
        <f t="shared" si="45"/>
        <v>0</v>
      </c>
      <c r="BQ72" s="158">
        <f t="shared" si="45"/>
        <v>0</v>
      </c>
      <c r="BR72" s="158">
        <f t="shared" si="45"/>
        <v>0</v>
      </c>
      <c r="BS72" s="158">
        <f t="shared" si="45"/>
        <v>0</v>
      </c>
      <c r="BT72" s="158">
        <f t="shared" si="45"/>
        <v>0</v>
      </c>
      <c r="BU72" s="158">
        <f t="shared" si="45"/>
        <v>0</v>
      </c>
      <c r="BV72" s="158">
        <f t="shared" si="45"/>
        <v>0</v>
      </c>
      <c r="BX72" s="158">
        <v>0</v>
      </c>
      <c r="BY72" s="158">
        <v>3673.9616571794872</v>
      </c>
      <c r="BZ72" s="158">
        <v>0</v>
      </c>
      <c r="CA72" s="158">
        <v>0</v>
      </c>
      <c r="CB72" s="158">
        <v>0</v>
      </c>
      <c r="CC72" s="158">
        <v>0</v>
      </c>
      <c r="CD72" s="158">
        <v>0</v>
      </c>
      <c r="CE72" s="158">
        <v>0</v>
      </c>
      <c r="CF72" s="158">
        <v>0</v>
      </c>
      <c r="CH72" s="161">
        <v>0</v>
      </c>
      <c r="CI72" s="161">
        <v>1</v>
      </c>
      <c r="CJ72" s="161">
        <v>0</v>
      </c>
      <c r="CK72" s="161">
        <v>0</v>
      </c>
      <c r="CL72" s="161">
        <v>0</v>
      </c>
      <c r="CM72" s="161">
        <v>0</v>
      </c>
      <c r="CN72" s="161">
        <v>0</v>
      </c>
      <c r="CO72" s="161">
        <v>0</v>
      </c>
      <c r="CP72" s="161">
        <v>0</v>
      </c>
      <c r="CR72" s="162">
        <f t="shared" si="46"/>
        <v>0</v>
      </c>
    </row>
    <row r="73" spans="1:96" outlineLevel="2" x14ac:dyDescent="0.35">
      <c r="A73" s="110" t="s">
        <v>104</v>
      </c>
      <c r="B73" s="110" t="s">
        <v>259</v>
      </c>
      <c r="C73" s="172">
        <f>IF($F73&lt;&gt;"",COUNTA($F$8:F73),"")</f>
        <v>56</v>
      </c>
      <c r="D73" s="157"/>
      <c r="E73" s="157"/>
      <c r="F73" s="157" t="s">
        <v>335</v>
      </c>
      <c r="G73" s="157" t="s">
        <v>336</v>
      </c>
      <c r="H73" s="157" t="s">
        <v>193</v>
      </c>
      <c r="J73" s="158">
        <v>21200</v>
      </c>
      <c r="K73" s="158">
        <v>6212.8889443248736</v>
      </c>
      <c r="L73" s="158">
        <f t="shared" si="34"/>
        <v>27412.888944324874</v>
      </c>
      <c r="N73" s="158">
        <v>14.138999999999999</v>
      </c>
      <c r="O73" s="158">
        <v>1.4139000000000001E-2</v>
      </c>
      <c r="P73" s="158">
        <f t="shared" si="35"/>
        <v>1</v>
      </c>
      <c r="R73" s="158">
        <v>1</v>
      </c>
      <c r="T73" s="158" t="s">
        <v>217</v>
      </c>
      <c r="V73" s="158" t="s">
        <v>217</v>
      </c>
      <c r="W73" s="159" t="str">
        <f t="shared" si="36"/>
        <v/>
      </c>
      <c r="X73" s="159" t="str">
        <f t="shared" si="37"/>
        <v/>
      </c>
      <c r="Y73" s="158" t="s">
        <v>217</v>
      </c>
      <c r="Z73" s="158" t="s">
        <v>217</v>
      </c>
      <c r="AA73" s="158" t="s">
        <v>217</v>
      </c>
      <c r="AB73" s="160" t="str">
        <f t="shared" si="38"/>
        <v>Không có</v>
      </c>
      <c r="AC73" s="157" t="s">
        <v>275</v>
      </c>
      <c r="AD73" s="157" t="s">
        <v>326</v>
      </c>
      <c r="AE73" s="157"/>
      <c r="AG73" s="166">
        <v>7000</v>
      </c>
      <c r="AI73" s="158">
        <v>14.138999999999999</v>
      </c>
      <c r="AJ73" s="158">
        <v>1.4139000000000001E-2</v>
      </c>
      <c r="AK73" s="158">
        <f t="shared" si="39"/>
        <v>1</v>
      </c>
      <c r="AL73" s="158">
        <f t="shared" si="40"/>
        <v>98.972999999999999</v>
      </c>
      <c r="AN73" s="158">
        <f t="shared" si="41"/>
        <v>6999</v>
      </c>
      <c r="AO73" s="158">
        <f t="shared" si="42"/>
        <v>98.958860999999999</v>
      </c>
      <c r="AR73" s="192">
        <v>1</v>
      </c>
      <c r="AS73" s="192">
        <f t="shared" si="43"/>
        <v>0</v>
      </c>
      <c r="BM73" s="158">
        <f t="shared" si="44"/>
        <v>6212.8889443248736</v>
      </c>
      <c r="BN73" s="158">
        <f t="shared" si="45"/>
        <v>0</v>
      </c>
      <c r="BO73" s="158">
        <f t="shared" si="45"/>
        <v>0</v>
      </c>
      <c r="BP73" s="158">
        <f t="shared" si="45"/>
        <v>0</v>
      </c>
      <c r="BQ73" s="158">
        <f t="shared" si="45"/>
        <v>0</v>
      </c>
      <c r="BR73" s="158">
        <f t="shared" si="45"/>
        <v>2093.1506662058205</v>
      </c>
      <c r="BS73" s="158">
        <f t="shared" si="45"/>
        <v>0</v>
      </c>
      <c r="BT73" s="158">
        <f t="shared" si="45"/>
        <v>0</v>
      </c>
      <c r="BU73" s="158">
        <f t="shared" si="45"/>
        <v>4119.7382781190527</v>
      </c>
      <c r="BV73" s="158">
        <f t="shared" si="45"/>
        <v>0</v>
      </c>
      <c r="BX73" s="158">
        <v>0</v>
      </c>
      <c r="BY73" s="158">
        <v>0</v>
      </c>
      <c r="BZ73" s="158">
        <v>0</v>
      </c>
      <c r="CA73" s="158">
        <v>0</v>
      </c>
      <c r="CB73" s="158">
        <v>2616.4383327572755</v>
      </c>
      <c r="CC73" s="158">
        <v>0</v>
      </c>
      <c r="CD73" s="158">
        <v>0</v>
      </c>
      <c r="CE73" s="158">
        <v>4119.7382781190527</v>
      </c>
      <c r="CF73" s="158">
        <v>0</v>
      </c>
      <c r="CH73" s="161">
        <v>0</v>
      </c>
      <c r="CI73" s="161">
        <v>0</v>
      </c>
      <c r="CJ73" s="161">
        <v>0</v>
      </c>
      <c r="CK73" s="161">
        <v>0</v>
      </c>
      <c r="CL73" s="161">
        <v>0.8</v>
      </c>
      <c r="CM73" s="161">
        <v>0</v>
      </c>
      <c r="CN73" s="161">
        <v>0</v>
      </c>
      <c r="CO73" s="161">
        <v>1</v>
      </c>
      <c r="CP73" s="161">
        <v>0</v>
      </c>
      <c r="CR73" s="162">
        <f t="shared" si="46"/>
        <v>0</v>
      </c>
    </row>
    <row r="74" spans="1:96" outlineLevel="2" x14ac:dyDescent="0.35">
      <c r="A74" s="110" t="s">
        <v>104</v>
      </c>
      <c r="B74" s="110" t="s">
        <v>337</v>
      </c>
      <c r="C74" s="172">
        <f>IF($F74&lt;&gt;"",COUNTA($F$8:F74),"")</f>
        <v>57</v>
      </c>
      <c r="D74" s="157"/>
      <c r="E74" s="157"/>
      <c r="F74" s="157" t="s">
        <v>338</v>
      </c>
      <c r="G74" s="157" t="s">
        <v>339</v>
      </c>
      <c r="H74" s="157" t="s">
        <v>188</v>
      </c>
      <c r="J74" s="158">
        <v>21200</v>
      </c>
      <c r="K74" s="158">
        <v>907.74938046373768</v>
      </c>
      <c r="L74" s="158">
        <f t="shared" si="34"/>
        <v>22107.749380463738</v>
      </c>
      <c r="N74" s="158">
        <v>2.0640000000000001</v>
      </c>
      <c r="O74" s="158">
        <v>2.0639999999999999E-3</v>
      </c>
      <c r="P74" s="158">
        <f t="shared" si="35"/>
        <v>0.99999999999999978</v>
      </c>
      <c r="R74" s="158">
        <v>8000</v>
      </c>
      <c r="T74" s="158" t="s">
        <v>217</v>
      </c>
      <c r="V74" s="158" t="s">
        <v>217</v>
      </c>
      <c r="W74" s="159" t="str">
        <f t="shared" si="36"/>
        <v/>
      </c>
      <c r="X74" s="159" t="str">
        <f t="shared" si="37"/>
        <v/>
      </c>
      <c r="Y74" s="158" t="s">
        <v>217</v>
      </c>
      <c r="Z74" s="158" t="s">
        <v>217</v>
      </c>
      <c r="AA74" s="158" t="s">
        <v>217</v>
      </c>
      <c r="AB74" s="160" t="str">
        <f t="shared" si="38"/>
        <v>Không có</v>
      </c>
      <c r="AC74" s="157" t="s">
        <v>275</v>
      </c>
      <c r="AD74" s="157" t="s">
        <v>340</v>
      </c>
      <c r="AE74" s="157"/>
      <c r="AG74" s="166">
        <v>11000</v>
      </c>
      <c r="AI74" s="158">
        <v>2.0640000000000001</v>
      </c>
      <c r="AJ74" s="158">
        <v>2.0639999999999999E-3</v>
      </c>
      <c r="AK74" s="158">
        <f t="shared" si="39"/>
        <v>0.99999999999999978</v>
      </c>
      <c r="AL74" s="158">
        <f t="shared" si="40"/>
        <v>22.704000000000001</v>
      </c>
      <c r="AN74" s="158">
        <f t="shared" si="41"/>
        <v>10999</v>
      </c>
      <c r="AO74" s="158">
        <f t="shared" si="42"/>
        <v>22.701936</v>
      </c>
      <c r="AR74" s="192">
        <v>8000</v>
      </c>
      <c r="AS74" s="192">
        <f t="shared" si="43"/>
        <v>0</v>
      </c>
      <c r="BM74" s="158">
        <f t="shared" si="44"/>
        <v>907.74938046373768</v>
      </c>
      <c r="BN74" s="158">
        <f t="shared" si="45"/>
        <v>0</v>
      </c>
      <c r="BO74" s="158">
        <f t="shared" si="45"/>
        <v>0</v>
      </c>
      <c r="BP74" s="158">
        <f t="shared" si="45"/>
        <v>907.74938046373768</v>
      </c>
      <c r="BQ74" s="158">
        <f t="shared" si="45"/>
        <v>0</v>
      </c>
      <c r="BR74" s="158">
        <f t="shared" si="45"/>
        <v>0</v>
      </c>
      <c r="BS74" s="158">
        <f t="shared" si="45"/>
        <v>0</v>
      </c>
      <c r="BT74" s="158">
        <f t="shared" si="45"/>
        <v>0</v>
      </c>
      <c r="BU74" s="158">
        <f t="shared" si="45"/>
        <v>0</v>
      </c>
      <c r="BV74" s="158">
        <f t="shared" si="45"/>
        <v>0</v>
      </c>
      <c r="BX74" s="158">
        <v>0</v>
      </c>
      <c r="BY74" s="158">
        <v>0</v>
      </c>
      <c r="BZ74" s="158">
        <v>1296.7848292339111</v>
      </c>
      <c r="CA74" s="158">
        <v>0</v>
      </c>
      <c r="CB74" s="158">
        <v>0</v>
      </c>
      <c r="CC74" s="158">
        <v>0</v>
      </c>
      <c r="CD74" s="158">
        <v>0</v>
      </c>
      <c r="CE74" s="158">
        <v>0</v>
      </c>
      <c r="CF74" s="158">
        <v>0</v>
      </c>
      <c r="CH74" s="161">
        <v>0</v>
      </c>
      <c r="CI74" s="161">
        <v>0</v>
      </c>
      <c r="CJ74" s="161">
        <v>0.7</v>
      </c>
      <c r="CK74" s="161">
        <v>0</v>
      </c>
      <c r="CL74" s="161">
        <v>0</v>
      </c>
      <c r="CM74" s="161">
        <v>0</v>
      </c>
      <c r="CN74" s="161">
        <v>0</v>
      </c>
      <c r="CO74" s="161">
        <v>0</v>
      </c>
      <c r="CP74" s="161">
        <v>0</v>
      </c>
      <c r="CR74" s="162">
        <f t="shared" si="46"/>
        <v>0</v>
      </c>
    </row>
    <row r="75" spans="1:96" outlineLevel="2" x14ac:dyDescent="0.35">
      <c r="A75" s="110" t="s">
        <v>104</v>
      </c>
      <c r="B75" s="110" t="s">
        <v>313</v>
      </c>
      <c r="C75" s="172">
        <f>IF($F75&lt;&gt;"",COUNTA($F$8:F75),"")</f>
        <v>58</v>
      </c>
      <c r="D75" s="157"/>
      <c r="E75" s="157"/>
      <c r="F75" s="157" t="s">
        <v>341</v>
      </c>
      <c r="G75" s="157" t="s">
        <v>342</v>
      </c>
      <c r="H75" s="157" t="s">
        <v>188</v>
      </c>
      <c r="J75" s="158">
        <v>21200</v>
      </c>
      <c r="K75" s="158">
        <v>1296.7848292339111</v>
      </c>
      <c r="L75" s="158">
        <f t="shared" si="34"/>
        <v>22496.784829233911</v>
      </c>
      <c r="N75" s="158">
        <v>1.48</v>
      </c>
      <c r="O75" s="158">
        <v>1.48E-3</v>
      </c>
      <c r="P75" s="158">
        <f t="shared" si="35"/>
        <v>1</v>
      </c>
      <c r="R75" s="158">
        <v>4000</v>
      </c>
      <c r="T75" s="158" t="s">
        <v>217</v>
      </c>
      <c r="V75" s="158" t="s">
        <v>217</v>
      </c>
      <c r="W75" s="159" t="str">
        <f t="shared" si="36"/>
        <v/>
      </c>
      <c r="X75" s="159" t="str">
        <f t="shared" si="37"/>
        <v/>
      </c>
      <c r="Y75" s="158" t="s">
        <v>217</v>
      </c>
      <c r="Z75" s="158" t="s">
        <v>217</v>
      </c>
      <c r="AA75" s="158" t="s">
        <v>217</v>
      </c>
      <c r="AB75" s="160" t="str">
        <f t="shared" si="38"/>
        <v>Không có</v>
      </c>
      <c r="AC75" s="157" t="s">
        <v>275</v>
      </c>
      <c r="AD75" s="157" t="s">
        <v>326</v>
      </c>
      <c r="AE75" s="157"/>
      <c r="AG75" s="166">
        <v>4000</v>
      </c>
      <c r="AI75" s="158">
        <v>1.48</v>
      </c>
      <c r="AJ75" s="158">
        <v>1.48E-3</v>
      </c>
      <c r="AK75" s="158">
        <f t="shared" si="39"/>
        <v>1</v>
      </c>
      <c r="AL75" s="158">
        <f t="shared" si="40"/>
        <v>5.92</v>
      </c>
      <c r="AN75" s="158">
        <f t="shared" si="41"/>
        <v>3999</v>
      </c>
      <c r="AO75" s="158">
        <f t="shared" si="42"/>
        <v>5.91852</v>
      </c>
      <c r="AR75" s="192">
        <v>4000</v>
      </c>
      <c r="AS75" s="192">
        <f t="shared" si="43"/>
        <v>0</v>
      </c>
      <c r="BM75" s="158">
        <f t="shared" si="44"/>
        <v>1296.7848292339111</v>
      </c>
      <c r="BN75" s="158">
        <f t="shared" si="45"/>
        <v>0</v>
      </c>
      <c r="BO75" s="158">
        <f t="shared" si="45"/>
        <v>0</v>
      </c>
      <c r="BP75" s="158">
        <f t="shared" si="45"/>
        <v>1296.7848292339111</v>
      </c>
      <c r="BQ75" s="158">
        <f t="shared" si="45"/>
        <v>0</v>
      </c>
      <c r="BR75" s="158">
        <f t="shared" si="45"/>
        <v>0</v>
      </c>
      <c r="BS75" s="158">
        <f t="shared" si="45"/>
        <v>0</v>
      </c>
      <c r="BT75" s="158">
        <f t="shared" si="45"/>
        <v>0</v>
      </c>
      <c r="BU75" s="158">
        <f t="shared" si="45"/>
        <v>0</v>
      </c>
      <c r="BV75" s="158">
        <f t="shared" si="45"/>
        <v>0</v>
      </c>
      <c r="BX75" s="158">
        <v>0</v>
      </c>
      <c r="BY75" s="158">
        <v>0</v>
      </c>
      <c r="BZ75" s="158">
        <v>1296.7848292339111</v>
      </c>
      <c r="CA75" s="158">
        <v>0</v>
      </c>
      <c r="CB75" s="158">
        <v>0</v>
      </c>
      <c r="CC75" s="158">
        <v>0</v>
      </c>
      <c r="CD75" s="158">
        <v>0</v>
      </c>
      <c r="CE75" s="158">
        <v>0</v>
      </c>
      <c r="CF75" s="158">
        <v>0</v>
      </c>
      <c r="CH75" s="161">
        <v>0</v>
      </c>
      <c r="CI75" s="161">
        <v>0</v>
      </c>
      <c r="CJ75" s="161">
        <v>1</v>
      </c>
      <c r="CK75" s="161">
        <v>0</v>
      </c>
      <c r="CL75" s="161">
        <v>0</v>
      </c>
      <c r="CM75" s="161">
        <v>0</v>
      </c>
      <c r="CN75" s="161">
        <v>0</v>
      </c>
      <c r="CO75" s="161">
        <v>0</v>
      </c>
      <c r="CP75" s="161">
        <v>0</v>
      </c>
      <c r="CR75" s="162">
        <f t="shared" si="46"/>
        <v>0</v>
      </c>
    </row>
    <row r="76" spans="1:96" x14ac:dyDescent="0.35">
      <c r="C76" s="167" t="str">
        <f>IF($F76&lt;&gt;"",COUNTA($F$8:F76),"")</f>
        <v/>
      </c>
      <c r="W76" s="110"/>
      <c r="X76" s="110"/>
      <c r="AB76" s="168"/>
      <c r="CH76" s="169"/>
      <c r="CI76" s="169"/>
      <c r="CJ76" s="169"/>
      <c r="CK76" s="169"/>
      <c r="CL76" s="169"/>
      <c r="CM76" s="169"/>
      <c r="CN76" s="169"/>
      <c r="CO76" s="169"/>
      <c r="CP76" s="169"/>
    </row>
    <row r="77" spans="1:96" s="142" customFormat="1" ht="17" x14ac:dyDescent="0.4">
      <c r="A77" s="110"/>
      <c r="B77" s="140"/>
      <c r="C77" s="170" t="str">
        <f>IF($F77&lt;&gt;"",COUNTA($F$8:F77),"")</f>
        <v/>
      </c>
      <c r="D77" s="142" t="s">
        <v>343</v>
      </c>
      <c r="N77" s="143">
        <f>SUM(N78:N86)</f>
        <v>55.84</v>
      </c>
      <c r="O77" s="143">
        <f>SUM(O78:O86)</f>
        <v>603.52099999999984</v>
      </c>
      <c r="P77" s="143">
        <f>O77/N77*10^3</f>
        <v>10808.040830945556</v>
      </c>
      <c r="W77" s="140"/>
      <c r="X77" s="140"/>
      <c r="AB77" s="144"/>
      <c r="AI77" s="143">
        <f>SUM(AI78:AI86)</f>
        <v>57.401000000000003</v>
      </c>
      <c r="AJ77" s="143">
        <f>SUM(AJ78:AJ86)</f>
        <v>628.91149999999993</v>
      </c>
      <c r="AK77" s="143">
        <f>AJ77/AI77*10^3</f>
        <v>10956.455462448388</v>
      </c>
      <c r="AL77" s="143">
        <f>SUM(AL78:AL86)</f>
        <v>193.232</v>
      </c>
      <c r="AN77" s="143"/>
      <c r="AO77" s="143">
        <f>SUM(AO78:AO86)</f>
        <v>-435.67950000000002</v>
      </c>
      <c r="CH77" s="145"/>
      <c r="CI77" s="145"/>
      <c r="CJ77" s="145"/>
      <c r="CK77" s="145"/>
      <c r="CL77" s="145"/>
      <c r="CM77" s="145"/>
      <c r="CN77" s="145"/>
      <c r="CO77" s="145"/>
      <c r="CP77" s="145"/>
      <c r="CR77" s="146"/>
    </row>
    <row r="78" spans="1:96" outlineLevel="2" x14ac:dyDescent="0.35">
      <c r="A78" s="110" t="s">
        <v>344</v>
      </c>
      <c r="B78" s="110" t="s">
        <v>210</v>
      </c>
      <c r="C78" s="172">
        <f>IF($F78&lt;&gt;"",COUNTA($F$8:F78),"")</f>
        <v>59</v>
      </c>
      <c r="D78" s="157"/>
      <c r="E78" s="157"/>
      <c r="F78" s="157" t="s">
        <v>345</v>
      </c>
      <c r="G78" s="157" t="s">
        <v>346</v>
      </c>
      <c r="H78" s="157" t="s">
        <v>190</v>
      </c>
      <c r="J78" s="158">
        <v>16000</v>
      </c>
      <c r="K78" s="158">
        <v>1267.6001080742758</v>
      </c>
      <c r="L78" s="158">
        <f t="shared" ref="L78:L86" si="47">SUM(J78:K78)</f>
        <v>17267.600108074275</v>
      </c>
      <c r="N78" s="158">
        <v>47.808</v>
      </c>
      <c r="O78" s="158">
        <v>501.98399999999998</v>
      </c>
      <c r="P78" s="158">
        <f t="shared" ref="P78:P86" si="48">IFERROR(O78/N78,0)*10^3</f>
        <v>10500</v>
      </c>
      <c r="R78" s="158">
        <v>10500</v>
      </c>
      <c r="T78" s="158">
        <v>3000</v>
      </c>
      <c r="V78" s="158" t="s">
        <v>212</v>
      </c>
      <c r="W78" s="159">
        <f t="shared" ref="W78:W86" si="49">IFERROR(_xlfn.NUMBERVALUE(IF(V78=0,0,LEFT($V78,LEN($V78)-SEARCH("đ",$V78)-4))),$V78)</f>
        <v>1500</v>
      </c>
      <c r="X78" s="159">
        <f t="shared" ref="X78:X86" si="50">IFERROR(IF(V78=0,0,_xlfn.NUMBERVALUE(MID($V78,SEARCH("- ",$V78)+2,LEN($V78)-SEARCH("- ",$V78)-2))),$V78)</f>
        <v>1800</v>
      </c>
      <c r="Y78" s="158">
        <v>3000</v>
      </c>
      <c r="Z78" s="158">
        <v>2000</v>
      </c>
      <c r="AA78" s="158">
        <v>5000</v>
      </c>
      <c r="AB78" s="160">
        <f t="shared" ref="AB78:AB86" si="51">IF(MAX(W78:AA78)=0,"Không có",MAX(W78:AA78))</f>
        <v>5000</v>
      </c>
      <c r="AC78" s="157"/>
      <c r="AD78" s="157"/>
      <c r="AE78" s="157"/>
      <c r="AG78" s="158">
        <v>3000</v>
      </c>
      <c r="AI78" s="158">
        <v>51.369</v>
      </c>
      <c r="AJ78" s="158">
        <v>539.37450000000001</v>
      </c>
      <c r="AK78" s="158">
        <f t="shared" ref="AK78:AK86" si="52">IFERROR(AJ78/AI78,0)*10^3</f>
        <v>10500</v>
      </c>
      <c r="AL78" s="158">
        <f t="shared" ref="AL78:AL86" si="53">AG78*AI78/10^3</f>
        <v>154.107</v>
      </c>
      <c r="AN78" s="158">
        <f t="shared" ref="AN78:AN86" si="54">AG78-AK78</f>
        <v>-7500</v>
      </c>
      <c r="AO78" s="158">
        <f t="shared" ref="AO78:AO86" si="55">AL78-AJ78</f>
        <v>-385.26750000000004</v>
      </c>
      <c r="AR78" s="192">
        <v>10500</v>
      </c>
      <c r="AS78" s="192">
        <f t="shared" ref="AS78:AS86" si="56">AR78-R78</f>
        <v>0</v>
      </c>
      <c r="BM78" s="158">
        <f t="shared" ref="BM78:BM86" si="57">SUM(BN78:BV78)</f>
        <v>1267.6001080742758</v>
      </c>
      <c r="BN78" s="158">
        <f t="shared" ref="BN78:BV86" si="58">BX78*CH78</f>
        <v>0</v>
      </c>
      <c r="BO78" s="158">
        <f t="shared" si="58"/>
        <v>0</v>
      </c>
      <c r="BP78" s="158">
        <f t="shared" si="58"/>
        <v>0</v>
      </c>
      <c r="BQ78" s="158">
        <f t="shared" si="58"/>
        <v>0</v>
      </c>
      <c r="BR78" s="158">
        <f t="shared" si="58"/>
        <v>1267.6001080742758</v>
      </c>
      <c r="BS78" s="158">
        <f t="shared" si="58"/>
        <v>0</v>
      </c>
      <c r="BT78" s="158">
        <f t="shared" si="58"/>
        <v>0</v>
      </c>
      <c r="BU78" s="158">
        <f t="shared" si="58"/>
        <v>0</v>
      </c>
      <c r="BV78" s="158">
        <f t="shared" si="58"/>
        <v>0</v>
      </c>
      <c r="BX78" s="158">
        <v>0</v>
      </c>
      <c r="BY78" s="158">
        <v>0</v>
      </c>
      <c r="BZ78" s="158">
        <v>0</v>
      </c>
      <c r="CA78" s="158">
        <v>0</v>
      </c>
      <c r="CB78" s="158">
        <v>2535.2002161485516</v>
      </c>
      <c r="CC78" s="158">
        <v>0</v>
      </c>
      <c r="CD78" s="158">
        <v>0</v>
      </c>
      <c r="CE78" s="158">
        <v>0</v>
      </c>
      <c r="CF78" s="158">
        <v>0</v>
      </c>
      <c r="CH78" s="161">
        <v>0</v>
      </c>
      <c r="CI78" s="161">
        <v>0</v>
      </c>
      <c r="CJ78" s="161">
        <v>0</v>
      </c>
      <c r="CK78" s="161">
        <v>0</v>
      </c>
      <c r="CL78" s="161">
        <v>0.5</v>
      </c>
      <c r="CM78" s="161">
        <v>0</v>
      </c>
      <c r="CN78" s="161">
        <v>0</v>
      </c>
      <c r="CO78" s="161">
        <v>0</v>
      </c>
      <c r="CP78" s="161">
        <v>0</v>
      </c>
      <c r="CR78" s="162">
        <f t="shared" ref="CR78:CR86" si="59">K78-BM78</f>
        <v>0</v>
      </c>
    </row>
    <row r="79" spans="1:96" outlineLevel="2" x14ac:dyDescent="0.35">
      <c r="A79" s="110" t="s">
        <v>344</v>
      </c>
      <c r="B79" s="110" t="s">
        <v>251</v>
      </c>
      <c r="C79" s="172">
        <f>IF($F79&lt;&gt;"",COUNTA($F$8:F79),"")</f>
        <v>60</v>
      </c>
      <c r="D79" s="157"/>
      <c r="E79" s="157"/>
      <c r="F79" s="157" t="s">
        <v>347</v>
      </c>
      <c r="G79" s="157" t="s">
        <v>348</v>
      </c>
      <c r="H79" s="157" t="s">
        <v>193</v>
      </c>
      <c r="J79" s="158">
        <v>16000</v>
      </c>
      <c r="K79" s="158">
        <v>5012.1161697205953</v>
      </c>
      <c r="L79" s="158">
        <f t="shared" si="47"/>
        <v>21012.116169720597</v>
      </c>
      <c r="N79" s="158">
        <v>4.2549999999999999</v>
      </c>
      <c r="O79" s="158">
        <v>76.59</v>
      </c>
      <c r="P79" s="158">
        <f t="shared" si="48"/>
        <v>18000</v>
      </c>
      <c r="R79" s="158">
        <v>18000</v>
      </c>
      <c r="T79" s="158">
        <v>8000</v>
      </c>
      <c r="V79" s="158">
        <v>0</v>
      </c>
      <c r="W79" s="159">
        <f t="shared" si="49"/>
        <v>0</v>
      </c>
      <c r="X79" s="159">
        <f t="shared" si="50"/>
        <v>0</v>
      </c>
      <c r="Y79" s="158">
        <v>8000</v>
      </c>
      <c r="Z79" s="158">
        <v>8000</v>
      </c>
      <c r="AA79" s="158">
        <v>8000</v>
      </c>
      <c r="AB79" s="160">
        <f t="shared" si="51"/>
        <v>8000</v>
      </c>
      <c r="AC79" s="157"/>
      <c r="AD79" s="157"/>
      <c r="AE79" s="157"/>
      <c r="AG79" s="158">
        <v>8000</v>
      </c>
      <c r="AI79" s="158">
        <v>4.2549999999999999</v>
      </c>
      <c r="AJ79" s="158">
        <v>76.59</v>
      </c>
      <c r="AK79" s="158">
        <f t="shared" si="52"/>
        <v>18000</v>
      </c>
      <c r="AL79" s="158">
        <f t="shared" si="53"/>
        <v>34.04</v>
      </c>
      <c r="AN79" s="158">
        <f t="shared" si="54"/>
        <v>-10000</v>
      </c>
      <c r="AO79" s="158">
        <f t="shared" si="55"/>
        <v>-42.550000000000004</v>
      </c>
      <c r="AR79" s="192">
        <v>18000</v>
      </c>
      <c r="AS79" s="192">
        <f t="shared" si="56"/>
        <v>0</v>
      </c>
      <c r="BM79" s="158">
        <f t="shared" si="57"/>
        <v>5012.1161697205953</v>
      </c>
      <c r="BN79" s="158">
        <f t="shared" si="58"/>
        <v>0</v>
      </c>
      <c r="BO79" s="158">
        <f t="shared" si="58"/>
        <v>0</v>
      </c>
      <c r="BP79" s="158">
        <f t="shared" si="58"/>
        <v>0</v>
      </c>
      <c r="BQ79" s="158">
        <f t="shared" si="58"/>
        <v>0</v>
      </c>
      <c r="BR79" s="158">
        <f t="shared" si="58"/>
        <v>2535.2002161485516</v>
      </c>
      <c r="BS79" s="158">
        <f t="shared" si="58"/>
        <v>0</v>
      </c>
      <c r="BT79" s="158">
        <f t="shared" si="58"/>
        <v>0</v>
      </c>
      <c r="BU79" s="158">
        <f t="shared" si="58"/>
        <v>2476.9159535720441</v>
      </c>
      <c r="BV79" s="158">
        <f t="shared" si="58"/>
        <v>0</v>
      </c>
      <c r="BX79" s="158">
        <v>0</v>
      </c>
      <c r="BY79" s="158">
        <v>0</v>
      </c>
      <c r="BZ79" s="158">
        <v>0</v>
      </c>
      <c r="CA79" s="158">
        <v>0</v>
      </c>
      <c r="CB79" s="158">
        <v>2535.2002161485516</v>
      </c>
      <c r="CC79" s="158">
        <v>0</v>
      </c>
      <c r="CD79" s="158">
        <v>0</v>
      </c>
      <c r="CE79" s="158">
        <v>2476.9159535720441</v>
      </c>
      <c r="CF79" s="158">
        <v>0</v>
      </c>
      <c r="CH79" s="161">
        <v>0</v>
      </c>
      <c r="CI79" s="161">
        <v>0</v>
      </c>
      <c r="CJ79" s="161">
        <v>0</v>
      </c>
      <c r="CK79" s="161">
        <v>0</v>
      </c>
      <c r="CL79" s="161">
        <v>1</v>
      </c>
      <c r="CM79" s="161">
        <v>0</v>
      </c>
      <c r="CN79" s="161">
        <v>0</v>
      </c>
      <c r="CO79" s="161">
        <v>1</v>
      </c>
      <c r="CP79" s="161">
        <v>0</v>
      </c>
      <c r="CR79" s="162">
        <f t="shared" si="59"/>
        <v>0</v>
      </c>
    </row>
    <row r="80" spans="1:96" outlineLevel="2" x14ac:dyDescent="0.35">
      <c r="A80" s="110" t="s">
        <v>344</v>
      </c>
      <c r="B80" s="110" t="s">
        <v>349</v>
      </c>
      <c r="C80" s="172">
        <f>IF($F80&lt;&gt;"",COUNTA($F$8:F80),"")</f>
        <v>61</v>
      </c>
      <c r="D80" s="157"/>
      <c r="E80" s="157"/>
      <c r="F80" s="157" t="s">
        <v>350</v>
      </c>
      <c r="G80" s="157" t="s">
        <v>351</v>
      </c>
      <c r="H80" s="157" t="s">
        <v>190</v>
      </c>
      <c r="J80" s="158">
        <v>16000</v>
      </c>
      <c r="K80" s="158">
        <v>1267.6001080742758</v>
      </c>
      <c r="L80" s="158">
        <f t="shared" si="47"/>
        <v>17267.600108074275</v>
      </c>
      <c r="N80" s="158">
        <v>2.661</v>
      </c>
      <c r="O80" s="158">
        <v>15.965999999999999</v>
      </c>
      <c r="P80" s="158">
        <f t="shared" si="48"/>
        <v>6000</v>
      </c>
      <c r="R80" s="158">
        <v>6000</v>
      </c>
      <c r="T80" s="158">
        <v>2000</v>
      </c>
      <c r="V80" s="158" t="s">
        <v>217</v>
      </c>
      <c r="W80" s="159" t="str">
        <f t="shared" si="49"/>
        <v/>
      </c>
      <c r="X80" s="159" t="str">
        <f t="shared" si="50"/>
        <v/>
      </c>
      <c r="Y80" s="158" t="s">
        <v>217</v>
      </c>
      <c r="Z80" s="158" t="s">
        <v>217</v>
      </c>
      <c r="AA80" s="158" t="s">
        <v>217</v>
      </c>
      <c r="AB80" s="160" t="str">
        <f t="shared" si="51"/>
        <v>Không có</v>
      </c>
      <c r="AC80" s="157" t="s">
        <v>275</v>
      </c>
      <c r="AD80" s="157" t="s">
        <v>352</v>
      </c>
      <c r="AE80" s="157" t="s">
        <v>353</v>
      </c>
      <c r="AG80" s="166">
        <v>2000</v>
      </c>
      <c r="AI80" s="158">
        <v>0.66100000000000003</v>
      </c>
      <c r="AJ80" s="158">
        <v>3.9660000000000002</v>
      </c>
      <c r="AK80" s="158">
        <f t="shared" si="52"/>
        <v>6000</v>
      </c>
      <c r="AL80" s="158">
        <f t="shared" si="53"/>
        <v>1.3220000000000001</v>
      </c>
      <c r="AN80" s="158">
        <f t="shared" si="54"/>
        <v>-4000</v>
      </c>
      <c r="AO80" s="158">
        <f t="shared" si="55"/>
        <v>-2.6440000000000001</v>
      </c>
      <c r="AR80" s="192">
        <v>6000</v>
      </c>
      <c r="AS80" s="192">
        <f t="shared" si="56"/>
        <v>0</v>
      </c>
      <c r="BM80" s="158">
        <f t="shared" si="57"/>
        <v>1267.6001080742758</v>
      </c>
      <c r="BN80" s="158">
        <f t="shared" si="58"/>
        <v>0</v>
      </c>
      <c r="BO80" s="158">
        <f t="shared" si="58"/>
        <v>0</v>
      </c>
      <c r="BP80" s="158">
        <f t="shared" si="58"/>
        <v>0</v>
      </c>
      <c r="BQ80" s="158">
        <f t="shared" si="58"/>
        <v>0</v>
      </c>
      <c r="BR80" s="158">
        <f t="shared" si="58"/>
        <v>1267.6001080742758</v>
      </c>
      <c r="BS80" s="158">
        <f t="shared" si="58"/>
        <v>0</v>
      </c>
      <c r="BT80" s="158">
        <f t="shared" si="58"/>
        <v>0</v>
      </c>
      <c r="BU80" s="158">
        <f t="shared" si="58"/>
        <v>0</v>
      </c>
      <c r="BV80" s="158">
        <f t="shared" si="58"/>
        <v>0</v>
      </c>
      <c r="BX80" s="158">
        <v>0</v>
      </c>
      <c r="BY80" s="158">
        <v>0</v>
      </c>
      <c r="BZ80" s="158">
        <v>0</v>
      </c>
      <c r="CA80" s="158">
        <v>0</v>
      </c>
      <c r="CB80" s="158">
        <v>2535.2002161485516</v>
      </c>
      <c r="CC80" s="158">
        <v>0</v>
      </c>
      <c r="CD80" s="158">
        <v>0</v>
      </c>
      <c r="CE80" s="158">
        <v>0</v>
      </c>
      <c r="CF80" s="158">
        <v>0</v>
      </c>
      <c r="CH80" s="161">
        <v>0</v>
      </c>
      <c r="CI80" s="161">
        <v>0</v>
      </c>
      <c r="CJ80" s="161">
        <v>0</v>
      </c>
      <c r="CK80" s="161">
        <v>0</v>
      </c>
      <c r="CL80" s="161">
        <v>0.5</v>
      </c>
      <c r="CM80" s="161">
        <v>0</v>
      </c>
      <c r="CN80" s="161">
        <v>0</v>
      </c>
      <c r="CO80" s="161">
        <v>0</v>
      </c>
      <c r="CP80" s="161">
        <v>0</v>
      </c>
      <c r="CR80" s="162">
        <f t="shared" si="59"/>
        <v>0</v>
      </c>
    </row>
    <row r="81" spans="1:96" outlineLevel="2" x14ac:dyDescent="0.35">
      <c r="A81" s="110" t="s">
        <v>344</v>
      </c>
      <c r="B81" s="110" t="s">
        <v>349</v>
      </c>
      <c r="C81" s="172">
        <f>IF($F81&lt;&gt;"",COUNTA($F$8:F81),"")</f>
        <v>62</v>
      </c>
      <c r="D81" s="157"/>
      <c r="E81" s="157"/>
      <c r="F81" s="157" t="s">
        <v>354</v>
      </c>
      <c r="G81" s="157" t="s">
        <v>355</v>
      </c>
      <c r="H81" s="157" t="s">
        <v>186</v>
      </c>
      <c r="J81" s="158">
        <v>16000</v>
      </c>
      <c r="K81" s="158">
        <v>1267.6001080742758</v>
      </c>
      <c r="L81" s="158">
        <f t="shared" si="47"/>
        <v>17267.600108074275</v>
      </c>
      <c r="N81" s="158">
        <v>0.185</v>
      </c>
      <c r="O81" s="158">
        <v>2.96</v>
      </c>
      <c r="P81" s="158">
        <f t="shared" si="48"/>
        <v>16000</v>
      </c>
      <c r="R81" s="158">
        <v>16000</v>
      </c>
      <c r="T81" s="158">
        <v>2000</v>
      </c>
      <c r="V81" s="158">
        <v>0</v>
      </c>
      <c r="W81" s="159">
        <f t="shared" si="49"/>
        <v>0</v>
      </c>
      <c r="X81" s="159">
        <f t="shared" si="50"/>
        <v>0</v>
      </c>
      <c r="Y81" s="158">
        <v>2000</v>
      </c>
      <c r="Z81" s="158">
        <v>0</v>
      </c>
      <c r="AA81" s="158">
        <v>0</v>
      </c>
      <c r="AB81" s="160">
        <f t="shared" si="51"/>
        <v>2000</v>
      </c>
      <c r="AC81" s="157"/>
      <c r="AD81" s="157"/>
      <c r="AE81" s="157"/>
      <c r="AG81" s="158">
        <v>2000</v>
      </c>
      <c r="AI81" s="158">
        <v>0.185</v>
      </c>
      <c r="AJ81" s="158">
        <v>2.96</v>
      </c>
      <c r="AK81" s="158">
        <f t="shared" si="52"/>
        <v>16000</v>
      </c>
      <c r="AL81" s="158">
        <f t="shared" si="53"/>
        <v>0.37</v>
      </c>
      <c r="AN81" s="158">
        <f t="shared" si="54"/>
        <v>-14000</v>
      </c>
      <c r="AO81" s="158">
        <f t="shared" si="55"/>
        <v>-2.59</v>
      </c>
      <c r="AR81" s="192">
        <v>16000</v>
      </c>
      <c r="AS81" s="192">
        <f t="shared" si="56"/>
        <v>0</v>
      </c>
      <c r="BM81" s="158">
        <f t="shared" si="57"/>
        <v>1267.6001080742758</v>
      </c>
      <c r="BN81" s="158">
        <f t="shared" si="58"/>
        <v>1267.6001080742758</v>
      </c>
      <c r="BO81" s="158">
        <f t="shared" si="58"/>
        <v>0</v>
      </c>
      <c r="BP81" s="158">
        <f t="shared" si="58"/>
        <v>0</v>
      </c>
      <c r="BQ81" s="158">
        <f t="shared" si="58"/>
        <v>0</v>
      </c>
      <c r="BR81" s="158">
        <f t="shared" si="58"/>
        <v>0</v>
      </c>
      <c r="BS81" s="158">
        <f t="shared" si="58"/>
        <v>0</v>
      </c>
      <c r="BT81" s="158">
        <f t="shared" si="58"/>
        <v>0</v>
      </c>
      <c r="BU81" s="158">
        <f t="shared" si="58"/>
        <v>0</v>
      </c>
      <c r="BV81" s="158">
        <f t="shared" si="58"/>
        <v>0</v>
      </c>
      <c r="BX81" s="158">
        <v>2535.2002161485516</v>
      </c>
      <c r="BY81" s="158">
        <v>0</v>
      </c>
      <c r="BZ81" s="158">
        <v>0</v>
      </c>
      <c r="CA81" s="158">
        <v>0</v>
      </c>
      <c r="CB81" s="158">
        <v>0</v>
      </c>
      <c r="CC81" s="158">
        <v>0</v>
      </c>
      <c r="CD81" s="158">
        <v>0</v>
      </c>
      <c r="CE81" s="158">
        <v>0</v>
      </c>
      <c r="CF81" s="158">
        <v>0</v>
      </c>
      <c r="CH81" s="161">
        <v>0.5</v>
      </c>
      <c r="CI81" s="161">
        <v>0</v>
      </c>
      <c r="CJ81" s="161">
        <v>0</v>
      </c>
      <c r="CK81" s="161">
        <v>0</v>
      </c>
      <c r="CL81" s="161">
        <v>0</v>
      </c>
      <c r="CM81" s="161">
        <v>0</v>
      </c>
      <c r="CN81" s="161">
        <v>0</v>
      </c>
      <c r="CO81" s="161">
        <v>0</v>
      </c>
      <c r="CP81" s="161">
        <v>0</v>
      </c>
      <c r="CR81" s="162">
        <f t="shared" si="59"/>
        <v>0</v>
      </c>
    </row>
    <row r="82" spans="1:96" outlineLevel="2" x14ac:dyDescent="0.35">
      <c r="A82" s="110" t="s">
        <v>344</v>
      </c>
      <c r="B82" s="110" t="s">
        <v>356</v>
      </c>
      <c r="C82" s="172">
        <f>IF($F82&lt;&gt;"",COUNTA($F$8:F82),"")</f>
        <v>63</v>
      </c>
      <c r="D82" s="157"/>
      <c r="E82" s="157"/>
      <c r="F82" s="157" t="s">
        <v>357</v>
      </c>
      <c r="G82" s="157" t="s">
        <v>358</v>
      </c>
      <c r="H82" s="157" t="s">
        <v>190</v>
      </c>
      <c r="J82" s="158">
        <v>16000</v>
      </c>
      <c r="K82" s="158">
        <v>2535.2002161485516</v>
      </c>
      <c r="L82" s="158">
        <f t="shared" si="47"/>
        <v>18535.200216148551</v>
      </c>
      <c r="N82" s="158">
        <v>0.437</v>
      </c>
      <c r="O82" s="158">
        <v>2.1850000000000001</v>
      </c>
      <c r="P82" s="158">
        <f t="shared" si="48"/>
        <v>5000</v>
      </c>
      <c r="R82" s="158">
        <v>5000</v>
      </c>
      <c r="T82" s="158">
        <v>5000</v>
      </c>
      <c r="V82" s="158" t="s">
        <v>217</v>
      </c>
      <c r="W82" s="159" t="str">
        <f t="shared" si="49"/>
        <v/>
      </c>
      <c r="X82" s="159" t="str">
        <f t="shared" si="50"/>
        <v/>
      </c>
      <c r="Y82" s="158" t="s">
        <v>217</v>
      </c>
      <c r="Z82" s="158" t="s">
        <v>217</v>
      </c>
      <c r="AA82" s="158" t="s">
        <v>217</v>
      </c>
      <c r="AB82" s="160" t="str">
        <f t="shared" si="51"/>
        <v>Không có</v>
      </c>
      <c r="AC82" s="157" t="s">
        <v>275</v>
      </c>
      <c r="AD82" s="157" t="s">
        <v>359</v>
      </c>
      <c r="AE82" s="157" t="s">
        <v>353</v>
      </c>
      <c r="AG82" s="166">
        <v>3000</v>
      </c>
      <c r="AI82" s="158">
        <v>0.437</v>
      </c>
      <c r="AJ82" s="158">
        <v>2.1850000000000001</v>
      </c>
      <c r="AK82" s="158">
        <f t="shared" si="52"/>
        <v>5000</v>
      </c>
      <c r="AL82" s="158">
        <f t="shared" si="53"/>
        <v>1.3109999999999999</v>
      </c>
      <c r="AN82" s="158">
        <f t="shared" si="54"/>
        <v>-2000</v>
      </c>
      <c r="AO82" s="158">
        <f t="shared" si="55"/>
        <v>-0.87400000000000011</v>
      </c>
      <c r="AR82" s="192">
        <v>5000</v>
      </c>
      <c r="AS82" s="192">
        <f t="shared" si="56"/>
        <v>0</v>
      </c>
      <c r="BM82" s="158">
        <f t="shared" si="57"/>
        <v>2535.2002161485516</v>
      </c>
      <c r="BN82" s="158">
        <f t="shared" si="58"/>
        <v>0</v>
      </c>
      <c r="BO82" s="158">
        <f t="shared" si="58"/>
        <v>0</v>
      </c>
      <c r="BP82" s="158">
        <f t="shared" si="58"/>
        <v>0</v>
      </c>
      <c r="BQ82" s="158">
        <f t="shared" si="58"/>
        <v>0</v>
      </c>
      <c r="BR82" s="158">
        <f t="shared" si="58"/>
        <v>2535.2002161485516</v>
      </c>
      <c r="BS82" s="158">
        <f t="shared" si="58"/>
        <v>0</v>
      </c>
      <c r="BT82" s="158">
        <f t="shared" si="58"/>
        <v>0</v>
      </c>
      <c r="BU82" s="158">
        <f t="shared" si="58"/>
        <v>0</v>
      </c>
      <c r="BV82" s="158">
        <f t="shared" si="58"/>
        <v>0</v>
      </c>
      <c r="BX82" s="158">
        <v>0</v>
      </c>
      <c r="BY82" s="158">
        <v>0</v>
      </c>
      <c r="BZ82" s="158">
        <v>0</v>
      </c>
      <c r="CA82" s="158">
        <v>0</v>
      </c>
      <c r="CB82" s="158">
        <v>2535.2002161485516</v>
      </c>
      <c r="CC82" s="158">
        <v>0</v>
      </c>
      <c r="CD82" s="158">
        <v>0</v>
      </c>
      <c r="CE82" s="158">
        <v>0</v>
      </c>
      <c r="CF82" s="158">
        <v>0</v>
      </c>
      <c r="CH82" s="161">
        <v>0</v>
      </c>
      <c r="CI82" s="161">
        <v>0</v>
      </c>
      <c r="CJ82" s="161">
        <v>0</v>
      </c>
      <c r="CK82" s="161">
        <v>0</v>
      </c>
      <c r="CL82" s="161">
        <v>1</v>
      </c>
      <c r="CM82" s="161">
        <v>0</v>
      </c>
      <c r="CN82" s="161">
        <v>0</v>
      </c>
      <c r="CO82" s="161">
        <v>0</v>
      </c>
      <c r="CP82" s="161">
        <v>0</v>
      </c>
      <c r="CR82" s="162">
        <f t="shared" si="59"/>
        <v>0</v>
      </c>
    </row>
    <row r="83" spans="1:96" outlineLevel="2" x14ac:dyDescent="0.35">
      <c r="A83" s="110" t="s">
        <v>344</v>
      </c>
      <c r="B83" s="110" t="s">
        <v>349</v>
      </c>
      <c r="C83" s="172">
        <f>IF($F83&lt;&gt;"",COUNTA($F$8:F83),"")</f>
        <v>64</v>
      </c>
      <c r="D83" s="157"/>
      <c r="E83" s="157"/>
      <c r="F83" s="157" t="s">
        <v>360</v>
      </c>
      <c r="G83" s="157" t="s">
        <v>361</v>
      </c>
      <c r="H83" s="157" t="s">
        <v>190</v>
      </c>
      <c r="J83" s="158">
        <v>16000</v>
      </c>
      <c r="K83" s="158">
        <v>1267.6001080742758</v>
      </c>
      <c r="L83" s="158">
        <f t="shared" si="47"/>
        <v>17267.600108074275</v>
      </c>
      <c r="N83" s="158">
        <v>0.32600000000000001</v>
      </c>
      <c r="O83" s="158">
        <v>1.956</v>
      </c>
      <c r="P83" s="158">
        <f t="shared" si="48"/>
        <v>6000</v>
      </c>
      <c r="R83" s="158">
        <v>6000</v>
      </c>
      <c r="T83" s="158">
        <v>2000</v>
      </c>
      <c r="V83" s="158" t="s">
        <v>217</v>
      </c>
      <c r="W83" s="159" t="str">
        <f t="shared" si="49"/>
        <v/>
      </c>
      <c r="X83" s="159" t="str">
        <f t="shared" si="50"/>
        <v/>
      </c>
      <c r="Y83" s="158" t="s">
        <v>217</v>
      </c>
      <c r="Z83" s="158" t="s">
        <v>217</v>
      </c>
      <c r="AA83" s="158" t="s">
        <v>217</v>
      </c>
      <c r="AB83" s="160" t="str">
        <f t="shared" si="51"/>
        <v>Không có</v>
      </c>
      <c r="AC83" s="157" t="s">
        <v>275</v>
      </c>
      <c r="AD83" s="157" t="s">
        <v>352</v>
      </c>
      <c r="AE83" s="157" t="s">
        <v>353</v>
      </c>
      <c r="AG83" s="166">
        <v>2000</v>
      </c>
      <c r="AI83" s="158">
        <v>0.32600000000000001</v>
      </c>
      <c r="AJ83" s="158">
        <v>1.956</v>
      </c>
      <c r="AK83" s="158">
        <f t="shared" si="52"/>
        <v>6000</v>
      </c>
      <c r="AL83" s="158">
        <f t="shared" si="53"/>
        <v>0.65200000000000002</v>
      </c>
      <c r="AN83" s="158">
        <f t="shared" si="54"/>
        <v>-4000</v>
      </c>
      <c r="AO83" s="158">
        <f t="shared" si="55"/>
        <v>-1.3039999999999998</v>
      </c>
      <c r="AR83" s="192">
        <v>6000</v>
      </c>
      <c r="AS83" s="192">
        <f t="shared" si="56"/>
        <v>0</v>
      </c>
      <c r="BM83" s="158">
        <f t="shared" si="57"/>
        <v>1267.6001080742758</v>
      </c>
      <c r="BN83" s="158">
        <f t="shared" si="58"/>
        <v>0</v>
      </c>
      <c r="BO83" s="158">
        <f t="shared" si="58"/>
        <v>0</v>
      </c>
      <c r="BP83" s="158">
        <f t="shared" si="58"/>
        <v>0</v>
      </c>
      <c r="BQ83" s="158">
        <f t="shared" si="58"/>
        <v>0</v>
      </c>
      <c r="BR83" s="158">
        <f t="shared" si="58"/>
        <v>1267.6001080742758</v>
      </c>
      <c r="BS83" s="158">
        <f t="shared" si="58"/>
        <v>0</v>
      </c>
      <c r="BT83" s="158">
        <f t="shared" si="58"/>
        <v>0</v>
      </c>
      <c r="BU83" s="158">
        <f t="shared" si="58"/>
        <v>0</v>
      </c>
      <c r="BV83" s="158">
        <f t="shared" si="58"/>
        <v>0</v>
      </c>
      <c r="BX83" s="158">
        <v>0</v>
      </c>
      <c r="BY83" s="158">
        <v>0</v>
      </c>
      <c r="BZ83" s="158">
        <v>0</v>
      </c>
      <c r="CA83" s="158">
        <v>0</v>
      </c>
      <c r="CB83" s="158">
        <v>2535.2002161485516</v>
      </c>
      <c r="CC83" s="158">
        <v>0</v>
      </c>
      <c r="CD83" s="158">
        <v>0</v>
      </c>
      <c r="CE83" s="158">
        <v>0</v>
      </c>
      <c r="CF83" s="158">
        <v>0</v>
      </c>
      <c r="CH83" s="161">
        <v>0</v>
      </c>
      <c r="CI83" s="161">
        <v>0</v>
      </c>
      <c r="CJ83" s="161">
        <v>0</v>
      </c>
      <c r="CK83" s="161">
        <v>0</v>
      </c>
      <c r="CL83" s="161">
        <v>0.5</v>
      </c>
      <c r="CM83" s="161">
        <v>0</v>
      </c>
      <c r="CN83" s="161">
        <v>0</v>
      </c>
      <c r="CO83" s="161">
        <v>0</v>
      </c>
      <c r="CP83" s="161">
        <v>0</v>
      </c>
      <c r="CR83" s="162">
        <f t="shared" si="59"/>
        <v>0</v>
      </c>
    </row>
    <row r="84" spans="1:96" outlineLevel="2" x14ac:dyDescent="0.35">
      <c r="A84" s="110" t="s">
        <v>344</v>
      </c>
      <c r="B84" s="110" t="s">
        <v>245</v>
      </c>
      <c r="C84" s="172">
        <f>IF($F84&lt;&gt;"",COUNTA($F$8:F84),"")</f>
        <v>65</v>
      </c>
      <c r="D84" s="157"/>
      <c r="E84" s="157"/>
      <c r="F84" s="157" t="s">
        <v>362</v>
      </c>
      <c r="G84" s="157" t="s">
        <v>363</v>
      </c>
      <c r="H84" s="157" t="s">
        <v>193</v>
      </c>
      <c r="J84" s="158">
        <v>16000</v>
      </c>
      <c r="K84" s="158">
        <v>5012.1161697205953</v>
      </c>
      <c r="L84" s="158">
        <f t="shared" si="47"/>
        <v>21012.116169720597</v>
      </c>
      <c r="N84" s="158">
        <v>0.1</v>
      </c>
      <c r="O84" s="158">
        <v>1.4</v>
      </c>
      <c r="P84" s="158">
        <f t="shared" si="48"/>
        <v>13999.999999999998</v>
      </c>
      <c r="R84" s="158">
        <v>14000</v>
      </c>
      <c r="T84" s="158">
        <v>10000</v>
      </c>
      <c r="V84" s="158" t="s">
        <v>217</v>
      </c>
      <c r="W84" s="159" t="str">
        <f t="shared" si="49"/>
        <v/>
      </c>
      <c r="X84" s="159" t="str">
        <f t="shared" si="50"/>
        <v/>
      </c>
      <c r="Y84" s="158" t="s">
        <v>217</v>
      </c>
      <c r="Z84" s="158" t="s">
        <v>217</v>
      </c>
      <c r="AA84" s="158" t="s">
        <v>217</v>
      </c>
      <c r="AB84" s="160" t="str">
        <f t="shared" si="51"/>
        <v>Không có</v>
      </c>
      <c r="AC84" s="157" t="s">
        <v>275</v>
      </c>
      <c r="AD84" s="157" t="s">
        <v>364</v>
      </c>
      <c r="AE84" s="157"/>
      <c r="AG84" s="166">
        <v>10000</v>
      </c>
      <c r="AI84" s="158">
        <v>0.1</v>
      </c>
      <c r="AJ84" s="158">
        <v>1.4</v>
      </c>
      <c r="AK84" s="158">
        <f t="shared" si="52"/>
        <v>13999.999999999998</v>
      </c>
      <c r="AL84" s="158">
        <f t="shared" si="53"/>
        <v>1</v>
      </c>
      <c r="AN84" s="158">
        <f t="shared" si="54"/>
        <v>-3999.9999999999982</v>
      </c>
      <c r="AO84" s="158">
        <f t="shared" si="55"/>
        <v>-0.39999999999999991</v>
      </c>
      <c r="AR84" s="192">
        <v>14000</v>
      </c>
      <c r="AS84" s="192">
        <f t="shared" si="56"/>
        <v>0</v>
      </c>
      <c r="BM84" s="158">
        <f t="shared" si="57"/>
        <v>5012.1161697205953</v>
      </c>
      <c r="BN84" s="158">
        <f t="shared" si="58"/>
        <v>0</v>
      </c>
      <c r="BO84" s="158">
        <f t="shared" si="58"/>
        <v>0</v>
      </c>
      <c r="BP84" s="158">
        <f t="shared" si="58"/>
        <v>0</v>
      </c>
      <c r="BQ84" s="158">
        <f t="shared" si="58"/>
        <v>0</v>
      </c>
      <c r="BR84" s="158">
        <f t="shared" si="58"/>
        <v>2535.2002161485516</v>
      </c>
      <c r="BS84" s="158">
        <f t="shared" si="58"/>
        <v>0</v>
      </c>
      <c r="BT84" s="158">
        <f t="shared" si="58"/>
        <v>0</v>
      </c>
      <c r="BU84" s="158">
        <f t="shared" si="58"/>
        <v>2476.9159535720441</v>
      </c>
      <c r="BV84" s="158">
        <f t="shared" si="58"/>
        <v>0</v>
      </c>
      <c r="BX84" s="158">
        <v>0</v>
      </c>
      <c r="BY84" s="158">
        <v>0</v>
      </c>
      <c r="BZ84" s="158">
        <v>0</v>
      </c>
      <c r="CA84" s="158">
        <v>0</v>
      </c>
      <c r="CB84" s="158">
        <v>2535.2002161485516</v>
      </c>
      <c r="CC84" s="158">
        <v>0</v>
      </c>
      <c r="CD84" s="158">
        <v>0</v>
      </c>
      <c r="CE84" s="158">
        <v>2476.9159535720441</v>
      </c>
      <c r="CF84" s="158">
        <v>0</v>
      </c>
      <c r="CH84" s="161">
        <v>0</v>
      </c>
      <c r="CI84" s="161">
        <v>0</v>
      </c>
      <c r="CJ84" s="161">
        <v>0</v>
      </c>
      <c r="CK84" s="161">
        <v>0</v>
      </c>
      <c r="CL84" s="161">
        <v>1</v>
      </c>
      <c r="CM84" s="161">
        <v>0</v>
      </c>
      <c r="CN84" s="161">
        <v>0</v>
      </c>
      <c r="CO84" s="161">
        <v>1</v>
      </c>
      <c r="CP84" s="161">
        <v>0</v>
      </c>
      <c r="CR84" s="162">
        <f t="shared" si="59"/>
        <v>0</v>
      </c>
    </row>
    <row r="85" spans="1:96" outlineLevel="2" x14ac:dyDescent="0.35">
      <c r="A85" s="110" t="s">
        <v>344</v>
      </c>
      <c r="B85" s="110" t="s">
        <v>349</v>
      </c>
      <c r="C85" s="172">
        <f>IF($F85&lt;&gt;"",COUNTA($F$8:F85),"")</f>
        <v>66</v>
      </c>
      <c r="D85" s="157"/>
      <c r="E85" s="157"/>
      <c r="F85" s="157" t="s">
        <v>365</v>
      </c>
      <c r="G85" s="157" t="s">
        <v>366</v>
      </c>
      <c r="H85" s="157" t="s">
        <v>186</v>
      </c>
      <c r="J85" s="158">
        <v>16000</v>
      </c>
      <c r="K85" s="158">
        <v>1267.6001080742758</v>
      </c>
      <c r="L85" s="158">
        <f t="shared" si="47"/>
        <v>17267.600108074275</v>
      </c>
      <c r="N85" s="158">
        <v>0.05</v>
      </c>
      <c r="O85" s="158">
        <v>0.3</v>
      </c>
      <c r="P85" s="158">
        <f t="shared" si="48"/>
        <v>5999.9999999999991</v>
      </c>
      <c r="R85" s="158">
        <v>6000</v>
      </c>
      <c r="T85" s="158">
        <v>6000</v>
      </c>
      <c r="V85" s="158" t="s">
        <v>217</v>
      </c>
      <c r="W85" s="159" t="str">
        <f t="shared" si="49"/>
        <v/>
      </c>
      <c r="X85" s="159" t="str">
        <f t="shared" si="50"/>
        <v/>
      </c>
      <c r="Y85" s="158" t="s">
        <v>217</v>
      </c>
      <c r="Z85" s="158" t="s">
        <v>217</v>
      </c>
      <c r="AA85" s="158" t="s">
        <v>217</v>
      </c>
      <c r="AB85" s="160" t="str">
        <f t="shared" si="51"/>
        <v>Không có</v>
      </c>
      <c r="AC85" s="157" t="s">
        <v>275</v>
      </c>
      <c r="AD85" s="157" t="s">
        <v>352</v>
      </c>
      <c r="AE85" s="157" t="s">
        <v>353</v>
      </c>
      <c r="AG85" s="166">
        <v>5000</v>
      </c>
      <c r="AI85" s="158">
        <v>0.05</v>
      </c>
      <c r="AJ85" s="158">
        <v>0.3</v>
      </c>
      <c r="AK85" s="158">
        <f t="shared" si="52"/>
        <v>5999.9999999999991</v>
      </c>
      <c r="AL85" s="158">
        <f t="shared" si="53"/>
        <v>0.25</v>
      </c>
      <c r="AN85" s="158">
        <f t="shared" si="54"/>
        <v>-999.99999999999909</v>
      </c>
      <c r="AO85" s="158">
        <f t="shared" si="55"/>
        <v>-4.9999999999999989E-2</v>
      </c>
      <c r="AR85" s="192">
        <v>6000</v>
      </c>
      <c r="AS85" s="192">
        <f t="shared" si="56"/>
        <v>0</v>
      </c>
      <c r="BM85" s="158">
        <f t="shared" si="57"/>
        <v>1267.6001080742758</v>
      </c>
      <c r="BN85" s="158">
        <f t="shared" si="58"/>
        <v>1267.6001080742758</v>
      </c>
      <c r="BO85" s="158">
        <f t="shared" si="58"/>
        <v>0</v>
      </c>
      <c r="BP85" s="158">
        <f t="shared" si="58"/>
        <v>0</v>
      </c>
      <c r="BQ85" s="158">
        <f t="shared" si="58"/>
        <v>0</v>
      </c>
      <c r="BR85" s="158">
        <f t="shared" si="58"/>
        <v>0</v>
      </c>
      <c r="BS85" s="158">
        <f t="shared" si="58"/>
        <v>0</v>
      </c>
      <c r="BT85" s="158">
        <f t="shared" si="58"/>
        <v>0</v>
      </c>
      <c r="BU85" s="158">
        <f t="shared" si="58"/>
        <v>0</v>
      </c>
      <c r="BV85" s="158">
        <f t="shared" si="58"/>
        <v>0</v>
      </c>
      <c r="BX85" s="158">
        <v>2535.2002161485516</v>
      </c>
      <c r="BY85" s="158">
        <v>0</v>
      </c>
      <c r="BZ85" s="158">
        <v>0</v>
      </c>
      <c r="CA85" s="158">
        <v>0</v>
      </c>
      <c r="CB85" s="158">
        <v>0</v>
      </c>
      <c r="CC85" s="158">
        <v>0</v>
      </c>
      <c r="CD85" s="158">
        <v>0</v>
      </c>
      <c r="CE85" s="158">
        <v>0</v>
      </c>
      <c r="CF85" s="158">
        <v>0</v>
      </c>
      <c r="CH85" s="161">
        <v>0.5</v>
      </c>
      <c r="CI85" s="161">
        <v>0</v>
      </c>
      <c r="CJ85" s="161">
        <v>0</v>
      </c>
      <c r="CK85" s="161">
        <v>0</v>
      </c>
      <c r="CL85" s="161">
        <v>0</v>
      </c>
      <c r="CM85" s="161">
        <v>0</v>
      </c>
      <c r="CN85" s="161">
        <v>0</v>
      </c>
      <c r="CO85" s="161">
        <v>0</v>
      </c>
      <c r="CP85" s="161">
        <v>0</v>
      </c>
      <c r="CR85" s="162">
        <f t="shared" si="59"/>
        <v>0</v>
      </c>
    </row>
    <row r="86" spans="1:96" outlineLevel="2" x14ac:dyDescent="0.35">
      <c r="A86" s="110" t="s">
        <v>344</v>
      </c>
      <c r="B86" s="110" t="s">
        <v>245</v>
      </c>
      <c r="C86" s="172">
        <f>IF($F86&lt;&gt;"",COUNTA($F$8:F86),"")</f>
        <v>67</v>
      </c>
      <c r="D86" s="157"/>
      <c r="E86" s="157"/>
      <c r="F86" s="157" t="s">
        <v>367</v>
      </c>
      <c r="G86" s="157" t="s">
        <v>368</v>
      </c>
      <c r="H86" s="157" t="s">
        <v>193</v>
      </c>
      <c r="J86" s="158">
        <v>16000</v>
      </c>
      <c r="K86" s="158">
        <v>5012.1161697205953</v>
      </c>
      <c r="L86" s="158">
        <f t="shared" si="47"/>
        <v>21012.116169720597</v>
      </c>
      <c r="N86" s="158">
        <v>1.7999999999999999E-2</v>
      </c>
      <c r="O86" s="158">
        <v>0.18</v>
      </c>
      <c r="P86" s="158">
        <f t="shared" si="48"/>
        <v>10000</v>
      </c>
      <c r="R86" s="158">
        <v>10000</v>
      </c>
      <c r="T86" s="158">
        <v>10000</v>
      </c>
      <c r="V86" s="158">
        <v>0</v>
      </c>
      <c r="W86" s="159">
        <f t="shared" si="49"/>
        <v>0</v>
      </c>
      <c r="X86" s="159">
        <f t="shared" si="50"/>
        <v>0</v>
      </c>
      <c r="Y86" s="158">
        <v>0</v>
      </c>
      <c r="Z86" s="158">
        <v>8000</v>
      </c>
      <c r="AA86" s="158">
        <v>0</v>
      </c>
      <c r="AB86" s="160">
        <f t="shared" si="51"/>
        <v>8000</v>
      </c>
      <c r="AC86" s="157"/>
      <c r="AD86" s="157"/>
      <c r="AE86" s="157"/>
      <c r="AG86" s="158">
        <v>10000</v>
      </c>
      <c r="AI86" s="158">
        <v>1.7999999999999999E-2</v>
      </c>
      <c r="AJ86" s="158">
        <v>0.18</v>
      </c>
      <c r="AK86" s="158">
        <f t="shared" si="52"/>
        <v>10000</v>
      </c>
      <c r="AL86" s="158">
        <f t="shared" si="53"/>
        <v>0.18</v>
      </c>
      <c r="AN86" s="158">
        <f t="shared" si="54"/>
        <v>0</v>
      </c>
      <c r="AO86" s="158">
        <f t="shared" si="55"/>
        <v>0</v>
      </c>
      <c r="AR86" s="192">
        <v>10000</v>
      </c>
      <c r="AS86" s="192">
        <f t="shared" si="56"/>
        <v>0</v>
      </c>
      <c r="BM86" s="158">
        <f t="shared" si="57"/>
        <v>5012.1161697205953</v>
      </c>
      <c r="BN86" s="158">
        <f t="shared" si="58"/>
        <v>0</v>
      </c>
      <c r="BO86" s="158">
        <f t="shared" si="58"/>
        <v>0</v>
      </c>
      <c r="BP86" s="158">
        <f t="shared" si="58"/>
        <v>0</v>
      </c>
      <c r="BQ86" s="158">
        <f t="shared" si="58"/>
        <v>0</v>
      </c>
      <c r="BR86" s="158">
        <f t="shared" si="58"/>
        <v>2535.2002161485516</v>
      </c>
      <c r="BS86" s="158">
        <f t="shared" si="58"/>
        <v>0</v>
      </c>
      <c r="BT86" s="158">
        <f t="shared" si="58"/>
        <v>0</v>
      </c>
      <c r="BU86" s="158">
        <f t="shared" si="58"/>
        <v>2476.9159535720441</v>
      </c>
      <c r="BV86" s="158">
        <f t="shared" si="58"/>
        <v>0</v>
      </c>
      <c r="BX86" s="158">
        <v>0</v>
      </c>
      <c r="BY86" s="158">
        <v>0</v>
      </c>
      <c r="BZ86" s="158">
        <v>0</v>
      </c>
      <c r="CA86" s="158">
        <v>0</v>
      </c>
      <c r="CB86" s="158">
        <v>2535.2002161485516</v>
      </c>
      <c r="CC86" s="158">
        <v>0</v>
      </c>
      <c r="CD86" s="158">
        <v>0</v>
      </c>
      <c r="CE86" s="158">
        <v>2476.9159535720441</v>
      </c>
      <c r="CF86" s="158">
        <v>0</v>
      </c>
      <c r="CH86" s="161">
        <v>0</v>
      </c>
      <c r="CI86" s="161">
        <v>0</v>
      </c>
      <c r="CJ86" s="161">
        <v>0</v>
      </c>
      <c r="CK86" s="161">
        <v>0</v>
      </c>
      <c r="CL86" s="161">
        <v>1</v>
      </c>
      <c r="CM86" s="161">
        <v>0</v>
      </c>
      <c r="CN86" s="161">
        <v>0</v>
      </c>
      <c r="CO86" s="161">
        <v>1</v>
      </c>
      <c r="CP86" s="161">
        <v>0</v>
      </c>
      <c r="CR86" s="162">
        <f t="shared" si="59"/>
        <v>0</v>
      </c>
    </row>
    <row r="87" spans="1:96" x14ac:dyDescent="0.35">
      <c r="W87" s="110"/>
      <c r="X87" s="110"/>
      <c r="AB87" s="168"/>
      <c r="CH87" s="175"/>
      <c r="CI87" s="175"/>
      <c r="CJ87" s="175"/>
      <c r="CK87" s="175"/>
      <c r="CL87" s="175"/>
      <c r="CM87" s="175"/>
      <c r="CN87" s="175"/>
      <c r="CO87" s="175"/>
      <c r="CP87" s="175"/>
    </row>
    <row r="88" spans="1:96" ht="15" thickBot="1" x14ac:dyDescent="0.4">
      <c r="W88" s="110"/>
      <c r="X88" s="110"/>
      <c r="AB88" s="176"/>
      <c r="CH88" s="175"/>
      <c r="CI88" s="175"/>
      <c r="CJ88" s="175"/>
      <c r="CK88" s="175"/>
      <c r="CL88" s="175"/>
      <c r="CM88" s="175"/>
      <c r="CN88" s="175"/>
      <c r="CO88" s="175"/>
      <c r="CP88" s="175"/>
    </row>
    <row r="89" spans="1:96" ht="15" thickTop="1" x14ac:dyDescent="0.35">
      <c r="W89" s="110"/>
      <c r="X89" s="110"/>
      <c r="CH89" s="175"/>
      <c r="CI89" s="175"/>
      <c r="CJ89" s="175"/>
      <c r="CK89" s="175"/>
      <c r="CL89" s="175"/>
      <c r="CM89" s="175"/>
      <c r="CN89" s="175"/>
      <c r="CO89" s="175"/>
      <c r="CP89" s="175"/>
    </row>
    <row r="90" spans="1:96" x14ac:dyDescent="0.35">
      <c r="W90" s="110"/>
      <c r="X90" s="110"/>
      <c r="CH90" s="175"/>
      <c r="CI90" s="175"/>
      <c r="CJ90" s="175"/>
      <c r="CK90" s="175"/>
      <c r="CL90" s="175"/>
      <c r="CM90" s="175"/>
      <c r="CN90" s="175"/>
      <c r="CO90" s="175"/>
      <c r="CP90" s="175"/>
    </row>
    <row r="91" spans="1:96" x14ac:dyDescent="0.35">
      <c r="W91" s="110"/>
      <c r="X91" s="110"/>
      <c r="CH91" s="175"/>
      <c r="CI91" s="175"/>
      <c r="CJ91" s="175"/>
      <c r="CK91" s="175"/>
      <c r="CL91" s="175"/>
      <c r="CM91" s="175"/>
      <c r="CN91" s="175"/>
      <c r="CO91" s="175"/>
      <c r="CP91" s="175"/>
    </row>
    <row r="92" spans="1:96" ht="15" thickBot="1" x14ac:dyDescent="0.4">
      <c r="W92" s="110"/>
      <c r="X92" s="110"/>
      <c r="CH92" s="175"/>
      <c r="CI92" s="175"/>
      <c r="CJ92" s="175"/>
      <c r="CK92" s="175"/>
      <c r="CL92" s="175"/>
      <c r="CM92" s="175"/>
      <c r="CN92" s="175"/>
      <c r="CO92" s="175"/>
      <c r="CP92" s="175"/>
    </row>
    <row r="93" spans="1:96" s="178" customFormat="1" ht="15" thickTop="1" x14ac:dyDescent="0.35">
      <c r="A93" s="177"/>
      <c r="B93" s="177"/>
      <c r="CR93" s="179"/>
    </row>
    <row r="94" spans="1:96" s="180" customFormat="1" x14ac:dyDescent="0.35">
      <c r="D94" s="180" t="s">
        <v>369</v>
      </c>
      <c r="N94" s="181">
        <v>0</v>
      </c>
      <c r="O94" s="181">
        <v>0</v>
      </c>
    </row>
    <row r="95" spans="1:96" x14ac:dyDescent="0.35">
      <c r="O95" s="182"/>
    </row>
    <row r="96" spans="1:96" x14ac:dyDescent="0.35">
      <c r="D96" s="111" t="s">
        <v>370</v>
      </c>
      <c r="O96" s="175"/>
      <c r="T96" s="182">
        <f>COUNTIFS($T$7:$T$92,"&gt;"&amp;0)</f>
        <v>33</v>
      </c>
      <c r="AB96" s="182">
        <f>COUNTIFS($AB$7:$AB$88,"&gt;"&amp;0)</f>
        <v>43</v>
      </c>
      <c r="AC96" s="182"/>
      <c r="AD96" s="182"/>
      <c r="AE96" s="182"/>
    </row>
    <row r="97" spans="4:31" x14ac:dyDescent="0.35">
      <c r="D97" s="111" t="s">
        <v>371</v>
      </c>
      <c r="T97" s="182">
        <f>MAX($C$7:$C$92)-T96</f>
        <v>34</v>
      </c>
      <c r="AB97" s="183">
        <f>MAX($C$7:$C$92)-AB96</f>
        <v>24</v>
      </c>
      <c r="AC97" s="183"/>
      <c r="AD97" s="183"/>
      <c r="AE97" s="183"/>
    </row>
  </sheetData>
  <autoFilter ref="A5:CR86" xr:uid="{5053BD93-DDEE-4050-9BA8-1737324096F6}"/>
  <mergeCells count="48">
    <mergeCell ref="CL3:CL4"/>
    <mergeCell ref="CM3:CM4"/>
    <mergeCell ref="CN3:CN4"/>
    <mergeCell ref="CO3:CO4"/>
    <mergeCell ref="CP3:CP4"/>
    <mergeCell ref="CK3:CK4"/>
    <mergeCell ref="BY3:BY4"/>
    <mergeCell ref="BZ3:BZ4"/>
    <mergeCell ref="CA3:CA4"/>
    <mergeCell ref="CB3:CB4"/>
    <mergeCell ref="CC3:CC4"/>
    <mergeCell ref="CD3:CD4"/>
    <mergeCell ref="CE3:CE4"/>
    <mergeCell ref="CF3:CF4"/>
    <mergeCell ref="CH3:CH4"/>
    <mergeCell ref="CI3:CI4"/>
    <mergeCell ref="CJ3:CJ4"/>
    <mergeCell ref="BX3:BX4"/>
    <mergeCell ref="AN3:AO3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AR3:AR4"/>
    <mergeCell ref="AI3:AL3"/>
    <mergeCell ref="J3:J4"/>
    <mergeCell ref="K3:K4"/>
    <mergeCell ref="L3:L4"/>
    <mergeCell ref="N3:P3"/>
    <mergeCell ref="R3:R4"/>
    <mergeCell ref="T3:T4"/>
    <mergeCell ref="V3:AB3"/>
    <mergeCell ref="AC3:AC4"/>
    <mergeCell ref="AD3:AD4"/>
    <mergeCell ref="AE3:AE4"/>
    <mergeCell ref="AG3:AG4"/>
    <mergeCell ref="H3:H4"/>
    <mergeCell ref="C3:C4"/>
    <mergeCell ref="D3:D4"/>
    <mergeCell ref="E3:E4"/>
    <mergeCell ref="F3:F4"/>
    <mergeCell ref="G3:G4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C5C4-D163-4CF6-A0C7-ED4A568CB55A}">
  <dimension ref="A1:AG115"/>
  <sheetViews>
    <sheetView showGridLines="0" zoomScaleNormal="100" workbookViewId="0">
      <pane ySplit="2" topLeftCell="A23" activePane="bottomLeft" state="frozen"/>
      <selection activeCell="AE5" sqref="AE5"/>
      <selection pane="bottomLeft" activeCell="AE5" sqref="AE5"/>
    </sheetView>
  </sheetViews>
  <sheetFormatPr defaultRowHeight="14.5" x14ac:dyDescent="0.35"/>
  <cols>
    <col min="1" max="1" width="7.25" customWidth="1"/>
    <col min="2" max="2" width="5.75" customWidth="1"/>
    <col min="3" max="3" width="11" bestFit="1" customWidth="1"/>
    <col min="4" max="4" width="25" bestFit="1" customWidth="1"/>
    <col min="5" max="5" width="6.33203125" customWidth="1"/>
    <col min="6" max="6" width="18.08203125" customWidth="1"/>
    <col min="7" max="7" width="15.33203125" customWidth="1"/>
    <col min="8" max="8" width="17.25" bestFit="1" customWidth="1"/>
    <col min="9" max="9" width="9.75" customWidth="1"/>
    <col min="10" max="10" width="10" customWidth="1"/>
    <col min="11" max="11" width="12" customWidth="1"/>
    <col min="12" max="12" width="14.25" bestFit="1" customWidth="1"/>
    <col min="13" max="13" width="11.83203125" bestFit="1" customWidth="1"/>
    <col min="14" max="14" width="17.58203125" customWidth="1"/>
    <col min="15" max="15" width="13.5" bestFit="1" customWidth="1"/>
    <col min="16" max="16" width="10.33203125" bestFit="1" customWidth="1"/>
    <col min="17" max="17" width="11.5" customWidth="1"/>
    <col min="18" max="18" width="25.5" bestFit="1" customWidth="1"/>
    <col min="19" max="21" width="9.5" bestFit="1" customWidth="1"/>
    <col min="22" max="23" width="10" bestFit="1" customWidth="1"/>
    <col min="24" max="25" width="12" bestFit="1" customWidth="1"/>
    <col min="26" max="26" width="11.83203125" bestFit="1" customWidth="1"/>
    <col min="27" max="28" width="9.5" bestFit="1" customWidth="1"/>
    <col min="29" max="29" width="11" bestFit="1" customWidth="1"/>
    <col min="30" max="30" width="9.5" bestFit="1" customWidth="1"/>
    <col min="32" max="32" width="9.5" bestFit="1" customWidth="1"/>
  </cols>
  <sheetData>
    <row r="1" spans="1:33" s="9" customFormat="1" x14ac:dyDescent="0.35">
      <c r="N1" s="11">
        <f>SUBTOTAL(9,Table1[Giá trị điều chỉnh])</f>
        <v>-27512744900.416618</v>
      </c>
    </row>
    <row r="2" spans="1:33" x14ac:dyDescent="0.35">
      <c r="A2" s="12" t="s">
        <v>31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7</v>
      </c>
      <c r="J2" s="4" t="s">
        <v>8</v>
      </c>
      <c r="K2" s="12" t="s">
        <v>43</v>
      </c>
      <c r="L2" s="12" t="s">
        <v>445</v>
      </c>
      <c r="M2" s="268" t="s">
        <v>447</v>
      </c>
      <c r="N2" s="4" t="s">
        <v>479</v>
      </c>
      <c r="Q2" s="15" t="s">
        <v>446</v>
      </c>
      <c r="R2" s="15"/>
      <c r="S2" s="15">
        <v>1</v>
      </c>
      <c r="T2" s="15">
        <v>2</v>
      </c>
      <c r="U2" s="15">
        <v>3</v>
      </c>
      <c r="V2" s="15">
        <v>4</v>
      </c>
      <c r="W2" s="15">
        <v>5</v>
      </c>
      <c r="X2" s="15">
        <v>6</v>
      </c>
      <c r="Y2" s="15">
        <v>7</v>
      </c>
      <c r="Z2" s="15">
        <v>8</v>
      </c>
      <c r="AA2" s="15">
        <v>9</v>
      </c>
      <c r="AB2" s="15">
        <v>10</v>
      </c>
      <c r="AC2" s="15">
        <v>11</v>
      </c>
      <c r="AD2" s="15">
        <v>12</v>
      </c>
    </row>
    <row r="3" spans="1:33" x14ac:dyDescent="0.35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108000</v>
      </c>
      <c r="G3" s="1" t="s">
        <v>13</v>
      </c>
      <c r="H3" s="2">
        <v>1620000000</v>
      </c>
      <c r="I3" s="1" t="s">
        <v>14</v>
      </c>
      <c r="J3" s="1" t="s">
        <v>15</v>
      </c>
      <c r="K3" t="s">
        <v>44</v>
      </c>
      <c r="L3" s="3">
        <f>Table1[[#This Row],[Value change]]/Table1[[#This Row],[Change in Quantity]]</f>
        <v>15000</v>
      </c>
      <c r="M3" s="3" cm="1">
        <f t="array" ref="M3">SUMPRODUCT($S$3:$AD$12*($Q$3:$Q$12=Table1[[#This Row],[Material]])*($S$2:$AD$2=Table1[[#This Row],[Month]]))</f>
        <v>0</v>
      </c>
      <c r="N3" s="3">
        <f>IF(Table1[[#This Row],[Change in Quantity]]&gt;0,0,Table1[[#This Row],[Change in Quantity]]*Table1[[#This Row],[Giá tồn kho]])</f>
        <v>0</v>
      </c>
      <c r="Q3" s="13" t="s">
        <v>17</v>
      </c>
      <c r="R3" s="13" t="s">
        <v>18</v>
      </c>
      <c r="S3" s="16"/>
      <c r="T3" s="16">
        <v>16668.96551724138</v>
      </c>
      <c r="U3" s="16">
        <v>16668.96551724138</v>
      </c>
      <c r="V3" s="16">
        <v>19191.309924643258</v>
      </c>
      <c r="W3" s="16">
        <v>19191.656535025748</v>
      </c>
      <c r="X3" s="16">
        <v>19191.656535025748</v>
      </c>
      <c r="Y3" s="16">
        <v>19191.686013328814</v>
      </c>
      <c r="Z3" s="16">
        <v>19191.68583690987</v>
      </c>
      <c r="AA3" s="16">
        <v>19191.68583690987</v>
      </c>
      <c r="AB3" s="16">
        <v>19191.68583690987</v>
      </c>
      <c r="AC3" s="16">
        <v>19191.68583690987</v>
      </c>
      <c r="AD3" s="16">
        <v>19191.813740458016</v>
      </c>
      <c r="AF3" s="3"/>
      <c r="AG3" s="3"/>
    </row>
    <row r="4" spans="1:33" x14ac:dyDescent="0.35">
      <c r="A4" s="1">
        <v>2</v>
      </c>
      <c r="B4" s="1" t="s">
        <v>16</v>
      </c>
      <c r="C4" s="1" t="s">
        <v>25</v>
      </c>
      <c r="D4" s="1" t="s">
        <v>26</v>
      </c>
      <c r="E4" s="1" t="s">
        <v>12</v>
      </c>
      <c r="F4" s="2">
        <v>-16527</v>
      </c>
      <c r="G4" s="1" t="s">
        <v>13</v>
      </c>
      <c r="H4" s="2">
        <v>-370221327</v>
      </c>
      <c r="I4" s="1" t="s">
        <v>14</v>
      </c>
      <c r="J4" s="1" t="s">
        <v>15</v>
      </c>
      <c r="K4" t="s">
        <v>44</v>
      </c>
      <c r="L4" s="3">
        <f>Table1[[#This Row],[Value change]]/Table1[[#This Row],[Change in Quantity]]</f>
        <v>22401</v>
      </c>
      <c r="M4" s="3" cm="1">
        <f t="array" ref="M4">SUMPRODUCT($S$3:$AD$12*($Q$3:$Q$12=Table1[[#This Row],[Material]])*($S$2:$AD$2=Table1[[#This Row],[Month]]))</f>
        <v>22400.043950892203</v>
      </c>
      <c r="N4" s="3">
        <f>IF(Table1[[#This Row],[Change in Quantity]]&gt;0,0,Table1[[#This Row],[Change in Quantity]]*Table1[[#This Row],[Giá tồn kho]])</f>
        <v>-370205526.3763954</v>
      </c>
      <c r="Q4" s="13" t="s">
        <v>29</v>
      </c>
      <c r="R4" s="13" t="s">
        <v>30</v>
      </c>
      <c r="S4" s="16"/>
      <c r="T4" s="16">
        <v>23190.490550174873</v>
      </c>
      <c r="U4" s="16">
        <v>24292.212439609946</v>
      </c>
      <c r="V4" s="16">
        <v>23906.276136363635</v>
      </c>
      <c r="W4" s="16">
        <v>23591.764168772428</v>
      </c>
      <c r="X4" s="16">
        <v>23294.586502918555</v>
      </c>
      <c r="Y4" s="16">
        <v>23238.633656652361</v>
      </c>
      <c r="Z4" s="16">
        <v>23155.300513409962</v>
      </c>
      <c r="AA4" s="16">
        <v>23001.687791502016</v>
      </c>
      <c r="AB4" s="16">
        <v>23151.734980494148</v>
      </c>
      <c r="AC4" s="16">
        <v>22970.668592967068</v>
      </c>
      <c r="AD4" s="16">
        <v>23170.764945085892</v>
      </c>
      <c r="AF4" s="3"/>
      <c r="AG4" s="3"/>
    </row>
    <row r="5" spans="1:33" x14ac:dyDescent="0.35">
      <c r="A5" s="1">
        <v>2</v>
      </c>
      <c r="B5" s="1" t="s">
        <v>19</v>
      </c>
      <c r="C5" s="1" t="s">
        <v>29</v>
      </c>
      <c r="D5" s="1" t="s">
        <v>30</v>
      </c>
      <c r="E5" s="1" t="s">
        <v>12</v>
      </c>
      <c r="F5" s="2">
        <v>-41058</v>
      </c>
      <c r="G5" s="1" t="s">
        <v>13</v>
      </c>
      <c r="H5" s="2">
        <v>-922819608</v>
      </c>
      <c r="I5" s="1" t="s">
        <v>14</v>
      </c>
      <c r="J5" s="1" t="s">
        <v>15</v>
      </c>
      <c r="K5" t="s">
        <v>44</v>
      </c>
      <c r="L5" s="3">
        <f>Table1[[#This Row],[Value change]]/Table1[[#This Row],[Change in Quantity]]</f>
        <v>22476</v>
      </c>
      <c r="M5" s="3" cm="1">
        <f t="array" ref="M5">SUMPRODUCT($S$3:$AD$12*($Q$3:$Q$12=Table1[[#This Row],[Material]])*($S$2:$AD$2=Table1[[#This Row],[Month]]))</f>
        <v>23190.490550174873</v>
      </c>
      <c r="N5" s="3">
        <f>IF(Table1[[#This Row],[Change in Quantity]]&gt;0,0,Table1[[#This Row],[Change in Quantity]]*Table1[[#This Row],[Giá tồn kho]])</f>
        <v>-952155161.00907993</v>
      </c>
      <c r="Q5" s="13" t="s">
        <v>34</v>
      </c>
      <c r="R5" s="13" t="s">
        <v>35</v>
      </c>
      <c r="S5" s="16"/>
      <c r="T5" s="16">
        <v>7817.0815518248965</v>
      </c>
      <c r="U5" s="16">
        <v>10637.341952274715</v>
      </c>
      <c r="V5" s="16">
        <v>9952.5384097491224</v>
      </c>
      <c r="W5" s="16">
        <v>9760.375246147094</v>
      </c>
      <c r="X5" s="16">
        <v>9269.8428107636919</v>
      </c>
      <c r="Y5" s="16">
        <v>8886.481107425665</v>
      </c>
      <c r="Z5" s="16">
        <v>8667.8810039182026</v>
      </c>
      <c r="AA5" s="16">
        <v>8460.6574835889387</v>
      </c>
      <c r="AB5" s="16">
        <v>8404.4105206161603</v>
      </c>
      <c r="AC5" s="16">
        <v>8383.0283107760843</v>
      </c>
      <c r="AD5" s="16">
        <v>8342.4592145091174</v>
      </c>
      <c r="AF5" s="3"/>
      <c r="AG5" s="3"/>
    </row>
    <row r="6" spans="1:33" x14ac:dyDescent="0.35">
      <c r="A6" s="1">
        <v>2</v>
      </c>
      <c r="B6" s="1" t="s">
        <v>22</v>
      </c>
      <c r="C6" s="1" t="s">
        <v>442</v>
      </c>
      <c r="D6" s="1" t="s">
        <v>469</v>
      </c>
      <c r="E6" s="1" t="s">
        <v>12</v>
      </c>
      <c r="F6" s="2">
        <v>-50415</v>
      </c>
      <c r="G6" s="1" t="s">
        <v>13</v>
      </c>
      <c r="H6" s="2">
        <v>-433619415</v>
      </c>
      <c r="I6" s="1" t="s">
        <v>14</v>
      </c>
      <c r="J6" s="1" t="s">
        <v>15</v>
      </c>
      <c r="K6" t="s">
        <v>44</v>
      </c>
      <c r="L6" s="3">
        <f>Table1[[#This Row],[Value change]]/Table1[[#This Row],[Change in Quantity]]</f>
        <v>8601</v>
      </c>
      <c r="M6" s="3" cm="1">
        <f t="array" ref="M6">SUMPRODUCT($S$3:$AD$12*($Q$3:$Q$12=Table1[[#This Row],[Material]])*($S$2:$AD$2=Table1[[#This Row],[Month]]))</f>
        <v>9029.1861611698041</v>
      </c>
      <c r="N6" s="3">
        <f>IF(Table1[[#This Row],[Change in Quantity]]&gt;0,0,Table1[[#This Row],[Change in Quantity]]*Table1[[#This Row],[Giá tồn kho]])</f>
        <v>-455206420.31537569</v>
      </c>
      <c r="Q6" s="13" t="s">
        <v>36</v>
      </c>
      <c r="R6" s="13" t="s">
        <v>37</v>
      </c>
      <c r="S6" s="16"/>
      <c r="T6" s="16">
        <v>14606.875679193252</v>
      </c>
      <c r="U6" s="16">
        <v>14710.344827586208</v>
      </c>
      <c r="V6" s="16">
        <v>1010841.3793103449</v>
      </c>
      <c r="W6" s="16">
        <v>1010841.3793103449</v>
      </c>
      <c r="X6" s="16">
        <v>117385824.13793105</v>
      </c>
      <c r="Y6" s="16">
        <v>117385824.13793105</v>
      </c>
      <c r="Z6" s="298">
        <v>117385824.13793105</v>
      </c>
      <c r="AA6" s="16">
        <v>0</v>
      </c>
      <c r="AB6" s="16">
        <v>0</v>
      </c>
      <c r="AC6" s="16">
        <v>0</v>
      </c>
      <c r="AD6" s="16">
        <v>0</v>
      </c>
      <c r="AF6" s="3"/>
      <c r="AG6" s="3"/>
    </row>
    <row r="7" spans="1:33" x14ac:dyDescent="0.35">
      <c r="A7" s="1">
        <v>2</v>
      </c>
      <c r="B7" t="s">
        <v>9</v>
      </c>
      <c r="C7" t="s">
        <v>10</v>
      </c>
      <c r="D7" t="s">
        <v>11</v>
      </c>
      <c r="E7" t="s">
        <v>12</v>
      </c>
      <c r="F7" s="3">
        <v>180000</v>
      </c>
      <c r="G7" t="s">
        <v>13</v>
      </c>
      <c r="H7" s="3">
        <v>2700000000</v>
      </c>
      <c r="I7" t="s">
        <v>14</v>
      </c>
      <c r="J7" t="s">
        <v>15</v>
      </c>
      <c r="K7" t="s">
        <v>44</v>
      </c>
      <c r="L7" s="3">
        <f>Table1[[#This Row],[Value change]]/Table1[[#This Row],[Change in Quantity]]</f>
        <v>15000</v>
      </c>
      <c r="M7" s="3" cm="1">
        <f t="array" ref="M7">SUMPRODUCT($S$3:$AD$12*($Q$3:$Q$12=Table1[[#This Row],[Material]])*($S$2:$AD$2=Table1[[#This Row],[Month]]))</f>
        <v>0</v>
      </c>
      <c r="N7" s="3">
        <f>IF(Table1[[#This Row],[Change in Quantity]]&gt;0,0,Table1[[#This Row],[Change in Quantity]]*Table1[[#This Row],[Giá tồn kho]])</f>
        <v>0</v>
      </c>
      <c r="Q7" s="13" t="s">
        <v>467</v>
      </c>
      <c r="R7" s="13" t="s">
        <v>468</v>
      </c>
      <c r="S7" s="16"/>
      <c r="T7" s="16">
        <v>5000</v>
      </c>
      <c r="U7" s="16">
        <v>5000</v>
      </c>
      <c r="V7" s="16">
        <v>5000</v>
      </c>
      <c r="W7" s="16">
        <v>5000</v>
      </c>
      <c r="X7" s="16">
        <v>5000</v>
      </c>
      <c r="Y7" s="16">
        <v>5000</v>
      </c>
      <c r="Z7" s="16">
        <v>5000</v>
      </c>
      <c r="AA7" s="16">
        <v>5000</v>
      </c>
      <c r="AB7" s="16">
        <v>5000</v>
      </c>
      <c r="AC7" s="16">
        <v>5000</v>
      </c>
      <c r="AD7" s="16">
        <v>5000</v>
      </c>
      <c r="AF7" s="3"/>
      <c r="AG7" s="3"/>
    </row>
    <row r="8" spans="1:33" x14ac:dyDescent="0.35">
      <c r="A8" s="1">
        <v>2</v>
      </c>
      <c r="B8" t="s">
        <v>16</v>
      </c>
      <c r="C8" t="s">
        <v>25</v>
      </c>
      <c r="D8" t="s">
        <v>26</v>
      </c>
      <c r="E8" t="s">
        <v>12</v>
      </c>
      <c r="F8" s="3">
        <v>-18106</v>
      </c>
      <c r="G8" t="s">
        <v>13</v>
      </c>
      <c r="H8" s="3">
        <v>-405592506</v>
      </c>
      <c r="I8" t="s">
        <v>14</v>
      </c>
      <c r="J8" t="s">
        <v>15</v>
      </c>
      <c r="K8" t="s">
        <v>44</v>
      </c>
      <c r="L8" s="3">
        <f>Table1[[#This Row],[Value change]]/Table1[[#This Row],[Change in Quantity]]</f>
        <v>22401</v>
      </c>
      <c r="M8" s="3" cm="1">
        <f t="array" ref="M8">SUMPRODUCT($S$3:$AD$12*($Q$3:$Q$12=Table1[[#This Row],[Material]])*($S$2:$AD$2=Table1[[#This Row],[Month]]))</f>
        <v>22400.043950892203</v>
      </c>
      <c r="N8" s="3">
        <f>IF(Table1[[#This Row],[Change in Quantity]]&gt;0,0,Table1[[#This Row],[Change in Quantity]]*Table1[[#This Row],[Giá tồn kho]])</f>
        <v>-405575195.77485424</v>
      </c>
      <c r="Q8" s="13" t="s">
        <v>25</v>
      </c>
      <c r="R8" s="13" t="s">
        <v>26</v>
      </c>
      <c r="S8" s="16"/>
      <c r="T8" s="16">
        <v>22400.043950892203</v>
      </c>
      <c r="U8" s="16">
        <v>22400.902244468823</v>
      </c>
      <c r="V8" s="16">
        <v>22400.979963549446</v>
      </c>
      <c r="W8" s="16">
        <v>22400.979902009796</v>
      </c>
      <c r="X8" s="16">
        <v>22400.998827353142</v>
      </c>
      <c r="Y8" s="16">
        <v>22400.999550723973</v>
      </c>
      <c r="Z8" s="16">
        <v>22400.999505584645</v>
      </c>
      <c r="AA8" s="16">
        <v>22400.999859231226</v>
      </c>
      <c r="AB8" s="16">
        <v>22400.999956335549</v>
      </c>
      <c r="AC8" s="16">
        <v>22400.999941606311</v>
      </c>
      <c r="AD8" s="16">
        <v>22401</v>
      </c>
    </row>
    <row r="9" spans="1:33" x14ac:dyDescent="0.35">
      <c r="A9" s="1">
        <v>2</v>
      </c>
      <c r="B9" t="s">
        <v>19</v>
      </c>
      <c r="C9" t="s">
        <v>29</v>
      </c>
      <c r="D9" t="s">
        <v>30</v>
      </c>
      <c r="E9" t="s">
        <v>12</v>
      </c>
      <c r="F9" s="3">
        <v>-20162</v>
      </c>
      <c r="G9" t="s">
        <v>13</v>
      </c>
      <c r="H9" s="3">
        <v>-453161112</v>
      </c>
      <c r="I9" t="s">
        <v>14</v>
      </c>
      <c r="J9" t="s">
        <v>15</v>
      </c>
      <c r="K9" t="s">
        <v>44</v>
      </c>
      <c r="L9" s="3">
        <f>Table1[[#This Row],[Value change]]/Table1[[#This Row],[Change in Quantity]]</f>
        <v>22476</v>
      </c>
      <c r="M9" s="3" cm="1">
        <f t="array" ref="M9">SUMPRODUCT($S$3:$AD$12*($Q$3:$Q$12=Table1[[#This Row],[Material]])*($S$2:$AD$2=Table1[[#This Row],[Month]]))</f>
        <v>23190.490550174873</v>
      </c>
      <c r="N9" s="3">
        <f>IF(Table1[[#This Row],[Change in Quantity]]&gt;0,0,Table1[[#This Row],[Change in Quantity]]*Table1[[#This Row],[Giá tồn kho]])</f>
        <v>-467566670.47262579</v>
      </c>
      <c r="Q9" s="13" t="s">
        <v>442</v>
      </c>
      <c r="R9" s="13" t="s">
        <v>469</v>
      </c>
      <c r="S9" s="16"/>
      <c r="T9" s="16">
        <v>9029.1861611698041</v>
      </c>
      <c r="U9" s="16">
        <v>8790.6146024388381</v>
      </c>
      <c r="V9" s="16">
        <v>9324.9408283909106</v>
      </c>
      <c r="W9" s="16">
        <v>9360.7065592164981</v>
      </c>
      <c r="X9" s="16">
        <v>9223.877736937844</v>
      </c>
      <c r="Y9" s="16">
        <v>9251.478564596011</v>
      </c>
      <c r="Z9" s="16">
        <v>9225.8646743982627</v>
      </c>
      <c r="AA9" s="16">
        <v>9249.6540389080092</v>
      </c>
      <c r="AB9" s="16">
        <v>9483.9794869916514</v>
      </c>
      <c r="AC9" s="16">
        <v>10113.060991983226</v>
      </c>
      <c r="AD9" s="16">
        <v>10605.92464848049</v>
      </c>
    </row>
    <row r="10" spans="1:33" x14ac:dyDescent="0.35">
      <c r="A10" s="1">
        <v>2</v>
      </c>
      <c r="B10" t="s">
        <v>22</v>
      </c>
      <c r="C10" t="s">
        <v>442</v>
      </c>
      <c r="D10" t="s">
        <v>469</v>
      </c>
      <c r="E10" t="s">
        <v>12</v>
      </c>
      <c r="F10" s="3">
        <v>-149136</v>
      </c>
      <c r="G10" t="s">
        <v>13</v>
      </c>
      <c r="H10" s="3">
        <v>-1282718736</v>
      </c>
      <c r="I10" t="s">
        <v>14</v>
      </c>
      <c r="J10" t="s">
        <v>15</v>
      </c>
      <c r="K10" t="s">
        <v>44</v>
      </c>
      <c r="L10" s="3">
        <f>Table1[[#This Row],[Value change]]/Table1[[#This Row],[Change in Quantity]]</f>
        <v>8601</v>
      </c>
      <c r="M10" s="3" cm="1">
        <f t="array" ref="M10">SUMPRODUCT($S$3:$AD$12*($Q$3:$Q$12=Table1[[#This Row],[Material]])*($S$2:$AD$2=Table1[[#This Row],[Month]]))</f>
        <v>9029.1861611698041</v>
      </c>
      <c r="N10" s="3">
        <f>IF(Table1[[#This Row],[Change in Quantity]]&gt;0,0,Table1[[#This Row],[Change in Quantity]]*Table1[[#This Row],[Giá tồn kho]])</f>
        <v>-1346576707.3322198</v>
      </c>
      <c r="Q10" s="13" t="s">
        <v>20</v>
      </c>
      <c r="R10" s="13" t="s">
        <v>21</v>
      </c>
      <c r="S10" s="16"/>
      <c r="T10" s="16"/>
      <c r="U10" s="16"/>
      <c r="V10" s="16"/>
      <c r="W10" s="16">
        <v>28951.970986460346</v>
      </c>
      <c r="X10" s="16">
        <v>28951.970986460346</v>
      </c>
      <c r="Y10" s="16">
        <v>28951.970986460346</v>
      </c>
      <c r="Z10" s="16">
        <v>28951.970986460346</v>
      </c>
      <c r="AA10" s="16">
        <v>28951.970986460346</v>
      </c>
      <c r="AB10" s="16">
        <v>28951.970986460346</v>
      </c>
      <c r="AC10" s="16">
        <v>28951.970986460346</v>
      </c>
      <c r="AD10" s="16">
        <v>28951.970986460346</v>
      </c>
    </row>
    <row r="11" spans="1:33" x14ac:dyDescent="0.35">
      <c r="A11" s="1">
        <v>3</v>
      </c>
      <c r="B11" t="s">
        <v>9</v>
      </c>
      <c r="C11" t="s">
        <v>10</v>
      </c>
      <c r="D11" t="s">
        <v>11</v>
      </c>
      <c r="E11" t="s">
        <v>12</v>
      </c>
      <c r="F11" s="3">
        <v>170000</v>
      </c>
      <c r="G11" t="s">
        <v>13</v>
      </c>
      <c r="H11" s="3">
        <v>2550000000</v>
      </c>
      <c r="I11" t="s">
        <v>14</v>
      </c>
      <c r="J11" t="s">
        <v>15</v>
      </c>
      <c r="K11" t="s">
        <v>45</v>
      </c>
      <c r="L11" s="3">
        <f>Table1[[#This Row],[Value change]]/Table1[[#This Row],[Change in Quantity]]</f>
        <v>15000</v>
      </c>
      <c r="M11" s="3" cm="1">
        <f t="array" ref="M11">SUMPRODUCT($S$3:$AD$12*($Q$3:$Q$12=Table1[[#This Row],[Material]])*($S$2:$AD$2=Table1[[#This Row],[Month]]))</f>
        <v>0</v>
      </c>
      <c r="N11" s="3">
        <f>IF(Table1[[#This Row],[Change in Quantity]]&gt;0,0,Table1[[#This Row],[Change in Quantity]]*Table1[[#This Row],[Giá tồn kho]])</f>
        <v>0</v>
      </c>
      <c r="Q11" s="13" t="s">
        <v>23</v>
      </c>
      <c r="R11" s="13" t="s">
        <v>24</v>
      </c>
      <c r="S11" s="16"/>
      <c r="T11" s="16"/>
      <c r="U11" s="16"/>
      <c r="V11" s="16"/>
      <c r="W11" s="16">
        <v>22614</v>
      </c>
      <c r="X11" s="16">
        <v>22614</v>
      </c>
      <c r="Y11" s="16">
        <v>22614</v>
      </c>
      <c r="Z11" s="16">
        <v>22614</v>
      </c>
      <c r="AA11" s="16">
        <v>22614</v>
      </c>
      <c r="AB11" s="16">
        <v>22614</v>
      </c>
      <c r="AC11" s="16">
        <v>22614</v>
      </c>
      <c r="AD11" s="16">
        <v>22614</v>
      </c>
    </row>
    <row r="12" spans="1:33" x14ac:dyDescent="0.35">
      <c r="A12" s="1">
        <v>3</v>
      </c>
      <c r="B12" t="s">
        <v>16</v>
      </c>
      <c r="C12" t="s">
        <v>25</v>
      </c>
      <c r="D12" t="s">
        <v>26</v>
      </c>
      <c r="E12" t="s">
        <v>12</v>
      </c>
      <c r="F12" s="3">
        <v>-9865</v>
      </c>
      <c r="G12" t="s">
        <v>13</v>
      </c>
      <c r="H12" s="3">
        <v>-220985865</v>
      </c>
      <c r="I12" t="s">
        <v>14</v>
      </c>
      <c r="J12" t="s">
        <v>15</v>
      </c>
      <c r="K12" t="s">
        <v>45</v>
      </c>
      <c r="L12" s="3">
        <f>Table1[[#This Row],[Value change]]/Table1[[#This Row],[Change in Quantity]]</f>
        <v>22401</v>
      </c>
      <c r="M12" s="3" cm="1">
        <f t="array" ref="M12">SUMPRODUCT($S$3:$AD$12*($Q$3:$Q$12=Table1[[#This Row],[Material]])*($S$2:$AD$2=Table1[[#This Row],[Month]]))</f>
        <v>22400.902244468823</v>
      </c>
      <c r="N12" s="3">
        <f>IF(Table1[[#This Row],[Change in Quantity]]&gt;0,0,Table1[[#This Row],[Change in Quantity]]*Table1[[#This Row],[Giá tồn kho]])</f>
        <v>-220984900.64168495</v>
      </c>
      <c r="Q12" s="13"/>
      <c r="R12" s="13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3" x14ac:dyDescent="0.35">
      <c r="A13" s="1">
        <v>3</v>
      </c>
      <c r="B13" t="s">
        <v>19</v>
      </c>
      <c r="C13" t="s">
        <v>29</v>
      </c>
      <c r="D13" t="s">
        <v>30</v>
      </c>
      <c r="E13" t="s">
        <v>12</v>
      </c>
      <c r="F13" s="3">
        <v>-40258</v>
      </c>
      <c r="G13" t="s">
        <v>13</v>
      </c>
      <c r="H13" s="3">
        <v>-904838808</v>
      </c>
      <c r="I13" t="s">
        <v>14</v>
      </c>
      <c r="J13" t="s">
        <v>15</v>
      </c>
      <c r="K13" t="s">
        <v>45</v>
      </c>
      <c r="L13" s="3">
        <f>Table1[[#This Row],[Value change]]/Table1[[#This Row],[Change in Quantity]]</f>
        <v>22476</v>
      </c>
      <c r="M13" s="3" cm="1">
        <f t="array" ref="M13">SUMPRODUCT($S$3:$AD$12*($Q$3:$Q$12=Table1[[#This Row],[Material]])*($S$2:$AD$2=Table1[[#This Row],[Month]]))</f>
        <v>24292.212439609946</v>
      </c>
      <c r="N13" s="3">
        <f>IF(Table1[[#This Row],[Change in Quantity]]&gt;0,0,Table1[[#This Row],[Change in Quantity]]*Table1[[#This Row],[Giá tồn kho]])</f>
        <v>-977955888.39381719</v>
      </c>
    </row>
    <row r="14" spans="1:33" x14ac:dyDescent="0.35">
      <c r="A14" s="1">
        <v>3</v>
      </c>
      <c r="B14" t="s">
        <v>22</v>
      </c>
      <c r="C14" t="s">
        <v>442</v>
      </c>
      <c r="D14" t="s">
        <v>469</v>
      </c>
      <c r="E14" t="s">
        <v>12</v>
      </c>
      <c r="F14" s="3">
        <v>-126677</v>
      </c>
      <c r="G14" t="s">
        <v>13</v>
      </c>
      <c r="H14" s="3">
        <v>-1089548877</v>
      </c>
      <c r="I14" t="s">
        <v>14</v>
      </c>
      <c r="J14" t="s">
        <v>15</v>
      </c>
      <c r="K14" t="s">
        <v>45</v>
      </c>
      <c r="L14" s="3">
        <f>Table1[[#This Row],[Value change]]/Table1[[#This Row],[Change in Quantity]]</f>
        <v>8601</v>
      </c>
      <c r="M14" s="3" cm="1">
        <f t="array" ref="M14">SUMPRODUCT($S$3:$AD$12*($Q$3:$Q$12=Table1[[#This Row],[Material]])*($S$2:$AD$2=Table1[[#This Row],[Month]]))</f>
        <v>8790.6146024388381</v>
      </c>
      <c r="N14" s="3">
        <f>IF(Table1[[#This Row],[Change in Quantity]]&gt;0,0,Table1[[#This Row],[Change in Quantity]]*Table1[[#This Row],[Giá tồn kho]])</f>
        <v>-1113568685.9931448</v>
      </c>
    </row>
    <row r="15" spans="1:33" x14ac:dyDescent="0.35">
      <c r="A15" s="1">
        <v>4</v>
      </c>
      <c r="B15" t="s">
        <v>9</v>
      </c>
      <c r="C15" t="s">
        <v>10</v>
      </c>
      <c r="D15" t="s">
        <v>11</v>
      </c>
      <c r="E15" t="s">
        <v>12</v>
      </c>
      <c r="F15" s="3">
        <v>119000</v>
      </c>
      <c r="G15" t="s">
        <v>13</v>
      </c>
      <c r="H15" s="3">
        <v>1785000000</v>
      </c>
      <c r="I15" t="s">
        <v>14</v>
      </c>
      <c r="J15" t="s">
        <v>15</v>
      </c>
      <c r="K15" t="s">
        <v>487</v>
      </c>
      <c r="L15" s="3">
        <f>Table1[[#This Row],[Value change]]/Table1[[#This Row],[Change in Quantity]]</f>
        <v>15000</v>
      </c>
      <c r="M15" s="3" cm="1">
        <f t="array" ref="M15">SUMPRODUCT($S$3:$AD$12*($Q$3:$Q$12=Table1[[#This Row],[Material]])*($S$2:$AD$2=Table1[[#This Row],[Month]]))</f>
        <v>0</v>
      </c>
      <c r="N15" s="3">
        <f>IF(Table1[[#This Row],[Change in Quantity]]&gt;0,0,Table1[[#This Row],[Change in Quantity]]*Table1[[#This Row],[Giá tồn kho]])</f>
        <v>0</v>
      </c>
    </row>
    <row r="16" spans="1:33" x14ac:dyDescent="0.35">
      <c r="A16" s="1">
        <v>4</v>
      </c>
      <c r="B16" t="s">
        <v>16</v>
      </c>
      <c r="C16" t="s">
        <v>25</v>
      </c>
      <c r="D16" t="s">
        <v>26</v>
      </c>
      <c r="E16" t="s">
        <v>12</v>
      </c>
      <c r="F16" s="3">
        <v>-9955</v>
      </c>
      <c r="G16" t="s">
        <v>13</v>
      </c>
      <c r="H16" s="3">
        <v>-223001955</v>
      </c>
      <c r="I16" t="s">
        <v>14</v>
      </c>
      <c r="J16" t="s">
        <v>15</v>
      </c>
      <c r="K16" t="s">
        <v>487</v>
      </c>
      <c r="L16" s="3">
        <f>Table1[[#This Row],[Value change]]/Table1[[#This Row],[Change in Quantity]]</f>
        <v>22401</v>
      </c>
      <c r="M16" s="3" cm="1">
        <f t="array" ref="M16">SUMPRODUCT($S$3:$AD$12*($Q$3:$Q$12=Table1[[#This Row],[Material]])*($S$2:$AD$2=Table1[[#This Row],[Month]]))</f>
        <v>22400.979963549446</v>
      </c>
      <c r="N16" s="3">
        <f>IF(Table1[[#This Row],[Change in Quantity]]&gt;0,0,Table1[[#This Row],[Change in Quantity]]*Table1[[#This Row],[Giá tồn kho]])</f>
        <v>-223001755.53713474</v>
      </c>
    </row>
    <row r="17" spans="1:14" x14ac:dyDescent="0.35">
      <c r="A17" s="1">
        <v>4</v>
      </c>
      <c r="B17" t="s">
        <v>19</v>
      </c>
      <c r="C17" t="s">
        <v>29</v>
      </c>
      <c r="D17" t="s">
        <v>30</v>
      </c>
      <c r="E17" t="s">
        <v>12</v>
      </c>
      <c r="F17" s="3">
        <v>-40038</v>
      </c>
      <c r="G17" t="s">
        <v>13</v>
      </c>
      <c r="H17" s="3">
        <v>-899894088</v>
      </c>
      <c r="I17" t="s">
        <v>14</v>
      </c>
      <c r="J17" t="s">
        <v>15</v>
      </c>
      <c r="K17" t="s">
        <v>487</v>
      </c>
      <c r="L17" s="3">
        <f>Table1[[#This Row],[Value change]]/Table1[[#This Row],[Change in Quantity]]</f>
        <v>22476</v>
      </c>
      <c r="M17" s="3" cm="1">
        <f t="array" ref="M17">SUMPRODUCT($S$3:$AD$12*($Q$3:$Q$12=Table1[[#This Row],[Material]])*($S$2:$AD$2=Table1[[#This Row],[Month]]))</f>
        <v>23906.276136363635</v>
      </c>
      <c r="N17" s="3">
        <f>IF(Table1[[#This Row],[Change in Quantity]]&gt;0,0,Table1[[#This Row],[Change in Quantity]]*Table1[[#This Row],[Giá tồn kho]])</f>
        <v>-957159483.9477272</v>
      </c>
    </row>
    <row r="18" spans="1:14" x14ac:dyDescent="0.35">
      <c r="A18" s="1">
        <v>4</v>
      </c>
      <c r="B18" t="s">
        <v>22</v>
      </c>
      <c r="C18" t="s">
        <v>442</v>
      </c>
      <c r="D18" t="s">
        <v>469</v>
      </c>
      <c r="E18" t="s">
        <v>12</v>
      </c>
      <c r="F18" s="3">
        <v>-74807</v>
      </c>
      <c r="G18" t="s">
        <v>13</v>
      </c>
      <c r="H18" s="3">
        <v>-643415007</v>
      </c>
      <c r="I18" t="s">
        <v>14</v>
      </c>
      <c r="J18" t="s">
        <v>15</v>
      </c>
      <c r="K18" t="s">
        <v>487</v>
      </c>
      <c r="L18" s="3">
        <f>Table1[[#This Row],[Value change]]/Table1[[#This Row],[Change in Quantity]]</f>
        <v>8601</v>
      </c>
      <c r="M18" s="3" cm="1">
        <f t="array" ref="M18">SUMPRODUCT($S$3:$AD$12*($Q$3:$Q$12=Table1[[#This Row],[Material]])*($S$2:$AD$2=Table1[[#This Row],[Month]]))</f>
        <v>9324.9408283909106</v>
      </c>
      <c r="N18" s="3">
        <f>IF(Table1[[#This Row],[Change in Quantity]]&gt;0,0,Table1[[#This Row],[Change in Quantity]]*Table1[[#This Row],[Giá tồn kho]])</f>
        <v>-697570848.54943883</v>
      </c>
    </row>
    <row r="19" spans="1:14" x14ac:dyDescent="0.35">
      <c r="A19" s="1">
        <v>4</v>
      </c>
      <c r="B19" t="s">
        <v>9</v>
      </c>
      <c r="C19" t="s">
        <v>10</v>
      </c>
      <c r="D19" t="s">
        <v>11</v>
      </c>
      <c r="E19" t="s">
        <v>12</v>
      </c>
      <c r="F19" s="3">
        <v>1000</v>
      </c>
      <c r="G19" t="s">
        <v>13</v>
      </c>
      <c r="H19" s="3">
        <v>15000000</v>
      </c>
      <c r="I19" t="s">
        <v>14</v>
      </c>
      <c r="J19" t="s">
        <v>15</v>
      </c>
      <c r="K19" t="s">
        <v>487</v>
      </c>
      <c r="L19" s="3">
        <f>Table1[[#This Row],[Value change]]/Table1[[#This Row],[Change in Quantity]]</f>
        <v>15000</v>
      </c>
      <c r="M19" s="3" cm="1">
        <f t="array" ref="M19">SUMPRODUCT($S$3:$AD$12*($Q$3:$Q$12=Table1[[#This Row],[Material]])*($S$2:$AD$2=Table1[[#This Row],[Month]]))</f>
        <v>0</v>
      </c>
      <c r="N19" s="3">
        <f>IF(Table1[[#This Row],[Change in Quantity]]&gt;0,0,Table1[[#This Row],[Change in Quantity]]*Table1[[#This Row],[Giá tồn kho]])</f>
        <v>0</v>
      </c>
    </row>
    <row r="20" spans="1:14" x14ac:dyDescent="0.35">
      <c r="A20" s="1">
        <v>5</v>
      </c>
      <c r="B20" t="s">
        <v>9</v>
      </c>
      <c r="C20" t="s">
        <v>10</v>
      </c>
      <c r="D20" t="s">
        <v>11</v>
      </c>
      <c r="E20" t="s">
        <v>12</v>
      </c>
      <c r="F20" s="3">
        <v>70000</v>
      </c>
      <c r="G20" t="s">
        <v>13</v>
      </c>
      <c r="H20" s="3">
        <v>1050000000</v>
      </c>
      <c r="I20" t="s">
        <v>14</v>
      </c>
      <c r="J20" t="s">
        <v>15</v>
      </c>
      <c r="K20" t="s">
        <v>497</v>
      </c>
      <c r="L20" s="3">
        <f>Table1[[#This Row],[Value change]]/Table1[[#This Row],[Change in Quantity]]</f>
        <v>15000</v>
      </c>
      <c r="M20" s="3" cm="1">
        <f t="array" ref="M20">SUMPRODUCT($S$3:$AD$12*($Q$3:$Q$12=Table1[[#This Row],[Material]])*($S$2:$AD$2=Table1[[#This Row],[Month]]))</f>
        <v>0</v>
      </c>
      <c r="N20" s="3">
        <f>IF(Table1[[#This Row],[Change in Quantity]]&gt;0,0,Table1[[#This Row],[Change in Quantity]]*Table1[[#This Row],[Giá tồn kho]])</f>
        <v>0</v>
      </c>
    </row>
    <row r="21" spans="1:14" x14ac:dyDescent="0.35">
      <c r="A21" s="1">
        <v>5</v>
      </c>
      <c r="B21" t="s">
        <v>16</v>
      </c>
      <c r="C21" t="s">
        <v>20</v>
      </c>
      <c r="D21" t="s">
        <v>21</v>
      </c>
      <c r="E21" t="s">
        <v>12</v>
      </c>
      <c r="F21" s="3">
        <v>-1983</v>
      </c>
      <c r="G21" t="s">
        <v>13</v>
      </c>
      <c r="H21" s="3">
        <v>-37700796</v>
      </c>
      <c r="I21" t="s">
        <v>14</v>
      </c>
      <c r="J21" t="s">
        <v>15</v>
      </c>
      <c r="K21" t="s">
        <v>497</v>
      </c>
      <c r="L21" s="3">
        <f>Table1[[#This Row],[Value change]]/Table1[[#This Row],[Change in Quantity]]</f>
        <v>19012</v>
      </c>
      <c r="M21" s="3" cm="1">
        <f t="array" ref="M21">SUMPRODUCT($S$3:$AD$12*($Q$3:$Q$12=Table1[[#This Row],[Material]])*($S$2:$AD$2=Table1[[#This Row],[Month]]))</f>
        <v>28951.970986460346</v>
      </c>
      <c r="N21" s="3">
        <f>IF(Table1[[#This Row],[Change in Quantity]]&gt;0,0,Table1[[#This Row],[Change in Quantity]]*Table1[[#This Row],[Giá tồn kho]])</f>
        <v>-57411758.466150865</v>
      </c>
    </row>
    <row r="22" spans="1:14" x14ac:dyDescent="0.35">
      <c r="A22" s="1">
        <v>5</v>
      </c>
      <c r="B22" t="s">
        <v>19</v>
      </c>
      <c r="C22" t="s">
        <v>23</v>
      </c>
      <c r="D22" t="s">
        <v>24</v>
      </c>
      <c r="E22" t="s">
        <v>12</v>
      </c>
      <c r="F22" s="3">
        <v>-997</v>
      </c>
      <c r="G22" t="s">
        <v>13</v>
      </c>
      <c r="H22" s="3">
        <v>-22546158</v>
      </c>
      <c r="I22" t="s">
        <v>14</v>
      </c>
      <c r="J22" t="s">
        <v>15</v>
      </c>
      <c r="K22" t="s">
        <v>497</v>
      </c>
      <c r="L22" s="3">
        <f>Table1[[#This Row],[Value change]]/Table1[[#This Row],[Change in Quantity]]</f>
        <v>22614</v>
      </c>
      <c r="M22" s="3" cm="1">
        <f t="array" ref="M22">SUMPRODUCT($S$3:$AD$12*($Q$3:$Q$12=Table1[[#This Row],[Material]])*($S$2:$AD$2=Table1[[#This Row],[Month]]))</f>
        <v>22614</v>
      </c>
      <c r="N22" s="3">
        <f>IF(Table1[[#This Row],[Change in Quantity]]&gt;0,0,Table1[[#This Row],[Change in Quantity]]*Table1[[#This Row],[Giá tồn kho]])</f>
        <v>-22546158</v>
      </c>
    </row>
    <row r="23" spans="1:14" x14ac:dyDescent="0.35">
      <c r="A23" s="1">
        <v>5</v>
      </c>
      <c r="B23" t="s">
        <v>22</v>
      </c>
      <c r="C23" t="s">
        <v>25</v>
      </c>
      <c r="D23" t="s">
        <v>26</v>
      </c>
      <c r="E23" t="s">
        <v>12</v>
      </c>
      <c r="F23" s="3">
        <v>-5445</v>
      </c>
      <c r="G23" t="s">
        <v>13</v>
      </c>
      <c r="H23" s="3">
        <v>-121973445</v>
      </c>
      <c r="I23" t="s">
        <v>14</v>
      </c>
      <c r="J23" t="s">
        <v>15</v>
      </c>
      <c r="K23" t="s">
        <v>497</v>
      </c>
      <c r="L23" s="3">
        <f>Table1[[#This Row],[Value change]]/Table1[[#This Row],[Change in Quantity]]</f>
        <v>22401</v>
      </c>
      <c r="M23" s="3" cm="1">
        <f t="array" ref="M23">SUMPRODUCT($S$3:$AD$12*($Q$3:$Q$12=Table1[[#This Row],[Material]])*($S$2:$AD$2=Table1[[#This Row],[Month]]))</f>
        <v>22400.979902009796</v>
      </c>
      <c r="N23" s="3">
        <f>IF(Table1[[#This Row],[Change in Quantity]]&gt;0,0,Table1[[#This Row],[Change in Quantity]]*Table1[[#This Row],[Giá tồn kho]])</f>
        <v>-121973335.56644334</v>
      </c>
    </row>
    <row r="24" spans="1:14" x14ac:dyDescent="0.35">
      <c r="A24" s="1">
        <v>5</v>
      </c>
      <c r="B24" t="s">
        <v>495</v>
      </c>
      <c r="C24" t="s">
        <v>29</v>
      </c>
      <c r="D24" t="s">
        <v>30</v>
      </c>
      <c r="E24" t="s">
        <v>12</v>
      </c>
      <c r="F24" s="3">
        <v>-46254</v>
      </c>
      <c r="G24" s="306" t="s">
        <v>13</v>
      </c>
      <c r="H24" s="3">
        <v>-1039604904</v>
      </c>
      <c r="I24" t="s">
        <v>14</v>
      </c>
      <c r="J24" t="s">
        <v>15</v>
      </c>
      <c r="K24" t="s">
        <v>497</v>
      </c>
      <c r="L24" s="3">
        <f>Table1[[#This Row],[Value change]]/Table1[[#This Row],[Change in Quantity]]</f>
        <v>22476</v>
      </c>
      <c r="M24" s="3" cm="1">
        <f t="array" ref="M24">SUMPRODUCT($S$3:$AD$12*($Q$3:$Q$12=Table1[[#This Row],[Material]])*($S$2:$AD$2=Table1[[#This Row],[Month]]))</f>
        <v>23591.764168772428</v>
      </c>
      <c r="N24" s="3">
        <f>IF(Table1[[#This Row],[Change in Quantity]]&gt;0,0,Table1[[#This Row],[Change in Quantity]]*Table1[[#This Row],[Giá tồn kho]])</f>
        <v>-1091213459.8623998</v>
      </c>
    </row>
    <row r="25" spans="1:14" x14ac:dyDescent="0.35">
      <c r="A25" s="1">
        <v>5</v>
      </c>
      <c r="B25" t="s">
        <v>496</v>
      </c>
      <c r="C25" t="s">
        <v>442</v>
      </c>
      <c r="D25" t="s">
        <v>469</v>
      </c>
      <c r="E25" t="s">
        <v>12</v>
      </c>
      <c r="F25" s="3">
        <v>-18121</v>
      </c>
      <c r="G25" s="306" t="s">
        <v>13</v>
      </c>
      <c r="H25" s="3">
        <v>-155858721</v>
      </c>
      <c r="I25" t="s">
        <v>14</v>
      </c>
      <c r="J25" t="s">
        <v>15</v>
      </c>
      <c r="K25" t="s">
        <v>497</v>
      </c>
      <c r="L25" s="3">
        <f>Table1[[#This Row],[Value change]]/Table1[[#This Row],[Change in Quantity]]</f>
        <v>8601</v>
      </c>
      <c r="M25" s="3" cm="1">
        <f t="array" ref="M25">SUMPRODUCT($S$3:$AD$12*($Q$3:$Q$12=Table1[[#This Row],[Material]])*($S$2:$AD$2=Table1[[#This Row],[Month]]))</f>
        <v>9360.7065592164981</v>
      </c>
      <c r="N25" s="3">
        <f>IF(Table1[[#This Row],[Change in Quantity]]&gt;0,0,Table1[[#This Row],[Change in Quantity]]*Table1[[#This Row],[Giá tồn kho]])</f>
        <v>-169625363.55956218</v>
      </c>
    </row>
    <row r="26" spans="1:14" x14ac:dyDescent="0.35">
      <c r="A26" s="1">
        <v>6</v>
      </c>
      <c r="B26" t="s">
        <v>9</v>
      </c>
      <c r="C26" t="s">
        <v>10</v>
      </c>
      <c r="D26" t="s">
        <v>11</v>
      </c>
      <c r="E26" t="s">
        <v>12</v>
      </c>
      <c r="F26" s="3">
        <v>102000</v>
      </c>
      <c r="G26" s="306" t="s">
        <v>13</v>
      </c>
      <c r="H26" s="3">
        <v>1530000000</v>
      </c>
      <c r="I26" t="s">
        <v>14</v>
      </c>
      <c r="J26" t="s">
        <v>15</v>
      </c>
      <c r="K26" t="s">
        <v>499</v>
      </c>
      <c r="L26" s="3">
        <f>Table1[[#This Row],[Value change]]/Table1[[#This Row],[Change in Quantity]]</f>
        <v>15000</v>
      </c>
      <c r="M26" s="3" cm="1">
        <f t="array" ref="M26">SUMPRODUCT($S$3:$AD$12*($Q$3:$Q$12=Table1[[#This Row],[Material]])*($S$2:$AD$2=Table1[[#This Row],[Month]]))</f>
        <v>0</v>
      </c>
      <c r="N26" s="3">
        <f>IF(Table1[[#This Row],[Change in Quantity]]&gt;0,0,Table1[[#This Row],[Change in Quantity]]*Table1[[#This Row],[Giá tồn kho]])</f>
        <v>0</v>
      </c>
    </row>
    <row r="27" spans="1:14" x14ac:dyDescent="0.35">
      <c r="A27" s="1">
        <v>6</v>
      </c>
      <c r="B27" t="s">
        <v>16</v>
      </c>
      <c r="C27" t="s">
        <v>25</v>
      </c>
      <c r="D27" t="s">
        <v>26</v>
      </c>
      <c r="E27" t="s">
        <v>12</v>
      </c>
      <c r="F27" s="3">
        <v>-19936</v>
      </c>
      <c r="G27" t="s">
        <v>13</v>
      </c>
      <c r="H27" s="3">
        <v>-446586336</v>
      </c>
      <c r="I27" t="s">
        <v>14</v>
      </c>
      <c r="J27" t="s">
        <v>15</v>
      </c>
      <c r="K27" t="s">
        <v>499</v>
      </c>
      <c r="L27" s="3">
        <f>Table1[[#This Row],[Value change]]/Table1[[#This Row],[Change in Quantity]]</f>
        <v>22401</v>
      </c>
      <c r="M27" s="3" cm="1">
        <f t="array" ref="M27">SUMPRODUCT($S$3:$AD$12*($Q$3:$Q$12=Table1[[#This Row],[Material]])*($S$2:$AD$2=Table1[[#This Row],[Month]]))</f>
        <v>22400.998827353142</v>
      </c>
      <c r="N27" s="3">
        <f>IF(Table1[[#This Row],[Change in Quantity]]&gt;0,0,Table1[[#This Row],[Change in Quantity]]*Table1[[#This Row],[Giá tồn kho]])</f>
        <v>-446586312.62211221</v>
      </c>
    </row>
    <row r="28" spans="1:14" x14ac:dyDescent="0.35">
      <c r="A28" s="1">
        <v>6</v>
      </c>
      <c r="B28" t="s">
        <v>19</v>
      </c>
      <c r="C28" t="s">
        <v>29</v>
      </c>
      <c r="D28" t="s">
        <v>30</v>
      </c>
      <c r="E28" t="s">
        <v>12</v>
      </c>
      <c r="F28" s="3">
        <v>-49329</v>
      </c>
      <c r="G28" t="s">
        <v>13</v>
      </c>
      <c r="H28" s="3">
        <v>-1108718604</v>
      </c>
      <c r="I28" t="s">
        <v>14</v>
      </c>
      <c r="J28" t="s">
        <v>15</v>
      </c>
      <c r="K28" t="s">
        <v>499</v>
      </c>
      <c r="L28" s="3">
        <f>Table1[[#This Row],[Value change]]/Table1[[#This Row],[Change in Quantity]]</f>
        <v>22476</v>
      </c>
      <c r="M28" s="3" cm="1">
        <f t="array" ref="M28">SUMPRODUCT($S$3:$AD$12*($Q$3:$Q$12=Table1[[#This Row],[Material]])*($S$2:$AD$2=Table1[[#This Row],[Month]]))</f>
        <v>23294.586502918555</v>
      </c>
      <c r="N28" s="3">
        <f>IF(Table1[[#This Row],[Change in Quantity]]&gt;0,0,Table1[[#This Row],[Change in Quantity]]*Table1[[#This Row],[Giá tồn kho]])</f>
        <v>-1149098657.6024694</v>
      </c>
    </row>
    <row r="29" spans="1:14" x14ac:dyDescent="0.35">
      <c r="A29" s="1">
        <v>6</v>
      </c>
      <c r="B29" t="s">
        <v>22</v>
      </c>
      <c r="C29" t="s">
        <v>442</v>
      </c>
      <c r="D29" t="s">
        <v>469</v>
      </c>
      <c r="E29" t="s">
        <v>12</v>
      </c>
      <c r="F29" s="3">
        <v>-36812</v>
      </c>
      <c r="G29" t="s">
        <v>13</v>
      </c>
      <c r="H29" s="3">
        <v>-316620012</v>
      </c>
      <c r="I29" t="s">
        <v>14</v>
      </c>
      <c r="J29" t="s">
        <v>15</v>
      </c>
      <c r="K29" t="s">
        <v>499</v>
      </c>
      <c r="L29" s="3">
        <f>Table1[[#This Row],[Value change]]/Table1[[#This Row],[Change in Quantity]]</f>
        <v>8601</v>
      </c>
      <c r="M29" s="3" cm="1">
        <f t="array" ref="M29">SUMPRODUCT($S$3:$AD$12*($Q$3:$Q$12=Table1[[#This Row],[Material]])*($S$2:$AD$2=Table1[[#This Row],[Month]]))</f>
        <v>9223.877736937844</v>
      </c>
      <c r="N29" s="3">
        <f>IF(Table1[[#This Row],[Change in Quantity]]&gt;0,0,Table1[[#This Row],[Change in Quantity]]*Table1[[#This Row],[Giá tồn kho]])</f>
        <v>-339549387.2521559</v>
      </c>
    </row>
    <row r="30" spans="1:14" x14ac:dyDescent="0.35">
      <c r="A30" s="1">
        <v>7</v>
      </c>
      <c r="B30" t="s">
        <v>9</v>
      </c>
      <c r="C30" t="s">
        <v>10</v>
      </c>
      <c r="D30" t="s">
        <v>11</v>
      </c>
      <c r="E30" t="s">
        <v>12</v>
      </c>
      <c r="F30" s="3">
        <v>40000</v>
      </c>
      <c r="G30" t="s">
        <v>13</v>
      </c>
      <c r="H30" s="3">
        <v>600000000</v>
      </c>
      <c r="I30" t="s">
        <v>14</v>
      </c>
      <c r="J30" t="s">
        <v>15</v>
      </c>
      <c r="K30" t="s">
        <v>534</v>
      </c>
      <c r="L30" s="3">
        <f>Table1[[#This Row],[Value change]]/Table1[[#This Row],[Change in Quantity]]</f>
        <v>15000</v>
      </c>
      <c r="M30" s="3" cm="1">
        <f t="array" ref="M30">SUMPRODUCT($S$3:$AD$12*($Q$3:$Q$12=Table1[[#This Row],[Material]])*($S$2:$AD$2=Table1[[#This Row],[Month]]))</f>
        <v>0</v>
      </c>
      <c r="N30" s="3">
        <f>IF(Table1[[#This Row],[Change in Quantity]]&gt;0,0,Table1[[#This Row],[Change in Quantity]]*Table1[[#This Row],[Giá tồn kho]])</f>
        <v>0</v>
      </c>
    </row>
    <row r="31" spans="1:14" x14ac:dyDescent="0.35">
      <c r="A31" s="1">
        <v>7</v>
      </c>
      <c r="B31" t="s">
        <v>16</v>
      </c>
      <c r="C31" t="s">
        <v>29</v>
      </c>
      <c r="D31" t="s">
        <v>30</v>
      </c>
      <c r="E31" t="s">
        <v>12</v>
      </c>
      <c r="F31" s="3">
        <v>-25970</v>
      </c>
      <c r="G31" t="s">
        <v>13</v>
      </c>
      <c r="H31" s="3">
        <v>-583701720</v>
      </c>
      <c r="I31" t="s">
        <v>14</v>
      </c>
      <c r="J31" t="s">
        <v>15</v>
      </c>
      <c r="K31" t="s">
        <v>534</v>
      </c>
      <c r="L31" s="3">
        <f>Table1[[#This Row],[Value change]]/Table1[[#This Row],[Change in Quantity]]</f>
        <v>22476</v>
      </c>
      <c r="M31" s="3" cm="1">
        <f t="array" ref="M31">SUMPRODUCT($S$3:$AD$12*($Q$3:$Q$12=Table1[[#This Row],[Material]])*($S$2:$AD$2=Table1[[#This Row],[Month]]))</f>
        <v>23238.633656652361</v>
      </c>
      <c r="N31" s="3">
        <f>IF(Table1[[#This Row],[Change in Quantity]]&gt;0,0,Table1[[#This Row],[Change in Quantity]]*Table1[[#This Row],[Giá tồn kho]])</f>
        <v>-603507316.06326175</v>
      </c>
    </row>
    <row r="32" spans="1:14" x14ac:dyDescent="0.35">
      <c r="A32" s="1">
        <v>7</v>
      </c>
      <c r="B32" t="s">
        <v>19</v>
      </c>
      <c r="C32" t="s">
        <v>442</v>
      </c>
      <c r="D32" t="s">
        <v>469</v>
      </c>
      <c r="E32" t="s">
        <v>12</v>
      </c>
      <c r="F32" s="3">
        <v>-15630</v>
      </c>
      <c r="G32" t="s">
        <v>13</v>
      </c>
      <c r="H32" s="3">
        <v>-134433630</v>
      </c>
      <c r="I32" t="s">
        <v>14</v>
      </c>
      <c r="J32" t="s">
        <v>15</v>
      </c>
      <c r="K32" t="s">
        <v>534</v>
      </c>
      <c r="L32" s="3">
        <f>Table1[[#This Row],[Value change]]/Table1[[#This Row],[Change in Quantity]]</f>
        <v>8601</v>
      </c>
      <c r="M32" s="3" cm="1">
        <f t="array" ref="M32">SUMPRODUCT($S$3:$AD$12*($Q$3:$Q$12=Table1[[#This Row],[Material]])*($S$2:$AD$2=Table1[[#This Row],[Month]]))</f>
        <v>9251.478564596011</v>
      </c>
      <c r="N32" s="3">
        <f>IF(Table1[[#This Row],[Change in Quantity]]&gt;0,0,Table1[[#This Row],[Change in Quantity]]*Table1[[#This Row],[Giá tồn kho]])</f>
        <v>-144600609.96463564</v>
      </c>
    </row>
    <row r="33" spans="1:14" x14ac:dyDescent="0.35">
      <c r="A33" s="1">
        <v>8</v>
      </c>
      <c r="B33" t="s">
        <v>9</v>
      </c>
      <c r="C33" t="s">
        <v>10</v>
      </c>
      <c r="D33" t="s">
        <v>11</v>
      </c>
      <c r="E33" t="s">
        <v>12</v>
      </c>
      <c r="F33" s="3">
        <v>116000</v>
      </c>
      <c r="G33" t="s">
        <v>13</v>
      </c>
      <c r="H33" s="3">
        <v>1740000000</v>
      </c>
      <c r="I33" t="s">
        <v>14</v>
      </c>
      <c r="J33" t="s">
        <v>15</v>
      </c>
      <c r="K33" t="s">
        <v>536</v>
      </c>
      <c r="L33" s="3">
        <f>Table1[[#This Row],[Value change]]/Table1[[#This Row],[Change in Quantity]]</f>
        <v>15000</v>
      </c>
      <c r="M33" s="3" cm="1">
        <f t="array" ref="M33">SUMPRODUCT($S$3:$AD$12*($Q$3:$Q$12=Table1[[#This Row],[Material]])*($S$2:$AD$2=Table1[[#This Row],[Month]]))</f>
        <v>0</v>
      </c>
      <c r="N33" s="3">
        <f>IF(Table1[[#This Row],[Change in Quantity]]&gt;0,0,Table1[[#This Row],[Change in Quantity]]*Table1[[#This Row],[Giá tồn kho]])</f>
        <v>0</v>
      </c>
    </row>
    <row r="34" spans="1:14" x14ac:dyDescent="0.35">
      <c r="A34" s="1">
        <v>8</v>
      </c>
      <c r="B34" t="s">
        <v>16</v>
      </c>
      <c r="C34" t="s">
        <v>25</v>
      </c>
      <c r="D34" t="s">
        <v>26</v>
      </c>
      <c r="E34" t="s">
        <v>12</v>
      </c>
      <c r="F34" s="3">
        <v>-10155</v>
      </c>
      <c r="G34" t="s">
        <v>13</v>
      </c>
      <c r="H34" s="3">
        <v>-227482155</v>
      </c>
      <c r="I34" t="s">
        <v>14</v>
      </c>
      <c r="J34" t="s">
        <v>15</v>
      </c>
      <c r="K34" t="s">
        <v>536</v>
      </c>
      <c r="L34" s="3">
        <f>Table1[[#This Row],[Value change]]/Table1[[#This Row],[Change in Quantity]]</f>
        <v>22401</v>
      </c>
      <c r="M34" s="3" cm="1">
        <f t="array" ref="M34">SUMPRODUCT($S$3:$AD$12*($Q$3:$Q$12=Table1[[#This Row],[Material]])*($S$2:$AD$2=Table1[[#This Row],[Month]]))</f>
        <v>22400.999505584645</v>
      </c>
      <c r="N34" s="3">
        <f>IF(Table1[[#This Row],[Change in Quantity]]&gt;0,0,Table1[[#This Row],[Change in Quantity]]*Table1[[#This Row],[Giá tồn kho]])</f>
        <v>-227482149.97921208</v>
      </c>
    </row>
    <row r="35" spans="1:14" x14ac:dyDescent="0.35">
      <c r="A35" s="1">
        <v>8</v>
      </c>
      <c r="B35" t="s">
        <v>19</v>
      </c>
      <c r="C35" t="s">
        <v>29</v>
      </c>
      <c r="D35" t="s">
        <v>30</v>
      </c>
      <c r="E35" t="s">
        <v>12</v>
      </c>
      <c r="F35" s="3">
        <v>-45000</v>
      </c>
      <c r="G35" t="s">
        <v>13</v>
      </c>
      <c r="H35" s="3">
        <v>-1011420000</v>
      </c>
      <c r="I35" t="s">
        <v>14</v>
      </c>
      <c r="J35" t="s">
        <v>15</v>
      </c>
      <c r="K35" t="s">
        <v>536</v>
      </c>
      <c r="L35" s="3">
        <f>Table1[[#This Row],[Value change]]/Table1[[#This Row],[Change in Quantity]]</f>
        <v>22476</v>
      </c>
      <c r="M35" s="3" cm="1">
        <f t="array" ref="M35">SUMPRODUCT($S$3:$AD$12*($Q$3:$Q$12=Table1[[#This Row],[Material]])*($S$2:$AD$2=Table1[[#This Row],[Month]]))</f>
        <v>23155.300513409962</v>
      </c>
      <c r="N35" s="3">
        <f>IF(Table1[[#This Row],[Change in Quantity]]&gt;0,0,Table1[[#This Row],[Change in Quantity]]*Table1[[#This Row],[Giá tồn kho]])</f>
        <v>-1041988523.1034483</v>
      </c>
    </row>
    <row r="36" spans="1:14" x14ac:dyDescent="0.35">
      <c r="A36" s="1">
        <v>8</v>
      </c>
      <c r="B36" t="s">
        <v>22</v>
      </c>
      <c r="C36" t="s">
        <v>442</v>
      </c>
      <c r="D36" t="s">
        <v>469</v>
      </c>
      <c r="E36" t="s">
        <v>12</v>
      </c>
      <c r="F36" s="3">
        <v>-69805</v>
      </c>
      <c r="G36" t="s">
        <v>13</v>
      </c>
      <c r="H36" s="3">
        <v>-600392805</v>
      </c>
      <c r="I36" t="s">
        <v>14</v>
      </c>
      <c r="J36" t="s">
        <v>15</v>
      </c>
      <c r="K36" t="s">
        <v>536</v>
      </c>
      <c r="L36" s="3">
        <f>Table1[[#This Row],[Value change]]/Table1[[#This Row],[Change in Quantity]]</f>
        <v>8601</v>
      </c>
      <c r="M36" s="3" cm="1">
        <f t="array" ref="M36">SUMPRODUCT($S$3:$AD$12*($Q$3:$Q$12=Table1[[#This Row],[Material]])*($S$2:$AD$2=Table1[[#This Row],[Month]]))</f>
        <v>9225.8646743982627</v>
      </c>
      <c r="N36" s="3">
        <f>IF(Table1[[#This Row],[Change in Quantity]]&gt;0,0,Table1[[#This Row],[Change in Quantity]]*Table1[[#This Row],[Giá tồn kho]])</f>
        <v>-644011483.5963707</v>
      </c>
    </row>
    <row r="37" spans="1:14" x14ac:dyDescent="0.35">
      <c r="A37" s="1">
        <v>8</v>
      </c>
      <c r="B37" t="s">
        <v>9</v>
      </c>
      <c r="C37" t="s">
        <v>10</v>
      </c>
      <c r="D37" t="s">
        <v>11</v>
      </c>
      <c r="E37" t="s">
        <v>12</v>
      </c>
      <c r="F37" s="3">
        <v>0</v>
      </c>
      <c r="G37" t="s">
        <v>13</v>
      </c>
      <c r="H37" s="3">
        <v>0</v>
      </c>
      <c r="I37" t="s">
        <v>14</v>
      </c>
      <c r="J37" t="s">
        <v>15</v>
      </c>
      <c r="K37" t="s">
        <v>536</v>
      </c>
      <c r="L37" s="3" t="e">
        <f>Table1[[#This Row],[Value change]]/Table1[[#This Row],[Change in Quantity]]</f>
        <v>#DIV/0!</v>
      </c>
      <c r="M37" s="3" cm="1">
        <f t="array" ref="M37">SUMPRODUCT($S$3:$AD$12*($Q$3:$Q$12=Table1[[#This Row],[Material]])*($S$2:$AD$2=Table1[[#This Row],[Month]]))</f>
        <v>0</v>
      </c>
      <c r="N37" s="3">
        <f>IF(Table1[[#This Row],[Change in Quantity]]&gt;0,0,Table1[[#This Row],[Change in Quantity]]*Table1[[#This Row],[Giá tồn kho]])</f>
        <v>0</v>
      </c>
    </row>
    <row r="38" spans="1:14" x14ac:dyDescent="0.35">
      <c r="A38" s="1">
        <v>8</v>
      </c>
      <c r="B38" t="s">
        <v>16</v>
      </c>
      <c r="C38" t="s">
        <v>17</v>
      </c>
      <c r="D38" t="s">
        <v>18</v>
      </c>
      <c r="E38" t="s">
        <v>12</v>
      </c>
      <c r="F38" s="3">
        <v>-0.28999999999999998</v>
      </c>
      <c r="G38" t="s">
        <v>13</v>
      </c>
      <c r="H38" s="3">
        <v>-5566</v>
      </c>
      <c r="I38" t="s">
        <v>14</v>
      </c>
      <c r="J38" t="s">
        <v>15</v>
      </c>
      <c r="K38" t="s">
        <v>536</v>
      </c>
      <c r="L38" s="3">
        <f>Table1[[#This Row],[Value change]]/Table1[[#This Row],[Change in Quantity]]</f>
        <v>19193.103448275862</v>
      </c>
      <c r="M38" s="3" cm="1">
        <f t="array" ref="M38">SUMPRODUCT($S$3:$AD$12*($Q$3:$Q$12=Table1[[#This Row],[Material]])*($S$2:$AD$2=Table1[[#This Row],[Month]]))</f>
        <v>19191.68583690987</v>
      </c>
      <c r="N38" s="3">
        <f>IF(Table1[[#This Row],[Change in Quantity]]&gt;0,0,Table1[[#This Row],[Change in Quantity]]*Table1[[#This Row],[Giá tồn kho]])</f>
        <v>-5565.5888927038623</v>
      </c>
    </row>
    <row r="39" spans="1:14" x14ac:dyDescent="0.35">
      <c r="A39" s="1">
        <v>8</v>
      </c>
      <c r="B39" t="s">
        <v>9</v>
      </c>
      <c r="C39" t="s">
        <v>10</v>
      </c>
      <c r="D39" t="s">
        <v>11</v>
      </c>
      <c r="E39" t="s">
        <v>12</v>
      </c>
      <c r="F39" s="3">
        <v>0</v>
      </c>
      <c r="G39" t="s">
        <v>13</v>
      </c>
      <c r="H39" s="3">
        <v>0</v>
      </c>
      <c r="I39" t="s">
        <v>14</v>
      </c>
      <c r="J39" t="s">
        <v>15</v>
      </c>
      <c r="K39" t="s">
        <v>536</v>
      </c>
      <c r="L39" s="3" t="e">
        <f>Table1[[#This Row],[Value change]]/Table1[[#This Row],[Change in Quantity]]</f>
        <v>#DIV/0!</v>
      </c>
      <c r="M39" s="3" cm="1">
        <f t="array" ref="M39">SUMPRODUCT($S$3:$AD$12*($Q$3:$Q$12=Table1[[#This Row],[Material]])*($S$2:$AD$2=Table1[[#This Row],[Month]]))</f>
        <v>0</v>
      </c>
      <c r="N39" s="3">
        <f>IF(Table1[[#This Row],[Change in Quantity]]&gt;0,0,Table1[[#This Row],[Change in Quantity]]*Table1[[#This Row],[Giá tồn kho]])</f>
        <v>0</v>
      </c>
    </row>
    <row r="40" spans="1:14" x14ac:dyDescent="0.35">
      <c r="A40" s="1">
        <v>8</v>
      </c>
      <c r="B40" t="s">
        <v>16</v>
      </c>
      <c r="C40" t="s">
        <v>36</v>
      </c>
      <c r="D40" t="s">
        <v>37</v>
      </c>
      <c r="E40" t="s">
        <v>12</v>
      </c>
      <c r="F40" s="3">
        <v>-0.28999999999999998</v>
      </c>
      <c r="G40" t="s">
        <v>13</v>
      </c>
      <c r="H40" s="3">
        <v>-2481</v>
      </c>
      <c r="I40" t="s">
        <v>14</v>
      </c>
      <c r="J40" t="s">
        <v>15</v>
      </c>
      <c r="K40" t="s">
        <v>536</v>
      </c>
      <c r="L40" s="3">
        <f>Table1[[#This Row],[Value change]]/Table1[[#This Row],[Change in Quantity]]</f>
        <v>8555.1724137931033</v>
      </c>
      <c r="M40" s="3" cm="1">
        <f t="array" ref="M40">SUMPRODUCT($S$3:$AD$12*($Q$3:$Q$12=Table1[[#This Row],[Material]])*($S$2:$AD$2=Table1[[#This Row],[Month]]))</f>
        <v>117385824.13793105</v>
      </c>
      <c r="N40" s="3">
        <f>IF(Table1[[#This Row],[Change in Quantity]]&gt;0,0,Table1[[#This Row],[Change in Quantity]]*Table1[[#This Row],[Giá tồn kho]])</f>
        <v>-34041889</v>
      </c>
    </row>
    <row r="41" spans="1:14" x14ac:dyDescent="0.35">
      <c r="A41" s="1">
        <v>9</v>
      </c>
      <c r="B41" t="s">
        <v>9</v>
      </c>
      <c r="C41" t="s">
        <v>10</v>
      </c>
      <c r="D41" t="s">
        <v>11</v>
      </c>
      <c r="E41" t="s">
        <v>12</v>
      </c>
      <c r="F41" s="3">
        <v>200000</v>
      </c>
      <c r="G41" t="s">
        <v>13</v>
      </c>
      <c r="H41" s="3">
        <v>3000000000</v>
      </c>
      <c r="I41" t="s">
        <v>14</v>
      </c>
      <c r="J41" t="s">
        <v>15</v>
      </c>
      <c r="K41" t="s">
        <v>538</v>
      </c>
      <c r="L41" s="3">
        <f>Table1[[#This Row],[Value change]]/Table1[[#This Row],[Change in Quantity]]</f>
        <v>15000</v>
      </c>
      <c r="M41" s="3" cm="1">
        <f t="array" ref="M41">SUMPRODUCT($S$3:$AD$12*($Q$3:$Q$12=Table1[[#This Row],[Material]])*($S$2:$AD$2=Table1[[#This Row],[Month]]))</f>
        <v>0</v>
      </c>
      <c r="N41" s="3">
        <f>IF(Table1[[#This Row],[Change in Quantity]]&gt;0,0,Table1[[#This Row],[Change in Quantity]]*Table1[[#This Row],[Giá tồn kho]])</f>
        <v>0</v>
      </c>
    </row>
    <row r="42" spans="1:14" x14ac:dyDescent="0.35">
      <c r="A42" s="1">
        <v>9</v>
      </c>
      <c r="B42" t="s">
        <v>16</v>
      </c>
      <c r="C42" t="s">
        <v>25</v>
      </c>
      <c r="D42" t="s">
        <v>26</v>
      </c>
      <c r="E42" t="s">
        <v>12</v>
      </c>
      <c r="F42" s="3">
        <v>-30011</v>
      </c>
      <c r="G42" t="s">
        <v>13</v>
      </c>
      <c r="H42" s="3">
        <v>-672276411</v>
      </c>
      <c r="I42" t="s">
        <v>14</v>
      </c>
      <c r="J42" t="s">
        <v>15</v>
      </c>
      <c r="K42" t="s">
        <v>538</v>
      </c>
      <c r="L42" s="3">
        <f>Table1[[#This Row],[Value change]]/Table1[[#This Row],[Change in Quantity]]</f>
        <v>22401</v>
      </c>
      <c r="M42" s="3" cm="1">
        <f t="array" ref="M42">SUMPRODUCT($S$3:$AD$12*($Q$3:$Q$12=Table1[[#This Row],[Material]])*($S$2:$AD$2=Table1[[#This Row],[Month]]))</f>
        <v>22400.999859231226</v>
      </c>
      <c r="N42" s="3">
        <f>IF(Table1[[#This Row],[Change in Quantity]]&gt;0,0,Table1[[#This Row],[Change in Quantity]]*Table1[[#This Row],[Giá tồn kho]])</f>
        <v>-672276406.77538836</v>
      </c>
    </row>
    <row r="43" spans="1:14" x14ac:dyDescent="0.35">
      <c r="A43" s="1">
        <v>9</v>
      </c>
      <c r="B43" t="s">
        <v>19</v>
      </c>
      <c r="C43" t="s">
        <v>29</v>
      </c>
      <c r="D43" t="s">
        <v>30</v>
      </c>
      <c r="E43" t="s">
        <v>12</v>
      </c>
      <c r="F43" s="3">
        <v>-94789</v>
      </c>
      <c r="G43" t="s">
        <v>13</v>
      </c>
      <c r="H43" s="3">
        <v>-2130477564</v>
      </c>
      <c r="I43" t="s">
        <v>14</v>
      </c>
      <c r="J43" t="s">
        <v>15</v>
      </c>
      <c r="K43" t="s">
        <v>538</v>
      </c>
      <c r="L43" s="3">
        <f>Table1[[#This Row],[Value change]]/Table1[[#This Row],[Change in Quantity]]</f>
        <v>22476</v>
      </c>
      <c r="M43" s="3" cm="1">
        <f t="array" ref="M43">SUMPRODUCT($S$3:$AD$12*($Q$3:$Q$12=Table1[[#This Row],[Material]])*($S$2:$AD$2=Table1[[#This Row],[Month]]))</f>
        <v>23001.687791502016</v>
      </c>
      <c r="N43" s="3">
        <f>IF(Table1[[#This Row],[Change in Quantity]]&gt;0,0,Table1[[#This Row],[Change in Quantity]]*Table1[[#This Row],[Giá tồn kho]])</f>
        <v>-2180306984.0686846</v>
      </c>
    </row>
    <row r="44" spans="1:14" x14ac:dyDescent="0.35">
      <c r="A44" s="1">
        <v>9</v>
      </c>
      <c r="B44" t="s">
        <v>22</v>
      </c>
      <c r="C44" t="s">
        <v>442</v>
      </c>
      <c r="D44" t="s">
        <v>469</v>
      </c>
      <c r="E44" t="s">
        <v>12</v>
      </c>
      <c r="F44" s="3">
        <v>-83200</v>
      </c>
      <c r="G44" t="s">
        <v>13</v>
      </c>
      <c r="H44" s="3">
        <v>-715603200</v>
      </c>
      <c r="I44" t="s">
        <v>14</v>
      </c>
      <c r="J44" t="s">
        <v>15</v>
      </c>
      <c r="K44" t="s">
        <v>538</v>
      </c>
      <c r="L44" s="3">
        <f>Table1[[#This Row],[Value change]]/Table1[[#This Row],[Change in Quantity]]</f>
        <v>8601</v>
      </c>
      <c r="M44" s="3" cm="1">
        <f t="array" ref="M44">SUMPRODUCT($S$3:$AD$12*($Q$3:$Q$12=Table1[[#This Row],[Material]])*($S$2:$AD$2=Table1[[#This Row],[Month]]))</f>
        <v>9249.6540389080092</v>
      </c>
      <c r="N44" s="3">
        <f>IF(Table1[[#This Row],[Change in Quantity]]&gt;0,0,Table1[[#This Row],[Change in Quantity]]*Table1[[#This Row],[Giá tồn kho]])</f>
        <v>-769571216.03714633</v>
      </c>
    </row>
    <row r="45" spans="1:14" x14ac:dyDescent="0.35">
      <c r="A45" s="1">
        <v>10</v>
      </c>
      <c r="B45" t="s">
        <v>9</v>
      </c>
      <c r="C45" t="s">
        <v>10</v>
      </c>
      <c r="D45" t="s">
        <v>11</v>
      </c>
      <c r="E45" t="s">
        <v>12</v>
      </c>
      <c r="F45" s="3">
        <v>218000</v>
      </c>
      <c r="G45" t="s">
        <v>13</v>
      </c>
      <c r="H45" s="3">
        <v>3270000000</v>
      </c>
      <c r="I45" t="s">
        <v>14</v>
      </c>
      <c r="J45" t="s">
        <v>15</v>
      </c>
      <c r="K45" t="s">
        <v>540</v>
      </c>
      <c r="L45" s="3">
        <f>Table1[[#This Row],[Value change]]/Table1[[#This Row],[Change in Quantity]]</f>
        <v>15000</v>
      </c>
      <c r="M45" s="3" cm="1">
        <f t="array" ref="M45">SUMPRODUCT($S$3:$AD$12*($Q$3:$Q$12=Table1[[#This Row],[Material]])*($S$2:$AD$2=Table1[[#This Row],[Month]]))</f>
        <v>0</v>
      </c>
      <c r="N45" s="3">
        <f>IF(Table1[[#This Row],[Change in Quantity]]&gt;0,0,Table1[[#This Row],[Change in Quantity]]*Table1[[#This Row],[Giá tồn kho]])</f>
        <v>0</v>
      </c>
    </row>
    <row r="46" spans="1:14" x14ac:dyDescent="0.35">
      <c r="A46" s="1">
        <v>10</v>
      </c>
      <c r="B46" t="s">
        <v>16</v>
      </c>
      <c r="C46" t="s">
        <v>25</v>
      </c>
      <c r="D46" t="s">
        <v>26</v>
      </c>
      <c r="E46" t="s">
        <v>12</v>
      </c>
      <c r="F46" s="3">
        <v>-31480</v>
      </c>
      <c r="G46" t="s">
        <v>13</v>
      </c>
      <c r="H46" s="3">
        <v>-705183480</v>
      </c>
      <c r="I46" t="s">
        <v>14</v>
      </c>
      <c r="J46" t="s">
        <v>15</v>
      </c>
      <c r="K46" t="s">
        <v>540</v>
      </c>
      <c r="L46" s="3">
        <f>Table1[[#This Row],[Value change]]/Table1[[#This Row],[Change in Quantity]]</f>
        <v>22401</v>
      </c>
      <c r="M46" s="3" cm="1">
        <f t="array" ref="M46">SUMPRODUCT($S$3:$AD$12*($Q$3:$Q$12=Table1[[#This Row],[Material]])*($S$2:$AD$2=Table1[[#This Row],[Month]]))</f>
        <v>22400.999956335549</v>
      </c>
      <c r="N46" s="3">
        <f>IF(Table1[[#This Row],[Change in Quantity]]&gt;0,0,Table1[[#This Row],[Change in Quantity]]*Table1[[#This Row],[Giá tồn kho]])</f>
        <v>-705183478.6254431</v>
      </c>
    </row>
    <row r="47" spans="1:14" x14ac:dyDescent="0.35">
      <c r="A47" s="1">
        <v>10</v>
      </c>
      <c r="B47" t="s">
        <v>19</v>
      </c>
      <c r="C47" t="s">
        <v>29</v>
      </c>
      <c r="D47" t="s">
        <v>30</v>
      </c>
      <c r="E47" t="s">
        <v>12</v>
      </c>
      <c r="F47" s="3">
        <v>-80896</v>
      </c>
      <c r="G47" t="s">
        <v>13</v>
      </c>
      <c r="H47" s="3">
        <v>-1818218496</v>
      </c>
      <c r="I47" t="s">
        <v>14</v>
      </c>
      <c r="J47" t="s">
        <v>15</v>
      </c>
      <c r="K47" t="s">
        <v>540</v>
      </c>
      <c r="L47" s="3">
        <f>Table1[[#This Row],[Value change]]/Table1[[#This Row],[Change in Quantity]]</f>
        <v>22476</v>
      </c>
      <c r="M47" s="3" cm="1">
        <f t="array" ref="M47">SUMPRODUCT($S$3:$AD$12*($Q$3:$Q$12=Table1[[#This Row],[Material]])*($S$2:$AD$2=Table1[[#This Row],[Month]]))</f>
        <v>23151.734980494148</v>
      </c>
      <c r="N47" s="3">
        <f>IF(Table1[[#This Row],[Change in Quantity]]&gt;0,0,Table1[[#This Row],[Change in Quantity]]*Table1[[#This Row],[Giá tồn kho]])</f>
        <v>-1872882752.9820545</v>
      </c>
    </row>
    <row r="48" spans="1:14" x14ac:dyDescent="0.35">
      <c r="A48" s="1">
        <v>10</v>
      </c>
      <c r="B48" t="s">
        <v>22</v>
      </c>
      <c r="C48" t="s">
        <v>442</v>
      </c>
      <c r="D48" t="s">
        <v>469</v>
      </c>
      <c r="E48" t="s">
        <v>12</v>
      </c>
      <c r="F48" s="3">
        <v>-114344</v>
      </c>
      <c r="G48" t="s">
        <v>13</v>
      </c>
      <c r="H48" s="3">
        <v>-983472744</v>
      </c>
      <c r="I48" t="s">
        <v>14</v>
      </c>
      <c r="J48" t="s">
        <v>15</v>
      </c>
      <c r="K48" t="s">
        <v>540</v>
      </c>
      <c r="L48" s="3">
        <f>Table1[[#This Row],[Value change]]/Table1[[#This Row],[Change in Quantity]]</f>
        <v>8601</v>
      </c>
      <c r="M48" s="3" cm="1">
        <f t="array" ref="M48">SUMPRODUCT($S$3:$AD$12*($Q$3:$Q$12=Table1[[#This Row],[Material]])*($S$2:$AD$2=Table1[[#This Row],[Month]]))</f>
        <v>9483.9794869916514</v>
      </c>
      <c r="N48" s="3">
        <f>IF(Table1[[#This Row],[Change in Quantity]]&gt;0,0,Table1[[#This Row],[Change in Quantity]]*Table1[[#This Row],[Giá tồn kho]])</f>
        <v>-1084436150.4605734</v>
      </c>
    </row>
    <row r="49" spans="1:16" x14ac:dyDescent="0.35">
      <c r="A49" s="1">
        <v>11</v>
      </c>
      <c r="B49" t="s">
        <v>9</v>
      </c>
      <c r="C49" t="s">
        <v>10</v>
      </c>
      <c r="D49" t="s">
        <v>11</v>
      </c>
      <c r="E49" t="s">
        <v>12</v>
      </c>
      <c r="F49" s="3">
        <v>195000</v>
      </c>
      <c r="G49" t="s">
        <v>13</v>
      </c>
      <c r="H49" s="3">
        <v>2925000000</v>
      </c>
      <c r="I49" t="s">
        <v>14</v>
      </c>
      <c r="J49" t="s">
        <v>15</v>
      </c>
      <c r="K49" t="s">
        <v>562</v>
      </c>
      <c r="L49" s="3">
        <f>Table1[[#This Row],[Value change]]/Table1[[#This Row],[Change in Quantity]]</f>
        <v>15000</v>
      </c>
      <c r="M49" s="3" cm="1">
        <f t="array" ref="M49">SUMPRODUCT($S$3:$AD$12*($Q$3:$Q$12=Table1[[#This Row],[Material]])*($S$2:$AD$2=Table1[[#This Row],[Month]]))</f>
        <v>0</v>
      </c>
      <c r="N49" s="3">
        <f>IF(Table1[[#This Row],[Change in Quantity]]&gt;0,0,Table1[[#This Row],[Change in Quantity]]*Table1[[#This Row],[Giá tồn kho]])</f>
        <v>0</v>
      </c>
    </row>
    <row r="50" spans="1:16" x14ac:dyDescent="0.35">
      <c r="A50" s="1">
        <v>11</v>
      </c>
      <c r="B50" t="s">
        <v>16</v>
      </c>
      <c r="C50" t="s">
        <v>25</v>
      </c>
      <c r="D50" t="s">
        <v>26</v>
      </c>
      <c r="E50" t="s">
        <v>12</v>
      </c>
      <c r="F50" s="3">
        <v>-29599</v>
      </c>
      <c r="G50" t="s">
        <v>13</v>
      </c>
      <c r="H50" s="3">
        <v>-663047199</v>
      </c>
      <c r="I50" t="s">
        <v>14</v>
      </c>
      <c r="J50" t="s">
        <v>15</v>
      </c>
      <c r="K50" t="s">
        <v>562</v>
      </c>
      <c r="L50" s="3">
        <f>Table1[[#This Row],[Value change]]/Table1[[#This Row],[Change in Quantity]]</f>
        <v>22401</v>
      </c>
      <c r="M50" s="3" cm="1">
        <f t="array" ref="M50">SUMPRODUCT($S$3:$AD$12*($Q$3:$Q$12=Table1[[#This Row],[Material]])*($S$2:$AD$2=Table1[[#This Row],[Month]]))</f>
        <v>22400.999941606311</v>
      </c>
      <c r="N50" s="3">
        <f>IF(Table1[[#This Row],[Change in Quantity]]&gt;0,0,Table1[[#This Row],[Change in Quantity]]*Table1[[#This Row],[Giá tồn kho]])</f>
        <v>-663047197.27160525</v>
      </c>
    </row>
    <row r="51" spans="1:16" x14ac:dyDescent="0.35">
      <c r="A51" s="1">
        <v>11</v>
      </c>
      <c r="B51" t="s">
        <v>19</v>
      </c>
      <c r="C51" t="s">
        <v>29</v>
      </c>
      <c r="D51" t="s">
        <v>30</v>
      </c>
      <c r="E51" t="s">
        <v>12</v>
      </c>
      <c r="F51" s="3">
        <v>-29856</v>
      </c>
      <c r="G51" t="s">
        <v>13</v>
      </c>
      <c r="H51" s="3">
        <v>-671043456</v>
      </c>
      <c r="I51" t="s">
        <v>14</v>
      </c>
      <c r="J51" t="s">
        <v>15</v>
      </c>
      <c r="K51" t="s">
        <v>562</v>
      </c>
      <c r="L51" s="3">
        <f>Table1[[#This Row],[Value change]]/Table1[[#This Row],[Change in Quantity]]</f>
        <v>22476</v>
      </c>
      <c r="M51" s="3" cm="1">
        <f t="array" ref="M51">SUMPRODUCT($S$3:$AD$12*($Q$3:$Q$12=Table1[[#This Row],[Material]])*($S$2:$AD$2=Table1[[#This Row],[Month]]))</f>
        <v>22970.668592967068</v>
      </c>
      <c r="N51" s="3">
        <f>IF(Table1[[#This Row],[Change in Quantity]]&gt;0,0,Table1[[#This Row],[Change in Quantity]]*Table1[[#This Row],[Giá tồn kho]])</f>
        <v>-685812281.51162481</v>
      </c>
    </row>
    <row r="52" spans="1:16" x14ac:dyDescent="0.35">
      <c r="A52" s="1">
        <v>11</v>
      </c>
      <c r="B52" t="s">
        <v>22</v>
      </c>
      <c r="C52" t="s">
        <v>442</v>
      </c>
      <c r="D52" t="s">
        <v>469</v>
      </c>
      <c r="E52" t="s">
        <v>12</v>
      </c>
      <c r="F52" s="3">
        <v>-143345</v>
      </c>
      <c r="G52" t="s">
        <v>13</v>
      </c>
      <c r="H52" s="3">
        <v>-1232910345</v>
      </c>
      <c r="I52" t="s">
        <v>14</v>
      </c>
      <c r="J52" t="s">
        <v>15</v>
      </c>
      <c r="K52" t="s">
        <v>562</v>
      </c>
      <c r="L52" s="3">
        <f>Table1[[#This Row],[Value change]]/Table1[[#This Row],[Change in Quantity]]</f>
        <v>8601</v>
      </c>
      <c r="M52" s="3" cm="1">
        <f t="array" ref="M52">SUMPRODUCT($S$3:$AD$12*($Q$3:$Q$12=Table1[[#This Row],[Material]])*($S$2:$AD$2=Table1[[#This Row],[Month]]))</f>
        <v>10113.060991983226</v>
      </c>
      <c r="N52" s="3">
        <f>IF(Table1[[#This Row],[Change in Quantity]]&gt;0,0,Table1[[#This Row],[Change in Quantity]]*Table1[[#This Row],[Giá tồn kho]])</f>
        <v>-1449656727.8958354</v>
      </c>
    </row>
    <row r="53" spans="1:16" x14ac:dyDescent="0.35">
      <c r="A53" s="1">
        <v>12</v>
      </c>
      <c r="B53" t="s">
        <v>9</v>
      </c>
      <c r="C53" t="s">
        <v>10</v>
      </c>
      <c r="D53" t="s">
        <v>11</v>
      </c>
      <c r="E53" t="s">
        <v>12</v>
      </c>
      <c r="F53" s="3">
        <v>186000</v>
      </c>
      <c r="G53" t="s">
        <v>13</v>
      </c>
      <c r="H53" s="3">
        <v>2790000000</v>
      </c>
      <c r="I53" t="s">
        <v>14</v>
      </c>
      <c r="J53" t="s">
        <v>15</v>
      </c>
      <c r="K53" t="s">
        <v>565</v>
      </c>
      <c r="L53" s="3">
        <f>Table1[[#This Row],[Value change]]/Table1[[#This Row],[Change in Quantity]]</f>
        <v>15000</v>
      </c>
      <c r="M53" s="3" cm="1">
        <f t="array" ref="M53">SUMPRODUCT($S$3:$AD$12*($Q$3:$Q$12=Table1[[#This Row],[Material]])*($S$2:$AD$2=Table1[[#This Row],[Month]]))</f>
        <v>0</v>
      </c>
      <c r="N53" s="3">
        <f>IF(Table1[[#This Row],[Change in Quantity]]&gt;0,0,Table1[[#This Row],[Change in Quantity]]*Table1[[#This Row],[Giá tồn kho]])</f>
        <v>0</v>
      </c>
    </row>
    <row r="54" spans="1:16" x14ac:dyDescent="0.35">
      <c r="A54" s="1">
        <v>12</v>
      </c>
      <c r="B54" t="s">
        <v>16</v>
      </c>
      <c r="C54" t="s">
        <v>25</v>
      </c>
      <c r="D54" t="s">
        <v>26</v>
      </c>
      <c r="E54" t="s">
        <v>12</v>
      </c>
      <c r="F54" s="3">
        <v>-18220.16</v>
      </c>
      <c r="G54" t="s">
        <v>13</v>
      </c>
      <c r="H54" s="3">
        <v>-408149804</v>
      </c>
      <c r="I54" t="s">
        <v>14</v>
      </c>
      <c r="J54" t="s">
        <v>15</v>
      </c>
      <c r="K54" t="s">
        <v>565</v>
      </c>
      <c r="L54" s="3">
        <f>Table1[[#This Row],[Value change]]/Table1[[#This Row],[Change in Quantity]]</f>
        <v>22400.999991218519</v>
      </c>
      <c r="M54" s="3" cm="1">
        <f t="array" ref="M54">SUMPRODUCT($S$3:$AD$12*($Q$3:$Q$12=Table1[[#This Row],[Material]])*($S$2:$AD$2=Table1[[#This Row],[Month]]))</f>
        <v>22401</v>
      </c>
      <c r="N54" s="3">
        <f>IF(Table1[[#This Row],[Change in Quantity]]&gt;0,0,Table1[[#This Row],[Change in Quantity]]*Table1[[#This Row],[Giá tồn kho]])</f>
        <v>-408149804.16000003</v>
      </c>
      <c r="O54" s="6"/>
      <c r="P54" s="266"/>
    </row>
    <row r="55" spans="1:16" x14ac:dyDescent="0.35">
      <c r="A55" s="1">
        <v>12</v>
      </c>
      <c r="B55" t="s">
        <v>19</v>
      </c>
      <c r="C55" t="s">
        <v>29</v>
      </c>
      <c r="D55" t="s">
        <v>30</v>
      </c>
      <c r="E55" t="s">
        <v>12</v>
      </c>
      <c r="F55" s="3">
        <v>-70184</v>
      </c>
      <c r="G55" t="s">
        <v>13</v>
      </c>
      <c r="H55" s="3">
        <v>-1577455584</v>
      </c>
      <c r="I55" t="s">
        <v>14</v>
      </c>
      <c r="J55" t="s">
        <v>15</v>
      </c>
      <c r="K55" t="s">
        <v>565</v>
      </c>
      <c r="L55" s="3">
        <f>Table1[[#This Row],[Value change]]/Table1[[#This Row],[Change in Quantity]]</f>
        <v>22476</v>
      </c>
      <c r="M55" s="3" cm="1">
        <f t="array" ref="M55">SUMPRODUCT($S$3:$AD$12*($Q$3:$Q$12=Table1[[#This Row],[Material]])*($S$2:$AD$2=Table1[[#This Row],[Month]]))</f>
        <v>23170.764945085892</v>
      </c>
      <c r="N55" s="3">
        <f>IF(Table1[[#This Row],[Change in Quantity]]&gt;0,0,Table1[[#This Row],[Change in Quantity]]*Table1[[#This Row],[Giá tồn kho]])</f>
        <v>-1626216966.9059081</v>
      </c>
    </row>
    <row r="56" spans="1:16" x14ac:dyDescent="0.35">
      <c r="A56" s="1">
        <v>12</v>
      </c>
      <c r="B56" t="s">
        <v>22</v>
      </c>
      <c r="C56" t="s">
        <v>442</v>
      </c>
      <c r="D56" t="s">
        <v>469</v>
      </c>
      <c r="E56" t="s">
        <v>12</v>
      </c>
      <c r="F56" s="3">
        <v>-105039</v>
      </c>
      <c r="G56" t="s">
        <v>13</v>
      </c>
      <c r="H56" s="3">
        <v>-903440439</v>
      </c>
      <c r="I56" t="s">
        <v>14</v>
      </c>
      <c r="J56" t="s">
        <v>15</v>
      </c>
      <c r="K56" t="s">
        <v>565</v>
      </c>
      <c r="L56" s="3">
        <f>Table1[[#This Row],[Value change]]/Table1[[#This Row],[Change in Quantity]]</f>
        <v>8601</v>
      </c>
      <c r="M56" s="3" cm="1">
        <f t="array" ref="M56">SUMPRODUCT($S$3:$AD$12*($Q$3:$Q$12=Table1[[#This Row],[Material]])*($S$2:$AD$2=Table1[[#This Row],[Month]]))</f>
        <v>10605.92464848049</v>
      </c>
      <c r="N56" s="3">
        <f>IF(Table1[[#This Row],[Change in Quantity]]&gt;0,0,Table1[[#This Row],[Change in Quantity]]*Table1[[#This Row],[Giá tồn kho]])</f>
        <v>-1114035719.1517422</v>
      </c>
    </row>
    <row r="115" spans="18:18" x14ac:dyDescent="0.35">
      <c r="R115" t="s">
        <v>470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8C6B-977C-42EB-9AF1-E7B469D40812}">
  <dimension ref="A2:B9"/>
  <sheetViews>
    <sheetView showGridLines="0" zoomScale="190" zoomScaleNormal="190" workbookViewId="0">
      <selection activeCell="AE5" sqref="AE5"/>
    </sheetView>
  </sheetViews>
  <sheetFormatPr defaultRowHeight="14.5" x14ac:dyDescent="0.35"/>
  <cols>
    <col min="1" max="1" width="10.33203125" bestFit="1" customWidth="1"/>
    <col min="2" max="2" width="29.75" customWidth="1"/>
  </cols>
  <sheetData>
    <row r="2" spans="1:2" x14ac:dyDescent="0.35">
      <c r="A2" t="s">
        <v>222</v>
      </c>
      <c r="B2" t="s">
        <v>223</v>
      </c>
    </row>
    <row r="4" spans="1:2" x14ac:dyDescent="0.35">
      <c r="A4" t="s">
        <v>36</v>
      </c>
      <c r="B4" t="s">
        <v>37</v>
      </c>
    </row>
    <row r="6" spans="1:2" x14ac:dyDescent="0.35">
      <c r="A6" t="s">
        <v>17</v>
      </c>
      <c r="B6" t="s">
        <v>18</v>
      </c>
    </row>
    <row r="7" spans="1:2" x14ac:dyDescent="0.35">
      <c r="A7" t="s">
        <v>34</v>
      </c>
      <c r="B7" t="s">
        <v>35</v>
      </c>
    </row>
    <row r="8" spans="1:2" x14ac:dyDescent="0.35">
      <c r="A8" t="s">
        <v>438</v>
      </c>
      <c r="B8" t="s">
        <v>439</v>
      </c>
    </row>
    <row r="9" spans="1:2" x14ac:dyDescent="0.35">
      <c r="A9" t="s">
        <v>440</v>
      </c>
      <c r="B9" t="s">
        <v>441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32CA-0677-4EFC-BE44-C476400AA071}">
  <dimension ref="A1:G33"/>
  <sheetViews>
    <sheetView showGridLines="0" zoomScale="145" zoomScaleNormal="145" workbookViewId="0">
      <selection activeCell="AE5" sqref="AE5"/>
    </sheetView>
  </sheetViews>
  <sheetFormatPr defaultRowHeight="14.5" x14ac:dyDescent="0.35"/>
  <cols>
    <col min="1" max="1" width="13.5" customWidth="1"/>
    <col min="2" max="2" width="16.5" bestFit="1" customWidth="1"/>
    <col min="3" max="4" width="29.25" customWidth="1"/>
    <col min="6" max="6" width="16.5" bestFit="1" customWidth="1"/>
    <col min="7" max="7" width="19" bestFit="1" customWidth="1"/>
  </cols>
  <sheetData>
    <row r="1" spans="1:7" x14ac:dyDescent="0.35">
      <c r="A1" t="s">
        <v>319</v>
      </c>
      <c r="B1" s="105" t="s">
        <v>38</v>
      </c>
      <c r="C1" s="14" t="s">
        <v>451</v>
      </c>
      <c r="D1" s="105" t="s">
        <v>452</v>
      </c>
      <c r="F1" s="14" t="s">
        <v>465</v>
      </c>
      <c r="G1" s="14" t="s">
        <v>369</v>
      </c>
    </row>
    <row r="2" spans="1:7" x14ac:dyDescent="0.35">
      <c r="A2" t="s">
        <v>453</v>
      </c>
      <c r="B2" s="3">
        <v>392</v>
      </c>
      <c r="C2" s="16">
        <v>165</v>
      </c>
      <c r="D2" s="3">
        <v>227</v>
      </c>
      <c r="F2" s="16">
        <f>'Slide 2'!B4</f>
        <v>0</v>
      </c>
      <c r="G2" s="287">
        <f>C2-F2</f>
        <v>165</v>
      </c>
    </row>
    <row r="3" spans="1:7" x14ac:dyDescent="0.35">
      <c r="A3" t="s">
        <v>454</v>
      </c>
      <c r="B3" s="3">
        <v>50</v>
      </c>
      <c r="C3" s="16">
        <v>58</v>
      </c>
      <c r="D3" s="3">
        <v>219</v>
      </c>
      <c r="F3" s="16">
        <f>'Slide 2'!B5</f>
        <v>386</v>
      </c>
      <c r="G3" s="287">
        <f t="shared" ref="G3:G12" si="0">C3-F3</f>
        <v>-328</v>
      </c>
    </row>
    <row r="4" spans="1:7" x14ac:dyDescent="0.35">
      <c r="A4" t="s">
        <v>455</v>
      </c>
      <c r="B4" s="3">
        <v>195</v>
      </c>
      <c r="C4" s="16">
        <v>222</v>
      </c>
      <c r="D4" s="3">
        <v>192</v>
      </c>
      <c r="F4" s="16">
        <f>'Slide 2'!B6</f>
        <v>140</v>
      </c>
      <c r="G4" s="287">
        <f t="shared" si="0"/>
        <v>82</v>
      </c>
    </row>
    <row r="5" spans="1:7" x14ac:dyDescent="0.35">
      <c r="A5" t="s">
        <v>456</v>
      </c>
      <c r="B5" s="3">
        <v>225</v>
      </c>
      <c r="C5" s="16">
        <v>275</v>
      </c>
      <c r="D5" s="3">
        <v>142</v>
      </c>
      <c r="F5" s="16">
        <f>'Slide 2'!B7</f>
        <v>120</v>
      </c>
      <c r="G5" s="287">
        <f t="shared" si="0"/>
        <v>155</v>
      </c>
    </row>
    <row r="6" spans="1:7" x14ac:dyDescent="0.35">
      <c r="A6" t="s">
        <v>457</v>
      </c>
      <c r="B6" s="3">
        <v>165</v>
      </c>
      <c r="C6" s="16">
        <v>236.26</v>
      </c>
      <c r="D6" s="3">
        <v>70.740000000000009</v>
      </c>
      <c r="F6" s="16">
        <f>'Slide 2'!B8</f>
        <v>80</v>
      </c>
      <c r="G6" s="287">
        <f t="shared" si="0"/>
        <v>156.26</v>
      </c>
    </row>
    <row r="7" spans="1:7" x14ac:dyDescent="0.35">
      <c r="A7" t="s">
        <v>458</v>
      </c>
      <c r="B7" s="3">
        <v>200</v>
      </c>
      <c r="C7" s="16">
        <v>180</v>
      </c>
      <c r="D7" s="3">
        <v>90.74</v>
      </c>
      <c r="F7" s="16">
        <f>'Slide 2'!B9</f>
        <v>100</v>
      </c>
      <c r="G7" s="287">
        <f t="shared" si="0"/>
        <v>80</v>
      </c>
    </row>
    <row r="8" spans="1:7" x14ac:dyDescent="0.35">
      <c r="A8" t="s">
        <v>459</v>
      </c>
      <c r="B8" s="3">
        <v>196</v>
      </c>
      <c r="C8" s="16">
        <v>200</v>
      </c>
      <c r="D8" s="3">
        <v>86.74</v>
      </c>
      <c r="F8" s="16">
        <f>'Slide 2'!B10</f>
        <v>20</v>
      </c>
      <c r="G8" s="287">
        <f t="shared" si="0"/>
        <v>180</v>
      </c>
    </row>
    <row r="9" spans="1:7" x14ac:dyDescent="0.35">
      <c r="A9" t="s">
        <v>460</v>
      </c>
      <c r="B9" s="3">
        <v>120</v>
      </c>
      <c r="C9" s="16">
        <v>180</v>
      </c>
      <c r="D9" s="3">
        <v>26.740000000000009</v>
      </c>
      <c r="F9" s="16">
        <f>'Slide 2'!B11</f>
        <v>80</v>
      </c>
      <c r="G9" s="287">
        <f t="shared" si="0"/>
        <v>100</v>
      </c>
    </row>
    <row r="10" spans="1:7" x14ac:dyDescent="0.35">
      <c r="A10" t="s">
        <v>461</v>
      </c>
      <c r="B10" s="3">
        <v>118</v>
      </c>
      <c r="C10" s="16">
        <v>144.74</v>
      </c>
      <c r="D10" s="3">
        <v>0</v>
      </c>
      <c r="F10" s="16">
        <f>'Slide 2'!B12</f>
        <v>220</v>
      </c>
      <c r="G10" s="287">
        <f t="shared" si="0"/>
        <v>-75.259999999999991</v>
      </c>
    </row>
    <row r="11" spans="1:7" x14ac:dyDescent="0.35">
      <c r="A11" t="s">
        <v>462</v>
      </c>
      <c r="B11" s="3">
        <v>133</v>
      </c>
      <c r="C11" s="16">
        <v>120</v>
      </c>
      <c r="D11" s="3">
        <v>13</v>
      </c>
      <c r="F11" s="16">
        <f>'Slide 2'!B13</f>
        <v>138</v>
      </c>
      <c r="G11" s="287">
        <f t="shared" si="0"/>
        <v>-18</v>
      </c>
    </row>
    <row r="12" spans="1:7" x14ac:dyDescent="0.35">
      <c r="A12" t="s">
        <v>463</v>
      </c>
      <c r="B12" s="3">
        <v>115</v>
      </c>
      <c r="C12" s="16">
        <v>115</v>
      </c>
      <c r="D12" s="3">
        <v>13</v>
      </c>
      <c r="F12" s="16">
        <f>'Slide 2'!B14</f>
        <v>160</v>
      </c>
      <c r="G12" s="287">
        <f t="shared" si="0"/>
        <v>-45</v>
      </c>
    </row>
    <row r="13" spans="1:7" ht="15" thickBot="1" x14ac:dyDescent="0.4">
      <c r="A13" t="s">
        <v>464</v>
      </c>
      <c r="B13" s="3"/>
      <c r="C13" s="16"/>
      <c r="D13" s="3"/>
      <c r="F13" s="13"/>
      <c r="G13" s="288"/>
    </row>
    <row r="14" spans="1:7" ht="15" thickBot="1" x14ac:dyDescent="0.4">
      <c r="A14" s="18" t="s">
        <v>48</v>
      </c>
      <c r="B14" s="18"/>
      <c r="C14" s="262">
        <f>SUM(C2:C13)</f>
        <v>1896</v>
      </c>
      <c r="D14" s="18"/>
      <c r="F14" s="262">
        <f>SUM(F2:F13)</f>
        <v>1444</v>
      </c>
      <c r="G14" s="19"/>
    </row>
    <row r="18" spans="1:7" ht="15" thickBot="1" x14ac:dyDescent="0.4"/>
    <row r="19" spans="1:7" ht="15" thickBot="1" x14ac:dyDescent="0.4">
      <c r="A19" s="289" t="s">
        <v>42</v>
      </c>
      <c r="B19" s="289" t="s">
        <v>60</v>
      </c>
      <c r="C19" s="289"/>
      <c r="F19" s="292" t="s">
        <v>466</v>
      </c>
    </row>
    <row r="20" spans="1:7" ht="15" thickBot="1" x14ac:dyDescent="0.4">
      <c r="A20" s="290">
        <v>45292</v>
      </c>
      <c r="B20" s="291">
        <v>3306500000</v>
      </c>
      <c r="C20" s="291"/>
      <c r="F20" s="256">
        <f>'Slide 1'!B4*10^6</f>
        <v>0</v>
      </c>
      <c r="G20" s="3">
        <f>B20-F20</f>
        <v>3306500000</v>
      </c>
    </row>
    <row r="21" spans="1:7" ht="15" thickBot="1" x14ac:dyDescent="0.4">
      <c r="A21" s="290">
        <v>45323</v>
      </c>
      <c r="B21" s="291">
        <v>1017500000</v>
      </c>
      <c r="C21" s="291"/>
      <c r="F21" s="256">
        <f>'Slide 1'!B5*10^6</f>
        <v>7465500000</v>
      </c>
      <c r="G21" s="3">
        <f t="shared" ref="G21:G32" si="1">B21-F21</f>
        <v>-6448000000</v>
      </c>
    </row>
    <row r="22" spans="1:7" ht="15" thickBot="1" x14ac:dyDescent="0.4">
      <c r="A22" s="290">
        <v>45352</v>
      </c>
      <c r="B22" s="291">
        <v>4012500000</v>
      </c>
      <c r="C22" s="291"/>
      <c r="F22" s="256">
        <f>'Slide 1'!B6*10^6</f>
        <v>2755000000</v>
      </c>
      <c r="G22" s="3">
        <f t="shared" si="1"/>
        <v>1257500000</v>
      </c>
    </row>
    <row r="23" spans="1:7" ht="15" thickBot="1" x14ac:dyDescent="0.4">
      <c r="A23" s="290">
        <v>45383</v>
      </c>
      <c r="B23" s="291">
        <v>5022000000</v>
      </c>
      <c r="C23" s="291"/>
      <c r="F23" s="256">
        <f>'Slide 1'!B7*10^6</f>
        <v>2242500000</v>
      </c>
      <c r="G23" s="3">
        <f t="shared" si="1"/>
        <v>2779500000</v>
      </c>
    </row>
    <row r="24" spans="1:7" ht="15" thickBot="1" x14ac:dyDescent="0.4">
      <c r="A24" s="290">
        <v>45413</v>
      </c>
      <c r="B24" s="291">
        <v>4355920000</v>
      </c>
      <c r="C24" s="291"/>
      <c r="F24" s="256">
        <f>'Slide 1'!B8*10^6</f>
        <v>1360000000</v>
      </c>
      <c r="G24" s="3">
        <f t="shared" si="1"/>
        <v>2995920000</v>
      </c>
    </row>
    <row r="25" spans="1:7" ht="15" thickBot="1" x14ac:dyDescent="0.4">
      <c r="A25" s="290">
        <v>45444</v>
      </c>
      <c r="B25" s="291">
        <v>3288000000</v>
      </c>
      <c r="C25" s="291"/>
      <c r="F25" s="256">
        <f>'Slide 1'!B9*10^6</f>
        <v>1780000000</v>
      </c>
      <c r="G25" s="3">
        <f t="shared" si="1"/>
        <v>1508000000</v>
      </c>
    </row>
    <row r="26" spans="1:7" ht="15" thickBot="1" x14ac:dyDescent="0.4">
      <c r="A26" s="290">
        <v>45474</v>
      </c>
      <c r="B26" s="291">
        <v>3758000000</v>
      </c>
      <c r="C26" s="291"/>
      <c r="F26" s="256">
        <f>'Slide 1'!B10*10^6</f>
        <v>340000000</v>
      </c>
      <c r="G26" s="3">
        <f t="shared" si="1"/>
        <v>3418000000</v>
      </c>
    </row>
    <row r="27" spans="1:7" ht="15" thickBot="1" x14ac:dyDescent="0.4">
      <c r="A27" s="290">
        <v>45505</v>
      </c>
      <c r="B27" s="291">
        <v>3457000000</v>
      </c>
      <c r="C27" s="291"/>
      <c r="F27" s="256">
        <f>'Slide 1'!B11*10^6</f>
        <v>1456000000</v>
      </c>
      <c r="G27" s="3">
        <f t="shared" si="1"/>
        <v>2001000000</v>
      </c>
    </row>
    <row r="28" spans="1:7" ht="15" thickBot="1" x14ac:dyDescent="0.4">
      <c r="A28" s="290">
        <v>45536</v>
      </c>
      <c r="B28" s="291">
        <v>2776580000</v>
      </c>
      <c r="C28" s="291"/>
      <c r="F28" s="256">
        <f>'Slide 1'!B12*10^6</f>
        <v>4056500000</v>
      </c>
      <c r="G28" s="3">
        <f t="shared" si="1"/>
        <v>-1279920000</v>
      </c>
    </row>
    <row r="29" spans="1:7" ht="15" thickBot="1" x14ac:dyDescent="0.4">
      <c r="A29" s="290">
        <v>45566</v>
      </c>
      <c r="B29" s="291">
        <v>2343000000</v>
      </c>
      <c r="C29" s="291"/>
      <c r="F29" s="256">
        <f>'Slide 1'!B13*10^6</f>
        <v>2456000000</v>
      </c>
      <c r="G29" s="3">
        <f t="shared" si="1"/>
        <v>-113000000</v>
      </c>
    </row>
    <row r="30" spans="1:7" ht="15" thickBot="1" x14ac:dyDescent="0.4">
      <c r="A30" s="290">
        <v>45597</v>
      </c>
      <c r="B30" s="291">
        <v>2168000000</v>
      </c>
      <c r="C30" s="291"/>
      <c r="F30" s="256">
        <f>'Slide 1'!B14*10^6</f>
        <v>2869000000</v>
      </c>
      <c r="G30" s="3">
        <f t="shared" si="1"/>
        <v>-701000000</v>
      </c>
    </row>
    <row r="31" spans="1:7" ht="15" thickBot="1" x14ac:dyDescent="0.4">
      <c r="A31" s="290">
        <v>45627</v>
      </c>
      <c r="B31" s="289"/>
      <c r="C31" s="289"/>
      <c r="F31" s="256">
        <f>'Slide 1'!B15*10^6</f>
        <v>1785000000</v>
      </c>
      <c r="G31" s="3">
        <f t="shared" si="1"/>
        <v>-1785000000</v>
      </c>
    </row>
    <row r="32" spans="1:7" ht="15" thickBot="1" x14ac:dyDescent="0.4">
      <c r="B32" s="262">
        <f>SUM(B20:B31)</f>
        <v>35505000000</v>
      </c>
      <c r="F32" s="262">
        <f>SUM(F20:F31)</f>
        <v>28565500000</v>
      </c>
      <c r="G32" s="11">
        <f t="shared" si="1"/>
        <v>6939500000</v>
      </c>
    </row>
    <row r="33" spans="7:7" x14ac:dyDescent="0.35">
      <c r="G33" s="29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AA0B-B636-4E9F-8D4E-F9AB0A66BB8C}">
  <sheetPr>
    <outlinePr summaryBelow="0" summaryRight="0"/>
    <pageSetUpPr fitToPage="1"/>
  </sheetPr>
  <dimension ref="A1:R105"/>
  <sheetViews>
    <sheetView showGridLines="0" zoomScale="70" zoomScaleNormal="70" workbookViewId="0">
      <selection activeCell="AE5" sqref="AE5"/>
    </sheetView>
  </sheetViews>
  <sheetFormatPr defaultColWidth="8.75" defaultRowHeight="14.5" outlineLevelRow="2" x14ac:dyDescent="0.35"/>
  <cols>
    <col min="1" max="1" width="6.75" style="201" customWidth="1" collapsed="1"/>
    <col min="2" max="2" width="12.33203125" style="111" customWidth="1"/>
    <col min="3" max="3" width="13.5" style="111" customWidth="1"/>
    <col min="4" max="4" width="40.08203125" style="111" bestFit="1" customWidth="1"/>
    <col min="5" max="5" width="25.33203125" style="111" customWidth="1"/>
    <col min="6" max="6" width="12.33203125" style="111" customWidth="1"/>
    <col min="7" max="7" width="12.33203125" style="111" bestFit="1" customWidth="1"/>
    <col min="8" max="8" width="15.5" style="111" bestFit="1" customWidth="1"/>
    <col min="9" max="9" width="10" style="111" bestFit="1" customWidth="1"/>
    <col min="10" max="10" width="16.33203125" style="111" customWidth="1"/>
    <col min="11" max="11" width="16.75" style="111" customWidth="1"/>
    <col min="12" max="12" width="13.33203125" style="111" bestFit="1" customWidth="1"/>
    <col min="13" max="15" width="8.75" style="111"/>
    <col min="16" max="17" width="25.75" style="111" customWidth="1"/>
    <col min="18" max="18" width="18.08203125" style="111" bestFit="1" customWidth="1"/>
    <col min="19" max="16384" width="8.75" style="111"/>
  </cols>
  <sheetData>
    <row r="1" spans="1:18" ht="17" x14ac:dyDescent="0.4">
      <c r="C1" s="202" t="s">
        <v>377</v>
      </c>
    </row>
    <row r="2" spans="1:18" ht="17" x14ac:dyDescent="0.4">
      <c r="C2" s="203" t="s">
        <v>378</v>
      </c>
    </row>
    <row r="3" spans="1:18" ht="6.65" customHeight="1" x14ac:dyDescent="0.4">
      <c r="C3" s="203"/>
    </row>
    <row r="4" spans="1:18" s="107" customFormat="1" ht="37" x14ac:dyDescent="0.35">
      <c r="A4" s="204"/>
      <c r="C4" s="205" t="s">
        <v>166</v>
      </c>
    </row>
    <row r="5" spans="1:18" ht="6.65" customHeight="1" thickBot="1" x14ac:dyDescent="0.4"/>
    <row r="6" spans="1:18" s="206" customFormat="1" ht="40.4" customHeight="1" thickTop="1" x14ac:dyDescent="0.35">
      <c r="A6" s="504" t="s">
        <v>168</v>
      </c>
      <c r="B6" s="500" t="s">
        <v>379</v>
      </c>
      <c r="C6" s="504" t="s">
        <v>380</v>
      </c>
      <c r="D6" s="504" t="s">
        <v>381</v>
      </c>
      <c r="E6" s="504" t="s">
        <v>382</v>
      </c>
      <c r="F6" s="500" t="s">
        <v>383</v>
      </c>
      <c r="G6" s="500" t="s">
        <v>384</v>
      </c>
      <c r="H6" s="501" t="s">
        <v>385</v>
      </c>
      <c r="I6" s="503" t="s">
        <v>386</v>
      </c>
      <c r="J6" s="503"/>
      <c r="K6" s="503"/>
      <c r="L6" s="503"/>
    </row>
    <row r="7" spans="1:18" s="209" customFormat="1" ht="58.5" x14ac:dyDescent="0.35">
      <c r="A7" s="504"/>
      <c r="B7" s="500"/>
      <c r="C7" s="504"/>
      <c r="D7" s="504"/>
      <c r="E7" s="504"/>
      <c r="F7" s="504"/>
      <c r="G7" s="500"/>
      <c r="H7" s="502"/>
      <c r="I7" s="207" t="s">
        <v>387</v>
      </c>
      <c r="J7" s="207" t="s">
        <v>388</v>
      </c>
      <c r="K7" s="207" t="s">
        <v>389</v>
      </c>
      <c r="L7" s="208" t="s">
        <v>390</v>
      </c>
      <c r="P7" s="207" t="s">
        <v>391</v>
      </c>
      <c r="Q7" s="210" t="s">
        <v>392</v>
      </c>
    </row>
    <row r="8" spans="1:18" s="214" customFormat="1" ht="17" x14ac:dyDescent="0.4">
      <c r="A8" s="211"/>
      <c r="B8" s="211"/>
      <c r="C8" s="211"/>
      <c r="D8" s="211"/>
      <c r="E8" s="211"/>
      <c r="F8" s="211" t="s">
        <v>160</v>
      </c>
      <c r="G8" s="211" t="s">
        <v>160</v>
      </c>
      <c r="H8" s="212" t="s">
        <v>160</v>
      </c>
      <c r="I8" s="213" t="s">
        <v>159</v>
      </c>
      <c r="J8" s="213" t="s">
        <v>161</v>
      </c>
      <c r="K8" s="213" t="s">
        <v>161</v>
      </c>
      <c r="L8" s="213" t="s">
        <v>161</v>
      </c>
      <c r="P8" s="213" t="s">
        <v>159</v>
      </c>
      <c r="Q8" s="215" t="s">
        <v>159</v>
      </c>
    </row>
    <row r="9" spans="1:18" s="128" customFormat="1" ht="6.65" customHeight="1" x14ac:dyDescent="0.3">
      <c r="A9" s="127"/>
      <c r="H9" s="216"/>
    </row>
    <row r="10" spans="1:18" s="221" customFormat="1" ht="19.5" x14ac:dyDescent="0.45">
      <c r="A10" s="217" t="str">
        <f>IF($C10&lt;&gt;"",COUNTA($C$10:C10),"")</f>
        <v/>
      </c>
      <c r="B10" s="218" t="s">
        <v>208</v>
      </c>
      <c r="C10" s="218"/>
      <c r="D10" s="218"/>
      <c r="E10" s="218"/>
      <c r="F10" s="218"/>
      <c r="G10" s="218"/>
      <c r="H10" s="219"/>
      <c r="I10" s="220">
        <f>I12+I18+I23+I30</f>
        <v>2507.5500349999998</v>
      </c>
      <c r="J10" s="220">
        <f>J12+J18+J23+J30</f>
        <v>34038.846416920002</v>
      </c>
      <c r="K10" s="220">
        <f>K12+K18+K23+K30</f>
        <v>18016.5449525</v>
      </c>
      <c r="L10" s="220">
        <f>K10-J10</f>
        <v>-16022.301464420001</v>
      </c>
      <c r="P10" s="220">
        <f>P12+P18+P23+P30</f>
        <v>167.64300000000003</v>
      </c>
      <c r="Q10" s="220">
        <f>Q12+Q18+Q23+Q30</f>
        <v>2339.9070350000002</v>
      </c>
    </row>
    <row r="11" spans="1:18" s="128" customFormat="1" ht="12" x14ac:dyDescent="0.3">
      <c r="A11" s="127"/>
      <c r="H11" s="216"/>
    </row>
    <row r="12" spans="1:18" s="226" customFormat="1" ht="18.5" outlineLevel="1" x14ac:dyDescent="0.45">
      <c r="A12" s="222" t="str">
        <f>IF($C12&lt;&gt;"",COUNTA($C$10:C12),"")</f>
        <v/>
      </c>
      <c r="B12" s="223" t="s">
        <v>209</v>
      </c>
      <c r="C12" s="223"/>
      <c r="D12" s="223"/>
      <c r="E12" s="223"/>
      <c r="F12" s="223"/>
      <c r="G12" s="223"/>
      <c r="H12" s="224"/>
      <c r="I12" s="225">
        <f t="shared" ref="I12" si="0">SUM(I13:I16)</f>
        <v>1182.1542999999999</v>
      </c>
      <c r="J12" s="225">
        <f>SUM(J13:J16)</f>
        <v>14296.716840000001</v>
      </c>
      <c r="K12" s="225">
        <f t="shared" ref="K12" si="1">SUM(K13:K16)</f>
        <v>5910.7714999999998</v>
      </c>
      <c r="L12" s="225">
        <f t="shared" ref="L12:L16" si="2">K12-J12</f>
        <v>-8385.945340000002</v>
      </c>
      <c r="P12" s="225">
        <f t="shared" ref="P12:Q12" si="3">SUM(P13:P16)</f>
        <v>40.805</v>
      </c>
      <c r="Q12" s="225">
        <f t="shared" si="3"/>
        <v>1141.3493000000001</v>
      </c>
    </row>
    <row r="13" spans="1:18" s="229" customFormat="1" ht="18.5" outlineLevel="2" x14ac:dyDescent="0.45">
      <c r="A13" s="227">
        <f>IF($C13&lt;&gt;"",COUNTA($C$10:C13),"")</f>
        <v>1</v>
      </c>
      <c r="B13" s="228"/>
      <c r="C13" s="228" t="s">
        <v>115</v>
      </c>
      <c r="D13" s="228" t="s">
        <v>213</v>
      </c>
      <c r="E13" s="228" t="s">
        <v>189</v>
      </c>
      <c r="F13" s="195">
        <v>3150</v>
      </c>
      <c r="G13" s="195">
        <v>12600</v>
      </c>
      <c r="H13" s="196">
        <v>5000</v>
      </c>
      <c r="I13" s="195">
        <v>897.18889999999999</v>
      </c>
      <c r="J13" s="195">
        <f>G13*I13/10^3</f>
        <v>11304.58014</v>
      </c>
      <c r="K13" s="195">
        <f>H13*I13/10^3</f>
        <v>4485.9444999999996</v>
      </c>
      <c r="L13" s="195">
        <f t="shared" si="2"/>
        <v>-6818.6356400000004</v>
      </c>
      <c r="P13" s="195">
        <v>40.805</v>
      </c>
      <c r="Q13" s="195">
        <f>I13-P13</f>
        <v>856.38390000000004</v>
      </c>
      <c r="R13" s="229" t="str">
        <f>IF(AND(I13&gt;0,Q13=0),"Không cần chỉnh","Chỉnh")</f>
        <v>Chỉnh</v>
      </c>
    </row>
    <row r="14" spans="1:18" s="229" customFormat="1" ht="18.5" outlineLevel="2" x14ac:dyDescent="0.45">
      <c r="A14" s="227">
        <f>IF($C14&lt;&gt;"",COUNTA($C$10:C14),"")</f>
        <v>2</v>
      </c>
      <c r="B14" s="228"/>
      <c r="C14" s="228" t="s">
        <v>111</v>
      </c>
      <c r="D14" s="228" t="s">
        <v>211</v>
      </c>
      <c r="E14" s="228" t="s">
        <v>189</v>
      </c>
      <c r="F14" s="195">
        <v>1000</v>
      </c>
      <c r="G14" s="195">
        <v>10500</v>
      </c>
      <c r="H14" s="196">
        <v>5000</v>
      </c>
      <c r="I14" s="195">
        <v>205.22810000000001</v>
      </c>
      <c r="J14" s="195">
        <f t="shared" ref="J14:J16" si="4">G14*I14/10^3</f>
        <v>2154.8950500000001</v>
      </c>
      <c r="K14" s="195">
        <f t="shared" ref="K14:K16" si="5">H14*I14/10^3</f>
        <v>1026.1405000000002</v>
      </c>
      <c r="L14" s="195">
        <f t="shared" si="2"/>
        <v>-1128.7545499999999</v>
      </c>
      <c r="P14" s="195">
        <v>0</v>
      </c>
      <c r="Q14" s="195">
        <f t="shared" ref="Q14:Q16" si="6">I14-P14</f>
        <v>205.22810000000001</v>
      </c>
      <c r="R14" s="229" t="str">
        <f t="shared" ref="R14:R16" si="7">IF(AND(I14&gt;0,Q14=0),"Không cần chỉnh","Chỉnh")</f>
        <v>Chỉnh</v>
      </c>
    </row>
    <row r="15" spans="1:18" s="229" customFormat="1" ht="18.5" outlineLevel="2" x14ac:dyDescent="0.45">
      <c r="A15" s="227">
        <f>IF($C15&lt;&gt;"",COUNTA($C$10:C15),"")</f>
        <v>3</v>
      </c>
      <c r="B15" s="228"/>
      <c r="C15" s="228" t="s">
        <v>218</v>
      </c>
      <c r="D15" s="228" t="s">
        <v>219</v>
      </c>
      <c r="E15" s="228" t="s">
        <v>189</v>
      </c>
      <c r="F15" s="195" t="s">
        <v>217</v>
      </c>
      <c r="G15" s="195">
        <v>10500</v>
      </c>
      <c r="H15" s="196">
        <v>5000</v>
      </c>
      <c r="I15" s="195">
        <v>69.790000000000006</v>
      </c>
      <c r="J15" s="195">
        <f t="shared" si="4"/>
        <v>732.79500000000007</v>
      </c>
      <c r="K15" s="195">
        <f t="shared" si="5"/>
        <v>348.95000000000005</v>
      </c>
      <c r="L15" s="195">
        <f t="shared" si="2"/>
        <v>-383.84500000000003</v>
      </c>
      <c r="P15" s="195">
        <v>0</v>
      </c>
      <c r="Q15" s="195">
        <f t="shared" si="6"/>
        <v>69.790000000000006</v>
      </c>
      <c r="R15" s="229" t="str">
        <f t="shared" si="7"/>
        <v>Chỉnh</v>
      </c>
    </row>
    <row r="16" spans="1:18" s="229" customFormat="1" ht="18.5" outlineLevel="2" x14ac:dyDescent="0.45">
      <c r="A16" s="227">
        <f>IF($C16&lt;&gt;"",COUNTA($C$10:C16),"")</f>
        <v>4</v>
      </c>
      <c r="B16" s="228"/>
      <c r="C16" s="228" t="s">
        <v>215</v>
      </c>
      <c r="D16" s="228" t="s">
        <v>216</v>
      </c>
      <c r="E16" s="228" t="s">
        <v>193</v>
      </c>
      <c r="F16" s="195" t="s">
        <v>217</v>
      </c>
      <c r="G16" s="195">
        <v>10500</v>
      </c>
      <c r="H16" s="196">
        <v>5000</v>
      </c>
      <c r="I16" s="195">
        <v>9.9472999999999985</v>
      </c>
      <c r="J16" s="195">
        <f t="shared" si="4"/>
        <v>104.44664999999998</v>
      </c>
      <c r="K16" s="195">
        <f t="shared" si="5"/>
        <v>49.736499999999992</v>
      </c>
      <c r="L16" s="195">
        <f t="shared" si="2"/>
        <v>-54.710149999999985</v>
      </c>
      <c r="P16" s="195">
        <v>0</v>
      </c>
      <c r="Q16" s="195">
        <f t="shared" si="6"/>
        <v>9.9472999999999985</v>
      </c>
      <c r="R16" s="229" t="str">
        <f t="shared" si="7"/>
        <v>Chỉnh</v>
      </c>
    </row>
    <row r="17" spans="1:18" s="229" customFormat="1" ht="6.65" customHeight="1" outlineLevel="1" x14ac:dyDescent="0.45">
      <c r="A17" s="230"/>
      <c r="B17" s="231"/>
      <c r="C17" s="231"/>
      <c r="D17" s="231"/>
      <c r="E17" s="231"/>
      <c r="F17" s="197"/>
      <c r="G17" s="197"/>
      <c r="H17" s="198"/>
      <c r="I17" s="197"/>
      <c r="J17" s="197"/>
      <c r="K17" s="197"/>
      <c r="L17" s="197"/>
      <c r="P17" s="197"/>
      <c r="Q17" s="197"/>
    </row>
    <row r="18" spans="1:18" s="229" customFormat="1" ht="18.5" outlineLevel="1" x14ac:dyDescent="0.45">
      <c r="A18" s="232" t="str">
        <f>IF($C18&lt;&gt;"",COUNTA($C$10:C18),"")</f>
        <v/>
      </c>
      <c r="B18" s="223" t="s">
        <v>220</v>
      </c>
      <c r="C18" s="233"/>
      <c r="D18" s="233"/>
      <c r="E18" s="233"/>
      <c r="F18" s="233"/>
      <c r="G18" s="233"/>
      <c r="H18" s="234"/>
      <c r="I18" s="225">
        <f>SUM(I19:I21)</f>
        <v>653.36111500000004</v>
      </c>
      <c r="J18" s="225">
        <f t="shared" ref="J18:K18" si="8">SUM(J19:J21)</f>
        <v>11521.341301640001</v>
      </c>
      <c r="K18" s="225">
        <f t="shared" si="8"/>
        <v>6230.3317074999995</v>
      </c>
      <c r="L18" s="225">
        <f t="shared" ref="L18:L21" si="9">K18-J18</f>
        <v>-5291.0095941400014</v>
      </c>
      <c r="P18" s="225">
        <f>SUM(P19:P21)</f>
        <v>18.779</v>
      </c>
      <c r="Q18" s="225">
        <f>SUM(Q19:Q21)</f>
        <v>634.58211500000004</v>
      </c>
    </row>
    <row r="19" spans="1:18" s="229" customFormat="1" ht="18.5" outlineLevel="2" x14ac:dyDescent="0.45">
      <c r="A19" s="227">
        <f>IF($C19&lt;&gt;"",COUNTA($C$10:C19),"")</f>
        <v>5</v>
      </c>
      <c r="B19" s="228"/>
      <c r="C19" s="228" t="s">
        <v>36</v>
      </c>
      <c r="D19" s="228" t="s">
        <v>37</v>
      </c>
      <c r="E19" s="228" t="s">
        <v>188</v>
      </c>
      <c r="F19" s="195" t="s">
        <v>217</v>
      </c>
      <c r="G19" s="195">
        <v>19736</v>
      </c>
      <c r="H19" s="196">
        <v>10500</v>
      </c>
      <c r="I19" s="195">
        <v>536.33711500000004</v>
      </c>
      <c r="J19" s="195">
        <f t="shared" ref="J19:J21" si="10">G19*I19/10^3</f>
        <v>10585.14930164</v>
      </c>
      <c r="K19" s="195">
        <f t="shared" ref="K19:K21" si="11">H19*I19/10^3</f>
        <v>5631.5397075000001</v>
      </c>
      <c r="L19" s="195">
        <f t="shared" si="9"/>
        <v>-4953.6095941399999</v>
      </c>
      <c r="P19" s="195">
        <v>0</v>
      </c>
      <c r="Q19" s="195">
        <f t="shared" ref="Q19:Q21" si="12">I19-P19</f>
        <v>536.33711500000004</v>
      </c>
      <c r="R19" s="229" t="str">
        <f t="shared" ref="R19:R21" si="13">IF(AND(I19&gt;0,Q19=0),"Không cần chỉnh","Chỉnh")</f>
        <v>Chỉnh</v>
      </c>
    </row>
    <row r="20" spans="1:18" s="229" customFormat="1" ht="18.5" outlineLevel="2" x14ac:dyDescent="0.45">
      <c r="A20" s="227">
        <f>IF($C20&lt;&gt;"",COUNTA($C$10:C20),"")</f>
        <v>6</v>
      </c>
      <c r="B20" s="228"/>
      <c r="C20" s="228" t="s">
        <v>224</v>
      </c>
      <c r="D20" s="228" t="s">
        <v>225</v>
      </c>
      <c r="E20" s="228" t="s">
        <v>188</v>
      </c>
      <c r="F20" s="195">
        <v>8000</v>
      </c>
      <c r="G20" s="195">
        <v>8000</v>
      </c>
      <c r="H20" s="196">
        <v>3000</v>
      </c>
      <c r="I20" s="195">
        <v>67.48</v>
      </c>
      <c r="J20" s="195">
        <f t="shared" si="10"/>
        <v>539.84</v>
      </c>
      <c r="K20" s="195">
        <f t="shared" si="11"/>
        <v>202.44</v>
      </c>
      <c r="L20" s="195">
        <f t="shared" si="9"/>
        <v>-337.40000000000003</v>
      </c>
      <c r="P20" s="195">
        <v>18.779</v>
      </c>
      <c r="Q20" s="195">
        <f t="shared" si="12"/>
        <v>48.701000000000008</v>
      </c>
      <c r="R20" s="229" t="str">
        <f t="shared" si="13"/>
        <v>Chỉnh</v>
      </c>
    </row>
    <row r="21" spans="1:18" s="229" customFormat="1" ht="18.5" outlineLevel="2" x14ac:dyDescent="0.45">
      <c r="A21" s="227">
        <f>IF($C21&lt;&gt;"",COUNTA($C$10:C21),"")</f>
        <v>7</v>
      </c>
      <c r="B21" s="228"/>
      <c r="C21" s="228" t="s">
        <v>222</v>
      </c>
      <c r="D21" s="228" t="s">
        <v>223</v>
      </c>
      <c r="E21" s="228" t="s">
        <v>188</v>
      </c>
      <c r="F21" s="195">
        <v>8000</v>
      </c>
      <c r="G21" s="195">
        <v>8000</v>
      </c>
      <c r="H21" s="196">
        <v>8000</v>
      </c>
      <c r="I21" s="195">
        <v>49.543999999999997</v>
      </c>
      <c r="J21" s="195">
        <f t="shared" si="10"/>
        <v>396.35199999999998</v>
      </c>
      <c r="K21" s="195">
        <f t="shared" si="11"/>
        <v>396.35199999999998</v>
      </c>
      <c r="L21" s="195">
        <f t="shared" si="9"/>
        <v>0</v>
      </c>
      <c r="P21" s="195">
        <v>0</v>
      </c>
      <c r="Q21" s="195">
        <f t="shared" si="12"/>
        <v>49.543999999999997</v>
      </c>
      <c r="R21" s="229" t="str">
        <f t="shared" si="13"/>
        <v>Chỉnh</v>
      </c>
    </row>
    <row r="22" spans="1:18" s="229" customFormat="1" ht="6.65" customHeight="1" outlineLevel="1" x14ac:dyDescent="0.45">
      <c r="A22" s="230"/>
      <c r="B22" s="231"/>
      <c r="C22" s="231"/>
      <c r="D22" s="231"/>
      <c r="E22" s="231"/>
      <c r="F22" s="197"/>
      <c r="G22" s="197"/>
      <c r="H22" s="198"/>
      <c r="I22" s="197"/>
      <c r="J22" s="197"/>
      <c r="K22" s="197"/>
      <c r="L22" s="197"/>
      <c r="P22" s="197"/>
      <c r="Q22" s="197"/>
    </row>
    <row r="23" spans="1:18" s="229" customFormat="1" ht="18.5" outlineLevel="1" x14ac:dyDescent="0.45">
      <c r="A23" s="232" t="str">
        <f>IF($C23&lt;&gt;"",COUNTA($C$10:C23),"")</f>
        <v/>
      </c>
      <c r="B23" s="223" t="s">
        <v>227</v>
      </c>
      <c r="C23" s="233"/>
      <c r="D23" s="233"/>
      <c r="E23" s="233"/>
      <c r="F23" s="233"/>
      <c r="G23" s="233"/>
      <c r="H23" s="234"/>
      <c r="I23" s="225">
        <f>SUM(I24:I28)</f>
        <v>398.43919000000005</v>
      </c>
      <c r="J23" s="225">
        <f t="shared" ref="J23:K23" si="14">SUM(J24:J28)</f>
        <v>4042.10082328</v>
      </c>
      <c r="K23" s="225">
        <f t="shared" si="14"/>
        <v>3187.5135200000004</v>
      </c>
      <c r="L23" s="225">
        <f t="shared" ref="L23:L28" si="15">K23-J23</f>
        <v>-854.58730327999956</v>
      </c>
      <c r="P23" s="225">
        <f>SUM(P24:P28)</f>
        <v>40.962000000000003</v>
      </c>
      <c r="Q23" s="225">
        <f>SUM(Q24:Q28)</f>
        <v>357.47719000000006</v>
      </c>
    </row>
    <row r="24" spans="1:18" s="229" customFormat="1" ht="18.5" outlineLevel="2" x14ac:dyDescent="0.45">
      <c r="A24" s="227">
        <f>IF($C24&lt;&gt;"",COUNTA($C$10:C24),"")</f>
        <v>8</v>
      </c>
      <c r="B24" s="228"/>
      <c r="C24" s="228" t="s">
        <v>34</v>
      </c>
      <c r="D24" s="228" t="s">
        <v>35</v>
      </c>
      <c r="E24" s="228" t="s">
        <v>188</v>
      </c>
      <c r="F24" s="195">
        <v>8000</v>
      </c>
      <c r="G24" s="195">
        <v>8000</v>
      </c>
      <c r="H24" s="196">
        <v>8000</v>
      </c>
      <c r="I24" s="195">
        <v>293.7851</v>
      </c>
      <c r="J24" s="195">
        <f t="shared" ref="J24:J28" si="16">G24*I24/10^3</f>
        <v>2350.2808</v>
      </c>
      <c r="K24" s="195">
        <f t="shared" ref="K24:K28" si="17">H24*I24/10^3</f>
        <v>2350.2808</v>
      </c>
      <c r="L24" s="195">
        <f t="shared" si="15"/>
        <v>0</v>
      </c>
      <c r="P24" s="195">
        <v>36.698</v>
      </c>
      <c r="Q24" s="195">
        <f t="shared" ref="Q24:Q28" si="18">I24-P24</f>
        <v>257.08710000000002</v>
      </c>
      <c r="R24" s="229" t="str">
        <f t="shared" ref="R24:R28" si="19">IF(AND(I24&gt;0,Q24=0),"Không cần chỉnh","Chỉnh")</f>
        <v>Chỉnh</v>
      </c>
    </row>
    <row r="25" spans="1:18" s="229" customFormat="1" ht="18.5" outlineLevel="2" x14ac:dyDescent="0.45">
      <c r="A25" s="227">
        <f>IF($C25&lt;&gt;"",COUNTA($C$10:C25),"")</f>
        <v>9</v>
      </c>
      <c r="B25" s="228"/>
      <c r="C25" s="228" t="s">
        <v>17</v>
      </c>
      <c r="D25" s="228" t="s">
        <v>18</v>
      </c>
      <c r="E25" s="228" t="s">
        <v>188</v>
      </c>
      <c r="F25" s="195">
        <v>8000</v>
      </c>
      <c r="G25" s="195">
        <v>19192</v>
      </c>
      <c r="H25" s="196">
        <v>8000</v>
      </c>
      <c r="I25" s="195">
        <v>59.663089999999997</v>
      </c>
      <c r="J25" s="195">
        <f t="shared" si="16"/>
        <v>1145.0540232799999</v>
      </c>
      <c r="K25" s="195">
        <f t="shared" si="17"/>
        <v>477.30471999999997</v>
      </c>
      <c r="L25" s="195">
        <f t="shared" si="15"/>
        <v>-667.74930327999994</v>
      </c>
      <c r="P25" s="195">
        <v>0</v>
      </c>
      <c r="Q25" s="195">
        <f t="shared" si="18"/>
        <v>59.663089999999997</v>
      </c>
      <c r="R25" s="229" t="str">
        <f t="shared" si="19"/>
        <v>Chỉnh</v>
      </c>
    </row>
    <row r="26" spans="1:18" s="229" customFormat="1" ht="18.5" outlineLevel="2" x14ac:dyDescent="0.45">
      <c r="A26" s="227">
        <f>IF($C26&lt;&gt;"",COUNTA($C$10:C26),"")</f>
        <v>10</v>
      </c>
      <c r="B26" s="228"/>
      <c r="C26" s="228" t="s">
        <v>229</v>
      </c>
      <c r="D26" s="228" t="s">
        <v>230</v>
      </c>
      <c r="E26" s="228" t="s">
        <v>189</v>
      </c>
      <c r="F26" s="195">
        <v>8000</v>
      </c>
      <c r="G26" s="195">
        <v>10000</v>
      </c>
      <c r="H26" s="196">
        <v>8000</v>
      </c>
      <c r="I26" s="195">
        <v>26.538</v>
      </c>
      <c r="J26" s="195">
        <f t="shared" si="16"/>
        <v>265.38</v>
      </c>
      <c r="K26" s="195">
        <f t="shared" si="17"/>
        <v>212.304</v>
      </c>
      <c r="L26" s="195">
        <f t="shared" si="15"/>
        <v>-53.075999999999993</v>
      </c>
      <c r="P26" s="195">
        <v>0</v>
      </c>
      <c r="Q26" s="195">
        <f t="shared" si="18"/>
        <v>26.538</v>
      </c>
      <c r="R26" s="229" t="str">
        <f t="shared" si="19"/>
        <v>Chỉnh</v>
      </c>
    </row>
    <row r="27" spans="1:18" s="229" customFormat="1" ht="18.5" outlineLevel="2" x14ac:dyDescent="0.45">
      <c r="A27" s="227">
        <f>IF($C27&lt;&gt;"",COUNTA($C$10:C27),"")</f>
        <v>11</v>
      </c>
      <c r="B27" s="228"/>
      <c r="C27" s="228" t="s">
        <v>231</v>
      </c>
      <c r="D27" s="228" t="s">
        <v>232</v>
      </c>
      <c r="E27" s="228" t="s">
        <v>188</v>
      </c>
      <c r="F27" s="195">
        <v>8000</v>
      </c>
      <c r="G27" s="195">
        <v>17000</v>
      </c>
      <c r="H27" s="196">
        <v>8000</v>
      </c>
      <c r="I27" s="195">
        <v>11.99</v>
      </c>
      <c r="J27" s="195">
        <f t="shared" si="16"/>
        <v>203.83</v>
      </c>
      <c r="K27" s="195">
        <f t="shared" si="17"/>
        <v>95.92</v>
      </c>
      <c r="L27" s="195">
        <f t="shared" si="15"/>
        <v>-107.91000000000001</v>
      </c>
      <c r="P27" s="195">
        <v>4.2640000000000002</v>
      </c>
      <c r="Q27" s="195">
        <f t="shared" si="18"/>
        <v>7.726</v>
      </c>
      <c r="R27" s="229" t="str">
        <f t="shared" si="19"/>
        <v>Chỉnh</v>
      </c>
    </row>
    <row r="28" spans="1:18" s="229" customFormat="1" ht="18.5" outlineLevel="2" x14ac:dyDescent="0.45">
      <c r="A28" s="227">
        <f>IF($C28&lt;&gt;"",COUNTA($C$10:C28),"")</f>
        <v>12</v>
      </c>
      <c r="B28" s="228"/>
      <c r="C28" s="228" t="s">
        <v>233</v>
      </c>
      <c r="D28" s="228" t="s">
        <v>234</v>
      </c>
      <c r="E28" s="228" t="s">
        <v>188</v>
      </c>
      <c r="F28" s="195">
        <v>8000</v>
      </c>
      <c r="G28" s="195">
        <v>12000</v>
      </c>
      <c r="H28" s="196">
        <v>8000</v>
      </c>
      <c r="I28" s="195">
        <v>6.4630000000000001</v>
      </c>
      <c r="J28" s="195">
        <f t="shared" si="16"/>
        <v>77.555999999999997</v>
      </c>
      <c r="K28" s="195">
        <f t="shared" si="17"/>
        <v>51.704000000000001</v>
      </c>
      <c r="L28" s="195">
        <f t="shared" si="15"/>
        <v>-25.851999999999997</v>
      </c>
      <c r="P28" s="195">
        <v>0</v>
      </c>
      <c r="Q28" s="195">
        <f t="shared" si="18"/>
        <v>6.4630000000000001</v>
      </c>
      <c r="R28" s="229" t="str">
        <f t="shared" si="19"/>
        <v>Chỉnh</v>
      </c>
    </row>
    <row r="29" spans="1:18" s="229" customFormat="1" ht="6.65" customHeight="1" outlineLevel="1" x14ac:dyDescent="0.45">
      <c r="A29" s="230"/>
      <c r="B29" s="231"/>
      <c r="C29" s="231"/>
      <c r="D29" s="231"/>
      <c r="E29" s="231"/>
      <c r="F29" s="197"/>
      <c r="G29" s="197"/>
      <c r="H29" s="198"/>
      <c r="I29" s="197"/>
      <c r="J29" s="197"/>
      <c r="K29" s="197"/>
      <c r="L29" s="197"/>
      <c r="P29" s="197"/>
      <c r="Q29" s="197"/>
    </row>
    <row r="30" spans="1:18" s="229" customFormat="1" ht="18.5" outlineLevel="1" x14ac:dyDescent="0.45">
      <c r="A30" s="232" t="str">
        <f>IF($C30&lt;&gt;"",COUNTA($C$10:C30),"")</f>
        <v/>
      </c>
      <c r="B30" s="223" t="s">
        <v>236</v>
      </c>
      <c r="C30" s="233"/>
      <c r="D30" s="233"/>
      <c r="E30" s="233"/>
      <c r="F30" s="233"/>
      <c r="G30" s="233"/>
      <c r="H30" s="234"/>
      <c r="I30" s="225">
        <f>SUM(I31:I43)</f>
        <v>273.59543000000002</v>
      </c>
      <c r="J30" s="225">
        <f t="shared" ref="J30:K30" si="20">SUM(J31:J43)</f>
        <v>4178.687452000001</v>
      </c>
      <c r="K30" s="225">
        <f t="shared" si="20"/>
        <v>2687.9282250000006</v>
      </c>
      <c r="L30" s="225">
        <f t="shared" ref="L30:L43" si="21">K30-J30</f>
        <v>-1490.7592270000005</v>
      </c>
      <c r="P30" s="225">
        <f>SUM(P31:P43)</f>
        <v>67.097000000000008</v>
      </c>
      <c r="Q30" s="225">
        <f>SUM(Q31:Q43)</f>
        <v>206.49842999999998</v>
      </c>
    </row>
    <row r="31" spans="1:18" s="229" customFormat="1" ht="18.5" outlineLevel="2" x14ac:dyDescent="0.45">
      <c r="A31" s="227">
        <f>IF($C31&lt;&gt;"",COUNTA($C$10:C31),"")</f>
        <v>13</v>
      </c>
      <c r="B31" s="228"/>
      <c r="C31" s="228" t="s">
        <v>249</v>
      </c>
      <c r="D31" s="228" t="s">
        <v>250</v>
      </c>
      <c r="E31" s="228" t="s">
        <v>193</v>
      </c>
      <c r="F31" s="195">
        <v>9500</v>
      </c>
      <c r="G31" s="195">
        <v>10000</v>
      </c>
      <c r="H31" s="196">
        <v>9500</v>
      </c>
      <c r="I31" s="195">
        <v>53.559290000000004</v>
      </c>
      <c r="J31" s="195">
        <f t="shared" ref="J31:J43" si="22">G31*I31/10^3</f>
        <v>535.59289999999999</v>
      </c>
      <c r="K31" s="195">
        <f t="shared" ref="K31:K43" si="23">H31*I31/10^3</f>
        <v>508.81325500000008</v>
      </c>
      <c r="L31" s="195">
        <f t="shared" si="21"/>
        <v>-26.779644999999903</v>
      </c>
      <c r="P31" s="195">
        <v>36.335000000000001</v>
      </c>
      <c r="Q31" s="195">
        <f t="shared" ref="Q31:Q43" si="24">I31-P31</f>
        <v>17.224290000000003</v>
      </c>
      <c r="R31" s="229" t="str">
        <f t="shared" ref="R31:R43" si="25">IF(AND(I31&gt;0,Q31=0),"Không cần chỉnh","Chỉnh")</f>
        <v>Chỉnh</v>
      </c>
    </row>
    <row r="32" spans="1:18" s="229" customFormat="1" ht="18.5" outlineLevel="2" x14ac:dyDescent="0.45">
      <c r="A32" s="227">
        <f>IF($C32&lt;&gt;"",COUNTA($C$10:C32),"")</f>
        <v>14</v>
      </c>
      <c r="B32" s="228"/>
      <c r="C32" s="228" t="s">
        <v>246</v>
      </c>
      <c r="D32" s="228" t="s">
        <v>247</v>
      </c>
      <c r="E32" s="228" t="s">
        <v>193</v>
      </c>
      <c r="F32" s="195">
        <v>15000</v>
      </c>
      <c r="G32" s="195">
        <v>20000</v>
      </c>
      <c r="H32" s="196">
        <v>15000</v>
      </c>
      <c r="I32" s="195">
        <v>65.397000000000006</v>
      </c>
      <c r="J32" s="195">
        <f t="shared" si="22"/>
        <v>1307.94</v>
      </c>
      <c r="K32" s="195">
        <f t="shared" si="23"/>
        <v>980.95500000000015</v>
      </c>
      <c r="L32" s="195">
        <f t="shared" si="21"/>
        <v>-326.9849999999999</v>
      </c>
      <c r="P32" s="195">
        <v>0</v>
      </c>
      <c r="Q32" s="195">
        <f t="shared" si="24"/>
        <v>65.397000000000006</v>
      </c>
      <c r="R32" s="229" t="str">
        <f t="shared" si="25"/>
        <v>Chỉnh</v>
      </c>
    </row>
    <row r="33" spans="1:18" s="229" customFormat="1" ht="18.5" outlineLevel="2" x14ac:dyDescent="0.45">
      <c r="A33" s="227">
        <f>IF($C33&lt;&gt;"",COUNTA($C$10:C33),"")</f>
        <v>15</v>
      </c>
      <c r="B33" s="228"/>
      <c r="C33" s="228" t="s">
        <v>113</v>
      </c>
      <c r="D33" s="228" t="s">
        <v>238</v>
      </c>
      <c r="E33" s="228" t="s">
        <v>186</v>
      </c>
      <c r="F33" s="195">
        <v>8000</v>
      </c>
      <c r="G33" s="195">
        <v>17014</v>
      </c>
      <c r="H33" s="196">
        <v>8000</v>
      </c>
      <c r="I33" s="195">
        <v>42.499000000000002</v>
      </c>
      <c r="J33" s="195">
        <f t="shared" si="22"/>
        <v>723.07798600000001</v>
      </c>
      <c r="K33" s="195">
        <f t="shared" si="23"/>
        <v>339.99200000000002</v>
      </c>
      <c r="L33" s="195">
        <f t="shared" si="21"/>
        <v>-383.08598599999999</v>
      </c>
      <c r="P33" s="195">
        <v>0</v>
      </c>
      <c r="Q33" s="195">
        <f t="shared" si="24"/>
        <v>42.499000000000002</v>
      </c>
      <c r="R33" s="229" t="str">
        <f t="shared" si="25"/>
        <v>Chỉnh</v>
      </c>
    </row>
    <row r="34" spans="1:18" s="229" customFormat="1" ht="18.5" outlineLevel="2" x14ac:dyDescent="0.45">
      <c r="A34" s="227">
        <f>IF($C34&lt;&gt;"",COUNTA($C$10:C34),"")</f>
        <v>16</v>
      </c>
      <c r="B34" s="228"/>
      <c r="C34" s="228" t="s">
        <v>117</v>
      </c>
      <c r="D34" s="228" t="s">
        <v>240</v>
      </c>
      <c r="E34" s="228" t="s">
        <v>186</v>
      </c>
      <c r="F34" s="195">
        <v>8000</v>
      </c>
      <c r="G34" s="195">
        <v>17014</v>
      </c>
      <c r="H34" s="196">
        <v>8000</v>
      </c>
      <c r="I34" s="195">
        <v>19.559000000000001</v>
      </c>
      <c r="J34" s="195">
        <f t="shared" si="22"/>
        <v>332.77682600000003</v>
      </c>
      <c r="K34" s="195">
        <f t="shared" si="23"/>
        <v>156.47200000000001</v>
      </c>
      <c r="L34" s="195">
        <f t="shared" si="21"/>
        <v>-176.30482600000002</v>
      </c>
      <c r="P34" s="195">
        <v>0</v>
      </c>
      <c r="Q34" s="195">
        <f t="shared" si="24"/>
        <v>19.559000000000001</v>
      </c>
      <c r="R34" s="229" t="str">
        <f t="shared" si="25"/>
        <v>Chỉnh</v>
      </c>
    </row>
    <row r="35" spans="1:18" s="229" customFormat="1" ht="18.5" outlineLevel="2" x14ac:dyDescent="0.45">
      <c r="A35" s="227">
        <f>IF($C35&lt;&gt;"",COUNTA($C$10:C35),"")</f>
        <v>17</v>
      </c>
      <c r="B35" s="228"/>
      <c r="C35" s="228" t="s">
        <v>257</v>
      </c>
      <c r="D35" s="228" t="s">
        <v>258</v>
      </c>
      <c r="E35" s="228" t="s">
        <v>189</v>
      </c>
      <c r="F35" s="195">
        <v>10500</v>
      </c>
      <c r="G35" s="195">
        <v>10500</v>
      </c>
      <c r="H35" s="196">
        <v>10500</v>
      </c>
      <c r="I35" s="195">
        <v>18.074939999999998</v>
      </c>
      <c r="J35" s="195">
        <f t="shared" si="22"/>
        <v>189.78686999999996</v>
      </c>
      <c r="K35" s="195">
        <f t="shared" si="23"/>
        <v>189.78686999999996</v>
      </c>
      <c r="L35" s="195">
        <f t="shared" si="21"/>
        <v>0</v>
      </c>
      <c r="P35" s="195">
        <v>0</v>
      </c>
      <c r="Q35" s="195">
        <f t="shared" si="24"/>
        <v>18.074939999999998</v>
      </c>
      <c r="R35" s="229" t="str">
        <f t="shared" si="25"/>
        <v>Chỉnh</v>
      </c>
    </row>
    <row r="36" spans="1:18" s="229" customFormat="1" ht="18.5" outlineLevel="2" x14ac:dyDescent="0.45">
      <c r="A36" s="227">
        <f>IF($C36&lt;&gt;"",COUNTA($C$10:C36),"")</f>
        <v>18</v>
      </c>
      <c r="B36" s="228"/>
      <c r="C36" s="228" t="s">
        <v>260</v>
      </c>
      <c r="D36" s="228" t="s">
        <v>261</v>
      </c>
      <c r="E36" s="228" t="s">
        <v>189</v>
      </c>
      <c r="F36" s="195" t="s">
        <v>217</v>
      </c>
      <c r="G36" s="195">
        <v>10500</v>
      </c>
      <c r="H36" s="196">
        <v>5000</v>
      </c>
      <c r="I36" s="195">
        <v>16.350999999999999</v>
      </c>
      <c r="J36" s="195">
        <f t="shared" si="22"/>
        <v>171.68549999999999</v>
      </c>
      <c r="K36" s="195">
        <f t="shared" si="23"/>
        <v>81.754999999999995</v>
      </c>
      <c r="L36" s="195">
        <f t="shared" si="21"/>
        <v>-89.930499999999995</v>
      </c>
      <c r="P36" s="195">
        <v>4.8879999999999999</v>
      </c>
      <c r="Q36" s="195">
        <f t="shared" si="24"/>
        <v>11.462999999999999</v>
      </c>
      <c r="R36" s="229" t="str">
        <f t="shared" si="25"/>
        <v>Chỉnh</v>
      </c>
    </row>
    <row r="37" spans="1:18" s="229" customFormat="1" ht="18.5" outlineLevel="2" x14ac:dyDescent="0.45">
      <c r="A37" s="227">
        <f>IF($C37&lt;&gt;"",COUNTA($C$10:C37),"")</f>
        <v>19</v>
      </c>
      <c r="B37" s="228"/>
      <c r="C37" s="228" t="s">
        <v>266</v>
      </c>
      <c r="D37" s="228" t="s">
        <v>267</v>
      </c>
      <c r="E37" s="228" t="s">
        <v>186</v>
      </c>
      <c r="F37" s="195" t="s">
        <v>217</v>
      </c>
      <c r="G37" s="195">
        <v>2000</v>
      </c>
      <c r="H37" s="196">
        <v>500</v>
      </c>
      <c r="I37" s="195">
        <v>11.624000000000001</v>
      </c>
      <c r="J37" s="195">
        <f t="shared" si="22"/>
        <v>23.248000000000001</v>
      </c>
      <c r="K37" s="195">
        <f t="shared" si="23"/>
        <v>5.8120000000000003</v>
      </c>
      <c r="L37" s="195">
        <f t="shared" si="21"/>
        <v>-17.436</v>
      </c>
      <c r="P37" s="195">
        <v>0.214</v>
      </c>
      <c r="Q37" s="195">
        <f t="shared" si="24"/>
        <v>11.41</v>
      </c>
      <c r="R37" s="229" t="str">
        <f t="shared" si="25"/>
        <v>Chỉnh</v>
      </c>
    </row>
    <row r="38" spans="1:18" s="229" customFormat="1" ht="18.5" outlineLevel="2" x14ac:dyDescent="0.45">
      <c r="A38" s="227">
        <f>IF($C38&lt;&gt;"",COUNTA($C$10:C38),"")</f>
        <v>20</v>
      </c>
      <c r="B38" s="228"/>
      <c r="C38" s="228" t="s">
        <v>119</v>
      </c>
      <c r="D38" s="228" t="s">
        <v>241</v>
      </c>
      <c r="E38" s="228" t="s">
        <v>186</v>
      </c>
      <c r="F38" s="195">
        <v>8000</v>
      </c>
      <c r="G38" s="195">
        <v>17014</v>
      </c>
      <c r="H38" s="196">
        <v>8000</v>
      </c>
      <c r="I38" s="195">
        <v>11.36</v>
      </c>
      <c r="J38" s="195">
        <f t="shared" si="22"/>
        <v>193.27903999999998</v>
      </c>
      <c r="K38" s="195">
        <f t="shared" si="23"/>
        <v>90.88</v>
      </c>
      <c r="L38" s="195">
        <f t="shared" si="21"/>
        <v>-102.39903999999999</v>
      </c>
      <c r="P38" s="195">
        <v>11.36</v>
      </c>
      <c r="Q38" s="195">
        <f t="shared" si="24"/>
        <v>0</v>
      </c>
      <c r="R38" s="229" t="str">
        <f t="shared" si="25"/>
        <v>Không cần chỉnh</v>
      </c>
    </row>
    <row r="39" spans="1:18" s="229" customFormat="1" ht="18.5" outlineLevel="2" x14ac:dyDescent="0.45">
      <c r="A39" s="227">
        <f>IF($C39&lt;&gt;"",COUNTA($C$10:C39),"")</f>
        <v>21</v>
      </c>
      <c r="B39" s="228"/>
      <c r="C39" s="228" t="s">
        <v>243</v>
      </c>
      <c r="D39" s="228" t="s">
        <v>244</v>
      </c>
      <c r="E39" s="228" t="s">
        <v>186</v>
      </c>
      <c r="F39" s="195" t="s">
        <v>217</v>
      </c>
      <c r="G39" s="195">
        <v>17000</v>
      </c>
      <c r="H39" s="196">
        <v>10500</v>
      </c>
      <c r="I39" s="195">
        <v>7.7389999999999999</v>
      </c>
      <c r="J39" s="195">
        <f t="shared" si="22"/>
        <v>131.56299999999999</v>
      </c>
      <c r="K39" s="195">
        <f t="shared" si="23"/>
        <v>81.259500000000003</v>
      </c>
      <c r="L39" s="195">
        <f t="shared" si="21"/>
        <v>-50.303499999999985</v>
      </c>
      <c r="P39" s="195">
        <v>2.831</v>
      </c>
      <c r="Q39" s="195">
        <f t="shared" si="24"/>
        <v>4.9079999999999995</v>
      </c>
      <c r="R39" s="229" t="str">
        <f t="shared" si="25"/>
        <v>Chỉnh</v>
      </c>
    </row>
    <row r="40" spans="1:18" s="229" customFormat="1" ht="18.5" outlineLevel="2" x14ac:dyDescent="0.45">
      <c r="A40" s="227">
        <f>IF($C40&lt;&gt;"",COUNTA($C$10:C40),"")</f>
        <v>22</v>
      </c>
      <c r="B40" s="228"/>
      <c r="C40" s="228" t="s">
        <v>121</v>
      </c>
      <c r="D40" s="228" t="s">
        <v>242</v>
      </c>
      <c r="E40" s="228" t="s">
        <v>186</v>
      </c>
      <c r="F40" s="195">
        <v>8000</v>
      </c>
      <c r="G40" s="195">
        <v>17014</v>
      </c>
      <c r="H40" s="196">
        <v>8000</v>
      </c>
      <c r="I40" s="195">
        <v>6.88</v>
      </c>
      <c r="J40" s="195">
        <f t="shared" si="22"/>
        <v>117.05632</v>
      </c>
      <c r="K40" s="195">
        <f t="shared" si="23"/>
        <v>55.04</v>
      </c>
      <c r="L40" s="195">
        <f t="shared" si="21"/>
        <v>-62.01632</v>
      </c>
      <c r="P40" s="195">
        <v>4.1580000000000004</v>
      </c>
      <c r="Q40" s="195">
        <f t="shared" si="24"/>
        <v>2.7219999999999995</v>
      </c>
      <c r="R40" s="229" t="str">
        <f t="shared" si="25"/>
        <v>Chỉnh</v>
      </c>
    </row>
    <row r="41" spans="1:18" s="229" customFormat="1" ht="18.5" outlineLevel="2" x14ac:dyDescent="0.45">
      <c r="A41" s="227">
        <f>IF($C41&lt;&gt;"",COUNTA($C$10:C41),"")</f>
        <v>23</v>
      </c>
      <c r="B41" s="228"/>
      <c r="C41" s="228" t="s">
        <v>253</v>
      </c>
      <c r="D41" s="228" t="s">
        <v>254</v>
      </c>
      <c r="E41" s="228" t="s">
        <v>193</v>
      </c>
      <c r="F41" s="195" t="s">
        <v>217</v>
      </c>
      <c r="G41" s="195">
        <v>22050</v>
      </c>
      <c r="H41" s="196">
        <v>3000</v>
      </c>
      <c r="I41" s="195">
        <v>7.3109999999999999</v>
      </c>
      <c r="J41" s="195">
        <f t="shared" si="22"/>
        <v>161.20755</v>
      </c>
      <c r="K41" s="195">
        <f t="shared" si="23"/>
        <v>21.933</v>
      </c>
      <c r="L41" s="195">
        <f t="shared" si="21"/>
        <v>-139.27455</v>
      </c>
      <c r="P41" s="195">
        <v>7.3109999999999999</v>
      </c>
      <c r="Q41" s="195">
        <f t="shared" si="24"/>
        <v>0</v>
      </c>
      <c r="R41" s="229" t="str">
        <f t="shared" si="25"/>
        <v>Không cần chỉnh</v>
      </c>
    </row>
    <row r="42" spans="1:18" s="229" customFormat="1" ht="18.5" outlineLevel="2" x14ac:dyDescent="0.45">
      <c r="A42" s="227">
        <f>IF($C42&lt;&gt;"",COUNTA($C$10:C42),"")</f>
        <v>24</v>
      </c>
      <c r="B42" s="228"/>
      <c r="C42" s="228" t="s">
        <v>263</v>
      </c>
      <c r="D42" s="228" t="s">
        <v>264</v>
      </c>
      <c r="E42" s="228" t="s">
        <v>193</v>
      </c>
      <c r="F42" s="195">
        <v>15000</v>
      </c>
      <c r="G42" s="195">
        <v>22000</v>
      </c>
      <c r="H42" s="196">
        <v>15000</v>
      </c>
      <c r="I42" s="195">
        <v>9.9</v>
      </c>
      <c r="J42" s="195">
        <f t="shared" si="22"/>
        <v>217.8</v>
      </c>
      <c r="K42" s="195">
        <f t="shared" si="23"/>
        <v>148.5</v>
      </c>
      <c r="L42" s="195">
        <f t="shared" si="21"/>
        <v>-69.300000000000011</v>
      </c>
      <c r="P42" s="195">
        <v>0</v>
      </c>
      <c r="Q42" s="195">
        <f t="shared" si="24"/>
        <v>9.9</v>
      </c>
      <c r="R42" s="229" t="str">
        <f t="shared" si="25"/>
        <v>Chỉnh</v>
      </c>
    </row>
    <row r="43" spans="1:18" s="229" customFormat="1" ht="18.5" outlineLevel="2" x14ac:dyDescent="0.45">
      <c r="A43" s="227">
        <f>IF($C43&lt;&gt;"",COUNTA($C$10:C43),"")</f>
        <v>25</v>
      </c>
      <c r="B43" s="228"/>
      <c r="C43" s="228" t="s">
        <v>131</v>
      </c>
      <c r="D43" s="228" t="s">
        <v>252</v>
      </c>
      <c r="E43" s="228" t="s">
        <v>193</v>
      </c>
      <c r="F43" s="195" t="s">
        <v>217</v>
      </c>
      <c r="G43" s="195">
        <v>22050</v>
      </c>
      <c r="H43" s="196">
        <v>8000</v>
      </c>
      <c r="I43" s="195">
        <v>3.3411999999999997</v>
      </c>
      <c r="J43" s="195">
        <f t="shared" si="22"/>
        <v>73.673459999999992</v>
      </c>
      <c r="K43" s="195">
        <f t="shared" si="23"/>
        <v>26.729599999999998</v>
      </c>
      <c r="L43" s="195">
        <f t="shared" si="21"/>
        <v>-46.943859999999994</v>
      </c>
      <c r="P43" s="195">
        <v>0</v>
      </c>
      <c r="Q43" s="195">
        <f t="shared" si="24"/>
        <v>3.3411999999999997</v>
      </c>
      <c r="R43" s="229" t="str">
        <f t="shared" si="25"/>
        <v>Chỉnh</v>
      </c>
    </row>
    <row r="44" spans="1:18" s="229" customFormat="1" ht="18.5" x14ac:dyDescent="0.45">
      <c r="A44" s="235" t="str">
        <f>IF($C44&lt;&gt;"",COUNTA($C$10:C44),"")</f>
        <v/>
      </c>
      <c r="H44" s="236"/>
    </row>
    <row r="45" spans="1:18" s="221" customFormat="1" ht="19.5" x14ac:dyDescent="0.45">
      <c r="A45" s="217" t="str">
        <f>IF($C45&lt;&gt;"",COUNTA($C$10:C45),"")</f>
        <v/>
      </c>
      <c r="B45" s="218" t="s">
        <v>268</v>
      </c>
      <c r="C45" s="218"/>
      <c r="D45" s="218"/>
      <c r="E45" s="218"/>
      <c r="F45" s="218"/>
      <c r="G45" s="218"/>
      <c r="H45" s="219"/>
      <c r="I45" s="220">
        <f>I47+I58+I65</f>
        <v>786.98500000000013</v>
      </c>
      <c r="J45" s="220">
        <f t="shared" ref="J45:K45" si="26">J47+J58+J65</f>
        <v>8342.8150440000009</v>
      </c>
      <c r="K45" s="220">
        <f t="shared" si="26"/>
        <v>5024.0830000000005</v>
      </c>
      <c r="L45" s="220">
        <f>K45-J45</f>
        <v>-3318.7320440000003</v>
      </c>
      <c r="P45" s="220">
        <f>P47+P58+P65</f>
        <v>147.33699999999999</v>
      </c>
      <c r="Q45" s="220">
        <f>Q47+Q58+Q65</f>
        <v>639.64800000000002</v>
      </c>
    </row>
    <row r="46" spans="1:18" s="134" customFormat="1" ht="6.65" customHeight="1" x14ac:dyDescent="0.45">
      <c r="A46" s="237"/>
      <c r="H46" s="238"/>
      <c r="I46" s="135"/>
      <c r="J46" s="135"/>
      <c r="K46" s="135"/>
      <c r="L46" s="135"/>
      <c r="P46" s="135"/>
      <c r="Q46" s="135"/>
    </row>
    <row r="47" spans="1:18" s="226" customFormat="1" ht="18.5" outlineLevel="1" x14ac:dyDescent="0.45">
      <c r="A47" s="222" t="str">
        <f>IF($C47&lt;&gt;"",COUNTA($C$10:C47),"")</f>
        <v/>
      </c>
      <c r="B47" s="223" t="s">
        <v>269</v>
      </c>
      <c r="C47" s="223"/>
      <c r="D47" s="223"/>
      <c r="E47" s="223"/>
      <c r="F47" s="223"/>
      <c r="G47" s="223"/>
      <c r="H47" s="224"/>
      <c r="I47" s="225">
        <f>SUM(I48:I56)</f>
        <v>102.11200000000001</v>
      </c>
      <c r="J47" s="225">
        <f t="shared" ref="J47:K47" si="27">SUM(J48:J56)</f>
        <v>2295.2996759999996</v>
      </c>
      <c r="K47" s="225">
        <f t="shared" si="27"/>
        <v>1559.6170000000002</v>
      </c>
      <c r="L47" s="225">
        <f t="shared" ref="L47:L56" si="28">K47-J47</f>
        <v>-735.68267599999945</v>
      </c>
      <c r="P47" s="225">
        <f>SUM(P48:P56)</f>
        <v>79.49799999999999</v>
      </c>
      <c r="Q47" s="225">
        <f>SUM(Q48:Q56)</f>
        <v>22.614000000000001</v>
      </c>
    </row>
    <row r="48" spans="1:18" s="229" customFormat="1" ht="18.5" outlineLevel="2" x14ac:dyDescent="0.45">
      <c r="A48" s="227">
        <f>IF($C48&lt;&gt;"",COUNTA($C$10:C48),"")</f>
        <v>26</v>
      </c>
      <c r="B48" s="228"/>
      <c r="C48" s="228" t="s">
        <v>102</v>
      </c>
      <c r="D48" s="228" t="s">
        <v>103</v>
      </c>
      <c r="E48" s="228" t="s">
        <v>191</v>
      </c>
      <c r="F48" s="195">
        <v>8000</v>
      </c>
      <c r="G48" s="195">
        <v>23389</v>
      </c>
      <c r="H48" s="196">
        <v>16000</v>
      </c>
      <c r="I48" s="195">
        <v>41.823</v>
      </c>
      <c r="J48" s="195">
        <f t="shared" ref="J48:J56" si="29">G48*I48/10^3</f>
        <v>978.19814699999995</v>
      </c>
      <c r="K48" s="195">
        <f t="shared" ref="K48:K56" si="30">H48*I48/10^3</f>
        <v>669.16800000000001</v>
      </c>
      <c r="L48" s="195">
        <f t="shared" si="28"/>
        <v>-309.03014699999994</v>
      </c>
      <c r="P48" s="195">
        <v>41.823</v>
      </c>
      <c r="Q48" s="195">
        <f t="shared" ref="Q48:Q56" si="31">I48-P48</f>
        <v>0</v>
      </c>
      <c r="R48" s="229" t="str">
        <f t="shared" ref="R48:R56" si="32">IF(AND(I48&gt;0,Q48=0),"Không cần chỉnh","Chỉnh")</f>
        <v>Không cần chỉnh</v>
      </c>
    </row>
    <row r="49" spans="1:18" s="229" customFormat="1" ht="18.5" outlineLevel="2" x14ac:dyDescent="0.45">
      <c r="A49" s="227">
        <f>IF($C49&lt;&gt;"",COUNTA($C$10:C49),"")</f>
        <v>27</v>
      </c>
      <c r="B49" s="228"/>
      <c r="C49" s="228" t="s">
        <v>105</v>
      </c>
      <c r="D49" s="228" t="s">
        <v>106</v>
      </c>
      <c r="E49" s="228" t="s">
        <v>191</v>
      </c>
      <c r="F49" s="195">
        <v>8000</v>
      </c>
      <c r="G49" s="195">
        <v>23389</v>
      </c>
      <c r="H49" s="196">
        <v>15000</v>
      </c>
      <c r="I49" s="195">
        <v>33.261000000000003</v>
      </c>
      <c r="J49" s="195">
        <f t="shared" si="29"/>
        <v>777.94152900000006</v>
      </c>
      <c r="K49" s="195">
        <f t="shared" si="30"/>
        <v>498.91500000000008</v>
      </c>
      <c r="L49" s="195">
        <f t="shared" si="28"/>
        <v>-279.02652899999998</v>
      </c>
      <c r="P49" s="195">
        <v>30.997</v>
      </c>
      <c r="Q49" s="195">
        <f t="shared" si="31"/>
        <v>2.2640000000000029</v>
      </c>
      <c r="R49" s="229" t="str">
        <f t="shared" si="32"/>
        <v>Chỉnh</v>
      </c>
    </row>
    <row r="50" spans="1:18" s="229" customFormat="1" ht="18.5" outlineLevel="2" x14ac:dyDescent="0.45">
      <c r="A50" s="227">
        <f>IF($C50&lt;&gt;"",COUNTA($C$10:C50),"")</f>
        <v>28</v>
      </c>
      <c r="B50" s="228"/>
      <c r="C50" s="228" t="s">
        <v>284</v>
      </c>
      <c r="D50" s="228" t="s">
        <v>285</v>
      </c>
      <c r="E50" s="228" t="s">
        <v>188</v>
      </c>
      <c r="F50" s="195" t="s">
        <v>217</v>
      </c>
      <c r="G50" s="195">
        <v>21000</v>
      </c>
      <c r="H50" s="196">
        <v>15000</v>
      </c>
      <c r="I50" s="195">
        <v>15.5</v>
      </c>
      <c r="J50" s="195">
        <f t="shared" si="29"/>
        <v>325.5</v>
      </c>
      <c r="K50" s="195">
        <f t="shared" si="30"/>
        <v>232.5</v>
      </c>
      <c r="L50" s="195">
        <f t="shared" si="28"/>
        <v>-93</v>
      </c>
      <c r="P50" s="195">
        <v>0</v>
      </c>
      <c r="Q50" s="195">
        <f t="shared" si="31"/>
        <v>15.5</v>
      </c>
      <c r="R50" s="229" t="str">
        <f t="shared" si="32"/>
        <v>Chỉnh</v>
      </c>
    </row>
    <row r="51" spans="1:18" s="229" customFormat="1" ht="18.5" outlineLevel="2" x14ac:dyDescent="0.45">
      <c r="A51" s="227">
        <f>IF($C51&lt;&gt;"",COUNTA($C$10:C51),"")</f>
        <v>29</v>
      </c>
      <c r="B51" s="228"/>
      <c r="C51" s="228" t="s">
        <v>273</v>
      </c>
      <c r="D51" s="228" t="s">
        <v>274</v>
      </c>
      <c r="E51" s="228" t="s">
        <v>188</v>
      </c>
      <c r="F51" s="195" t="s">
        <v>217</v>
      </c>
      <c r="G51" s="195">
        <v>19000</v>
      </c>
      <c r="H51" s="196">
        <v>10000</v>
      </c>
      <c r="I51" s="195">
        <v>5.2919999999999998</v>
      </c>
      <c r="J51" s="195">
        <f t="shared" si="29"/>
        <v>100.548</v>
      </c>
      <c r="K51" s="195">
        <f t="shared" si="30"/>
        <v>52.92</v>
      </c>
      <c r="L51" s="195">
        <f t="shared" si="28"/>
        <v>-47.628</v>
      </c>
      <c r="P51" s="195">
        <v>2.6</v>
      </c>
      <c r="Q51" s="195">
        <f t="shared" si="31"/>
        <v>2.6919999999999997</v>
      </c>
      <c r="R51" s="229" t="str">
        <f t="shared" si="32"/>
        <v>Chỉnh</v>
      </c>
    </row>
    <row r="52" spans="1:18" s="229" customFormat="1" ht="18.5" outlineLevel="2" x14ac:dyDescent="0.45">
      <c r="A52" s="227">
        <f>IF($C52&lt;&gt;"",COUNTA($C$10:C52),"")</f>
        <v>30</v>
      </c>
      <c r="B52" s="228"/>
      <c r="C52" s="228" t="s">
        <v>287</v>
      </c>
      <c r="D52" s="228" t="s">
        <v>288</v>
      </c>
      <c r="E52" s="228" t="s">
        <v>194</v>
      </c>
      <c r="F52" s="195" t="s">
        <v>217</v>
      </c>
      <c r="G52" s="195">
        <v>15000</v>
      </c>
      <c r="H52" s="196">
        <v>21500</v>
      </c>
      <c r="I52" s="195">
        <v>3.44</v>
      </c>
      <c r="J52" s="195">
        <f t="shared" si="29"/>
        <v>51.6</v>
      </c>
      <c r="K52" s="195">
        <f t="shared" si="30"/>
        <v>73.959999999999994</v>
      </c>
      <c r="L52" s="195">
        <f t="shared" si="28"/>
        <v>22.359999999999992</v>
      </c>
      <c r="P52" s="195">
        <v>3.44</v>
      </c>
      <c r="Q52" s="195">
        <f t="shared" si="31"/>
        <v>0</v>
      </c>
      <c r="R52" s="229" t="str">
        <f t="shared" si="32"/>
        <v>Không cần chỉnh</v>
      </c>
    </row>
    <row r="53" spans="1:18" s="229" customFormat="1" ht="18.5" outlineLevel="2" x14ac:dyDescent="0.45">
      <c r="A53" s="227">
        <f>IF($C53&lt;&gt;"",COUNTA($C$10:C53),"")</f>
        <v>31</v>
      </c>
      <c r="B53" s="228"/>
      <c r="C53" s="228" t="s">
        <v>282</v>
      </c>
      <c r="D53" s="228" t="s">
        <v>283</v>
      </c>
      <c r="E53" s="228" t="s">
        <v>187</v>
      </c>
      <c r="F53" s="195" t="s">
        <v>217</v>
      </c>
      <c r="G53" s="195">
        <v>22000</v>
      </c>
      <c r="H53" s="196">
        <v>11500</v>
      </c>
      <c r="I53" s="195">
        <v>1.34</v>
      </c>
      <c r="J53" s="195">
        <f t="shared" si="29"/>
        <v>29.48</v>
      </c>
      <c r="K53" s="195">
        <f t="shared" si="30"/>
        <v>15.410000000000002</v>
      </c>
      <c r="L53" s="195">
        <f t="shared" si="28"/>
        <v>-14.069999999999999</v>
      </c>
      <c r="P53" s="195">
        <v>1.7999999999999999E-2</v>
      </c>
      <c r="Q53" s="195">
        <f t="shared" si="31"/>
        <v>1.3220000000000001</v>
      </c>
      <c r="R53" s="229" t="str">
        <f t="shared" si="32"/>
        <v>Chỉnh</v>
      </c>
    </row>
    <row r="54" spans="1:18" s="229" customFormat="1" ht="18.5" outlineLevel="2" x14ac:dyDescent="0.45">
      <c r="A54" s="227">
        <f>IF($C54&lt;&gt;"",COUNTA($C$10:C54),"")</f>
        <v>32</v>
      </c>
      <c r="B54" s="228"/>
      <c r="C54" s="228" t="s">
        <v>290</v>
      </c>
      <c r="D54" s="228" t="s">
        <v>291</v>
      </c>
      <c r="E54" s="228" t="s">
        <v>187</v>
      </c>
      <c r="F54" s="195" t="s">
        <v>217</v>
      </c>
      <c r="G54" s="195">
        <v>22000</v>
      </c>
      <c r="H54" s="196">
        <v>11500</v>
      </c>
      <c r="I54" s="195">
        <v>1.456</v>
      </c>
      <c r="J54" s="195">
        <f t="shared" si="29"/>
        <v>32.031999999999996</v>
      </c>
      <c r="K54" s="195">
        <f t="shared" si="30"/>
        <v>16.744</v>
      </c>
      <c r="L54" s="195">
        <f t="shared" si="28"/>
        <v>-15.287999999999997</v>
      </c>
      <c r="P54" s="195">
        <v>0.62</v>
      </c>
      <c r="Q54" s="195">
        <f t="shared" si="31"/>
        <v>0.83599999999999997</v>
      </c>
      <c r="R54" s="229" t="str">
        <f t="shared" si="32"/>
        <v>Chỉnh</v>
      </c>
    </row>
    <row r="55" spans="1:18" s="229" customFormat="1" ht="18.5" outlineLevel="2" x14ac:dyDescent="0.45">
      <c r="A55" s="227">
        <f>IF($C55&lt;&gt;"",COUNTA($C$10:C55),"")</f>
        <v>33</v>
      </c>
      <c r="B55" s="228"/>
      <c r="C55" s="228" t="s">
        <v>277</v>
      </c>
      <c r="D55" s="228" t="s">
        <v>278</v>
      </c>
      <c r="E55" s="228" t="s">
        <v>188</v>
      </c>
      <c r="F55" s="195" t="s">
        <v>217</v>
      </c>
      <c r="G55" s="195">
        <v>15000</v>
      </c>
      <c r="H55" s="196">
        <v>10000</v>
      </c>
      <c r="I55" s="195">
        <v>0</v>
      </c>
      <c r="J55" s="195">
        <f t="shared" si="29"/>
        <v>0</v>
      </c>
      <c r="K55" s="195">
        <f t="shared" si="30"/>
        <v>0</v>
      </c>
      <c r="L55" s="195">
        <f t="shared" si="28"/>
        <v>0</v>
      </c>
      <c r="P55" s="195">
        <v>0</v>
      </c>
      <c r="Q55" s="195">
        <f t="shared" si="31"/>
        <v>0</v>
      </c>
      <c r="R55" s="229" t="str">
        <f t="shared" si="32"/>
        <v>Chỉnh</v>
      </c>
    </row>
    <row r="56" spans="1:18" s="229" customFormat="1" ht="18.5" outlineLevel="2" x14ac:dyDescent="0.45">
      <c r="A56" s="227">
        <f>IF($C56&lt;&gt;"",COUNTA($C$10:C56),"")</f>
        <v>34</v>
      </c>
      <c r="B56" s="228"/>
      <c r="C56" s="228" t="s">
        <v>279</v>
      </c>
      <c r="D56" s="228" t="s">
        <v>280</v>
      </c>
      <c r="E56" s="228" t="s">
        <v>188</v>
      </c>
      <c r="F56" s="195" t="s">
        <v>217</v>
      </c>
      <c r="G56" s="195">
        <v>21000</v>
      </c>
      <c r="H56" s="196">
        <v>11000</v>
      </c>
      <c r="I56" s="195">
        <v>0</v>
      </c>
      <c r="J56" s="195">
        <f t="shared" si="29"/>
        <v>0</v>
      </c>
      <c r="K56" s="195">
        <f t="shared" si="30"/>
        <v>0</v>
      </c>
      <c r="L56" s="195">
        <f t="shared" si="28"/>
        <v>0</v>
      </c>
      <c r="P56" s="195">
        <v>0</v>
      </c>
      <c r="Q56" s="195">
        <f t="shared" si="31"/>
        <v>0</v>
      </c>
      <c r="R56" s="229" t="str">
        <f t="shared" si="32"/>
        <v>Chỉnh</v>
      </c>
    </row>
    <row r="57" spans="1:18" s="229" customFormat="1" ht="6.65" customHeight="1" outlineLevel="1" x14ac:dyDescent="0.45">
      <c r="A57" s="230"/>
      <c r="B57" s="231"/>
      <c r="C57" s="231"/>
      <c r="D57" s="231"/>
      <c r="E57" s="231"/>
      <c r="F57" s="197"/>
      <c r="G57" s="197"/>
      <c r="H57" s="198"/>
      <c r="I57" s="197"/>
      <c r="J57" s="197"/>
      <c r="K57" s="197"/>
      <c r="L57" s="197"/>
      <c r="P57" s="197"/>
      <c r="Q57" s="197"/>
    </row>
    <row r="58" spans="1:18" s="226" customFormat="1" ht="18.5" outlineLevel="1" x14ac:dyDescent="0.45">
      <c r="A58" s="222" t="str">
        <f>IF($C58&lt;&gt;"",COUNTA($C$10:C58),"")</f>
        <v/>
      </c>
      <c r="B58" s="223" t="s">
        <v>292</v>
      </c>
      <c r="C58" s="223"/>
      <c r="D58" s="223"/>
      <c r="E58" s="223"/>
      <c r="F58" s="223"/>
      <c r="G58" s="223"/>
      <c r="H58" s="224"/>
      <c r="I58" s="225">
        <f>SUM(I59:I63)</f>
        <v>207</v>
      </c>
      <c r="J58" s="225">
        <f t="shared" ref="J58:K58" si="33">SUM(J59:J63)</f>
        <v>2197.1880000000001</v>
      </c>
      <c r="K58" s="225">
        <f t="shared" si="33"/>
        <v>1001.0200000000001</v>
      </c>
      <c r="L58" s="225">
        <f t="shared" ref="L58:L63" si="34">K58-J58</f>
        <v>-1196.1680000000001</v>
      </c>
      <c r="P58" s="225">
        <f>SUM(P59:P63)</f>
        <v>0</v>
      </c>
      <c r="Q58" s="225">
        <f>SUM(Q59:Q63)</f>
        <v>207</v>
      </c>
    </row>
    <row r="59" spans="1:18" s="229" customFormat="1" ht="18.5" outlineLevel="2" x14ac:dyDescent="0.45">
      <c r="A59" s="227">
        <f>IF($C59&lt;&gt;"",COUNTA($C$10:C59),"")</f>
        <v>35</v>
      </c>
      <c r="B59" s="228"/>
      <c r="C59" s="228" t="s">
        <v>293</v>
      </c>
      <c r="D59" s="228" t="s">
        <v>294</v>
      </c>
      <c r="E59" s="228" t="s">
        <v>192</v>
      </c>
      <c r="F59" s="195" t="s">
        <v>217</v>
      </c>
      <c r="G59" s="195">
        <v>8000</v>
      </c>
      <c r="H59" s="196">
        <v>4000</v>
      </c>
      <c r="I59" s="195">
        <v>146.86799999999999</v>
      </c>
      <c r="J59" s="195">
        <f t="shared" ref="J59:J63" si="35">G59*I59/10^3</f>
        <v>1174.944</v>
      </c>
      <c r="K59" s="195">
        <f t="shared" ref="K59:K63" si="36">H59*I59/10^3</f>
        <v>587.47199999999998</v>
      </c>
      <c r="L59" s="195">
        <f t="shared" si="34"/>
        <v>-587.47199999999998</v>
      </c>
      <c r="P59" s="195">
        <v>0</v>
      </c>
      <c r="Q59" s="195">
        <f t="shared" ref="Q59:Q63" si="37">I59-P59</f>
        <v>146.86799999999999</v>
      </c>
      <c r="R59" s="229" t="str">
        <f t="shared" ref="R59:R63" si="38">IF(AND(I59&gt;0,Q59=0),"Không cần chỉnh","Chỉnh")</f>
        <v>Chỉnh</v>
      </c>
    </row>
    <row r="60" spans="1:18" s="229" customFormat="1" ht="18.5" outlineLevel="2" x14ac:dyDescent="0.45">
      <c r="A60" s="227">
        <f>IF($C60&lt;&gt;"",COUNTA($C$10:C60),"")</f>
        <v>36</v>
      </c>
      <c r="B60" s="228"/>
      <c r="C60" s="228" t="s">
        <v>295</v>
      </c>
      <c r="D60" s="228" t="s">
        <v>296</v>
      </c>
      <c r="E60" s="228" t="s">
        <v>188</v>
      </c>
      <c r="F60" s="195" t="s">
        <v>217</v>
      </c>
      <c r="G60" s="195">
        <v>17000</v>
      </c>
      <c r="H60" s="196">
        <v>8000</v>
      </c>
      <c r="I60" s="195">
        <v>41.055</v>
      </c>
      <c r="J60" s="195">
        <f t="shared" si="35"/>
        <v>697.93499999999995</v>
      </c>
      <c r="K60" s="195">
        <f t="shared" si="36"/>
        <v>328.44</v>
      </c>
      <c r="L60" s="195">
        <f t="shared" si="34"/>
        <v>-369.49499999999995</v>
      </c>
      <c r="P60" s="195">
        <v>0</v>
      </c>
      <c r="Q60" s="195">
        <f t="shared" si="37"/>
        <v>41.055</v>
      </c>
      <c r="R60" s="229" t="str">
        <f t="shared" si="38"/>
        <v>Chỉnh</v>
      </c>
    </row>
    <row r="61" spans="1:18" s="229" customFormat="1" ht="18.5" outlineLevel="2" x14ac:dyDescent="0.45">
      <c r="A61" s="227">
        <f>IF($C61&lt;&gt;"",COUNTA($C$10:C61),"")</f>
        <v>37</v>
      </c>
      <c r="B61" s="228"/>
      <c r="C61" s="228" t="s">
        <v>300</v>
      </c>
      <c r="D61" s="228" t="s">
        <v>301</v>
      </c>
      <c r="E61" s="228" t="s">
        <v>192</v>
      </c>
      <c r="F61" s="195" t="s">
        <v>217</v>
      </c>
      <c r="G61" s="195">
        <v>17000</v>
      </c>
      <c r="H61" s="196">
        <v>4000</v>
      </c>
      <c r="I61" s="195">
        <v>11.877000000000001</v>
      </c>
      <c r="J61" s="195">
        <f t="shared" si="35"/>
        <v>201.90899999999999</v>
      </c>
      <c r="K61" s="195">
        <f t="shared" si="36"/>
        <v>47.508000000000003</v>
      </c>
      <c r="L61" s="195">
        <f t="shared" si="34"/>
        <v>-154.40099999999998</v>
      </c>
      <c r="P61" s="195">
        <v>0</v>
      </c>
      <c r="Q61" s="195">
        <f t="shared" si="37"/>
        <v>11.877000000000001</v>
      </c>
      <c r="R61" s="229" t="str">
        <f t="shared" si="38"/>
        <v>Chỉnh</v>
      </c>
    </row>
    <row r="62" spans="1:18" s="229" customFormat="1" ht="18.5" outlineLevel="2" x14ac:dyDescent="0.45">
      <c r="A62" s="227">
        <f>IF($C62&lt;&gt;"",COUNTA($C$10:C62),"")</f>
        <v>38</v>
      </c>
      <c r="B62" s="228"/>
      <c r="C62" s="228" t="s">
        <v>303</v>
      </c>
      <c r="D62" s="228" t="s">
        <v>304</v>
      </c>
      <c r="E62" s="228" t="s">
        <v>192</v>
      </c>
      <c r="F62" s="195" t="s">
        <v>217</v>
      </c>
      <c r="G62" s="195">
        <v>17000</v>
      </c>
      <c r="H62" s="196">
        <v>4000</v>
      </c>
      <c r="I62" s="195">
        <v>5</v>
      </c>
      <c r="J62" s="195">
        <f t="shared" si="35"/>
        <v>85</v>
      </c>
      <c r="K62" s="195">
        <f t="shared" si="36"/>
        <v>20</v>
      </c>
      <c r="L62" s="195">
        <f t="shared" si="34"/>
        <v>-65</v>
      </c>
      <c r="P62" s="195">
        <v>0</v>
      </c>
      <c r="Q62" s="195">
        <f t="shared" si="37"/>
        <v>5</v>
      </c>
      <c r="R62" s="229" t="str">
        <f t="shared" si="38"/>
        <v>Chỉnh</v>
      </c>
    </row>
    <row r="63" spans="1:18" s="229" customFormat="1" ht="18.5" outlineLevel="2" x14ac:dyDescent="0.45">
      <c r="A63" s="227">
        <f>IF($C63&lt;&gt;"",COUNTA($C$10:C63),"")</f>
        <v>39</v>
      </c>
      <c r="B63" s="228"/>
      <c r="C63" s="228" t="s">
        <v>298</v>
      </c>
      <c r="D63" s="228" t="s">
        <v>299</v>
      </c>
      <c r="E63" s="228" t="s">
        <v>188</v>
      </c>
      <c r="F63" s="195" t="s">
        <v>217</v>
      </c>
      <c r="G63" s="195">
        <v>17000</v>
      </c>
      <c r="H63" s="196">
        <v>8000</v>
      </c>
      <c r="I63" s="195">
        <v>2.2000000000000002</v>
      </c>
      <c r="J63" s="195">
        <f t="shared" si="35"/>
        <v>37.4</v>
      </c>
      <c r="K63" s="195">
        <f t="shared" si="36"/>
        <v>17.600000000000001</v>
      </c>
      <c r="L63" s="195">
        <f t="shared" si="34"/>
        <v>-19.799999999999997</v>
      </c>
      <c r="P63" s="195">
        <v>0</v>
      </c>
      <c r="Q63" s="195">
        <f t="shared" si="37"/>
        <v>2.2000000000000002</v>
      </c>
      <c r="R63" s="229" t="str">
        <f t="shared" si="38"/>
        <v>Chỉnh</v>
      </c>
    </row>
    <row r="64" spans="1:18" s="229" customFormat="1" ht="6.65" customHeight="1" outlineLevel="1" x14ac:dyDescent="0.45">
      <c r="A64" s="230"/>
      <c r="B64" s="231"/>
      <c r="C64" s="231"/>
      <c r="D64" s="231"/>
      <c r="E64" s="231"/>
      <c r="F64" s="197"/>
      <c r="G64" s="197"/>
      <c r="H64" s="198"/>
      <c r="I64" s="197"/>
      <c r="J64" s="197"/>
      <c r="K64" s="197"/>
      <c r="L64" s="197"/>
      <c r="P64" s="197"/>
      <c r="Q64" s="197"/>
    </row>
    <row r="65" spans="1:18" s="226" customFormat="1" ht="18.5" outlineLevel="1" x14ac:dyDescent="0.45">
      <c r="A65" s="222" t="str">
        <f>IF($C65&lt;&gt;"",COUNTA($C$10:C65),"")</f>
        <v/>
      </c>
      <c r="B65" s="223" t="s">
        <v>305</v>
      </c>
      <c r="C65" s="223"/>
      <c r="D65" s="223"/>
      <c r="E65" s="223"/>
      <c r="F65" s="223"/>
      <c r="G65" s="223"/>
      <c r="H65" s="224"/>
      <c r="I65" s="225">
        <f>SUM(I66:I84)</f>
        <v>477.87300000000005</v>
      </c>
      <c r="J65" s="225">
        <f t="shared" ref="J65:K65" si="39">SUM(J66:J84)</f>
        <v>3850.3273680000007</v>
      </c>
      <c r="K65" s="225">
        <f t="shared" si="39"/>
        <v>2463.4460000000004</v>
      </c>
      <c r="L65" s="225">
        <f t="shared" ref="L65:L84" si="40">K65-J65</f>
        <v>-1386.8813680000003</v>
      </c>
      <c r="P65" s="225">
        <f>SUM(P66:P84)</f>
        <v>67.838999999999999</v>
      </c>
      <c r="Q65" s="225">
        <f>SUM(Q66:Q84)</f>
        <v>410.03399999999999</v>
      </c>
    </row>
    <row r="66" spans="1:18" s="229" customFormat="1" ht="18.5" outlineLevel="2" x14ac:dyDescent="0.45">
      <c r="A66" s="227">
        <f>IF($C66&lt;&gt;"",COUNTA($C$10:C66),"")</f>
        <v>40</v>
      </c>
      <c r="B66" s="228"/>
      <c r="C66" s="228" t="s">
        <v>109</v>
      </c>
      <c r="D66" s="228" t="s">
        <v>110</v>
      </c>
      <c r="E66" s="228" t="s">
        <v>191</v>
      </c>
      <c r="F66" s="195" t="s">
        <v>217</v>
      </c>
      <c r="G66" s="195">
        <v>1000</v>
      </c>
      <c r="H66" s="196">
        <v>1000</v>
      </c>
      <c r="I66" s="195">
        <v>154.14400000000001</v>
      </c>
      <c r="J66" s="195">
        <f t="shared" ref="J66:J84" si="41">G66*I66/10^3</f>
        <v>154.14400000000001</v>
      </c>
      <c r="K66" s="195">
        <f t="shared" ref="K66:K84" si="42">H66*I66/10^3</f>
        <v>154.14400000000001</v>
      </c>
      <c r="L66" s="195">
        <f t="shared" si="40"/>
        <v>0</v>
      </c>
      <c r="P66" s="195">
        <v>29.356999999999999</v>
      </c>
      <c r="Q66" s="195">
        <f t="shared" ref="Q66:Q84" si="43">I66-P66</f>
        <v>124.78700000000001</v>
      </c>
      <c r="R66" s="229" t="str">
        <f t="shared" ref="R66:R84" si="44">IF(AND(I66&gt;0,Q66=0),"Không cần chỉnh","Chỉnh")</f>
        <v>Chỉnh</v>
      </c>
    </row>
    <row r="67" spans="1:18" s="229" customFormat="1" ht="18.5" outlineLevel="2" x14ac:dyDescent="0.45">
      <c r="A67" s="227">
        <f>IF($C67&lt;&gt;"",COUNTA($C$10:C67),"")</f>
        <v>41</v>
      </c>
      <c r="B67" s="228"/>
      <c r="C67" s="228" t="s">
        <v>307</v>
      </c>
      <c r="D67" s="228" t="s">
        <v>308</v>
      </c>
      <c r="E67" s="228" t="s">
        <v>192</v>
      </c>
      <c r="F67" s="195" t="s">
        <v>217</v>
      </c>
      <c r="G67" s="195">
        <v>8000</v>
      </c>
      <c r="H67" s="196">
        <v>7000</v>
      </c>
      <c r="I67" s="195">
        <v>86.8</v>
      </c>
      <c r="J67" s="195">
        <f t="shared" si="41"/>
        <v>694.4</v>
      </c>
      <c r="K67" s="195">
        <f t="shared" si="42"/>
        <v>607.6</v>
      </c>
      <c r="L67" s="195">
        <f t="shared" si="40"/>
        <v>-86.799999999999955</v>
      </c>
      <c r="P67" s="195">
        <v>0</v>
      </c>
      <c r="Q67" s="195">
        <f t="shared" si="43"/>
        <v>86.8</v>
      </c>
      <c r="R67" s="229" t="str">
        <f t="shared" si="44"/>
        <v>Chỉnh</v>
      </c>
    </row>
    <row r="68" spans="1:18" s="229" customFormat="1" ht="18.5" outlineLevel="2" x14ac:dyDescent="0.45">
      <c r="A68" s="227">
        <f>IF($C68&lt;&gt;"",COUNTA($C$10:C68),"")</f>
        <v>42</v>
      </c>
      <c r="B68" s="228"/>
      <c r="C68" s="228" t="s">
        <v>125</v>
      </c>
      <c r="D68" s="228" t="s">
        <v>126</v>
      </c>
      <c r="E68" s="228" t="s">
        <v>190</v>
      </c>
      <c r="F68" s="195">
        <v>8000</v>
      </c>
      <c r="G68" s="195">
        <v>17014</v>
      </c>
      <c r="H68" s="196">
        <v>8000</v>
      </c>
      <c r="I68" s="195">
        <v>49.226999999999997</v>
      </c>
      <c r="J68" s="195">
        <f t="shared" si="41"/>
        <v>837.54817800000001</v>
      </c>
      <c r="K68" s="195">
        <f t="shared" si="42"/>
        <v>393.81599999999997</v>
      </c>
      <c r="L68" s="195">
        <f t="shared" si="40"/>
        <v>-443.73217800000003</v>
      </c>
      <c r="P68" s="195">
        <v>4.8890000000000002</v>
      </c>
      <c r="Q68" s="195">
        <f t="shared" si="43"/>
        <v>44.337999999999994</v>
      </c>
      <c r="R68" s="229" t="str">
        <f t="shared" si="44"/>
        <v>Chỉnh</v>
      </c>
    </row>
    <row r="69" spans="1:18" s="229" customFormat="1" ht="18.5" outlineLevel="2" x14ac:dyDescent="0.45">
      <c r="A69" s="227">
        <f>IF($C69&lt;&gt;"",COUNTA($C$10:C69),"")</f>
        <v>43</v>
      </c>
      <c r="B69" s="228"/>
      <c r="C69" s="228" t="s">
        <v>133</v>
      </c>
      <c r="D69" s="228" t="s">
        <v>134</v>
      </c>
      <c r="E69" s="228" t="s">
        <v>188</v>
      </c>
      <c r="F69" s="195" t="s">
        <v>217</v>
      </c>
      <c r="G69" s="195">
        <v>10500</v>
      </c>
      <c r="H69" s="196">
        <v>5000</v>
      </c>
      <c r="I69" s="195">
        <v>46.268000000000001</v>
      </c>
      <c r="J69" s="195">
        <f t="shared" si="41"/>
        <v>485.81400000000002</v>
      </c>
      <c r="K69" s="195">
        <f t="shared" si="42"/>
        <v>231.34</v>
      </c>
      <c r="L69" s="195">
        <f t="shared" si="40"/>
        <v>-254.47400000000002</v>
      </c>
      <c r="P69" s="195">
        <v>4.5679999999999996</v>
      </c>
      <c r="Q69" s="195">
        <f t="shared" si="43"/>
        <v>41.7</v>
      </c>
      <c r="R69" s="229" t="str">
        <f t="shared" si="44"/>
        <v>Chỉnh</v>
      </c>
    </row>
    <row r="70" spans="1:18" s="229" customFormat="1" ht="18.5" outlineLevel="2" x14ac:dyDescent="0.45">
      <c r="A70" s="227">
        <f>IF($C70&lt;&gt;"",COUNTA($C$10:C70),"")</f>
        <v>44</v>
      </c>
      <c r="B70" s="228"/>
      <c r="C70" s="228" t="s">
        <v>335</v>
      </c>
      <c r="D70" s="228" t="s">
        <v>336</v>
      </c>
      <c r="E70" s="228" t="s">
        <v>193</v>
      </c>
      <c r="F70" s="195" t="s">
        <v>217</v>
      </c>
      <c r="G70" s="195">
        <v>1</v>
      </c>
      <c r="H70" s="196">
        <v>7000</v>
      </c>
      <c r="I70" s="195">
        <v>38.073999999999998</v>
      </c>
      <c r="J70" s="195">
        <f t="shared" si="41"/>
        <v>3.8073999999999997E-2</v>
      </c>
      <c r="K70" s="195">
        <f t="shared" si="42"/>
        <v>266.51799999999997</v>
      </c>
      <c r="L70" s="195">
        <f t="shared" si="40"/>
        <v>266.47992599999998</v>
      </c>
      <c r="P70" s="195">
        <v>0</v>
      </c>
      <c r="Q70" s="195">
        <f t="shared" si="43"/>
        <v>38.073999999999998</v>
      </c>
      <c r="R70" s="229" t="str">
        <f t="shared" si="44"/>
        <v>Chỉnh</v>
      </c>
    </row>
    <row r="71" spans="1:18" s="229" customFormat="1" ht="18.5" outlineLevel="2" x14ac:dyDescent="0.45">
      <c r="A71" s="227">
        <f>IF($C71&lt;&gt;"",COUNTA($C$10:C71),"")</f>
        <v>45</v>
      </c>
      <c r="B71" s="228"/>
      <c r="C71" s="228" t="s">
        <v>320</v>
      </c>
      <c r="D71" s="228" t="s">
        <v>321</v>
      </c>
      <c r="E71" s="228" t="s">
        <v>190</v>
      </c>
      <c r="F71" s="195" t="s">
        <v>217</v>
      </c>
      <c r="G71" s="195">
        <v>10500</v>
      </c>
      <c r="H71" s="196">
        <v>5000</v>
      </c>
      <c r="I71" s="195">
        <v>24.190999999999999</v>
      </c>
      <c r="J71" s="195">
        <f t="shared" si="41"/>
        <v>254.00550000000001</v>
      </c>
      <c r="K71" s="195">
        <f t="shared" si="42"/>
        <v>120.955</v>
      </c>
      <c r="L71" s="195">
        <f t="shared" si="40"/>
        <v>-133.0505</v>
      </c>
      <c r="P71" s="195">
        <v>4.0049999999999999</v>
      </c>
      <c r="Q71" s="195">
        <f t="shared" si="43"/>
        <v>20.186</v>
      </c>
      <c r="R71" s="229" t="str">
        <f t="shared" si="44"/>
        <v>Chỉnh</v>
      </c>
    </row>
    <row r="72" spans="1:18" s="229" customFormat="1" ht="18.5" outlineLevel="2" x14ac:dyDescent="0.45">
      <c r="A72" s="227">
        <f>IF($C72&lt;&gt;"",COUNTA($C$10:C72),"")</f>
        <v>46</v>
      </c>
      <c r="B72" s="228"/>
      <c r="C72" s="228" t="s">
        <v>123</v>
      </c>
      <c r="D72" s="228" t="s">
        <v>124</v>
      </c>
      <c r="E72" s="228" t="s">
        <v>193</v>
      </c>
      <c r="F72" s="195" t="s">
        <v>217</v>
      </c>
      <c r="G72" s="195">
        <v>22050</v>
      </c>
      <c r="H72" s="196">
        <v>8000</v>
      </c>
      <c r="I72" s="195">
        <v>19.168500000000002</v>
      </c>
      <c r="J72" s="195">
        <f t="shared" si="41"/>
        <v>422.66542500000003</v>
      </c>
      <c r="K72" s="195">
        <f t="shared" si="42"/>
        <v>153.34800000000001</v>
      </c>
      <c r="L72" s="195">
        <f t="shared" si="40"/>
        <v>-269.31742500000001</v>
      </c>
      <c r="P72" s="195">
        <v>0</v>
      </c>
      <c r="Q72" s="195">
        <f t="shared" si="43"/>
        <v>19.168500000000002</v>
      </c>
      <c r="R72" s="229" t="str">
        <f t="shared" si="44"/>
        <v>Chỉnh</v>
      </c>
    </row>
    <row r="73" spans="1:18" s="229" customFormat="1" ht="18.5" outlineLevel="2" x14ac:dyDescent="0.45">
      <c r="A73" s="227">
        <f>IF($C73&lt;&gt;"",COUNTA($C$10:C73),"")</f>
        <v>47</v>
      </c>
      <c r="B73" s="228"/>
      <c r="C73" s="228" t="s">
        <v>129</v>
      </c>
      <c r="D73" s="228" t="s">
        <v>130</v>
      </c>
      <c r="E73" s="228" t="s">
        <v>193</v>
      </c>
      <c r="F73" s="195">
        <v>8000</v>
      </c>
      <c r="G73" s="195">
        <v>20000</v>
      </c>
      <c r="H73" s="196">
        <v>8000</v>
      </c>
      <c r="I73" s="195">
        <v>12.42</v>
      </c>
      <c r="J73" s="195">
        <f t="shared" si="41"/>
        <v>248.4</v>
      </c>
      <c r="K73" s="195">
        <f t="shared" si="42"/>
        <v>99.36</v>
      </c>
      <c r="L73" s="195">
        <f t="shared" si="40"/>
        <v>-149.04000000000002</v>
      </c>
      <c r="P73" s="195">
        <v>3.149</v>
      </c>
      <c r="Q73" s="195">
        <f t="shared" si="43"/>
        <v>9.2710000000000008</v>
      </c>
      <c r="R73" s="229" t="str">
        <f t="shared" si="44"/>
        <v>Chỉnh</v>
      </c>
    </row>
    <row r="74" spans="1:18" s="229" customFormat="1" ht="18.5" outlineLevel="2" x14ac:dyDescent="0.45">
      <c r="A74" s="227">
        <f>IF($C74&lt;&gt;"",COUNTA($C$10:C74),"")</f>
        <v>48</v>
      </c>
      <c r="B74" s="228"/>
      <c r="C74" s="228" t="s">
        <v>311</v>
      </c>
      <c r="D74" s="228" t="s">
        <v>312</v>
      </c>
      <c r="E74" s="228" t="s">
        <v>193</v>
      </c>
      <c r="F74" s="195" t="s">
        <v>217</v>
      </c>
      <c r="G74" s="195">
        <v>18000</v>
      </c>
      <c r="H74" s="196">
        <v>8000</v>
      </c>
      <c r="I74" s="195">
        <v>12.8795</v>
      </c>
      <c r="J74" s="195">
        <f t="shared" si="41"/>
        <v>231.83099999999999</v>
      </c>
      <c r="K74" s="195">
        <f t="shared" si="42"/>
        <v>103.036</v>
      </c>
      <c r="L74" s="195">
        <f t="shared" si="40"/>
        <v>-128.79499999999999</v>
      </c>
      <c r="P74" s="195">
        <v>4.7E-2</v>
      </c>
      <c r="Q74" s="195">
        <f t="shared" si="43"/>
        <v>12.8325</v>
      </c>
      <c r="R74" s="229" t="str">
        <f t="shared" si="44"/>
        <v>Chỉnh</v>
      </c>
    </row>
    <row r="75" spans="1:18" s="229" customFormat="1" ht="18.5" outlineLevel="2" x14ac:dyDescent="0.45">
      <c r="A75" s="227">
        <f>IF($C75&lt;&gt;"",COUNTA($C$10:C75),"")</f>
        <v>49</v>
      </c>
      <c r="B75" s="228"/>
      <c r="C75" s="228" t="s">
        <v>322</v>
      </c>
      <c r="D75" s="228" t="s">
        <v>323</v>
      </c>
      <c r="E75" s="228" t="s">
        <v>193</v>
      </c>
      <c r="F75" s="195">
        <v>8000</v>
      </c>
      <c r="G75" s="195">
        <v>20000</v>
      </c>
      <c r="H75" s="196">
        <v>8000</v>
      </c>
      <c r="I75" s="195">
        <v>8.3119999999999994</v>
      </c>
      <c r="J75" s="195">
        <f t="shared" si="41"/>
        <v>166.24</v>
      </c>
      <c r="K75" s="195">
        <f t="shared" si="42"/>
        <v>66.495999999999995</v>
      </c>
      <c r="L75" s="195">
        <f t="shared" si="40"/>
        <v>-99.744000000000014</v>
      </c>
      <c r="P75" s="195">
        <v>0</v>
      </c>
      <c r="Q75" s="195">
        <f t="shared" si="43"/>
        <v>8.3119999999999994</v>
      </c>
      <c r="R75" s="229" t="str">
        <f t="shared" si="44"/>
        <v>Chỉnh</v>
      </c>
    </row>
    <row r="76" spans="1:18" s="229" customFormat="1" ht="18.5" outlineLevel="2" x14ac:dyDescent="0.45">
      <c r="A76" s="227">
        <f>IF($C76&lt;&gt;"",COUNTA($C$10:C76),"")</f>
        <v>50</v>
      </c>
      <c r="B76" s="228"/>
      <c r="C76" s="228" t="s">
        <v>127</v>
      </c>
      <c r="D76" s="228" t="s">
        <v>128</v>
      </c>
      <c r="E76" s="228" t="s">
        <v>190</v>
      </c>
      <c r="F76" s="195">
        <v>8000</v>
      </c>
      <c r="G76" s="195">
        <v>10500</v>
      </c>
      <c r="H76" s="196">
        <v>5000</v>
      </c>
      <c r="I76" s="195">
        <v>6.4720000000000004</v>
      </c>
      <c r="J76" s="195">
        <f t="shared" si="41"/>
        <v>67.956000000000003</v>
      </c>
      <c r="K76" s="195">
        <f t="shared" si="42"/>
        <v>32.360000000000007</v>
      </c>
      <c r="L76" s="195">
        <f t="shared" si="40"/>
        <v>-35.595999999999997</v>
      </c>
      <c r="P76" s="195">
        <v>6.4720000000000004</v>
      </c>
      <c r="Q76" s="195">
        <f t="shared" si="43"/>
        <v>0</v>
      </c>
      <c r="R76" s="229" t="str">
        <f t="shared" si="44"/>
        <v>Không cần chỉnh</v>
      </c>
    </row>
    <row r="77" spans="1:18" s="229" customFormat="1" ht="18.5" outlineLevel="2" x14ac:dyDescent="0.45">
      <c r="A77" s="227">
        <f>IF($C77&lt;&gt;"",COUNTA($C$10:C77),"")</f>
        <v>51</v>
      </c>
      <c r="B77" s="228"/>
      <c r="C77" s="228" t="s">
        <v>107</v>
      </c>
      <c r="D77" s="228" t="s">
        <v>108</v>
      </c>
      <c r="E77" s="228" t="s">
        <v>188</v>
      </c>
      <c r="F77" s="195">
        <v>9000</v>
      </c>
      <c r="G77" s="195">
        <v>23389</v>
      </c>
      <c r="H77" s="196">
        <v>19000</v>
      </c>
      <c r="I77" s="195">
        <v>6.2190000000000003</v>
      </c>
      <c r="J77" s="195">
        <f t="shared" si="41"/>
        <v>145.45619100000002</v>
      </c>
      <c r="K77" s="195">
        <f t="shared" si="42"/>
        <v>118.161</v>
      </c>
      <c r="L77" s="195">
        <f t="shared" si="40"/>
        <v>-27.295191000000017</v>
      </c>
      <c r="P77" s="195">
        <v>6.2190000000000003</v>
      </c>
      <c r="Q77" s="195">
        <f t="shared" si="43"/>
        <v>0</v>
      </c>
      <c r="R77" s="229" t="str">
        <f t="shared" si="44"/>
        <v>Không cần chỉnh</v>
      </c>
    </row>
    <row r="78" spans="1:18" s="229" customFormat="1" ht="18.5" outlineLevel="2" x14ac:dyDescent="0.45">
      <c r="A78" s="227">
        <f>IF($C78&lt;&gt;"",COUNTA($C$10:C78),"")</f>
        <v>52</v>
      </c>
      <c r="B78" s="228"/>
      <c r="C78" s="228" t="s">
        <v>314</v>
      </c>
      <c r="D78" s="228" t="s">
        <v>315</v>
      </c>
      <c r="E78" s="228" t="s">
        <v>188</v>
      </c>
      <c r="F78" s="195" t="s">
        <v>217</v>
      </c>
      <c r="G78" s="195">
        <v>10500</v>
      </c>
      <c r="H78" s="196">
        <v>11000</v>
      </c>
      <c r="I78" s="195">
        <v>4.5570000000000004</v>
      </c>
      <c r="J78" s="195">
        <f t="shared" si="41"/>
        <v>47.848500000000008</v>
      </c>
      <c r="K78" s="195">
        <f t="shared" si="42"/>
        <v>50.12700000000001</v>
      </c>
      <c r="L78" s="195">
        <f t="shared" si="40"/>
        <v>2.2785000000000011</v>
      </c>
      <c r="P78" s="195">
        <v>4.5570000000000004</v>
      </c>
      <c r="Q78" s="195">
        <f t="shared" si="43"/>
        <v>0</v>
      </c>
      <c r="R78" s="229" t="str">
        <f t="shared" si="44"/>
        <v>Không cần chỉnh</v>
      </c>
    </row>
    <row r="79" spans="1:18" s="229" customFormat="1" ht="18.5" outlineLevel="2" x14ac:dyDescent="0.45">
      <c r="A79" s="227">
        <f>IF($C79&lt;&gt;"",COUNTA($C$10:C79),"")</f>
        <v>53</v>
      </c>
      <c r="B79" s="228"/>
      <c r="C79" s="228" t="s">
        <v>329</v>
      </c>
      <c r="D79" s="228" t="s">
        <v>330</v>
      </c>
      <c r="E79" s="228" t="s">
        <v>188</v>
      </c>
      <c r="F79" s="195" t="s">
        <v>217</v>
      </c>
      <c r="G79" s="195">
        <v>10500</v>
      </c>
      <c r="H79" s="196">
        <v>5000</v>
      </c>
      <c r="I79" s="195">
        <v>3.125</v>
      </c>
      <c r="J79" s="195">
        <f t="shared" si="41"/>
        <v>32.8125</v>
      </c>
      <c r="K79" s="195">
        <f t="shared" si="42"/>
        <v>15.625</v>
      </c>
      <c r="L79" s="195">
        <f t="shared" si="40"/>
        <v>-17.1875</v>
      </c>
      <c r="P79" s="195">
        <v>0</v>
      </c>
      <c r="Q79" s="195">
        <f t="shared" si="43"/>
        <v>3.125</v>
      </c>
      <c r="R79" s="229" t="str">
        <f t="shared" si="44"/>
        <v>Chỉnh</v>
      </c>
    </row>
    <row r="80" spans="1:18" s="229" customFormat="1" ht="18.5" outlineLevel="2" x14ac:dyDescent="0.45">
      <c r="A80" s="227">
        <f>IF($C80&lt;&gt;"",COUNTA($C$10:C80),"")</f>
        <v>54</v>
      </c>
      <c r="B80" s="228"/>
      <c r="C80" s="228" t="s">
        <v>338</v>
      </c>
      <c r="D80" s="228" t="s">
        <v>339</v>
      </c>
      <c r="E80" s="228" t="s">
        <v>188</v>
      </c>
      <c r="F80" s="195" t="s">
        <v>217</v>
      </c>
      <c r="G80" s="195">
        <v>8000</v>
      </c>
      <c r="H80" s="196">
        <v>11000</v>
      </c>
      <c r="I80" s="195">
        <v>2.0640000000000001</v>
      </c>
      <c r="J80" s="195">
        <f t="shared" si="41"/>
        <v>16.512</v>
      </c>
      <c r="K80" s="195">
        <f t="shared" si="42"/>
        <v>22.704000000000001</v>
      </c>
      <c r="L80" s="195">
        <f t="shared" si="40"/>
        <v>6.1920000000000002</v>
      </c>
      <c r="P80" s="195">
        <v>2.0640000000000001</v>
      </c>
      <c r="Q80" s="195">
        <f t="shared" si="43"/>
        <v>0</v>
      </c>
      <c r="R80" s="229" t="str">
        <f t="shared" si="44"/>
        <v>Không cần chỉnh</v>
      </c>
    </row>
    <row r="81" spans="1:18" s="229" customFormat="1" ht="18.5" outlineLevel="2" x14ac:dyDescent="0.45">
      <c r="A81" s="227">
        <f>IF($C81&lt;&gt;"",COUNTA($C$10:C81),"")</f>
        <v>55</v>
      </c>
      <c r="B81" s="228"/>
      <c r="C81" s="228" t="s">
        <v>327</v>
      </c>
      <c r="D81" s="228" t="s">
        <v>328</v>
      </c>
      <c r="E81" s="228" t="s">
        <v>193</v>
      </c>
      <c r="F81" s="195" t="s">
        <v>217</v>
      </c>
      <c r="G81" s="195">
        <v>18000</v>
      </c>
      <c r="H81" s="196">
        <v>8000</v>
      </c>
      <c r="I81" s="195">
        <v>1.752</v>
      </c>
      <c r="J81" s="195">
        <f t="shared" si="41"/>
        <v>31.536000000000001</v>
      </c>
      <c r="K81" s="195">
        <f t="shared" si="42"/>
        <v>14.016</v>
      </c>
      <c r="L81" s="195">
        <f t="shared" si="40"/>
        <v>-17.520000000000003</v>
      </c>
      <c r="P81" s="195">
        <v>1.542</v>
      </c>
      <c r="Q81" s="195">
        <f t="shared" si="43"/>
        <v>0.20999999999999996</v>
      </c>
      <c r="R81" s="229" t="str">
        <f t="shared" si="44"/>
        <v>Chỉnh</v>
      </c>
    </row>
    <row r="82" spans="1:18" s="229" customFormat="1" ht="18.5" outlineLevel="2" x14ac:dyDescent="0.45">
      <c r="A82" s="227">
        <f>IF($C82&lt;&gt;"",COUNTA($C$10:C82),"")</f>
        <v>56</v>
      </c>
      <c r="B82" s="228"/>
      <c r="C82" s="228" t="s">
        <v>341</v>
      </c>
      <c r="D82" s="228" t="s">
        <v>342</v>
      </c>
      <c r="E82" s="228" t="s">
        <v>188</v>
      </c>
      <c r="F82" s="195" t="s">
        <v>217</v>
      </c>
      <c r="G82" s="195">
        <v>4000</v>
      </c>
      <c r="H82" s="196">
        <v>4000</v>
      </c>
      <c r="I82" s="195">
        <v>1.48</v>
      </c>
      <c r="J82" s="195">
        <f t="shared" si="41"/>
        <v>5.92</v>
      </c>
      <c r="K82" s="195">
        <f t="shared" si="42"/>
        <v>5.92</v>
      </c>
      <c r="L82" s="195">
        <f t="shared" si="40"/>
        <v>0</v>
      </c>
      <c r="P82" s="195">
        <v>0.75</v>
      </c>
      <c r="Q82" s="195">
        <f t="shared" si="43"/>
        <v>0.73</v>
      </c>
      <c r="R82" s="229" t="str">
        <f t="shared" si="44"/>
        <v>Chỉnh</v>
      </c>
    </row>
    <row r="83" spans="1:18" s="229" customFormat="1" ht="18.5" outlineLevel="2" x14ac:dyDescent="0.45">
      <c r="A83" s="227">
        <f>IF($C83&lt;&gt;"",COUNTA($C$10:C83),"")</f>
        <v>57</v>
      </c>
      <c r="B83" s="228"/>
      <c r="C83" s="228" t="s">
        <v>333</v>
      </c>
      <c r="D83" s="228" t="s">
        <v>334</v>
      </c>
      <c r="E83" s="228" t="s">
        <v>187</v>
      </c>
      <c r="F83" s="195" t="s">
        <v>217</v>
      </c>
      <c r="G83" s="195">
        <v>10000</v>
      </c>
      <c r="H83" s="196">
        <v>11000</v>
      </c>
      <c r="I83" s="195">
        <v>0.72</v>
      </c>
      <c r="J83" s="195">
        <f t="shared" si="41"/>
        <v>7.2</v>
      </c>
      <c r="K83" s="195">
        <f t="shared" si="42"/>
        <v>7.92</v>
      </c>
      <c r="L83" s="195">
        <f t="shared" si="40"/>
        <v>0.71999999999999975</v>
      </c>
      <c r="P83" s="195">
        <v>0.22</v>
      </c>
      <c r="Q83" s="195">
        <f t="shared" si="43"/>
        <v>0.5</v>
      </c>
      <c r="R83" s="229" t="str">
        <f t="shared" si="44"/>
        <v>Chỉnh</v>
      </c>
    </row>
    <row r="84" spans="1:18" s="229" customFormat="1" ht="18.5" outlineLevel="2" x14ac:dyDescent="0.45">
      <c r="A84" s="227">
        <f>IF($C84&lt;&gt;"",COUNTA($C$10:C84),"")</f>
        <v>58</v>
      </c>
      <c r="B84" s="228"/>
      <c r="C84" s="228" t="s">
        <v>324</v>
      </c>
      <c r="D84" s="228" t="s">
        <v>325</v>
      </c>
      <c r="E84" s="228" t="s">
        <v>187</v>
      </c>
      <c r="F84" s="195" t="s">
        <v>217</v>
      </c>
      <c r="G84" s="195">
        <v>10000</v>
      </c>
      <c r="H84" s="196">
        <v>5000</v>
      </c>
      <c r="I84" s="195">
        <v>0</v>
      </c>
      <c r="J84" s="195">
        <f t="shared" si="41"/>
        <v>0</v>
      </c>
      <c r="K84" s="195">
        <f t="shared" si="42"/>
        <v>0</v>
      </c>
      <c r="L84" s="195">
        <f t="shared" si="40"/>
        <v>0</v>
      </c>
      <c r="P84" s="195">
        <v>0</v>
      </c>
      <c r="Q84" s="195">
        <f t="shared" si="43"/>
        <v>0</v>
      </c>
      <c r="R84" s="229" t="str">
        <f t="shared" si="44"/>
        <v>Chỉnh</v>
      </c>
    </row>
    <row r="85" spans="1:18" s="229" customFormat="1" ht="6.65" customHeight="1" x14ac:dyDescent="0.45">
      <c r="A85" s="235" t="str">
        <f>IF($C85&lt;&gt;"",COUNTA($C$10:C85),"")</f>
        <v/>
      </c>
      <c r="H85" s="236"/>
    </row>
    <row r="86" spans="1:18" s="221" customFormat="1" ht="19.5" x14ac:dyDescent="0.45">
      <c r="A86" s="217" t="str">
        <f>IF($C86&lt;&gt;"",COUNTA($C$10:C86),"")</f>
        <v/>
      </c>
      <c r="B86" s="218" t="s">
        <v>343</v>
      </c>
      <c r="C86" s="218"/>
      <c r="D86" s="218"/>
      <c r="E86" s="218"/>
      <c r="F86" s="218"/>
      <c r="G86" s="218"/>
      <c r="H86" s="219"/>
      <c r="I86" s="220">
        <f>SUM(I87:I95)</f>
        <v>66.064999999999984</v>
      </c>
      <c r="J86" s="220">
        <f t="shared" ref="J86:K86" si="45">SUM(J87:J95)</f>
        <v>716.7265000000001</v>
      </c>
      <c r="K86" s="220">
        <f t="shared" si="45"/>
        <v>218.62199999999999</v>
      </c>
      <c r="L86" s="220">
        <f t="shared" ref="L86:L97" si="46">K86-J86</f>
        <v>-498.10450000000014</v>
      </c>
      <c r="P86" s="220">
        <f>SUM(P87:P95)</f>
        <v>13.223000000000001</v>
      </c>
      <c r="Q86" s="220">
        <f>SUM(Q87:Q95)</f>
        <v>52.841999999999999</v>
      </c>
    </row>
    <row r="87" spans="1:18" s="229" customFormat="1" ht="18.5" outlineLevel="2" x14ac:dyDescent="0.45">
      <c r="A87" s="232">
        <f>IF($C87&lt;&gt;"",COUNTA($C$10:C87),"")</f>
        <v>59</v>
      </c>
      <c r="B87" s="233"/>
      <c r="C87" s="233" t="s">
        <v>345</v>
      </c>
      <c r="D87" s="233" t="s">
        <v>346</v>
      </c>
      <c r="E87" s="233" t="s">
        <v>190</v>
      </c>
      <c r="F87" s="199">
        <v>3000</v>
      </c>
      <c r="G87" s="199">
        <v>10500</v>
      </c>
      <c r="H87" s="200">
        <v>3000</v>
      </c>
      <c r="I87" s="199">
        <v>59.319000000000003</v>
      </c>
      <c r="J87" s="195">
        <f t="shared" ref="J87:J95" si="47">G87*I87/10^3</f>
        <v>622.84950000000003</v>
      </c>
      <c r="K87" s="195">
        <f t="shared" ref="K87:K95" si="48">H87*I87/10^3</f>
        <v>177.95699999999999</v>
      </c>
      <c r="L87" s="199">
        <f t="shared" si="46"/>
        <v>-444.89250000000004</v>
      </c>
      <c r="P87" s="199">
        <v>8.5090000000000003</v>
      </c>
      <c r="Q87" s="199">
        <f t="shared" ref="Q87:Q95" si="49">I87-P87</f>
        <v>50.81</v>
      </c>
      <c r="R87" s="229" t="str">
        <f t="shared" ref="R87:R95" si="50">IF(AND(I87&gt;0,Q87=0),"Không cần chỉnh","Chỉnh")</f>
        <v>Chỉnh</v>
      </c>
    </row>
    <row r="88" spans="1:18" s="229" customFormat="1" ht="18.5" outlineLevel="2" x14ac:dyDescent="0.45">
      <c r="A88" s="227">
        <f>IF($C88&lt;&gt;"",COUNTA($C$10:C88),"")</f>
        <v>60</v>
      </c>
      <c r="B88" s="228"/>
      <c r="C88" s="228" t="s">
        <v>347</v>
      </c>
      <c r="D88" s="228" t="s">
        <v>348</v>
      </c>
      <c r="E88" s="228" t="s">
        <v>193</v>
      </c>
      <c r="F88" s="195">
        <v>8000</v>
      </c>
      <c r="G88" s="195">
        <v>18000</v>
      </c>
      <c r="H88" s="196">
        <v>8000</v>
      </c>
      <c r="I88" s="195">
        <v>4.2549999999999999</v>
      </c>
      <c r="J88" s="195">
        <f t="shared" si="47"/>
        <v>76.59</v>
      </c>
      <c r="K88" s="195">
        <f t="shared" si="48"/>
        <v>34.04</v>
      </c>
      <c r="L88" s="195">
        <f t="shared" si="46"/>
        <v>-42.550000000000004</v>
      </c>
      <c r="P88" s="195">
        <v>3.2549999999999999</v>
      </c>
      <c r="Q88" s="195">
        <f t="shared" si="49"/>
        <v>1</v>
      </c>
      <c r="R88" s="229" t="str">
        <f t="shared" si="50"/>
        <v>Chỉnh</v>
      </c>
    </row>
    <row r="89" spans="1:18" s="229" customFormat="1" ht="18.5" outlineLevel="2" x14ac:dyDescent="0.45">
      <c r="A89" s="227">
        <f>IF($C89&lt;&gt;"",COUNTA($C$10:C89),"")</f>
        <v>61</v>
      </c>
      <c r="B89" s="228"/>
      <c r="C89" s="228" t="s">
        <v>350</v>
      </c>
      <c r="D89" s="228" t="s">
        <v>351</v>
      </c>
      <c r="E89" s="228" t="s">
        <v>190</v>
      </c>
      <c r="F89" s="195">
        <v>2000</v>
      </c>
      <c r="G89" s="195">
        <v>6000</v>
      </c>
      <c r="H89" s="196">
        <v>2000</v>
      </c>
      <c r="I89" s="195">
        <v>1.361</v>
      </c>
      <c r="J89" s="195">
        <f t="shared" si="47"/>
        <v>8.1660000000000004</v>
      </c>
      <c r="K89" s="195">
        <f t="shared" si="48"/>
        <v>2.722</v>
      </c>
      <c r="L89" s="195">
        <f t="shared" si="46"/>
        <v>-5.4440000000000008</v>
      </c>
      <c r="P89" s="195">
        <v>0.36099999999999999</v>
      </c>
      <c r="Q89" s="195">
        <f t="shared" si="49"/>
        <v>1</v>
      </c>
      <c r="R89" s="229" t="str">
        <f t="shared" si="50"/>
        <v>Chỉnh</v>
      </c>
    </row>
    <row r="90" spans="1:18" s="229" customFormat="1" ht="18.5" outlineLevel="2" x14ac:dyDescent="0.45">
      <c r="A90" s="227">
        <f>IF($C90&lt;&gt;"",COUNTA($C$10:C90),"")</f>
        <v>62</v>
      </c>
      <c r="B90" s="228"/>
      <c r="C90" s="228" t="s">
        <v>354</v>
      </c>
      <c r="D90" s="228" t="s">
        <v>355</v>
      </c>
      <c r="E90" s="228" t="s">
        <v>186</v>
      </c>
      <c r="F90" s="195">
        <v>2000</v>
      </c>
      <c r="G90" s="195">
        <v>16000</v>
      </c>
      <c r="H90" s="196">
        <v>2000</v>
      </c>
      <c r="I90" s="195">
        <v>0.185</v>
      </c>
      <c r="J90" s="195">
        <f t="shared" si="47"/>
        <v>2.96</v>
      </c>
      <c r="K90" s="195">
        <f t="shared" si="48"/>
        <v>0.37</v>
      </c>
      <c r="L90" s="195">
        <f t="shared" si="46"/>
        <v>-2.59</v>
      </c>
      <c r="P90" s="195">
        <v>0.185</v>
      </c>
      <c r="Q90" s="195">
        <f t="shared" si="49"/>
        <v>0</v>
      </c>
      <c r="R90" s="229" t="str">
        <f t="shared" si="50"/>
        <v>Không cần chỉnh</v>
      </c>
    </row>
    <row r="91" spans="1:18" s="229" customFormat="1" ht="18.5" outlineLevel="2" x14ac:dyDescent="0.45">
      <c r="A91" s="227">
        <f>IF($C91&lt;&gt;"",COUNTA($C$10:C91),"")</f>
        <v>63</v>
      </c>
      <c r="B91" s="228"/>
      <c r="C91" s="228" t="s">
        <v>357</v>
      </c>
      <c r="D91" s="228" t="s">
        <v>358</v>
      </c>
      <c r="E91" s="228" t="s">
        <v>190</v>
      </c>
      <c r="F91" s="195">
        <v>5000</v>
      </c>
      <c r="G91" s="195">
        <v>5000</v>
      </c>
      <c r="H91" s="196">
        <v>3000</v>
      </c>
      <c r="I91" s="195">
        <v>0.437</v>
      </c>
      <c r="J91" s="195">
        <f t="shared" si="47"/>
        <v>2.1850000000000001</v>
      </c>
      <c r="K91" s="195">
        <f t="shared" si="48"/>
        <v>1.3109999999999999</v>
      </c>
      <c r="L91" s="195">
        <f t="shared" si="46"/>
        <v>-0.87400000000000011</v>
      </c>
      <c r="P91" s="195">
        <v>0.437</v>
      </c>
      <c r="Q91" s="195">
        <f t="shared" si="49"/>
        <v>0</v>
      </c>
      <c r="R91" s="229" t="str">
        <f t="shared" si="50"/>
        <v>Không cần chỉnh</v>
      </c>
    </row>
    <row r="92" spans="1:18" s="229" customFormat="1" ht="18.5" outlineLevel="2" x14ac:dyDescent="0.45">
      <c r="A92" s="227">
        <f>IF($C92&lt;&gt;"",COUNTA($C$10:C92),"")</f>
        <v>64</v>
      </c>
      <c r="B92" s="228"/>
      <c r="C92" s="228" t="s">
        <v>360</v>
      </c>
      <c r="D92" s="228" t="s">
        <v>361</v>
      </c>
      <c r="E92" s="228" t="s">
        <v>190</v>
      </c>
      <c r="F92" s="195">
        <v>2000</v>
      </c>
      <c r="G92" s="195">
        <v>6000</v>
      </c>
      <c r="H92" s="196">
        <v>2000</v>
      </c>
      <c r="I92" s="195">
        <v>0.32600000000000001</v>
      </c>
      <c r="J92" s="195">
        <f t="shared" si="47"/>
        <v>1.956</v>
      </c>
      <c r="K92" s="195">
        <f t="shared" si="48"/>
        <v>0.65200000000000002</v>
      </c>
      <c r="L92" s="195">
        <f t="shared" si="46"/>
        <v>-1.3039999999999998</v>
      </c>
      <c r="P92" s="195">
        <v>0.32600000000000001</v>
      </c>
      <c r="Q92" s="195">
        <f t="shared" si="49"/>
        <v>0</v>
      </c>
      <c r="R92" s="229" t="str">
        <f t="shared" si="50"/>
        <v>Không cần chỉnh</v>
      </c>
    </row>
    <row r="93" spans="1:18" s="229" customFormat="1" ht="18.5" outlineLevel="2" x14ac:dyDescent="0.45">
      <c r="A93" s="227">
        <f>IF($C93&lt;&gt;"",COUNTA($C$10:C93),"")</f>
        <v>65</v>
      </c>
      <c r="B93" s="228"/>
      <c r="C93" s="228" t="s">
        <v>362</v>
      </c>
      <c r="D93" s="228" t="s">
        <v>363</v>
      </c>
      <c r="E93" s="228" t="s">
        <v>193</v>
      </c>
      <c r="F93" s="195">
        <v>10000</v>
      </c>
      <c r="G93" s="195">
        <v>14000</v>
      </c>
      <c r="H93" s="196">
        <v>10000</v>
      </c>
      <c r="I93" s="195">
        <v>0.1</v>
      </c>
      <c r="J93" s="195">
        <f t="shared" si="47"/>
        <v>1.4</v>
      </c>
      <c r="K93" s="195">
        <f t="shared" si="48"/>
        <v>1</v>
      </c>
      <c r="L93" s="195">
        <f t="shared" si="46"/>
        <v>-0.39999999999999991</v>
      </c>
      <c r="P93" s="195">
        <v>0.1</v>
      </c>
      <c r="Q93" s="195">
        <f t="shared" si="49"/>
        <v>0</v>
      </c>
      <c r="R93" s="229" t="str">
        <f t="shared" si="50"/>
        <v>Không cần chỉnh</v>
      </c>
    </row>
    <row r="94" spans="1:18" s="229" customFormat="1" ht="18.5" outlineLevel="2" x14ac:dyDescent="0.45">
      <c r="A94" s="227">
        <f>IF($C94&lt;&gt;"",COUNTA($C$10:C94),"")</f>
        <v>66</v>
      </c>
      <c r="B94" s="228"/>
      <c r="C94" s="228" t="s">
        <v>365</v>
      </c>
      <c r="D94" s="228" t="s">
        <v>366</v>
      </c>
      <c r="E94" s="228" t="s">
        <v>186</v>
      </c>
      <c r="F94" s="195">
        <v>6000</v>
      </c>
      <c r="G94" s="195">
        <v>6000</v>
      </c>
      <c r="H94" s="196">
        <v>5000</v>
      </c>
      <c r="I94" s="195">
        <v>0.05</v>
      </c>
      <c r="J94" s="195">
        <f t="shared" si="47"/>
        <v>0.3</v>
      </c>
      <c r="K94" s="195">
        <f t="shared" si="48"/>
        <v>0.25</v>
      </c>
      <c r="L94" s="195">
        <f t="shared" si="46"/>
        <v>-4.9999999999999989E-2</v>
      </c>
      <c r="P94" s="195">
        <v>0.05</v>
      </c>
      <c r="Q94" s="195">
        <f t="shared" si="49"/>
        <v>0</v>
      </c>
      <c r="R94" s="229" t="str">
        <f t="shared" si="50"/>
        <v>Không cần chỉnh</v>
      </c>
    </row>
    <row r="95" spans="1:18" s="229" customFormat="1" ht="18.5" outlineLevel="2" x14ac:dyDescent="0.45">
      <c r="A95" s="227">
        <f>IF($C95&lt;&gt;"",COUNTA($C$10:C95),"")</f>
        <v>67</v>
      </c>
      <c r="B95" s="228"/>
      <c r="C95" s="228" t="s">
        <v>367</v>
      </c>
      <c r="D95" s="228" t="s">
        <v>368</v>
      </c>
      <c r="E95" s="228" t="s">
        <v>193</v>
      </c>
      <c r="F95" s="195">
        <v>10000</v>
      </c>
      <c r="G95" s="195">
        <v>10000</v>
      </c>
      <c r="H95" s="196">
        <v>10000</v>
      </c>
      <c r="I95" s="195">
        <v>3.2000000000000001E-2</v>
      </c>
      <c r="J95" s="195">
        <f t="shared" si="47"/>
        <v>0.32</v>
      </c>
      <c r="K95" s="195">
        <f t="shared" si="48"/>
        <v>0.32</v>
      </c>
      <c r="L95" s="195">
        <f t="shared" si="46"/>
        <v>0</v>
      </c>
      <c r="P95" s="195">
        <v>0</v>
      </c>
      <c r="Q95" s="195">
        <f t="shared" si="49"/>
        <v>3.2000000000000001E-2</v>
      </c>
      <c r="R95" s="229" t="str">
        <f t="shared" si="50"/>
        <v>Chỉnh</v>
      </c>
    </row>
    <row r="96" spans="1:18" s="229" customFormat="1" ht="6.65" customHeight="1" thickBot="1" x14ac:dyDescent="0.5">
      <c r="A96" s="239"/>
      <c r="H96" s="236"/>
    </row>
    <row r="97" spans="1:17" s="244" customFormat="1" ht="21.5" thickTop="1" x14ac:dyDescent="0.5">
      <c r="A97" s="240"/>
      <c r="B97" s="241" t="s">
        <v>207</v>
      </c>
      <c r="C97" s="241"/>
      <c r="D97" s="241"/>
      <c r="E97" s="241"/>
      <c r="F97" s="241"/>
      <c r="G97" s="241"/>
      <c r="H97" s="242"/>
      <c r="I97" s="243">
        <f>I10+I45+I86</f>
        <v>3360.6000349999999</v>
      </c>
      <c r="J97" s="243">
        <f t="shared" ref="J97:K97" si="51">J10+J45+J86</f>
        <v>43098.387960920001</v>
      </c>
      <c r="K97" s="243">
        <f t="shared" si="51"/>
        <v>23259.249952499998</v>
      </c>
      <c r="L97" s="243">
        <f t="shared" si="46"/>
        <v>-19839.138008420003</v>
      </c>
      <c r="P97" s="243">
        <f>P10+P45+P86</f>
        <v>328.20300000000003</v>
      </c>
      <c r="Q97" s="243">
        <f>Q10+Q45+Q86</f>
        <v>3032.3970350000004</v>
      </c>
    </row>
    <row r="98" spans="1:17" s="246" customFormat="1" ht="6.65" customHeight="1" x14ac:dyDescent="0.4">
      <c r="A98" s="245"/>
    </row>
    <row r="99" spans="1:17" s="246" customFormat="1" ht="17" x14ac:dyDescent="0.4">
      <c r="A99" s="245"/>
      <c r="C99" s="246" t="s">
        <v>393</v>
      </c>
    </row>
    <row r="100" spans="1:17" s="246" customFormat="1" ht="17" x14ac:dyDescent="0.4">
      <c r="A100" s="245"/>
    </row>
    <row r="101" spans="1:17" s="246" customFormat="1" ht="17" x14ac:dyDescent="0.4">
      <c r="A101" s="245"/>
    </row>
    <row r="102" spans="1:17" s="246" customFormat="1" ht="17" x14ac:dyDescent="0.4">
      <c r="A102" s="245"/>
    </row>
    <row r="103" spans="1:17" s="246" customFormat="1" ht="17" x14ac:dyDescent="0.4">
      <c r="A103" s="245"/>
    </row>
    <row r="104" spans="1:17" s="246" customFormat="1" ht="17" x14ac:dyDescent="0.4">
      <c r="A104" s="245"/>
    </row>
    <row r="105" spans="1:17" s="246" customFormat="1" ht="17" x14ac:dyDescent="0.4">
      <c r="A105" s="245"/>
    </row>
  </sheetData>
  <autoFilter ref="A9:L97" xr:uid="{489AA3F0-0294-4452-83FA-6FCB2DA7CB33}"/>
  <mergeCells count="9">
    <mergeCell ref="G6:G7"/>
    <mergeCell ref="H6:H7"/>
    <mergeCell ref="I6:L6"/>
    <mergeCell ref="A6:A7"/>
    <mergeCell ref="B6:B7"/>
    <mergeCell ref="C6:C7"/>
    <mergeCell ref="D6:D7"/>
    <mergeCell ref="E6:E7"/>
    <mergeCell ref="F6:F7"/>
  </mergeCells>
  <printOptions horizontalCentered="1"/>
  <pageMargins left="0" right="0" top="0.3" bottom="0.5" header="0" footer="0.25"/>
  <pageSetup paperSize="9" fitToHeight="0" orientation="landscape" r:id="rId1"/>
  <headerFooter>
    <oddFooter>&amp;C&amp;"Aptos Narrow,Regular"Trang &amp;P&amp;"Aptos Narrow,Bold"&amp;12 &amp;"Aptos Narrow,Regular"&amp;11/ 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</vt:i4>
      </vt:variant>
    </vt:vector>
  </HeadingPairs>
  <TitlesOfParts>
    <vt:vector size="26" baseType="lpstr">
      <vt:lpstr>&gt;Slide</vt:lpstr>
      <vt:lpstr>Slide 1</vt:lpstr>
      <vt:lpstr>Slide 2</vt:lpstr>
      <vt:lpstr>Slide 3</vt:lpstr>
      <vt:lpstr>GB</vt:lpstr>
      <vt:lpstr>GB-v2</vt:lpstr>
      <vt:lpstr>&gt;Working</vt:lpstr>
      <vt:lpstr>Điều chỉnh</vt:lpstr>
      <vt:lpstr>Trình bày</vt:lpstr>
      <vt:lpstr>Trình bày (2)</vt:lpstr>
      <vt:lpstr>Bán hàng-Break-down BOM</vt:lpstr>
      <vt:lpstr>Cơ cấu dây đai-YTD0325</vt:lpstr>
      <vt:lpstr>Xem xét</vt:lpstr>
      <vt:lpstr>MD</vt:lpstr>
      <vt:lpstr>NXT</vt:lpstr>
      <vt:lpstr>Detail1</vt:lpstr>
      <vt:lpstr>PV_Data</vt:lpstr>
      <vt:lpstr>CAPEX</vt:lpstr>
      <vt:lpstr>PS-YTD0623</vt:lpstr>
      <vt:lpstr>PS-2024</vt:lpstr>
      <vt:lpstr>Data</vt:lpstr>
      <vt:lpstr>Sheet3</vt:lpstr>
      <vt:lpstr>BC Gia tường</vt:lpstr>
      <vt:lpstr>In</vt:lpstr>
      <vt:lpstr>In!Print_Area</vt:lpstr>
      <vt:lpstr>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2024-08-10T03:31:25Z</dcterms:created>
  <dcterms:modified xsi:type="dcterms:W3CDTF">2026-03-23T11:58:44Z</dcterms:modified>
</cp:coreProperties>
</file>