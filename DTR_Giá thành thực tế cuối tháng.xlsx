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Nhã_Introduction SAP\"/>
    </mc:Choice>
  </mc:AlternateContent>
  <xr:revisionPtr revIDLastSave="0" documentId="13_ncr:1_{F9736619-4059-4640-ABFD-8B06E104C642}" xr6:coauthVersionLast="47" xr6:coauthVersionMax="47" xr10:uidLastSave="{00000000-0000-0000-0000-000000000000}"/>
  <bookViews>
    <workbookView xWindow="-110" yWindow="-110" windowWidth="19420" windowHeight="10300" xr2:uid="{A4D2EB6C-B627-476A-94E2-143A5AFA4C33}"/>
  </bookViews>
  <sheets>
    <sheet name="Đường đi giá thành 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1" l="1"/>
  <c r="G14" i="1"/>
  <c r="G8" i="1"/>
  <c r="I4" i="1"/>
  <c r="K2" i="1"/>
  <c r="K4" i="1" s="1"/>
  <c r="G16" i="1" l="1"/>
  <c r="K14" i="1"/>
  <c r="M14" i="1" s="1"/>
  <c r="N26" i="1"/>
  <c r="J26" i="1" s="1"/>
  <c r="N35" i="1"/>
  <c r="M51" i="1" s="1"/>
  <c r="Q15" i="1"/>
  <c r="N15" i="1" s="1"/>
  <c r="M74" i="1" l="1"/>
  <c r="Q54" i="1"/>
  <c r="R53" i="1"/>
  <c r="J37" i="1" s="1"/>
  <c r="J46" i="1"/>
  <c r="N46" i="1" s="1"/>
  <c r="J35" i="1"/>
  <c r="K64" i="1" s="1"/>
  <c r="M64" i="1" s="1"/>
  <c r="N72" i="1" s="1"/>
  <c r="J72" i="1" s="1"/>
  <c r="M68" i="1" l="1"/>
</calcChain>
</file>

<file path=xl/sharedStrings.xml><?xml version="1.0" encoding="utf-8"?>
<sst xmlns="http://schemas.openxmlformats.org/spreadsheetml/2006/main" count="50" uniqueCount="46">
  <si>
    <t>Scost</t>
  </si>
  <si>
    <t>Nhập kho Actual</t>
  </si>
  <si>
    <r>
      <t xml:space="preserve">TP/BTP - </t>
    </r>
    <r>
      <rPr>
        <sz val="16"/>
        <color rgb="FFFF0000"/>
        <rFont val="Arial"/>
        <family val="2"/>
      </rPr>
      <t xml:space="preserve"> (Chai PET B1 có nắp)</t>
    </r>
    <r>
      <rPr>
        <sz val="16"/>
        <rFont val="Arial"/>
        <family val="2"/>
      </rPr>
      <t xml:space="preserve"> </t>
    </r>
    <r>
      <rPr>
        <sz val="16"/>
        <color rgb="FFFF0000"/>
        <rFont val="Arial"/>
        <family val="2"/>
      </rPr>
      <t>SCost = 11.882đ/1 cái</t>
    </r>
  </si>
  <si>
    <t>CP Kế hoạch</t>
  </si>
  <si>
    <t>Lệnh SX (Production Order)</t>
  </si>
  <si>
    <t>Đơn giá Actual</t>
  </si>
  <si>
    <t>CO8A</t>
  </si>
  <si>
    <t>Var</t>
  </si>
  <si>
    <t>PrO_1213783 (Chai PET B1 có nắp)</t>
  </si>
  <si>
    <t>152 (Kho NVL)</t>
  </si>
  <si>
    <t>621 (BOM) &amp; 622 + 627</t>
  </si>
  <si>
    <t>6218 (TK trung gian nhập kho)</t>
  </si>
  <si>
    <t>155 (TP/BTP)</t>
  </si>
  <si>
    <t>632 (TP/BTP)</t>
  </si>
  <si>
    <t>BOM (Thực tế)</t>
  </si>
  <si>
    <t>(1)</t>
  </si>
  <si>
    <t>331/335/214/242…</t>
  </si>
  <si>
    <t>Routing (thực tế)</t>
  </si>
  <si>
    <t>x</t>
  </si>
  <si>
    <r>
      <t xml:space="preserve">-Nhập kho thành phẩm
</t>
    </r>
    <r>
      <rPr>
        <sz val="10"/>
        <color rgb="FFFF0000"/>
        <rFont val="Arial"/>
        <family val="2"/>
      </rPr>
      <t>giá Standard Cost</t>
    </r>
  </si>
  <si>
    <t>(4)</t>
  </si>
  <si>
    <t>8đ</t>
  </si>
  <si>
    <t>(3)</t>
  </si>
  <si>
    <r>
      <t>-Chạy</t>
    </r>
    <r>
      <rPr>
        <b/>
        <sz val="10"/>
        <color rgb="FFFF0000"/>
        <rFont val="Arial"/>
        <family val="2"/>
      </rPr>
      <t xml:space="preserve"> câp nhật đơn giá 
Activi type thực tế</t>
    </r>
  </si>
  <si>
    <t>(5)</t>
  </si>
  <si>
    <t>3đ</t>
  </si>
  <si>
    <t>Kiểm tra LSX đã tập hợp đủ chi phí chưa? Và đã nhập về Kho đủ chưa?</t>
  </si>
  <si>
    <t>Chạy tính WIP cho LSX (Trường hợp LSX chưa Technical Completed (TECO)</t>
  </si>
  <si>
    <t>6219000100 (trung gian) (WIP)</t>
  </si>
  <si>
    <t>154 (TP/BTP)</t>
  </si>
  <si>
    <t>Kết chuyển WIP (Settlement)</t>
  </si>
  <si>
    <t>(6)</t>
  </si>
  <si>
    <t>Bảng cân đối đã cân chưa?</t>
  </si>
  <si>
    <r>
      <t xml:space="preserve">Chạy tính VARIANCE cho </t>
    </r>
    <r>
      <rPr>
        <b/>
        <sz val="16"/>
        <color rgb="FF0070C0"/>
        <rFont val="Arial"/>
        <family val="2"/>
      </rPr>
      <t xml:space="preserve">LSX </t>
    </r>
    <r>
      <rPr>
        <sz val="16"/>
        <rFont val="Arial"/>
        <family val="2"/>
      </rPr>
      <t>(Trường hợp LSX đã Technical Completed (TECO)</t>
    </r>
  </si>
  <si>
    <t>Tcode CO88</t>
  </si>
  <si>
    <t xml:space="preserve">Trường hợp bán </t>
  </si>
  <si>
    <t>Cuối tháng (3000 tấn)</t>
  </si>
  <si>
    <t xml:space="preserve">Bảng cân đối đã cân chưa? </t>
  </si>
  <si>
    <t>Chạy tính giá thực tế (  CKMLCP)</t>
  </si>
  <si>
    <t>6219…...</t>
  </si>
  <si>
    <t>Trường hợp trong tháng ko bán</t>
  </si>
  <si>
    <t>Tháng sau</t>
  </si>
  <si>
    <t>Đầu tháng 3000 tấn</t>
  </si>
  <si>
    <t>Giá Scost = 11.882</t>
  </si>
  <si>
    <t>Chạy lại giá thành kế hoạch</t>
  </si>
  <si>
    <t>Giá Scost = 1.603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</si>
</sst>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rgb="FF0070C0"/>
      <name val="Arial"/>
      <family val="2"/>
    </font>
    <font>
      <i/>
      <sz val="14"/>
      <color rgb="FF0070C0"/>
      <name val="Arial"/>
      <family val="2"/>
    </font>
    <font>
      <b/>
      <sz val="16"/>
      <color rgb="FF0070C0"/>
      <name val="Arial"/>
      <family val="2"/>
    </font>
    <font>
      <b/>
      <sz val="11"/>
      <color rgb="FFFF0000"/>
      <name val="Arial"/>
      <family val="2"/>
    </font>
    <font>
      <b/>
      <sz val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3" fillId="0" borderId="0" xfId="2" applyFont="1" applyAlignment="1">
      <alignment vertical="top"/>
    </xf>
    <xf numFmtId="0" fontId="2" fillId="0" borderId="0" xfId="2" applyAlignment="1">
      <alignment vertical="top"/>
    </xf>
    <xf numFmtId="0" fontId="4" fillId="0" borderId="0" xfId="2" applyFont="1" applyAlignment="1">
      <alignment vertical="top"/>
    </xf>
    <xf numFmtId="3" fontId="2" fillId="2" borderId="0" xfId="2" applyNumberFormat="1" applyFill="1" applyAlignment="1">
      <alignment vertical="top"/>
    </xf>
    <xf numFmtId="164" fontId="3" fillId="0" borderId="0" xfId="1" applyNumberFormat="1" applyFont="1" applyAlignment="1">
      <alignment vertical="top"/>
    </xf>
    <xf numFmtId="0" fontId="6" fillId="0" borderId="0" xfId="2" applyFont="1" applyAlignment="1">
      <alignment vertical="top"/>
    </xf>
    <xf numFmtId="3" fontId="2" fillId="0" borderId="0" xfId="2" applyNumberFormat="1" applyAlignment="1">
      <alignment vertical="top"/>
    </xf>
    <xf numFmtId="164" fontId="2" fillId="0" borderId="0" xfId="2" applyNumberFormat="1" applyAlignment="1">
      <alignment vertical="top"/>
    </xf>
    <xf numFmtId="0" fontId="6" fillId="3" borderId="0" xfId="2" applyFont="1" applyFill="1" applyAlignment="1">
      <alignment horizontal="center" vertical="top"/>
    </xf>
    <xf numFmtId="0" fontId="6" fillId="0" borderId="0" xfId="2" applyFont="1" applyAlignment="1">
      <alignment horizontal="center" vertical="top"/>
    </xf>
    <xf numFmtId="0" fontId="2" fillId="0" borderId="2" xfId="2" applyBorder="1" applyAlignment="1">
      <alignment vertical="top"/>
    </xf>
    <xf numFmtId="0" fontId="2" fillId="3" borderId="2" xfId="2" applyFill="1" applyBorder="1" applyAlignment="1">
      <alignment vertical="top"/>
    </xf>
    <xf numFmtId="0" fontId="2" fillId="3" borderId="0" xfId="2" applyFill="1" applyAlignment="1">
      <alignment vertical="top"/>
    </xf>
    <xf numFmtId="0" fontId="2" fillId="0" borderId="3" xfId="2" applyBorder="1" applyAlignment="1">
      <alignment vertical="top"/>
    </xf>
    <xf numFmtId="164" fontId="2" fillId="4" borderId="0" xfId="1" applyNumberFormat="1" applyFont="1" applyFill="1" applyAlignment="1">
      <alignment vertical="top"/>
    </xf>
    <xf numFmtId="0" fontId="2" fillId="0" borderId="0" xfId="2" quotePrefix="1" applyAlignment="1">
      <alignment vertical="top" wrapText="1"/>
    </xf>
    <xf numFmtId="3" fontId="2" fillId="3" borderId="3" xfId="2" applyNumberFormat="1" applyFill="1" applyBorder="1" applyAlignment="1">
      <alignment horizontal="right" vertical="top"/>
    </xf>
    <xf numFmtId="0" fontId="2" fillId="3" borderId="3" xfId="2" applyFill="1" applyBorder="1" applyAlignment="1">
      <alignment vertical="top"/>
    </xf>
    <xf numFmtId="0" fontId="2" fillId="0" borderId="0" xfId="2" quotePrefix="1" applyAlignment="1">
      <alignment horizontal="center" vertical="center"/>
    </xf>
    <xf numFmtId="0" fontId="2" fillId="3" borderId="3" xfId="2" applyFill="1" applyBorder="1" applyAlignment="1">
      <alignment horizontal="center" vertical="top"/>
    </xf>
    <xf numFmtId="3" fontId="2" fillId="3" borderId="3" xfId="2" applyNumberFormat="1" applyFill="1" applyBorder="1" applyAlignment="1">
      <alignment horizontal="center" vertical="top"/>
    </xf>
    <xf numFmtId="3" fontId="2" fillId="4" borderId="0" xfId="2" applyNumberFormat="1" applyFill="1" applyAlignment="1">
      <alignment vertical="top"/>
    </xf>
    <xf numFmtId="3" fontId="2" fillId="3" borderId="0" xfId="2" applyNumberFormat="1" applyFill="1" applyAlignment="1">
      <alignment vertical="top"/>
    </xf>
    <xf numFmtId="164" fontId="7" fillId="5" borderId="0" xfId="2" applyNumberFormat="1" applyFont="1" applyFill="1" applyAlignment="1">
      <alignment vertical="top"/>
    </xf>
    <xf numFmtId="164" fontId="7" fillId="4" borderId="3" xfId="2" applyNumberFormat="1" applyFont="1" applyFill="1" applyBorder="1" applyAlignment="1">
      <alignment horizontal="center" vertical="center"/>
    </xf>
    <xf numFmtId="164" fontId="8" fillId="0" borderId="0" xfId="2" applyNumberFormat="1" applyFont="1" applyAlignment="1">
      <alignment vertical="top"/>
    </xf>
    <xf numFmtId="0" fontId="8" fillId="0" borderId="0" xfId="2" applyFont="1" applyAlignment="1">
      <alignment vertical="top"/>
    </xf>
    <xf numFmtId="164" fontId="8" fillId="0" borderId="3" xfId="2" applyNumberFormat="1" applyFont="1" applyBorder="1" applyAlignment="1">
      <alignment vertical="top"/>
    </xf>
    <xf numFmtId="164" fontId="9" fillId="0" borderId="0" xfId="2" applyNumberFormat="1" applyFont="1" applyAlignment="1">
      <alignment vertical="top"/>
    </xf>
    <xf numFmtId="164" fontId="9" fillId="0" borderId="3" xfId="2" applyNumberFormat="1" applyFont="1" applyBorder="1" applyAlignment="1">
      <alignment vertical="top"/>
    </xf>
    <xf numFmtId="3" fontId="7" fillId="5" borderId="0" xfId="2" applyNumberFormat="1" applyFont="1" applyFill="1" applyAlignment="1">
      <alignment vertical="top"/>
    </xf>
    <xf numFmtId="0" fontId="2" fillId="0" borderId="3" xfId="2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3" borderId="3" xfId="2" applyFill="1" applyBorder="1" applyAlignment="1">
      <alignment horizontal="center" vertical="center"/>
    </xf>
    <xf numFmtId="0" fontId="2" fillId="3" borderId="0" xfId="2" applyFill="1" applyAlignment="1">
      <alignment horizontal="center" vertical="center"/>
    </xf>
    <xf numFmtId="0" fontId="10" fillId="0" borderId="0" xfId="2" applyFont="1" applyAlignment="1">
      <alignment vertical="top"/>
    </xf>
    <xf numFmtId="164" fontId="7" fillId="5" borderId="3" xfId="2" applyNumberFormat="1" applyFont="1" applyFill="1" applyBorder="1" applyAlignment="1">
      <alignment vertical="top"/>
    </xf>
    <xf numFmtId="164" fontId="7" fillId="3" borderId="0" xfId="2" applyNumberFormat="1" applyFont="1" applyFill="1" applyAlignment="1">
      <alignment vertical="top"/>
    </xf>
    <xf numFmtId="164" fontId="7" fillId="0" borderId="3" xfId="2" applyNumberFormat="1" applyFont="1" applyBorder="1" applyAlignment="1">
      <alignment horizontal="center" vertical="center"/>
    </xf>
    <xf numFmtId="164" fontId="7" fillId="4" borderId="0" xfId="2" applyNumberFormat="1" applyFont="1" applyFill="1" applyAlignment="1">
      <alignment vertical="top"/>
    </xf>
    <xf numFmtId="164" fontId="7" fillId="0" borderId="2" xfId="2" applyNumberFormat="1" applyFont="1" applyBorder="1" applyAlignment="1">
      <alignment vertical="top"/>
    </xf>
    <xf numFmtId="164" fontId="7" fillId="0" borderId="0" xfId="2" applyNumberFormat="1" applyFont="1" applyAlignment="1">
      <alignment vertical="top"/>
    </xf>
    <xf numFmtId="0" fontId="9" fillId="0" borderId="0" xfId="2" applyFont="1" applyAlignment="1">
      <alignment vertical="top"/>
    </xf>
    <xf numFmtId="0" fontId="10" fillId="0" borderId="3" xfId="2" applyFont="1" applyBorder="1" applyAlignment="1">
      <alignment vertical="top"/>
    </xf>
    <xf numFmtId="164" fontId="7" fillId="0" borderId="3" xfId="2" applyNumberFormat="1" applyFont="1" applyBorder="1" applyAlignment="1">
      <alignment vertical="top"/>
    </xf>
    <xf numFmtId="164" fontId="12" fillId="0" borderId="3" xfId="2" applyNumberFormat="1" applyFont="1" applyBorder="1" applyAlignment="1">
      <alignment vertical="top"/>
    </xf>
    <xf numFmtId="0" fontId="13" fillId="5" borderId="0" xfId="2" applyFont="1" applyFill="1" applyAlignment="1">
      <alignment vertical="top"/>
    </xf>
    <xf numFmtId="0" fontId="2" fillId="5" borderId="0" xfId="2" applyFill="1" applyAlignment="1">
      <alignment vertical="top"/>
    </xf>
    <xf numFmtId="0" fontId="2" fillId="5" borderId="3" xfId="2" applyFill="1" applyBorder="1" applyAlignment="1">
      <alignment vertical="top"/>
    </xf>
    <xf numFmtId="0" fontId="7" fillId="0" borderId="0" xfId="2" applyFont="1" applyAlignment="1">
      <alignment vertical="top"/>
    </xf>
    <xf numFmtId="164" fontId="3" fillId="0" borderId="3" xfId="2" applyNumberFormat="1" applyFont="1" applyBorder="1" applyAlignment="1">
      <alignment vertical="top"/>
    </xf>
    <xf numFmtId="164" fontId="3" fillId="0" borderId="0" xfId="2" applyNumberFormat="1" applyFont="1" applyAlignment="1">
      <alignment vertical="top"/>
    </xf>
    <xf numFmtId="0" fontId="6" fillId="0" borderId="1" xfId="2" applyFont="1" applyBorder="1" applyAlignment="1">
      <alignment horizontal="center" vertical="top"/>
    </xf>
    <xf numFmtId="0" fontId="2" fillId="0" borderId="0" xfId="2" applyAlignment="1">
      <alignment horizontal="center" vertical="top"/>
    </xf>
    <xf numFmtId="0" fontId="6" fillId="0" borderId="0" xfId="2" applyFont="1" applyAlignment="1">
      <alignment horizontal="center" vertical="top"/>
    </xf>
    <xf numFmtId="3" fontId="7" fillId="0" borderId="0" xfId="2" applyNumberFormat="1" applyFont="1" applyAlignment="1">
      <alignment horizontal="center" vertical="top"/>
    </xf>
    <xf numFmtId="0" fontId="6" fillId="3" borderId="1" xfId="2" applyFont="1" applyFill="1" applyBorder="1" applyAlignment="1">
      <alignment horizontal="center" vertical="top"/>
    </xf>
    <xf numFmtId="0" fontId="2" fillId="2" borderId="0" xfId="2" applyFill="1" applyAlignment="1">
      <alignment horizontal="center" vertical="top"/>
    </xf>
  </cellXfs>
  <cellStyles count="3">
    <cellStyle name="Comma" xfId="1" builtinId="3"/>
    <cellStyle name="Normal" xfId="0" builtinId="0"/>
    <cellStyle name="Normal 2" xfId="2" xr:uid="{46B989E8-5AEC-4747-AE5C-2217D9C27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28E6-325E-4732-A4C5-C7DC826C6755}">
  <sheetPr>
    <tabColor rgb="FFFFFF00"/>
  </sheetPr>
  <dimension ref="A1:R121"/>
  <sheetViews>
    <sheetView tabSelected="1" topLeftCell="A5" zoomScale="70" zoomScaleNormal="70" workbookViewId="0">
      <selection activeCell="H34" sqref="H34"/>
    </sheetView>
  </sheetViews>
  <sheetFormatPr defaultColWidth="8.90625" defaultRowHeight="12.5" x14ac:dyDescent="0.35"/>
  <cols>
    <col min="1" max="1" width="8.26953125" style="2" customWidth="1"/>
    <col min="2" max="3" width="8.90625" style="2"/>
    <col min="4" max="4" width="11.6328125" style="2" customWidth="1"/>
    <col min="5" max="5" width="11" style="2" customWidth="1"/>
    <col min="6" max="6" width="23.54296875" style="2" customWidth="1"/>
    <col min="7" max="7" width="18.6328125" style="2" customWidth="1"/>
    <col min="8" max="8" width="17.6328125" style="2" customWidth="1"/>
    <col min="9" max="9" width="11.90625" style="2" customWidth="1"/>
    <col min="10" max="10" width="16.36328125" style="2" customWidth="1"/>
    <col min="11" max="11" width="17.54296875" style="2" customWidth="1"/>
    <col min="12" max="12" width="30.6328125" style="2" customWidth="1"/>
    <col min="13" max="13" width="16.6328125" style="2" customWidth="1"/>
    <col min="14" max="14" width="16.90625" style="2" customWidth="1"/>
    <col min="15" max="16" width="8.90625" style="2"/>
    <col min="17" max="17" width="14.453125" style="2" customWidth="1"/>
    <col min="18" max="18" width="16.81640625" style="2" customWidth="1"/>
    <col min="19" max="16384" width="8.90625" style="2"/>
  </cols>
  <sheetData>
    <row r="1" spans="1:18" ht="13" x14ac:dyDescent="0.35">
      <c r="A1" s="1"/>
      <c r="I1" s="2" t="s">
        <v>0</v>
      </c>
      <c r="J1" s="2" t="s">
        <v>1</v>
      </c>
    </row>
    <row r="2" spans="1:18" ht="20" x14ac:dyDescent="0.35">
      <c r="A2" s="3">
        <v>1</v>
      </c>
      <c r="B2" s="3" t="s">
        <v>2</v>
      </c>
      <c r="I2" s="4">
        <v>11882</v>
      </c>
      <c r="J2" s="2">
        <v>3000</v>
      </c>
      <c r="K2" s="5">
        <f>J2*I2</f>
        <v>35646000</v>
      </c>
      <c r="L2" s="6" t="s">
        <v>3</v>
      </c>
    </row>
    <row r="3" spans="1:18" ht="20" x14ac:dyDescent="0.35">
      <c r="A3" s="3">
        <v>2</v>
      </c>
      <c r="B3" s="3" t="s">
        <v>4</v>
      </c>
      <c r="H3" s="2" t="s">
        <v>5</v>
      </c>
      <c r="I3" s="7">
        <v>1603</v>
      </c>
      <c r="K3" s="7">
        <v>4809650</v>
      </c>
      <c r="L3" s="6" t="s">
        <v>6</v>
      </c>
    </row>
    <row r="4" spans="1:18" ht="13" x14ac:dyDescent="0.35">
      <c r="I4" s="7">
        <f>I2-I3</f>
        <v>10279</v>
      </c>
      <c r="K4" s="8">
        <f>K2-K3</f>
        <v>30836350</v>
      </c>
      <c r="L4" s="6" t="s">
        <v>7</v>
      </c>
    </row>
    <row r="5" spans="1:18" x14ac:dyDescent="0.35">
      <c r="G5" s="58" t="s">
        <v>8</v>
      </c>
      <c r="H5" s="58"/>
      <c r="I5" s="58"/>
      <c r="J5" s="58"/>
      <c r="K5" s="58"/>
      <c r="L5" s="58"/>
      <c r="M5" s="58"/>
      <c r="N5" s="58"/>
    </row>
    <row r="6" spans="1:18" ht="13" x14ac:dyDescent="0.35">
      <c r="D6" s="53" t="s">
        <v>9</v>
      </c>
      <c r="E6" s="53"/>
      <c r="G6" s="57" t="s">
        <v>10</v>
      </c>
      <c r="H6" s="57"/>
      <c r="I6" s="9"/>
      <c r="J6" s="57" t="s">
        <v>11</v>
      </c>
      <c r="K6" s="57"/>
      <c r="L6" s="10"/>
      <c r="M6" s="53" t="s">
        <v>12</v>
      </c>
      <c r="N6" s="53"/>
      <c r="Q6" s="53" t="s">
        <v>13</v>
      </c>
      <c r="R6" s="53"/>
    </row>
    <row r="7" spans="1:18" x14ac:dyDescent="0.35">
      <c r="D7" s="11"/>
      <c r="G7" s="12"/>
      <c r="H7" s="13"/>
      <c r="I7" s="13"/>
      <c r="J7" s="12"/>
      <c r="K7" s="13"/>
      <c r="M7" s="11"/>
      <c r="Q7" s="11"/>
    </row>
    <row r="8" spans="1:18" x14ac:dyDescent="0.35">
      <c r="D8" s="14"/>
      <c r="E8" s="15">
        <v>4000000</v>
      </c>
      <c r="F8" s="16" t="s">
        <v>14</v>
      </c>
      <c r="G8" s="17">
        <f>E8</f>
        <v>4000000</v>
      </c>
      <c r="H8" s="13"/>
      <c r="I8" s="13"/>
      <c r="J8" s="18"/>
      <c r="K8" s="13"/>
      <c r="M8" s="14"/>
      <c r="Q8" s="14"/>
    </row>
    <row r="9" spans="1:18" x14ac:dyDescent="0.35">
      <c r="D9" s="14"/>
      <c r="F9" s="19" t="s">
        <v>15</v>
      </c>
      <c r="G9" s="20"/>
      <c r="H9" s="13"/>
      <c r="I9" s="13"/>
      <c r="J9" s="18"/>
      <c r="K9" s="13"/>
      <c r="M9" s="14"/>
      <c r="Q9" s="14"/>
    </row>
    <row r="10" spans="1:18" x14ac:dyDescent="0.35">
      <c r="G10" s="20"/>
      <c r="H10" s="13"/>
      <c r="I10" s="13"/>
      <c r="J10" s="18"/>
      <c r="K10" s="13"/>
      <c r="M10" s="14"/>
      <c r="Q10" s="14"/>
    </row>
    <row r="11" spans="1:18" x14ac:dyDescent="0.35">
      <c r="F11" s="16"/>
      <c r="G11" s="21"/>
      <c r="H11" s="13"/>
      <c r="I11" s="13"/>
      <c r="J11" s="18"/>
      <c r="K11" s="13"/>
      <c r="M11" s="14"/>
      <c r="Q11" s="14"/>
    </row>
    <row r="12" spans="1:18" x14ac:dyDescent="0.35">
      <c r="F12" s="19"/>
      <c r="G12" s="18"/>
      <c r="H12" s="13"/>
      <c r="I12" s="13"/>
      <c r="J12" s="18"/>
      <c r="K12" s="13"/>
      <c r="M12" s="14"/>
      <c r="Q12" s="14"/>
    </row>
    <row r="13" spans="1:18" ht="25" x14ac:dyDescent="0.35">
      <c r="A13" s="53" t="s">
        <v>16</v>
      </c>
      <c r="B13" s="53"/>
      <c r="F13" s="2" t="s">
        <v>17</v>
      </c>
      <c r="G13" s="18" t="s">
        <v>18</v>
      </c>
      <c r="H13" s="13"/>
      <c r="I13" s="13"/>
      <c r="J13" s="18"/>
      <c r="K13" s="13"/>
      <c r="L13" s="16" t="s">
        <v>19</v>
      </c>
      <c r="M13" s="14"/>
      <c r="Q13" s="14"/>
    </row>
    <row r="14" spans="1:18" x14ac:dyDescent="0.35">
      <c r="A14" s="11"/>
      <c r="B14" s="22">
        <v>809650</v>
      </c>
      <c r="G14" s="23">
        <f>B14</f>
        <v>809650</v>
      </c>
      <c r="H14" s="13"/>
      <c r="I14" s="13"/>
      <c r="J14" s="18"/>
      <c r="K14" s="24">
        <f>K2</f>
        <v>35646000</v>
      </c>
      <c r="L14" s="19" t="s">
        <v>20</v>
      </c>
      <c r="M14" s="25">
        <f>K14</f>
        <v>35646000</v>
      </c>
      <c r="N14" s="26"/>
      <c r="O14" s="27"/>
      <c r="P14" s="27"/>
      <c r="Q14" s="28"/>
    </row>
    <row r="15" spans="1:18" ht="13" x14ac:dyDescent="0.35">
      <c r="D15" s="55"/>
      <c r="E15" s="55"/>
      <c r="G15" s="13"/>
      <c r="H15" s="13"/>
      <c r="I15" s="13"/>
      <c r="J15" s="13"/>
      <c r="K15" s="13"/>
      <c r="N15" s="29">
        <f>Q15</f>
        <v>35646000</v>
      </c>
      <c r="Q15" s="30">
        <f>M14</f>
        <v>35646000</v>
      </c>
    </row>
    <row r="16" spans="1:18" x14ac:dyDescent="0.35">
      <c r="G16" s="31">
        <f>G8+G14</f>
        <v>4809650</v>
      </c>
      <c r="H16" s="13"/>
      <c r="I16" s="13"/>
      <c r="J16" s="13"/>
      <c r="K16" s="23"/>
      <c r="M16" s="56">
        <v>0</v>
      </c>
      <c r="N16" s="56"/>
      <c r="Q16" s="14"/>
    </row>
    <row r="17" spans="1:17" ht="26" hidden="1" x14ac:dyDescent="0.35">
      <c r="A17" s="32"/>
      <c r="B17" s="33" t="s">
        <v>21</v>
      </c>
      <c r="C17" s="19" t="s">
        <v>22</v>
      </c>
      <c r="D17" s="32" t="s">
        <v>21</v>
      </c>
      <c r="F17" s="16" t="s">
        <v>23</v>
      </c>
      <c r="G17" s="18"/>
      <c r="H17" s="13"/>
      <c r="I17" s="13"/>
      <c r="J17" s="13"/>
      <c r="K17" s="13"/>
      <c r="Q17" s="14"/>
    </row>
    <row r="18" spans="1:17" hidden="1" x14ac:dyDescent="0.35">
      <c r="A18" s="14"/>
      <c r="D18" s="14"/>
      <c r="F18" s="19" t="s">
        <v>24</v>
      </c>
      <c r="G18" s="34" t="s">
        <v>25</v>
      </c>
      <c r="H18" s="13"/>
      <c r="I18" s="13"/>
      <c r="J18" s="13"/>
      <c r="K18" s="13"/>
      <c r="Q18" s="14"/>
    </row>
    <row r="19" spans="1:17" hidden="1" x14ac:dyDescent="0.35">
      <c r="F19" s="19"/>
      <c r="G19" s="35"/>
      <c r="H19" s="13"/>
      <c r="I19" s="13"/>
      <c r="J19" s="13"/>
      <c r="K19" s="13"/>
      <c r="Q19" s="14"/>
    </row>
    <row r="20" spans="1:17" hidden="1" x14ac:dyDescent="0.35">
      <c r="G20" s="13"/>
      <c r="H20" s="13"/>
      <c r="I20" s="13"/>
      <c r="J20" s="13"/>
      <c r="K20" s="13"/>
      <c r="Q20" s="14"/>
    </row>
    <row r="21" spans="1:17" ht="17.5" x14ac:dyDescent="0.35">
      <c r="B21" s="36" t="s">
        <v>26</v>
      </c>
      <c r="G21" s="13"/>
      <c r="H21" s="13"/>
      <c r="I21" s="13"/>
      <c r="J21" s="13"/>
      <c r="K21" s="13"/>
      <c r="M21" s="8"/>
      <c r="Q21" s="14"/>
    </row>
    <row r="22" spans="1:17" x14ac:dyDescent="0.35">
      <c r="G22" s="13"/>
      <c r="H22" s="13"/>
      <c r="I22" s="13"/>
      <c r="J22" s="13"/>
      <c r="K22" s="13"/>
      <c r="Q22" s="14"/>
    </row>
    <row r="23" spans="1:17" ht="20" x14ac:dyDescent="0.35">
      <c r="A23" s="3">
        <v>3</v>
      </c>
      <c r="B23" s="3" t="s">
        <v>27</v>
      </c>
      <c r="G23" s="13"/>
      <c r="H23" s="13"/>
      <c r="I23" s="13"/>
      <c r="J23" s="13"/>
      <c r="K23" s="13"/>
      <c r="Q23" s="14"/>
    </row>
    <row r="24" spans="1:17" ht="13" x14ac:dyDescent="0.35">
      <c r="G24" s="13"/>
      <c r="H24" s="13"/>
      <c r="I24" s="13"/>
      <c r="J24" s="57" t="s">
        <v>28</v>
      </c>
      <c r="K24" s="57"/>
      <c r="M24" s="53" t="s">
        <v>29</v>
      </c>
      <c r="N24" s="53"/>
      <c r="Q24" s="14"/>
    </row>
    <row r="25" spans="1:17" x14ac:dyDescent="0.35">
      <c r="G25" s="13"/>
      <c r="H25" s="13"/>
      <c r="I25" s="13"/>
      <c r="J25" s="12"/>
      <c r="K25" s="13"/>
      <c r="M25" s="11"/>
      <c r="Q25" s="14"/>
    </row>
    <row r="26" spans="1:17" x14ac:dyDescent="0.35">
      <c r="G26" s="13"/>
      <c r="H26" s="13"/>
      <c r="I26" s="13"/>
      <c r="J26" s="37">
        <f>N26</f>
        <v>30836350</v>
      </c>
      <c r="K26" s="38"/>
      <c r="L26" s="2" t="s">
        <v>30</v>
      </c>
      <c r="M26" s="39"/>
      <c r="N26" s="40">
        <f>K4</f>
        <v>30836350</v>
      </c>
      <c r="Q26" s="14"/>
    </row>
    <row r="27" spans="1:17" x14ac:dyDescent="0.35">
      <c r="G27" s="13"/>
      <c r="H27" s="13"/>
      <c r="I27" s="13"/>
      <c r="J27" s="18"/>
      <c r="K27" s="13"/>
      <c r="L27" s="19" t="s">
        <v>31</v>
      </c>
      <c r="M27" s="14"/>
      <c r="Q27" s="14"/>
    </row>
    <row r="28" spans="1:17" x14ac:dyDescent="0.35">
      <c r="G28" s="13"/>
      <c r="H28" s="13"/>
      <c r="I28" s="13"/>
      <c r="J28" s="18"/>
      <c r="K28" s="13"/>
      <c r="M28" s="14"/>
      <c r="Q28" s="14"/>
    </row>
    <row r="29" spans="1:17" x14ac:dyDescent="0.35">
      <c r="Q29" s="14"/>
    </row>
    <row r="30" spans="1:17" ht="17.5" x14ac:dyDescent="0.35">
      <c r="J30" s="36" t="s">
        <v>32</v>
      </c>
      <c r="Q30" s="14"/>
    </row>
    <row r="31" spans="1:17" x14ac:dyDescent="0.35">
      <c r="Q31" s="14"/>
    </row>
    <row r="32" spans="1:17" ht="20" x14ac:dyDescent="0.35">
      <c r="A32" s="3">
        <v>4</v>
      </c>
      <c r="B32" s="3" t="s">
        <v>33</v>
      </c>
      <c r="Q32" s="14"/>
    </row>
    <row r="33" spans="1:18" x14ac:dyDescent="0.35">
      <c r="Q33" s="14"/>
    </row>
    <row r="34" spans="1:18" ht="13" x14ac:dyDescent="0.35">
      <c r="J34" s="53" t="s">
        <v>11</v>
      </c>
      <c r="K34" s="53"/>
      <c r="M34" s="53">
        <v>621900200</v>
      </c>
      <c r="N34" s="53"/>
      <c r="Q34" s="14"/>
    </row>
    <row r="35" spans="1:18" x14ac:dyDescent="0.35">
      <c r="J35" s="41">
        <f>N35</f>
        <v>30836350</v>
      </c>
      <c r="L35" s="2" t="s">
        <v>34</v>
      </c>
      <c r="M35" s="11"/>
      <c r="N35" s="42">
        <f>K4</f>
        <v>30836350</v>
      </c>
      <c r="Q35" s="14"/>
      <c r="R35" s="8"/>
    </row>
    <row r="36" spans="1:18" x14ac:dyDescent="0.35">
      <c r="Q36" s="14"/>
    </row>
    <row r="37" spans="1:18" ht="13" x14ac:dyDescent="0.35">
      <c r="J37" s="30">
        <f>R53</f>
        <v>30836350</v>
      </c>
      <c r="L37" s="43" t="s">
        <v>35</v>
      </c>
      <c r="M37" s="32"/>
      <c r="N37" s="42">
        <f>M26</f>
        <v>0</v>
      </c>
      <c r="Q37" s="14"/>
    </row>
    <row r="38" spans="1:18" x14ac:dyDescent="0.35">
      <c r="J38" s="14"/>
      <c r="M38" s="14"/>
      <c r="Q38" s="14"/>
    </row>
    <row r="39" spans="1:18" x14ac:dyDescent="0.35">
      <c r="J39" s="14"/>
      <c r="L39" s="2" t="s">
        <v>36</v>
      </c>
      <c r="Q39" s="14"/>
    </row>
    <row r="40" spans="1:18" ht="17.5" x14ac:dyDescent="0.35">
      <c r="J40" s="44" t="s">
        <v>37</v>
      </c>
      <c r="M40" s="14"/>
      <c r="Q40" s="14"/>
    </row>
    <row r="41" spans="1:18" ht="17.5" x14ac:dyDescent="0.35">
      <c r="J41" s="36"/>
      <c r="Q41" s="14"/>
    </row>
    <row r="42" spans="1:18" ht="17.5" x14ac:dyDescent="0.35">
      <c r="J42" s="36"/>
      <c r="Q42" s="14"/>
    </row>
    <row r="43" spans="1:18" x14ac:dyDescent="0.35">
      <c r="Q43" s="14"/>
    </row>
    <row r="44" spans="1:18" ht="20" x14ac:dyDescent="0.35">
      <c r="A44" s="3">
        <v>5</v>
      </c>
      <c r="B44" s="3" t="s">
        <v>38</v>
      </c>
      <c r="J44" s="53" t="s">
        <v>39</v>
      </c>
      <c r="K44" s="53"/>
      <c r="M44" s="53" t="s">
        <v>12</v>
      </c>
      <c r="N44" s="53"/>
      <c r="Q44" s="30"/>
    </row>
    <row r="45" spans="1:18" ht="13" x14ac:dyDescent="0.35">
      <c r="J45" s="11"/>
      <c r="M45" s="11"/>
      <c r="Q45" s="30"/>
    </row>
    <row r="46" spans="1:18" ht="13" x14ac:dyDescent="0.35">
      <c r="J46" s="45">
        <f>N35</f>
        <v>30836350</v>
      </c>
      <c r="L46" s="6" t="s">
        <v>40</v>
      </c>
      <c r="M46" s="14"/>
      <c r="N46" s="45">
        <f>J46</f>
        <v>30836350</v>
      </c>
      <c r="Q46" s="30"/>
    </row>
    <row r="47" spans="1:18" ht="13" x14ac:dyDescent="0.35">
      <c r="J47" s="14"/>
      <c r="M47" s="14"/>
      <c r="Q47" s="30"/>
    </row>
    <row r="48" spans="1:18" ht="13" x14ac:dyDescent="0.35">
      <c r="J48" s="14"/>
      <c r="M48" s="14"/>
      <c r="Q48" s="30"/>
    </row>
    <row r="49" spans="1:18" ht="13" x14ac:dyDescent="0.35">
      <c r="J49" s="14"/>
      <c r="M49" s="14"/>
      <c r="Q49" s="30"/>
    </row>
    <row r="50" spans="1:18" ht="13" x14ac:dyDescent="0.35">
      <c r="J50" s="14"/>
      <c r="M50" s="14"/>
      <c r="Q50" s="30"/>
    </row>
    <row r="51" spans="1:18" ht="14" x14ac:dyDescent="0.35">
      <c r="J51" s="14"/>
      <c r="M51" s="46">
        <f>M14-N35</f>
        <v>4809650</v>
      </c>
      <c r="Q51" s="30"/>
    </row>
    <row r="52" spans="1:18" ht="13" x14ac:dyDescent="0.35">
      <c r="J52" s="14"/>
      <c r="Q52" s="30"/>
    </row>
    <row r="53" spans="1:18" ht="13" x14ac:dyDescent="0.35">
      <c r="J53" s="30">
        <v>30836350</v>
      </c>
      <c r="L53" s="43" t="s">
        <v>35</v>
      </c>
      <c r="Q53" s="30"/>
      <c r="R53" s="29">
        <f>N35</f>
        <v>30836350</v>
      </c>
    </row>
    <row r="54" spans="1:18" ht="13" x14ac:dyDescent="0.35">
      <c r="Q54" s="30">
        <f>M51</f>
        <v>4809650</v>
      </c>
    </row>
    <row r="55" spans="1:18" ht="13" x14ac:dyDescent="0.35">
      <c r="Q55" s="29"/>
    </row>
    <row r="56" spans="1:18" ht="13" x14ac:dyDescent="0.35">
      <c r="Q56" s="29"/>
    </row>
    <row r="57" spans="1:18" ht="13" x14ac:dyDescent="0.35">
      <c r="Q57" s="29"/>
    </row>
    <row r="58" spans="1:18" ht="13" x14ac:dyDescent="0.35">
      <c r="Q58" s="29"/>
    </row>
    <row r="59" spans="1:18" ht="13" x14ac:dyDescent="0.35">
      <c r="Q59" s="29"/>
    </row>
    <row r="60" spans="1:18" ht="13" x14ac:dyDescent="0.35">
      <c r="Q60" s="29"/>
    </row>
    <row r="61" spans="1:18" ht="13" x14ac:dyDescent="0.35">
      <c r="Q61" s="29"/>
    </row>
    <row r="62" spans="1:18" ht="28" x14ac:dyDescent="0.35">
      <c r="A62" s="47" t="s">
        <v>41</v>
      </c>
      <c r="B62" s="48"/>
      <c r="C62" s="48"/>
      <c r="D62" s="48"/>
      <c r="E62" s="48"/>
      <c r="F62" s="48"/>
      <c r="G62" s="48"/>
      <c r="H62" s="48"/>
      <c r="I62" s="48"/>
      <c r="J62" s="49"/>
      <c r="K62" s="48"/>
      <c r="L62" s="48"/>
      <c r="M62" s="49"/>
      <c r="N62" s="48"/>
      <c r="O62" s="48"/>
      <c r="P62" s="48"/>
      <c r="Q62" s="48"/>
      <c r="R62" s="48"/>
    </row>
    <row r="63" spans="1:18" x14ac:dyDescent="0.35">
      <c r="J63" s="14"/>
      <c r="M63" s="14"/>
    </row>
    <row r="64" spans="1:18" x14ac:dyDescent="0.35">
      <c r="J64" s="14"/>
      <c r="K64" s="42">
        <f>J35</f>
        <v>30836350</v>
      </c>
      <c r="L64" s="50"/>
      <c r="M64" s="45">
        <f>K64</f>
        <v>30836350</v>
      </c>
    </row>
    <row r="65" spans="10:14" x14ac:dyDescent="0.35">
      <c r="J65" s="14"/>
      <c r="M65" s="14"/>
    </row>
    <row r="66" spans="10:14" x14ac:dyDescent="0.35">
      <c r="J66" s="14"/>
      <c r="M66" s="14"/>
    </row>
    <row r="67" spans="10:14" x14ac:dyDescent="0.35">
      <c r="J67" s="14"/>
      <c r="M67" s="14"/>
    </row>
    <row r="68" spans="10:14" ht="13" x14ac:dyDescent="0.35">
      <c r="J68" s="14"/>
      <c r="L68" s="2" t="s">
        <v>42</v>
      </c>
      <c r="M68" s="51">
        <f>M51+M64</f>
        <v>35646000</v>
      </c>
    </row>
    <row r="69" spans="10:14" x14ac:dyDescent="0.35">
      <c r="J69" s="14"/>
      <c r="L69" s="50" t="s">
        <v>43</v>
      </c>
      <c r="M69" s="14"/>
    </row>
    <row r="70" spans="10:14" x14ac:dyDescent="0.35">
      <c r="J70" s="14"/>
      <c r="M70" s="14"/>
    </row>
    <row r="71" spans="10:14" x14ac:dyDescent="0.35">
      <c r="J71" s="14"/>
      <c r="M71" s="14"/>
    </row>
    <row r="72" spans="10:14" ht="13" x14ac:dyDescent="0.35">
      <c r="J72" s="8">
        <f>N72</f>
        <v>30836350</v>
      </c>
      <c r="L72" s="2" t="s">
        <v>44</v>
      </c>
      <c r="M72" s="51"/>
      <c r="N72" s="8">
        <f>M64</f>
        <v>30836350</v>
      </c>
    </row>
    <row r="73" spans="10:14" ht="13" x14ac:dyDescent="0.35">
      <c r="J73" s="54">
        <v>0</v>
      </c>
      <c r="K73" s="54"/>
      <c r="M73" s="52"/>
    </row>
    <row r="74" spans="10:14" ht="13" x14ac:dyDescent="0.35">
      <c r="L74" s="50" t="s">
        <v>45</v>
      </c>
      <c r="M74" s="52">
        <f>M51</f>
        <v>4809650</v>
      </c>
    </row>
    <row r="75" spans="10:14" ht="13" x14ac:dyDescent="0.35">
      <c r="M75" s="52"/>
    </row>
    <row r="76" spans="10:14" ht="13" x14ac:dyDescent="0.35">
      <c r="M76" s="52"/>
    </row>
    <row r="77" spans="10:14" ht="13" x14ac:dyDescent="0.35">
      <c r="M77" s="52"/>
    </row>
    <row r="78" spans="10:14" ht="13" x14ac:dyDescent="0.35">
      <c r="M78" s="52"/>
    </row>
    <row r="79" spans="10:14" ht="13" x14ac:dyDescent="0.35">
      <c r="M79" s="52"/>
    </row>
    <row r="80" spans="10:14" ht="13" x14ac:dyDescent="0.35">
      <c r="M80" s="52"/>
    </row>
    <row r="121" spans="8:8" x14ac:dyDescent="0.35">
      <c r="H121" s="7"/>
    </row>
  </sheetData>
  <mergeCells count="16">
    <mergeCell ref="Q6:R6"/>
    <mergeCell ref="G5:N5"/>
    <mergeCell ref="D6:E6"/>
    <mergeCell ref="G6:H6"/>
    <mergeCell ref="J6:K6"/>
    <mergeCell ref="M6:N6"/>
    <mergeCell ref="J44:K44"/>
    <mergeCell ref="M44:N44"/>
    <mergeCell ref="J73:K73"/>
    <mergeCell ref="A13:B13"/>
    <mergeCell ref="D15:E15"/>
    <mergeCell ref="M16:N16"/>
    <mergeCell ref="J24:K24"/>
    <mergeCell ref="M24:N24"/>
    <mergeCell ref="J34:K34"/>
    <mergeCell ref="M34:N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Đường đi giá thành 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Nhã Lê Thanh</dc:creator>
  <cp:lastModifiedBy>Cư, Lê Hoành</cp:lastModifiedBy>
  <dcterms:created xsi:type="dcterms:W3CDTF">2026-01-23T07:40:31Z</dcterms:created>
  <dcterms:modified xsi:type="dcterms:W3CDTF">2026-01-23T09:57:29Z</dcterms:modified>
</cp:coreProperties>
</file>