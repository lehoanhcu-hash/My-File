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Đ Tài chính\Ngân Sách 2026\Trình duyệt ngân sách\Trạm\Update giá mới từ DTR Đc - Revise\"/>
    </mc:Choice>
  </mc:AlternateContent>
  <xr:revisionPtr revIDLastSave="0" documentId="13_ncr:1_{6F31CFBF-ED58-4EB0-A58A-CB4A42A9B5A9}" xr6:coauthVersionLast="47" xr6:coauthVersionMax="47" xr10:uidLastSave="{00000000-0000-0000-0000-000000000000}"/>
  <bookViews>
    <workbookView xWindow="-110" yWindow="-110" windowWidth="19420" windowHeight="10300" firstSheet="5" activeTab="11" xr2:uid="{00000000-000D-0000-FFFF-FFFF00000000}"/>
  </bookViews>
  <sheets>
    <sheet name="Timeline &amp; PIC" sheetId="71" r:id="rId1"/>
    <sheet name="Thongtin" sheetId="70" r:id="rId2"/>
    <sheet name="KH hanh dong" sheetId="49" r:id="rId3"/>
    <sheet name="KDKD DAY DAI" sheetId="82" state="hidden" r:id="rId4"/>
    <sheet name="KH DAY DAI" sheetId="83" state="hidden" r:id="rId5"/>
    <sheet name="Cong suat" sheetId="52" r:id="rId6"/>
    <sheet name="Dinh muc" sheetId="47" r:id="rId7"/>
    <sheet name="Dinh muc (2)" sheetId="85" state="hidden" r:id="rId8"/>
    <sheet name="Dinh bien_HCNS" sheetId="72" r:id="rId9"/>
    <sheet name="LUONG" sheetId="63" r:id="rId10"/>
    <sheet name="GB" sheetId="84" r:id="rId11"/>
    <sheet name="KQKD PET" sheetId="55" r:id="rId12"/>
    <sheet name="KQKD HD" sheetId="56" r:id="rId13"/>
    <sheet name="KQKD Tong hop" sheetId="48" r:id="rId14"/>
    <sheet name="1.NVL Chai" sheetId="39" r:id="rId15"/>
    <sheet name="2.Hao hut &amp; % chai " sheetId="38" r:id="rId16"/>
    <sheet name="3.Thanh pham" sheetId="37" r:id="rId17"/>
    <sheet name="4.Doanh thu" sheetId="40" r:id="rId18"/>
    <sheet name="CPSX" sheetId="41" r:id="rId19"/>
    <sheet name="CPBH" sheetId="62" r:id="rId20"/>
    <sheet name="CPQL" sheetId="42" r:id="rId21"/>
    <sheet name="CP_Kg" sheetId="64" r:id="rId22"/>
    <sheet name="PB_TSCD" sheetId="65" r:id="rId23"/>
    <sheet name="PB_TSCD DC" sheetId="81" state="hidden" r:id="rId24"/>
    <sheet name="PB_CPTT" sheetId="69" r:id="rId25"/>
    <sheet name="FORM OH" sheetId="67" r:id="rId26"/>
    <sheet name="MD" sheetId="68" r:id="rId27"/>
    <sheet name="DATA Phan bo" sheetId="59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6" i="55" l="1"/>
  <c r="F219" i="37" l="1"/>
  <c r="F60" i="48" l="1"/>
  <c r="T16" i="39" l="1"/>
  <c r="U48" i="55"/>
  <c r="U46" i="55"/>
  <c r="U45" i="55"/>
  <c r="U44" i="55"/>
  <c r="U42" i="55"/>
  <c r="U41" i="55"/>
  <c r="U40" i="55"/>
  <c r="U39" i="55"/>
  <c r="U38" i="55"/>
  <c r="U37" i="55"/>
  <c r="U36" i="55"/>
  <c r="U35" i="55"/>
  <c r="U34" i="55"/>
  <c r="U26" i="55"/>
  <c r="U24" i="55"/>
  <c r="U23" i="55"/>
  <c r="U19" i="55"/>
  <c r="U18" i="55"/>
  <c r="U17" i="55"/>
  <c r="U16" i="55"/>
  <c r="U13" i="55"/>
  <c r="U12" i="55"/>
  <c r="U11" i="55"/>
  <c r="U10" i="55"/>
  <c r="X9" i="55"/>
  <c r="U9" i="55"/>
  <c r="X9" i="56"/>
  <c r="U48" i="56"/>
  <c r="U46" i="56"/>
  <c r="U45" i="56"/>
  <c r="U44" i="56"/>
  <c r="U42" i="56"/>
  <c r="U41" i="56"/>
  <c r="U40" i="56"/>
  <c r="U39" i="56"/>
  <c r="U38" i="56"/>
  <c r="U37" i="56"/>
  <c r="U36" i="56"/>
  <c r="U35" i="56"/>
  <c r="U34" i="56"/>
  <c r="U24" i="56"/>
  <c r="U23" i="56"/>
  <c r="U20" i="56"/>
  <c r="U19" i="56"/>
  <c r="U18" i="56"/>
  <c r="U17" i="56"/>
  <c r="U16" i="56"/>
  <c r="U13" i="56"/>
  <c r="U12" i="56"/>
  <c r="U11" i="56"/>
  <c r="U10" i="56"/>
  <c r="U9" i="56"/>
  <c r="X10" i="48"/>
  <c r="U12" i="48"/>
  <c r="U13" i="48"/>
  <c r="U14" i="48"/>
  <c r="U15" i="48"/>
  <c r="U18" i="48"/>
  <c r="U19" i="48"/>
  <c r="U20" i="48"/>
  <c r="U21" i="48"/>
  <c r="U25" i="48"/>
  <c r="U26" i="48"/>
  <c r="U36" i="48"/>
  <c r="U37" i="48"/>
  <c r="U38" i="48"/>
  <c r="U39" i="48"/>
  <c r="U40" i="48"/>
  <c r="U41" i="48"/>
  <c r="U42" i="48"/>
  <c r="U43" i="48"/>
  <c r="U44" i="48"/>
  <c r="U46" i="48"/>
  <c r="U47" i="48"/>
  <c r="U48" i="48"/>
  <c r="U50" i="48"/>
  <c r="U10" i="48"/>
  <c r="U11" i="48"/>
  <c r="S38" i="39"/>
  <c r="R19" i="56"/>
  <c r="Q19" i="56"/>
  <c r="P19" i="56"/>
  <c r="O19" i="56"/>
  <c r="N19" i="56"/>
  <c r="M19" i="56"/>
  <c r="L19" i="56"/>
  <c r="K19" i="56"/>
  <c r="J19" i="56"/>
  <c r="H19" i="56"/>
  <c r="G19" i="56"/>
  <c r="F19" i="56"/>
  <c r="Q63" i="37"/>
  <c r="F102" i="37" l="1"/>
  <c r="C213" i="37"/>
  <c r="C212" i="37"/>
  <c r="C211" i="37"/>
  <c r="L17" i="55"/>
  <c r="R67" i="55"/>
  <c r="Q67" i="55"/>
  <c r="P67" i="55"/>
  <c r="O67" i="55"/>
  <c r="N67" i="55"/>
  <c r="M67" i="55"/>
  <c r="L67" i="55"/>
  <c r="K67" i="55"/>
  <c r="J67" i="55"/>
  <c r="H67" i="55"/>
  <c r="Q66" i="55"/>
  <c r="P66" i="55"/>
  <c r="O66" i="55"/>
  <c r="N66" i="55"/>
  <c r="M66" i="55"/>
  <c r="L66" i="55"/>
  <c r="K66" i="55"/>
  <c r="J66" i="55"/>
  <c r="H66" i="55"/>
  <c r="F67" i="55"/>
  <c r="F66" i="55"/>
  <c r="R65" i="55"/>
  <c r="Q65" i="55"/>
  <c r="P65" i="55"/>
  <c r="O65" i="55"/>
  <c r="N65" i="55"/>
  <c r="M65" i="55"/>
  <c r="L65" i="55"/>
  <c r="K65" i="55"/>
  <c r="J65" i="55"/>
  <c r="H65" i="55"/>
  <c r="F65" i="55"/>
  <c r="R56" i="56"/>
  <c r="Q56" i="56"/>
  <c r="P56" i="56"/>
  <c r="O56" i="56"/>
  <c r="N56" i="56"/>
  <c r="M56" i="56"/>
  <c r="L56" i="56"/>
  <c r="K56" i="56"/>
  <c r="J56" i="56"/>
  <c r="H56" i="56"/>
  <c r="F56" i="56"/>
  <c r="Q230" i="37"/>
  <c r="P230" i="37"/>
  <c r="O230" i="37"/>
  <c r="N230" i="37"/>
  <c r="M230" i="37"/>
  <c r="L230" i="37"/>
  <c r="K230" i="37"/>
  <c r="J230" i="37"/>
  <c r="I230" i="37"/>
  <c r="G230" i="37"/>
  <c r="F82" i="37" l="1"/>
  <c r="S56" i="48" l="1"/>
  <c r="S50" i="48"/>
  <c r="S48" i="48"/>
  <c r="S47" i="48"/>
  <c r="S46" i="48"/>
  <c r="S44" i="48"/>
  <c r="S43" i="48"/>
  <c r="S8" i="48"/>
  <c r="S9" i="48"/>
  <c r="S13" i="48"/>
  <c r="S14" i="48"/>
  <c r="S15" i="48"/>
  <c r="S36" i="48"/>
  <c r="S37" i="48"/>
  <c r="S38" i="48"/>
  <c r="S39" i="48"/>
  <c r="S40" i="48"/>
  <c r="K142" i="40"/>
  <c r="H29" i="39"/>
  <c r="H38" i="39"/>
  <c r="H34" i="39"/>
  <c r="AG22" i="40"/>
  <c r="AG21" i="40"/>
  <c r="AG20" i="40"/>
  <c r="AG19" i="40"/>
  <c r="AG18" i="40"/>
  <c r="AG17" i="40"/>
  <c r="AG16" i="40"/>
  <c r="AG15" i="40"/>
  <c r="AG14" i="40"/>
  <c r="AG13" i="40"/>
  <c r="AG12" i="40"/>
  <c r="AG11" i="40"/>
  <c r="AG10" i="40"/>
  <c r="AG9" i="40"/>
  <c r="AG8" i="40"/>
  <c r="AG7" i="40"/>
  <c r="I32" i="39"/>
  <c r="J32" i="39" s="1"/>
  <c r="K32" i="39" s="1"/>
  <c r="L32" i="39" s="1"/>
  <c r="M32" i="39" s="1"/>
  <c r="N32" i="39" s="1"/>
  <c r="O32" i="39" s="1"/>
  <c r="P32" i="39" s="1"/>
  <c r="Q32" i="39" s="1"/>
  <c r="R32" i="39" s="1"/>
  <c r="S32" i="39" s="1"/>
  <c r="I26" i="39"/>
  <c r="I29" i="39" s="1"/>
  <c r="J26" i="39" l="1"/>
  <c r="AQ359" i="67"/>
  <c r="AP359" i="67"/>
  <c r="AO359" i="67"/>
  <c r="AN359" i="67"/>
  <c r="AM359" i="67"/>
  <c r="AL359" i="67"/>
  <c r="AK359" i="67"/>
  <c r="AJ359" i="67"/>
  <c r="AI359" i="67"/>
  <c r="AH359" i="67"/>
  <c r="AG359" i="67"/>
  <c r="AF359" i="67"/>
  <c r="AC359" i="67"/>
  <c r="AB359" i="67"/>
  <c r="AA359" i="67"/>
  <c r="Z359" i="67"/>
  <c r="Y359" i="67"/>
  <c r="X359" i="67"/>
  <c r="W359" i="67"/>
  <c r="V359" i="67"/>
  <c r="U359" i="67"/>
  <c r="T359" i="67"/>
  <c r="S359" i="67"/>
  <c r="R359" i="67"/>
  <c r="AR358" i="67"/>
  <c r="AD358" i="67"/>
  <c r="AS358" i="67" s="1"/>
  <c r="AT358" i="67" s="1"/>
  <c r="AR357" i="67"/>
  <c r="AD357" i="67"/>
  <c r="AS357" i="67" s="1"/>
  <c r="AT357" i="67" s="1"/>
  <c r="AR356" i="67"/>
  <c r="AD356" i="67"/>
  <c r="AS356" i="67" s="1"/>
  <c r="AT356" i="67" s="1"/>
  <c r="AR355" i="67"/>
  <c r="AD355" i="67"/>
  <c r="AS355" i="67" s="1"/>
  <c r="AT355" i="67" s="1"/>
  <c r="AR354" i="67"/>
  <c r="AD354" i="67"/>
  <c r="AS354" i="67" s="1"/>
  <c r="AT354" i="67" s="1"/>
  <c r="AR353" i="67"/>
  <c r="AD353" i="67"/>
  <c r="AS353" i="67" s="1"/>
  <c r="AT353" i="67" s="1"/>
  <c r="AS352" i="67"/>
  <c r="AT352" i="67" s="1"/>
  <c r="AR352" i="67"/>
  <c r="AD352" i="67"/>
  <c r="AR351" i="67"/>
  <c r="AD351" i="67"/>
  <c r="AS351" i="67" s="1"/>
  <c r="AT351" i="67" s="1"/>
  <c r="AR350" i="67"/>
  <c r="AD350" i="67"/>
  <c r="AS350" i="67" s="1"/>
  <c r="AT350" i="67" s="1"/>
  <c r="AR349" i="67"/>
  <c r="AS349" i="67" s="1"/>
  <c r="AT349" i="67" s="1"/>
  <c r="AD349" i="67"/>
  <c r="AR348" i="67"/>
  <c r="AD348" i="67"/>
  <c r="AS348" i="67" s="1"/>
  <c r="AT348" i="67" s="1"/>
  <c r="AR347" i="67"/>
  <c r="AD347" i="67"/>
  <c r="AS347" i="67" s="1"/>
  <c r="AT347" i="67" s="1"/>
  <c r="AR346" i="67"/>
  <c r="AD346" i="67"/>
  <c r="AS346" i="67" s="1"/>
  <c r="AT346" i="67" s="1"/>
  <c r="AR345" i="67"/>
  <c r="AR344" i="67" s="1"/>
  <c r="AD345" i="67"/>
  <c r="AS345" i="67" s="1"/>
  <c r="AT345" i="67" s="1"/>
  <c r="AQ344" i="67"/>
  <c r="AP344" i="67"/>
  <c r="AO344" i="67"/>
  <c r="AN344" i="67"/>
  <c r="AM344" i="67"/>
  <c r="AL344" i="67"/>
  <c r="AK344" i="67"/>
  <c r="AJ344" i="67"/>
  <c r="AI344" i="67"/>
  <c r="AH344" i="67"/>
  <c r="AG344" i="67"/>
  <c r="AF344" i="67"/>
  <c r="AC344" i="67"/>
  <c r="AB344" i="67"/>
  <c r="AA344" i="67"/>
  <c r="Z344" i="67"/>
  <c r="Y344" i="67"/>
  <c r="X344" i="67"/>
  <c r="W344" i="67"/>
  <c r="V344" i="67"/>
  <c r="U344" i="67"/>
  <c r="T344" i="67"/>
  <c r="S344" i="67"/>
  <c r="R344" i="67"/>
  <c r="AD344" i="67" s="1"/>
  <c r="AR343" i="67"/>
  <c r="AD343" i="67"/>
  <c r="AS343" i="67" s="1"/>
  <c r="AT343" i="67" s="1"/>
  <c r="AR342" i="67"/>
  <c r="AS342" i="67" s="1"/>
  <c r="AT342" i="67" s="1"/>
  <c r="AD342" i="67"/>
  <c r="AR341" i="67"/>
  <c r="AD341" i="67"/>
  <c r="AS341" i="67" s="1"/>
  <c r="AT341" i="67" s="1"/>
  <c r="AR340" i="67"/>
  <c r="AS340" i="67" s="1"/>
  <c r="AT340" i="67" s="1"/>
  <c r="AR339" i="67"/>
  <c r="AD339" i="67"/>
  <c r="AS339" i="67" s="1"/>
  <c r="AT339" i="67" s="1"/>
  <c r="AT338" i="67"/>
  <c r="AS338" i="67"/>
  <c r="AR338" i="67"/>
  <c r="AD338" i="67"/>
  <c r="AR337" i="67"/>
  <c r="AD337" i="67"/>
  <c r="AS337" i="67" s="1"/>
  <c r="AT337" i="67" s="1"/>
  <c r="AR336" i="67"/>
  <c r="AD336" i="67"/>
  <c r="AS336" i="67" s="1"/>
  <c r="AT336" i="67" s="1"/>
  <c r="AS335" i="67"/>
  <c r="AT335" i="67" s="1"/>
  <c r="AR335" i="67"/>
  <c r="AD335" i="67"/>
  <c r="AS334" i="67"/>
  <c r="AT334" i="67" s="1"/>
  <c r="AR334" i="67"/>
  <c r="AD334" i="67"/>
  <c r="AR333" i="67"/>
  <c r="AD333" i="67"/>
  <c r="AS333" i="67" s="1"/>
  <c r="AT333" i="67" s="1"/>
  <c r="AS332" i="67"/>
  <c r="AT332" i="67" s="1"/>
  <c r="AR332" i="67"/>
  <c r="AD332" i="67"/>
  <c r="AR331" i="67"/>
  <c r="AD331" i="67"/>
  <c r="AS331" i="67" s="1"/>
  <c r="AT331" i="67" s="1"/>
  <c r="AR330" i="67"/>
  <c r="AD330" i="67"/>
  <c r="AS330" i="67" s="1"/>
  <c r="AT330" i="67" s="1"/>
  <c r="AS329" i="67"/>
  <c r="AT329" i="67" s="1"/>
  <c r="AR329" i="67"/>
  <c r="AD329" i="67"/>
  <c r="AR328" i="67"/>
  <c r="AD328" i="67"/>
  <c r="AS328" i="67" s="1"/>
  <c r="AT328" i="67" s="1"/>
  <c r="AS327" i="67"/>
  <c r="AT327" i="67" s="1"/>
  <c r="AR327" i="67"/>
  <c r="AD327" i="67"/>
  <c r="AS326" i="67"/>
  <c r="AT326" i="67" s="1"/>
  <c r="AR326" i="67"/>
  <c r="AD326" i="67"/>
  <c r="AS325" i="67"/>
  <c r="AT325" i="67" s="1"/>
  <c r="AR325" i="67"/>
  <c r="AD325" i="67"/>
  <c r="AR324" i="67"/>
  <c r="AD324" i="67"/>
  <c r="AS324" i="67" s="1"/>
  <c r="AT324" i="67" s="1"/>
  <c r="AS323" i="67"/>
  <c r="AT323" i="67" s="1"/>
  <c r="AR323" i="67"/>
  <c r="AD323" i="67"/>
  <c r="AR322" i="67"/>
  <c r="AS322" i="67" s="1"/>
  <c r="AT322" i="67" s="1"/>
  <c r="AD322" i="67"/>
  <c r="AS321" i="67"/>
  <c r="AT321" i="67" s="1"/>
  <c r="AR321" i="67"/>
  <c r="AD321" i="67"/>
  <c r="AS320" i="67"/>
  <c r="AT320" i="67" s="1"/>
  <c r="AR320" i="67"/>
  <c r="AD320" i="67"/>
  <c r="AR319" i="67"/>
  <c r="AD319" i="67"/>
  <c r="AS319" i="67" s="1"/>
  <c r="AT319" i="67" s="1"/>
  <c r="AR318" i="67"/>
  <c r="AD318" i="67"/>
  <c r="AS318" i="67" s="1"/>
  <c r="AT318" i="67" s="1"/>
  <c r="AT317" i="67"/>
  <c r="AS317" i="67"/>
  <c r="AR317" i="67"/>
  <c r="AD317" i="67"/>
  <c r="AR316" i="67"/>
  <c r="AD316" i="67"/>
  <c r="AS316" i="67" s="1"/>
  <c r="AT316" i="67" s="1"/>
  <c r="AR315" i="67"/>
  <c r="AD315" i="67"/>
  <c r="AS315" i="67" s="1"/>
  <c r="AT315" i="67" s="1"/>
  <c r="AS314" i="67"/>
  <c r="AT314" i="67" s="1"/>
  <c r="AR314" i="67"/>
  <c r="AD314" i="67"/>
  <c r="AR313" i="67"/>
  <c r="AD313" i="67"/>
  <c r="AS313" i="67" s="1"/>
  <c r="AT313" i="67" s="1"/>
  <c r="AS312" i="67"/>
  <c r="AT312" i="67" s="1"/>
  <c r="AR312" i="67"/>
  <c r="AD312" i="67"/>
  <c r="AT311" i="67"/>
  <c r="AS311" i="67"/>
  <c r="AR311" i="67"/>
  <c r="AD311" i="67"/>
  <c r="AR310" i="67"/>
  <c r="AD310" i="67"/>
  <c r="AS310" i="67" s="1"/>
  <c r="AT310" i="67" s="1"/>
  <c r="AR309" i="67"/>
  <c r="AS309" i="67" s="1"/>
  <c r="AT309" i="67" s="1"/>
  <c r="AD309" i="67"/>
  <c r="AS308" i="67"/>
  <c r="AT308" i="67" s="1"/>
  <c r="AR308" i="67"/>
  <c r="AD308" i="67"/>
  <c r="AR307" i="67"/>
  <c r="AD307" i="67"/>
  <c r="AS307" i="67" s="1"/>
  <c r="AT307" i="67" s="1"/>
  <c r="AR306" i="67"/>
  <c r="AD306" i="67"/>
  <c r="AS306" i="67" s="1"/>
  <c r="AT306" i="67" s="1"/>
  <c r="AT305" i="67"/>
  <c r="AS305" i="67"/>
  <c r="AR305" i="67"/>
  <c r="AD305" i="67"/>
  <c r="AS304" i="67"/>
  <c r="AT304" i="67" s="1"/>
  <c r="AR304" i="67"/>
  <c r="AD304" i="67"/>
  <c r="AR303" i="67"/>
  <c r="AD303" i="67"/>
  <c r="AS303" i="67" s="1"/>
  <c r="AT303" i="67" s="1"/>
  <c r="AT302" i="67"/>
  <c r="AS302" i="67"/>
  <c r="AR302" i="67"/>
  <c r="AD302" i="67"/>
  <c r="AR301" i="67"/>
  <c r="AD301" i="67"/>
  <c r="AS301" i="67" s="1"/>
  <c r="AT301" i="67" s="1"/>
  <c r="AR300" i="67"/>
  <c r="AD300" i="67"/>
  <c r="AS300" i="67" s="1"/>
  <c r="AT300" i="67" s="1"/>
  <c r="AS299" i="67"/>
  <c r="AT299" i="67" s="1"/>
  <c r="AR299" i="67"/>
  <c r="AD299" i="67"/>
  <c r="AS298" i="67"/>
  <c r="AT298" i="67" s="1"/>
  <c r="AR298" i="67"/>
  <c r="AD298" i="67"/>
  <c r="AR297" i="67"/>
  <c r="AD297" i="67"/>
  <c r="AS297" i="67" s="1"/>
  <c r="AT297" i="67" s="1"/>
  <c r="AS296" i="67"/>
  <c r="AT296" i="67" s="1"/>
  <c r="AR296" i="67"/>
  <c r="AD296" i="67"/>
  <c r="AR295" i="67"/>
  <c r="AD295" i="67"/>
  <c r="AS295" i="67" s="1"/>
  <c r="AT295" i="67" s="1"/>
  <c r="AR294" i="67"/>
  <c r="AD294" i="67"/>
  <c r="AS294" i="67" s="1"/>
  <c r="AT294" i="67" s="1"/>
  <c r="AS293" i="67"/>
  <c r="AT293" i="67" s="1"/>
  <c r="AR293" i="67"/>
  <c r="AD293" i="67"/>
  <c r="AR292" i="67"/>
  <c r="AD292" i="67"/>
  <c r="AS292" i="67" s="1"/>
  <c r="AT292" i="67" s="1"/>
  <c r="AS291" i="67"/>
  <c r="AT291" i="67" s="1"/>
  <c r="AR291" i="67"/>
  <c r="AD291" i="67"/>
  <c r="AS290" i="67"/>
  <c r="AT290" i="67" s="1"/>
  <c r="AR290" i="67"/>
  <c r="AD290" i="67"/>
  <c r="AS289" i="67"/>
  <c r="AT289" i="67" s="1"/>
  <c r="AR289" i="67"/>
  <c r="AD289" i="67"/>
  <c r="AR288" i="67"/>
  <c r="AD288" i="67"/>
  <c r="AS288" i="67" s="1"/>
  <c r="AT288" i="67" s="1"/>
  <c r="AS287" i="67"/>
  <c r="AT287" i="67" s="1"/>
  <c r="AR287" i="67"/>
  <c r="AD287" i="67"/>
  <c r="AR286" i="67"/>
  <c r="AD286" i="67"/>
  <c r="AS286" i="67" s="1"/>
  <c r="AT286" i="67" s="1"/>
  <c r="AS285" i="67"/>
  <c r="AT285" i="67" s="1"/>
  <c r="AR285" i="67"/>
  <c r="AD285" i="67"/>
  <c r="AS284" i="67"/>
  <c r="AT284" i="67" s="1"/>
  <c r="AR284" i="67"/>
  <c r="AD284" i="67"/>
  <c r="AR283" i="67"/>
  <c r="AD283" i="67"/>
  <c r="AS283" i="67" s="1"/>
  <c r="AT283" i="67" s="1"/>
  <c r="AR282" i="67"/>
  <c r="AD282" i="67"/>
  <c r="AS282" i="67" s="1"/>
  <c r="AT282" i="67" s="1"/>
  <c r="AT281" i="67"/>
  <c r="AS281" i="67"/>
  <c r="AR281" i="67"/>
  <c r="AD281" i="67"/>
  <c r="AR280" i="67"/>
  <c r="AD280" i="67"/>
  <c r="AS280" i="67" s="1"/>
  <c r="AT280" i="67" s="1"/>
  <c r="AR279" i="67"/>
  <c r="AD279" i="67"/>
  <c r="AS279" i="67" s="1"/>
  <c r="AT279" i="67" s="1"/>
  <c r="AS278" i="67"/>
  <c r="AT278" i="67" s="1"/>
  <c r="AR278" i="67"/>
  <c r="AD278" i="67"/>
  <c r="AR277" i="67"/>
  <c r="AD277" i="67"/>
  <c r="AS277" i="67" s="1"/>
  <c r="AT277" i="67" s="1"/>
  <c r="AS276" i="67"/>
  <c r="AT276" i="67" s="1"/>
  <c r="AR276" i="67"/>
  <c r="AD276" i="67"/>
  <c r="AT275" i="67"/>
  <c r="AS275" i="67"/>
  <c r="AR275" i="67"/>
  <c r="AD275" i="67"/>
  <c r="AR274" i="67"/>
  <c r="AD274" i="67"/>
  <c r="AS274" i="67" s="1"/>
  <c r="AT274" i="67" s="1"/>
  <c r="AR273" i="67"/>
  <c r="AD273" i="67"/>
  <c r="AS273" i="67" s="1"/>
  <c r="AT273" i="67" s="1"/>
  <c r="AS272" i="67"/>
  <c r="AT272" i="67" s="1"/>
  <c r="AR272" i="67"/>
  <c r="AD272" i="67"/>
  <c r="AR271" i="67"/>
  <c r="AD271" i="67"/>
  <c r="AS271" i="67" s="1"/>
  <c r="AT271" i="67" s="1"/>
  <c r="AR270" i="67"/>
  <c r="AS270" i="67" s="1"/>
  <c r="AT270" i="67" s="1"/>
  <c r="AT269" i="67"/>
  <c r="AS269" i="67"/>
  <c r="AR269" i="67"/>
  <c r="AR268" i="67"/>
  <c r="AS268" i="67" s="1"/>
  <c r="AT268" i="67" s="1"/>
  <c r="AS267" i="67"/>
  <c r="AT267" i="67" s="1"/>
  <c r="AR267" i="67"/>
  <c r="AD267" i="67"/>
  <c r="AR266" i="67"/>
  <c r="AD266" i="67"/>
  <c r="AS266" i="67" s="1"/>
  <c r="AT266" i="67" s="1"/>
  <c r="AT265" i="67"/>
  <c r="AR265" i="67"/>
  <c r="AD265" i="67"/>
  <c r="AS265" i="67" s="1"/>
  <c r="AR264" i="67"/>
  <c r="AD264" i="67"/>
  <c r="AS264" i="67" s="1"/>
  <c r="AT264" i="67" s="1"/>
  <c r="AR263" i="67"/>
  <c r="AD263" i="67"/>
  <c r="AS263" i="67" s="1"/>
  <c r="AT263" i="67" s="1"/>
  <c r="AR262" i="67"/>
  <c r="AD262" i="67"/>
  <c r="AS262" i="67" s="1"/>
  <c r="AT262" i="67" s="1"/>
  <c r="AS261" i="67"/>
  <c r="AT261" i="67" s="1"/>
  <c r="AR261" i="67"/>
  <c r="AD261" i="67"/>
  <c r="AR260" i="67"/>
  <c r="AD260" i="67"/>
  <c r="AS260" i="67" s="1"/>
  <c r="AT260" i="67" s="1"/>
  <c r="AR259" i="67"/>
  <c r="AD259" i="67"/>
  <c r="AS259" i="67" s="1"/>
  <c r="AT259" i="67" s="1"/>
  <c r="AR258" i="67"/>
  <c r="AD258" i="67"/>
  <c r="AS258" i="67" s="1"/>
  <c r="AT258" i="67" s="1"/>
  <c r="AR257" i="67"/>
  <c r="AD257" i="67"/>
  <c r="AS257" i="67" s="1"/>
  <c r="AT257" i="67" s="1"/>
  <c r="AQ256" i="67"/>
  <c r="AP256" i="67"/>
  <c r="AO256" i="67"/>
  <c r="AN256" i="67"/>
  <c r="AM256" i="67"/>
  <c r="AL256" i="67"/>
  <c r="AK256" i="67"/>
  <c r="AJ256" i="67"/>
  <c r="AI256" i="67"/>
  <c r="AH256" i="67"/>
  <c r="AG256" i="67"/>
  <c r="AF256" i="67"/>
  <c r="AC256" i="67"/>
  <c r="AB256" i="67"/>
  <c r="AA256" i="67"/>
  <c r="Z256" i="67"/>
  <c r="Y256" i="67"/>
  <c r="X256" i="67"/>
  <c r="W256" i="67"/>
  <c r="V256" i="67"/>
  <c r="U256" i="67"/>
  <c r="T256" i="67"/>
  <c r="S256" i="67"/>
  <c r="R256" i="67"/>
  <c r="AR255" i="67"/>
  <c r="AD255" i="67"/>
  <c r="AS255" i="67" s="1"/>
  <c r="AT255" i="67" s="1"/>
  <c r="AS254" i="67"/>
  <c r="AT254" i="67" s="1"/>
  <c r="AR254" i="67"/>
  <c r="AD254" i="67"/>
  <c r="AR253" i="67"/>
  <c r="AD253" i="67"/>
  <c r="AS253" i="67" s="1"/>
  <c r="AT253" i="67" s="1"/>
  <c r="AR252" i="67"/>
  <c r="AD252" i="67"/>
  <c r="AS252" i="67" s="1"/>
  <c r="AT252" i="67" s="1"/>
  <c r="AR251" i="67"/>
  <c r="AD251" i="67"/>
  <c r="AS251" i="67" s="1"/>
  <c r="AT251" i="67" s="1"/>
  <c r="AR250" i="67"/>
  <c r="AD250" i="67"/>
  <c r="AS250" i="67" s="1"/>
  <c r="AT250" i="67" s="1"/>
  <c r="AS249" i="67"/>
  <c r="AT249" i="67" s="1"/>
  <c r="AR249" i="67"/>
  <c r="AD249" i="67"/>
  <c r="AT248" i="67"/>
  <c r="AS248" i="67"/>
  <c r="AR248" i="67"/>
  <c r="AT247" i="67"/>
  <c r="AS247" i="67"/>
  <c r="AR247" i="67"/>
  <c r="AD247" i="67"/>
  <c r="AS246" i="67"/>
  <c r="AT246" i="67" s="1"/>
  <c r="AR246" i="67"/>
  <c r="AD246" i="67"/>
  <c r="AR245" i="67"/>
  <c r="AD245" i="67"/>
  <c r="AS245" i="67" s="1"/>
  <c r="AT245" i="67" s="1"/>
  <c r="AS244" i="67"/>
  <c r="AT244" i="67" s="1"/>
  <c r="AR244" i="67"/>
  <c r="AD244" i="67"/>
  <c r="AR243" i="67"/>
  <c r="AD243" i="67"/>
  <c r="AS243" i="67" s="1"/>
  <c r="AT243" i="67" s="1"/>
  <c r="AQ242" i="67"/>
  <c r="AP242" i="67"/>
  <c r="AO242" i="67"/>
  <c r="AN242" i="67"/>
  <c r="AM242" i="67"/>
  <c r="AL242" i="67"/>
  <c r="AK242" i="67"/>
  <c r="AJ242" i="67"/>
  <c r="AI242" i="67"/>
  <c r="AH242" i="67"/>
  <c r="AG242" i="67"/>
  <c r="AF242" i="67"/>
  <c r="AC242" i="67"/>
  <c r="AB242" i="67"/>
  <c r="AA242" i="67"/>
  <c r="Z242" i="67"/>
  <c r="Y242" i="67"/>
  <c r="X242" i="67"/>
  <c r="W242" i="67"/>
  <c r="V242" i="67"/>
  <c r="U242" i="67"/>
  <c r="T242" i="67"/>
  <c r="S242" i="67"/>
  <c r="R242" i="67"/>
  <c r="AD242" i="67" s="1"/>
  <c r="AT241" i="67"/>
  <c r="AS241" i="67"/>
  <c r="AR241" i="67"/>
  <c r="AD241" i="67"/>
  <c r="AR240" i="67"/>
  <c r="AD240" i="67"/>
  <c r="AS240" i="67" s="1"/>
  <c r="AT240" i="67" s="1"/>
  <c r="AS239" i="67"/>
  <c r="AT239" i="67" s="1"/>
  <c r="AR239" i="67"/>
  <c r="AD239" i="67"/>
  <c r="AT238" i="67"/>
  <c r="AS238" i="67"/>
  <c r="AR238" i="67"/>
  <c r="AD238" i="67"/>
  <c r="AR237" i="67"/>
  <c r="AD237" i="67"/>
  <c r="AS237" i="67" s="1"/>
  <c r="AT237" i="67" s="1"/>
  <c r="AR236" i="67"/>
  <c r="AD236" i="67"/>
  <c r="AS236" i="67" s="1"/>
  <c r="AT236" i="67" s="1"/>
  <c r="AS235" i="67"/>
  <c r="AT235" i="67" s="1"/>
  <c r="AR235" i="67"/>
  <c r="AD235" i="67"/>
  <c r="AS234" i="67"/>
  <c r="AT234" i="67" s="1"/>
  <c r="AR234" i="67"/>
  <c r="AD234" i="67"/>
  <c r="AS233" i="67"/>
  <c r="AT233" i="67" s="1"/>
  <c r="AR233" i="67"/>
  <c r="AD233" i="67"/>
  <c r="AQ232" i="67"/>
  <c r="AP232" i="67"/>
  <c r="AO232" i="67"/>
  <c r="AN232" i="67"/>
  <c r="AM232" i="67"/>
  <c r="AL232" i="67"/>
  <c r="AK232" i="67"/>
  <c r="AJ232" i="67"/>
  <c r="AI232" i="67"/>
  <c r="AH232" i="67"/>
  <c r="AG232" i="67"/>
  <c r="AF232" i="67"/>
  <c r="AC232" i="67"/>
  <c r="AB232" i="67"/>
  <c r="AA232" i="67"/>
  <c r="Z232" i="67"/>
  <c r="Y232" i="67"/>
  <c r="X232" i="67"/>
  <c r="W232" i="67"/>
  <c r="V232" i="67"/>
  <c r="U232" i="67"/>
  <c r="T232" i="67"/>
  <c r="S232" i="67"/>
  <c r="R232" i="67"/>
  <c r="AS231" i="67"/>
  <c r="AT231" i="67" s="1"/>
  <c r="AR231" i="67"/>
  <c r="AD231" i="67"/>
  <c r="AR230" i="67"/>
  <c r="AD230" i="67"/>
  <c r="AS230" i="67" s="1"/>
  <c r="AT230" i="67" s="1"/>
  <c r="AS229" i="67"/>
  <c r="AT229" i="67" s="1"/>
  <c r="AR229" i="67"/>
  <c r="AD229" i="67"/>
  <c r="AS228" i="67"/>
  <c r="AT228" i="67" s="1"/>
  <c r="AR228" i="67"/>
  <c r="AD228" i="67"/>
  <c r="AS227" i="67"/>
  <c r="AT227" i="67" s="1"/>
  <c r="AR227" i="67"/>
  <c r="AD227" i="67"/>
  <c r="AS226" i="67"/>
  <c r="AT226" i="67" s="1"/>
  <c r="AR226" i="67"/>
  <c r="AD226" i="67"/>
  <c r="AR225" i="67"/>
  <c r="AD225" i="67"/>
  <c r="AS225" i="67" s="1"/>
  <c r="AT225" i="67" s="1"/>
  <c r="AR224" i="67"/>
  <c r="AD224" i="67"/>
  <c r="AS224" i="67" s="1"/>
  <c r="AT224" i="67" s="1"/>
  <c r="AT223" i="67"/>
  <c r="AS223" i="67"/>
  <c r="AR223" i="67"/>
  <c r="AD223" i="67"/>
  <c r="AR222" i="67"/>
  <c r="AD222" i="67"/>
  <c r="AS222" i="67" s="1"/>
  <c r="AT222" i="67" s="1"/>
  <c r="AR221" i="67"/>
  <c r="AD221" i="67"/>
  <c r="AS221" i="67" s="1"/>
  <c r="AT221" i="67" s="1"/>
  <c r="AS220" i="67"/>
  <c r="AT220" i="67" s="1"/>
  <c r="AR220" i="67"/>
  <c r="AD220" i="67"/>
  <c r="AR219" i="67"/>
  <c r="AS219" i="67" s="1"/>
  <c r="AT219" i="67" s="1"/>
  <c r="AD219" i="67"/>
  <c r="AS218" i="67"/>
  <c r="AT218" i="67" s="1"/>
  <c r="AR218" i="67"/>
  <c r="AD218" i="67"/>
  <c r="AT217" i="67"/>
  <c r="AS217" i="67"/>
  <c r="AR217" i="67"/>
  <c r="AD217" i="67"/>
  <c r="AR216" i="67"/>
  <c r="AD216" i="67"/>
  <c r="AS216" i="67" s="1"/>
  <c r="AT216" i="67" s="1"/>
  <c r="AR215" i="67"/>
  <c r="AS215" i="67" s="1"/>
  <c r="AT215" i="67" s="1"/>
  <c r="AD215" i="67"/>
  <c r="AS214" i="67"/>
  <c r="AT214" i="67" s="1"/>
  <c r="AR214" i="67"/>
  <c r="AD214" i="67"/>
  <c r="AR213" i="67"/>
  <c r="AD213" i="67"/>
  <c r="AS213" i="67" s="1"/>
  <c r="AT213" i="67" s="1"/>
  <c r="AT212" i="67"/>
  <c r="AR212" i="67"/>
  <c r="AD212" i="67"/>
  <c r="AS212" i="67" s="1"/>
  <c r="AT211" i="67"/>
  <c r="AS211" i="67"/>
  <c r="AR211" i="67"/>
  <c r="AD211" i="67"/>
  <c r="AR210" i="67"/>
  <c r="AD210" i="67"/>
  <c r="AS210" i="67" s="1"/>
  <c r="AT210" i="67" s="1"/>
  <c r="AS209" i="67"/>
  <c r="AT209" i="67" s="1"/>
  <c r="AR209" i="67"/>
  <c r="AD209" i="67"/>
  <c r="AT208" i="67"/>
  <c r="AS208" i="67"/>
  <c r="AR208" i="67"/>
  <c r="AD208" i="67"/>
  <c r="AR207" i="67"/>
  <c r="AD207" i="67"/>
  <c r="AS207" i="67" s="1"/>
  <c r="AT207" i="67" s="1"/>
  <c r="AR206" i="67"/>
  <c r="AS206" i="67" s="1"/>
  <c r="AT206" i="67" s="1"/>
  <c r="AD206" i="67"/>
  <c r="AS205" i="67"/>
  <c r="AT205" i="67" s="1"/>
  <c r="AR205" i="67"/>
  <c r="AD205" i="67"/>
  <c r="AS204" i="67"/>
  <c r="AT204" i="67" s="1"/>
  <c r="AR204" i="67"/>
  <c r="AD204" i="67"/>
  <c r="AR203" i="67"/>
  <c r="AD203" i="67"/>
  <c r="AS203" i="67" s="1"/>
  <c r="AT203" i="67" s="1"/>
  <c r="AS202" i="67"/>
  <c r="AT202" i="67" s="1"/>
  <c r="AR202" i="67"/>
  <c r="AD202" i="67"/>
  <c r="AR201" i="67"/>
  <c r="AD201" i="67"/>
  <c r="AR200" i="67"/>
  <c r="AD200" i="67"/>
  <c r="AS200" i="67" s="1"/>
  <c r="AT200" i="67" s="1"/>
  <c r="AT199" i="67"/>
  <c r="AS199" i="67"/>
  <c r="AR199" i="67"/>
  <c r="AD199" i="67"/>
  <c r="AR198" i="67"/>
  <c r="AD198" i="67"/>
  <c r="AS198" i="67" s="1"/>
  <c r="AT198" i="67" s="1"/>
  <c r="AR197" i="67"/>
  <c r="AD197" i="67"/>
  <c r="AS197" i="67" s="1"/>
  <c r="AT197" i="67" s="1"/>
  <c r="AT196" i="67"/>
  <c r="AS196" i="67"/>
  <c r="AR196" i="67"/>
  <c r="AD196" i="67"/>
  <c r="AS195" i="67"/>
  <c r="AT195" i="67" s="1"/>
  <c r="AR195" i="67"/>
  <c r="AD195" i="67"/>
  <c r="AR194" i="67"/>
  <c r="AD194" i="67"/>
  <c r="AS194" i="67" s="1"/>
  <c r="AT194" i="67" s="1"/>
  <c r="AS193" i="67"/>
  <c r="AT193" i="67" s="1"/>
  <c r="AR193" i="67"/>
  <c r="AD193" i="67"/>
  <c r="AR192" i="67"/>
  <c r="AS192" i="67" s="1"/>
  <c r="AT192" i="67" s="1"/>
  <c r="AD192" i="67"/>
  <c r="AS191" i="67"/>
  <c r="AT191" i="67" s="1"/>
  <c r="AR191" i="67"/>
  <c r="AD191" i="67"/>
  <c r="AS190" i="67"/>
  <c r="AT190" i="67" s="1"/>
  <c r="AR190" i="67"/>
  <c r="AD190" i="67"/>
  <c r="AR189" i="67"/>
  <c r="AD189" i="67"/>
  <c r="AS189" i="67" s="1"/>
  <c r="AT189" i="67" s="1"/>
  <c r="AR188" i="67"/>
  <c r="AD188" i="67"/>
  <c r="AS188" i="67" s="1"/>
  <c r="AT188" i="67" s="1"/>
  <c r="AT187" i="67"/>
  <c r="AS187" i="67"/>
  <c r="AR187" i="67"/>
  <c r="AD187" i="67"/>
  <c r="AR186" i="67"/>
  <c r="AD186" i="67"/>
  <c r="AS186" i="67" s="1"/>
  <c r="AT186" i="67" s="1"/>
  <c r="AR185" i="67"/>
  <c r="AD185" i="67"/>
  <c r="AS185" i="67" s="1"/>
  <c r="AT185" i="67" s="1"/>
  <c r="AS184" i="67"/>
  <c r="AT184" i="67" s="1"/>
  <c r="AR184" i="67"/>
  <c r="AD184" i="67"/>
  <c r="AS183" i="67"/>
  <c r="AT183" i="67" s="1"/>
  <c r="AR183" i="67"/>
  <c r="AD183" i="67"/>
  <c r="AS182" i="67"/>
  <c r="AT182" i="67" s="1"/>
  <c r="AR182" i="67"/>
  <c r="AD182" i="67"/>
  <c r="AT181" i="67"/>
  <c r="AS181" i="67"/>
  <c r="AR181" i="67"/>
  <c r="AD181" i="67"/>
  <c r="AR180" i="67"/>
  <c r="AS180" i="67" s="1"/>
  <c r="AT180" i="67" s="1"/>
  <c r="AD180" i="67"/>
  <c r="AR179" i="67"/>
  <c r="AS179" i="67" s="1"/>
  <c r="AT179" i="67" s="1"/>
  <c r="AD179" i="67"/>
  <c r="AS178" i="67"/>
  <c r="AT178" i="67" s="1"/>
  <c r="AR178" i="67"/>
  <c r="AD178" i="67"/>
  <c r="AR177" i="67"/>
  <c r="AD177" i="67"/>
  <c r="AR176" i="67"/>
  <c r="AD176" i="67"/>
  <c r="AS176" i="67" s="1"/>
  <c r="AT176" i="67" s="1"/>
  <c r="AT175" i="67"/>
  <c r="AS175" i="67"/>
  <c r="AR175" i="67"/>
  <c r="AD175" i="67"/>
  <c r="AR174" i="67"/>
  <c r="AD174" i="67"/>
  <c r="AS174" i="67" s="1"/>
  <c r="AT174" i="67" s="1"/>
  <c r="AS173" i="67"/>
  <c r="AT173" i="67" s="1"/>
  <c r="AR173" i="67"/>
  <c r="AD173" i="67"/>
  <c r="AT172" i="67"/>
  <c r="AS172" i="67"/>
  <c r="AR172" i="67"/>
  <c r="AD172" i="67"/>
  <c r="AR171" i="67"/>
  <c r="AD171" i="67"/>
  <c r="AS171" i="67" s="1"/>
  <c r="AT171" i="67" s="1"/>
  <c r="AR170" i="67"/>
  <c r="AS170" i="67" s="1"/>
  <c r="AT170" i="67" s="1"/>
  <c r="AD170" i="67"/>
  <c r="AS169" i="67"/>
  <c r="AT169" i="67" s="1"/>
  <c r="AR169" i="67"/>
  <c r="AD169" i="67"/>
  <c r="AS168" i="67"/>
  <c r="AT168" i="67" s="1"/>
  <c r="AR168" i="67"/>
  <c r="AD168" i="67"/>
  <c r="AR167" i="67"/>
  <c r="AD167" i="67"/>
  <c r="AS166" i="67"/>
  <c r="AT166" i="67" s="1"/>
  <c r="AR166" i="67"/>
  <c r="AD166" i="67"/>
  <c r="AR165" i="67"/>
  <c r="AD165" i="67"/>
  <c r="AS165" i="67" s="1"/>
  <c r="AT165" i="67" s="1"/>
  <c r="AR164" i="67"/>
  <c r="AD164" i="67"/>
  <c r="AS164" i="67" s="1"/>
  <c r="AT164" i="67" s="1"/>
  <c r="AT163" i="67"/>
  <c r="AS163" i="67"/>
  <c r="AR163" i="67"/>
  <c r="AD163" i="67"/>
  <c r="AR162" i="67"/>
  <c r="AD162" i="67"/>
  <c r="AS162" i="67" s="1"/>
  <c r="AT162" i="67" s="1"/>
  <c r="AR161" i="67"/>
  <c r="AD161" i="67"/>
  <c r="AS161" i="67" s="1"/>
  <c r="AT161" i="67" s="1"/>
  <c r="AS160" i="67"/>
  <c r="AT160" i="67" s="1"/>
  <c r="AR160" i="67"/>
  <c r="AD160" i="67"/>
  <c r="AS159" i="67"/>
  <c r="AT159" i="67" s="1"/>
  <c r="AR159" i="67"/>
  <c r="AD159" i="67"/>
  <c r="AR158" i="67"/>
  <c r="AD158" i="67"/>
  <c r="AS158" i="67" s="1"/>
  <c r="AT158" i="67" s="1"/>
  <c r="AT157" i="67"/>
  <c r="AS157" i="67"/>
  <c r="AR157" i="67"/>
  <c r="AD157" i="67"/>
  <c r="AR156" i="67"/>
  <c r="AS156" i="67" s="1"/>
  <c r="AT156" i="67" s="1"/>
  <c r="AD156" i="67"/>
  <c r="AS155" i="67"/>
  <c r="AT155" i="67" s="1"/>
  <c r="AR155" i="67"/>
  <c r="AD155" i="67"/>
  <c r="AQ154" i="67"/>
  <c r="AP154" i="67"/>
  <c r="AO154" i="67"/>
  <c r="AN154" i="67"/>
  <c r="AM154" i="67"/>
  <c r="AL154" i="67"/>
  <c r="AK154" i="67"/>
  <c r="AJ154" i="67"/>
  <c r="AI154" i="67"/>
  <c r="AH154" i="67"/>
  <c r="AG154" i="67"/>
  <c r="AF154" i="67"/>
  <c r="AC154" i="67"/>
  <c r="AB154" i="67"/>
  <c r="AA154" i="67"/>
  <c r="Z154" i="67"/>
  <c r="Y154" i="67"/>
  <c r="X154" i="67"/>
  <c r="W154" i="67"/>
  <c r="V154" i="67"/>
  <c r="U154" i="67"/>
  <c r="T154" i="67"/>
  <c r="S154" i="67"/>
  <c r="R154" i="67"/>
  <c r="AS153" i="67"/>
  <c r="AT153" i="67" s="1"/>
  <c r="AR153" i="67"/>
  <c r="AD153" i="67"/>
  <c r="AS152" i="67"/>
  <c r="AT152" i="67" s="1"/>
  <c r="AR152" i="67"/>
  <c r="AD152" i="67"/>
  <c r="AS151" i="67"/>
  <c r="AT151" i="67" s="1"/>
  <c r="AR151" i="67"/>
  <c r="AD151" i="67"/>
  <c r="AR150" i="67"/>
  <c r="AD150" i="67"/>
  <c r="AS150" i="67" s="1"/>
  <c r="AT150" i="67" s="1"/>
  <c r="AR149" i="67"/>
  <c r="AS149" i="67" s="1"/>
  <c r="AT149" i="67" s="1"/>
  <c r="AD149" i="67"/>
  <c r="AS148" i="67"/>
  <c r="AT148" i="67" s="1"/>
  <c r="AR148" i="67"/>
  <c r="AD148" i="67"/>
  <c r="AR147" i="67"/>
  <c r="AD147" i="67"/>
  <c r="AS147" i="67" s="1"/>
  <c r="AT147" i="67" s="1"/>
  <c r="AT146" i="67"/>
  <c r="AR146" i="67"/>
  <c r="AD146" i="67"/>
  <c r="AS146" i="67" s="1"/>
  <c r="AT145" i="67"/>
  <c r="AS145" i="67"/>
  <c r="AR145" i="67"/>
  <c r="AD145" i="67"/>
  <c r="AR144" i="67"/>
  <c r="AD144" i="67"/>
  <c r="AS144" i="67" s="1"/>
  <c r="AT144" i="67" s="1"/>
  <c r="AR143" i="67"/>
  <c r="AD143" i="67"/>
  <c r="AS143" i="67" s="1"/>
  <c r="AT143" i="67" s="1"/>
  <c r="AT142" i="67"/>
  <c r="AS142" i="67"/>
  <c r="AR142" i="67"/>
  <c r="AD142" i="67"/>
  <c r="AS141" i="67"/>
  <c r="AT141" i="67" s="1"/>
  <c r="AR141" i="67"/>
  <c r="AD141" i="67"/>
  <c r="AS140" i="67"/>
  <c r="AT140" i="67" s="1"/>
  <c r="AR140" i="67"/>
  <c r="AD140" i="67"/>
  <c r="AT139" i="67"/>
  <c r="AS139" i="67"/>
  <c r="AR139" i="67"/>
  <c r="AD139" i="67"/>
  <c r="AR138" i="67"/>
  <c r="AS138" i="67" s="1"/>
  <c r="AT138" i="67" s="1"/>
  <c r="AD138" i="67"/>
  <c r="AR137" i="67"/>
  <c r="AD137" i="67"/>
  <c r="AS137" i="67" s="1"/>
  <c r="AT137" i="67" s="1"/>
  <c r="AQ136" i="67"/>
  <c r="AP136" i="67"/>
  <c r="AO136" i="67"/>
  <c r="AN136" i="67"/>
  <c r="AM136" i="67"/>
  <c r="AL136" i="67"/>
  <c r="AK136" i="67"/>
  <c r="AJ136" i="67"/>
  <c r="AI136" i="67"/>
  <c r="AH136" i="67"/>
  <c r="AG136" i="67"/>
  <c r="AF136" i="67"/>
  <c r="AC136" i="67"/>
  <c r="AB136" i="67"/>
  <c r="AA136" i="67"/>
  <c r="Z136" i="67"/>
  <c r="Y136" i="67"/>
  <c r="X136" i="67"/>
  <c r="W136" i="67"/>
  <c r="V136" i="67"/>
  <c r="U136" i="67"/>
  <c r="T136" i="67"/>
  <c r="S136" i="67"/>
  <c r="R136" i="67"/>
  <c r="AD136" i="67" s="1"/>
  <c r="AS135" i="67"/>
  <c r="AT135" i="67" s="1"/>
  <c r="AR135" i="67"/>
  <c r="AD135" i="67"/>
  <c r="AS134" i="67"/>
  <c r="AT134" i="67" s="1"/>
  <c r="AR134" i="67"/>
  <c r="AD134" i="67"/>
  <c r="AS133" i="67"/>
  <c r="AT133" i="67" s="1"/>
  <c r="AR133" i="67"/>
  <c r="AD133" i="67"/>
  <c r="AS132" i="67"/>
  <c r="AT132" i="67" s="1"/>
  <c r="AR132" i="67"/>
  <c r="AD132" i="67"/>
  <c r="AS131" i="67"/>
  <c r="AT131" i="67" s="1"/>
  <c r="AR131" i="67"/>
  <c r="AD131" i="67"/>
  <c r="AS130" i="67"/>
  <c r="AT130" i="67" s="1"/>
  <c r="AR130" i="67"/>
  <c r="AD130" i="67"/>
  <c r="AR129" i="67"/>
  <c r="AD129" i="67"/>
  <c r="AR128" i="67"/>
  <c r="AS128" i="67" s="1"/>
  <c r="AT128" i="67" s="1"/>
  <c r="AT127" i="67"/>
  <c r="AS127" i="67"/>
  <c r="AR127" i="67"/>
  <c r="AD127" i="67"/>
  <c r="AR126" i="67"/>
  <c r="AD126" i="67"/>
  <c r="AS126" i="67" s="1"/>
  <c r="AT126" i="67" s="1"/>
  <c r="AR125" i="67"/>
  <c r="AS125" i="67" s="1"/>
  <c r="AT125" i="67" s="1"/>
  <c r="AD125" i="67"/>
  <c r="AR124" i="67"/>
  <c r="AD124" i="67"/>
  <c r="AR123" i="67"/>
  <c r="AD123" i="67"/>
  <c r="AS123" i="67" s="1"/>
  <c r="AT123" i="67" s="1"/>
  <c r="AQ122" i="67"/>
  <c r="AP122" i="67"/>
  <c r="AO122" i="67"/>
  <c r="AN122" i="67"/>
  <c r="AM122" i="67"/>
  <c r="AL122" i="67"/>
  <c r="AK122" i="67"/>
  <c r="AJ122" i="67"/>
  <c r="AI122" i="67"/>
  <c r="AH122" i="67"/>
  <c r="AG122" i="67"/>
  <c r="AF122" i="67"/>
  <c r="AC122" i="67"/>
  <c r="AB122" i="67"/>
  <c r="AA122" i="67"/>
  <c r="Z122" i="67"/>
  <c r="Y122" i="67"/>
  <c r="X122" i="67"/>
  <c r="W122" i="67"/>
  <c r="V122" i="67"/>
  <c r="U122" i="67"/>
  <c r="T122" i="67"/>
  <c r="S122" i="67"/>
  <c r="R122" i="67"/>
  <c r="AT121" i="67"/>
  <c r="AS121" i="67"/>
  <c r="AR121" i="67"/>
  <c r="AD121" i="67"/>
  <c r="AR120" i="67"/>
  <c r="AD120" i="67"/>
  <c r="AR119" i="67"/>
  <c r="AD119" i="67"/>
  <c r="AS119" i="67" s="1"/>
  <c r="AT119" i="67" s="1"/>
  <c r="AR118" i="67"/>
  <c r="AS118" i="67" s="1"/>
  <c r="AT118" i="67" s="1"/>
  <c r="AD118" i="67"/>
  <c r="AR117" i="67"/>
  <c r="AD117" i="67"/>
  <c r="AS117" i="67" s="1"/>
  <c r="AT117" i="67" s="1"/>
  <c r="AR116" i="67"/>
  <c r="AD116" i="67"/>
  <c r="AS116" i="67" s="1"/>
  <c r="AT116" i="67" s="1"/>
  <c r="AR115" i="67"/>
  <c r="AS115" i="67" s="1"/>
  <c r="AT115" i="67" s="1"/>
  <c r="AD115" i="67"/>
  <c r="AR114" i="67"/>
  <c r="AD114" i="67"/>
  <c r="AS113" i="67"/>
  <c r="AT113" i="67" s="1"/>
  <c r="AR113" i="67"/>
  <c r="AD113" i="67"/>
  <c r="AR112" i="67"/>
  <c r="AD112" i="67"/>
  <c r="AQ111" i="67"/>
  <c r="AP111" i="67"/>
  <c r="AO111" i="67"/>
  <c r="AN111" i="67"/>
  <c r="AM111" i="67"/>
  <c r="AL111" i="67"/>
  <c r="AK111" i="67"/>
  <c r="AJ111" i="67"/>
  <c r="AI111" i="67"/>
  <c r="AH111" i="67"/>
  <c r="AG111" i="67"/>
  <c r="AF111" i="67"/>
  <c r="AC111" i="67"/>
  <c r="AB111" i="67"/>
  <c r="AA111" i="67"/>
  <c r="Z111" i="67"/>
  <c r="Y111" i="67"/>
  <c r="X111" i="67"/>
  <c r="W111" i="67"/>
  <c r="V111" i="67"/>
  <c r="U111" i="67"/>
  <c r="T111" i="67"/>
  <c r="S111" i="67"/>
  <c r="R111" i="67"/>
  <c r="AR110" i="67"/>
  <c r="AD110" i="67"/>
  <c r="AS110" i="67" s="1"/>
  <c r="AT110" i="67" s="1"/>
  <c r="AT109" i="67"/>
  <c r="AS109" i="67"/>
  <c r="AR109" i="67"/>
  <c r="AD109" i="67"/>
  <c r="AR108" i="67"/>
  <c r="AD108" i="67"/>
  <c r="AR107" i="67"/>
  <c r="AS107" i="67" s="1"/>
  <c r="AT107" i="67" s="1"/>
  <c r="AD107" i="67"/>
  <c r="AR106" i="67"/>
  <c r="AS106" i="67" s="1"/>
  <c r="AT106" i="67" s="1"/>
  <c r="AD106" i="67"/>
  <c r="AR105" i="67"/>
  <c r="AD105" i="67"/>
  <c r="AS105" i="67" s="1"/>
  <c r="AT105" i="67" s="1"/>
  <c r="AR104" i="67"/>
  <c r="AD104" i="67"/>
  <c r="AS104" i="67" s="1"/>
  <c r="AT104" i="67" s="1"/>
  <c r="AT103" i="67"/>
  <c r="AS103" i="67"/>
  <c r="AR103" i="67"/>
  <c r="AD103" i="67"/>
  <c r="AR102" i="67"/>
  <c r="AD102" i="67"/>
  <c r="AS101" i="67"/>
  <c r="AT101" i="67" s="1"/>
  <c r="AR101" i="67"/>
  <c r="AD101" i="67"/>
  <c r="AR100" i="67"/>
  <c r="AS100" i="67" s="1"/>
  <c r="AT100" i="67" s="1"/>
  <c r="AD100" i="67"/>
  <c r="AR99" i="67"/>
  <c r="AD99" i="67"/>
  <c r="AS99" i="67" s="1"/>
  <c r="AT99" i="67" s="1"/>
  <c r="AR98" i="67"/>
  <c r="AD98" i="67"/>
  <c r="AS98" i="67" s="1"/>
  <c r="AT98" i="67" s="1"/>
  <c r="AT97" i="67"/>
  <c r="AR97" i="67"/>
  <c r="AS97" i="67" s="1"/>
  <c r="AD97" i="67"/>
  <c r="AR96" i="67"/>
  <c r="AD96" i="67"/>
  <c r="AS95" i="67"/>
  <c r="AT95" i="67" s="1"/>
  <c r="AR95" i="67"/>
  <c r="AD95" i="67"/>
  <c r="AR94" i="67"/>
  <c r="AS94" i="67" s="1"/>
  <c r="AT94" i="67" s="1"/>
  <c r="AD94" i="67"/>
  <c r="AR93" i="67"/>
  <c r="AD93" i="67"/>
  <c r="AR92" i="67"/>
  <c r="AD92" i="67"/>
  <c r="AS92" i="67" s="1"/>
  <c r="AT92" i="67" s="1"/>
  <c r="AT91" i="67"/>
  <c r="AS91" i="67"/>
  <c r="AR91" i="67"/>
  <c r="AD91" i="67"/>
  <c r="AR90" i="67"/>
  <c r="AD90" i="67"/>
  <c r="AS90" i="67" s="1"/>
  <c r="AT90" i="67" s="1"/>
  <c r="AT89" i="67"/>
  <c r="AS89" i="67"/>
  <c r="AR89" i="67"/>
  <c r="AD89" i="67"/>
  <c r="AR88" i="67"/>
  <c r="AS88" i="67" s="1"/>
  <c r="AT88" i="67" s="1"/>
  <c r="AD88" i="67"/>
  <c r="AR87" i="67"/>
  <c r="AD87" i="67"/>
  <c r="AS87" i="67" s="1"/>
  <c r="AT87" i="67" s="1"/>
  <c r="AS86" i="67"/>
  <c r="AT86" i="67" s="1"/>
  <c r="AR86" i="67"/>
  <c r="AD86" i="67"/>
  <c r="AT85" i="67"/>
  <c r="AS85" i="67"/>
  <c r="AR85" i="67"/>
  <c r="AD85" i="67"/>
  <c r="AR84" i="67"/>
  <c r="AD84" i="67"/>
  <c r="AR83" i="67"/>
  <c r="AD83" i="67"/>
  <c r="AS83" i="67" s="1"/>
  <c r="AT83" i="67" s="1"/>
  <c r="AT82" i="67"/>
  <c r="AR82" i="67"/>
  <c r="AS82" i="67" s="1"/>
  <c r="AD82" i="67"/>
  <c r="AR81" i="67"/>
  <c r="AD81" i="67"/>
  <c r="AS81" i="67" s="1"/>
  <c r="AT81" i="67" s="1"/>
  <c r="AR80" i="67"/>
  <c r="AD80" i="67"/>
  <c r="AS80" i="67" s="1"/>
  <c r="AT80" i="67" s="1"/>
  <c r="AS79" i="67"/>
  <c r="AT79" i="67" s="1"/>
  <c r="AR79" i="67"/>
  <c r="AD79" i="67"/>
  <c r="AR78" i="67"/>
  <c r="AD78" i="67"/>
  <c r="AS77" i="67"/>
  <c r="AT77" i="67" s="1"/>
  <c r="AR77" i="67"/>
  <c r="AD77" i="67"/>
  <c r="AR76" i="67"/>
  <c r="AS76" i="67" s="1"/>
  <c r="AT76" i="67" s="1"/>
  <c r="AD76" i="67"/>
  <c r="AR75" i="67"/>
  <c r="AD75" i="67"/>
  <c r="AS75" i="67" s="1"/>
  <c r="AT75" i="67" s="1"/>
  <c r="AT74" i="67"/>
  <c r="AR74" i="67"/>
  <c r="AD74" i="67"/>
  <c r="AS74" i="67" s="1"/>
  <c r="AT73" i="67"/>
  <c r="AS73" i="67"/>
  <c r="AR73" i="67"/>
  <c r="AD73" i="67"/>
  <c r="AR72" i="67"/>
  <c r="AD72" i="67"/>
  <c r="AS72" i="67" s="1"/>
  <c r="AT72" i="67" s="1"/>
  <c r="AR71" i="67"/>
  <c r="AS71" i="67" s="1"/>
  <c r="AT71" i="67" s="1"/>
  <c r="AD71" i="67"/>
  <c r="AR70" i="67"/>
  <c r="AS70" i="67" s="1"/>
  <c r="AT70" i="67" s="1"/>
  <c r="AD70" i="67"/>
  <c r="AR69" i="67"/>
  <c r="AD69" i="67"/>
  <c r="AS68" i="67"/>
  <c r="AT68" i="67" s="1"/>
  <c r="AR68" i="67"/>
  <c r="AD68" i="67"/>
  <c r="AR67" i="67"/>
  <c r="AS67" i="67" s="1"/>
  <c r="AT67" i="67" s="1"/>
  <c r="AD67" i="67"/>
  <c r="AR66" i="67"/>
  <c r="AD66" i="67"/>
  <c r="AS66" i="67" s="1"/>
  <c r="AT66" i="67" s="1"/>
  <c r="AR65" i="67"/>
  <c r="AS65" i="67" s="1"/>
  <c r="AT65" i="67" s="1"/>
  <c r="AD65" i="67"/>
  <c r="AT64" i="67"/>
  <c r="AS64" i="67"/>
  <c r="AR64" i="67"/>
  <c r="AD64" i="67"/>
  <c r="AS63" i="67"/>
  <c r="AT63" i="67" s="1"/>
  <c r="AR63" i="67"/>
  <c r="AD63" i="67"/>
  <c r="AR62" i="67"/>
  <c r="AD62" i="67"/>
  <c r="AS62" i="67" s="1"/>
  <c r="AT62" i="67" s="1"/>
  <c r="AS61" i="67"/>
  <c r="AT61" i="67" s="1"/>
  <c r="AR61" i="67"/>
  <c r="AD61" i="67"/>
  <c r="AR60" i="67"/>
  <c r="AS60" i="67" s="1"/>
  <c r="AT60" i="67" s="1"/>
  <c r="AD60" i="67"/>
  <c r="AR59" i="67"/>
  <c r="AS59" i="67" s="1"/>
  <c r="AT59" i="67" s="1"/>
  <c r="AD59" i="67"/>
  <c r="AT58" i="67"/>
  <c r="AS58" i="67"/>
  <c r="AR58" i="67"/>
  <c r="AD58" i="67"/>
  <c r="AR57" i="67"/>
  <c r="AD57" i="67"/>
  <c r="AS57" i="67" s="1"/>
  <c r="AT57" i="67" s="1"/>
  <c r="AR56" i="67"/>
  <c r="AD56" i="67"/>
  <c r="AS56" i="67" s="1"/>
  <c r="AT56" i="67" s="1"/>
  <c r="AR55" i="67"/>
  <c r="AS55" i="67" s="1"/>
  <c r="AT55" i="67" s="1"/>
  <c r="AD55" i="67"/>
  <c r="AR54" i="67"/>
  <c r="AD54" i="67"/>
  <c r="AS54" i="67" s="1"/>
  <c r="AT54" i="67" s="1"/>
  <c r="AR53" i="67"/>
  <c r="AD53" i="67"/>
  <c r="AS53" i="67" s="1"/>
  <c r="AT53" i="67" s="1"/>
  <c r="AS52" i="67"/>
  <c r="AT52" i="67" s="1"/>
  <c r="AR52" i="67"/>
  <c r="AD52" i="67"/>
  <c r="AS51" i="67"/>
  <c r="AT51" i="67" s="1"/>
  <c r="AR51" i="67"/>
  <c r="AD51" i="67"/>
  <c r="AT50" i="67"/>
  <c r="AS50" i="67"/>
  <c r="AR50" i="67"/>
  <c r="AD50" i="67"/>
  <c r="AR49" i="67"/>
  <c r="AS49" i="67" s="1"/>
  <c r="AT49" i="67" s="1"/>
  <c r="AD49" i="67"/>
  <c r="AR48" i="67"/>
  <c r="AS48" i="67" s="1"/>
  <c r="AT48" i="67" s="1"/>
  <c r="AD48" i="67"/>
  <c r="AS47" i="67"/>
  <c r="AT47" i="67" s="1"/>
  <c r="AR47" i="67"/>
  <c r="AD47" i="67"/>
  <c r="AR46" i="67"/>
  <c r="AS46" i="67" s="1"/>
  <c r="AT46" i="67" s="1"/>
  <c r="AD46" i="67"/>
  <c r="AS45" i="67"/>
  <c r="AT45" i="67" s="1"/>
  <c r="AR45" i="67"/>
  <c r="AD45" i="67"/>
  <c r="AR44" i="67"/>
  <c r="AD44" i="67"/>
  <c r="AS44" i="67" s="1"/>
  <c r="AT44" i="67" s="1"/>
  <c r="AR43" i="67"/>
  <c r="AS43" i="67" s="1"/>
  <c r="AT43" i="67" s="1"/>
  <c r="AD43" i="67"/>
  <c r="AS42" i="67"/>
  <c r="AT42" i="67" s="1"/>
  <c r="AR42" i="67"/>
  <c r="AD42" i="67"/>
  <c r="AQ41" i="67"/>
  <c r="AP41" i="67"/>
  <c r="AO41" i="67"/>
  <c r="AN41" i="67"/>
  <c r="AM41" i="67"/>
  <c r="AL41" i="67"/>
  <c r="AK41" i="67"/>
  <c r="AJ41" i="67"/>
  <c r="AI41" i="67"/>
  <c r="AH41" i="67"/>
  <c r="AG41" i="67"/>
  <c r="AF41" i="67"/>
  <c r="AC41" i="67"/>
  <c r="AB41" i="67"/>
  <c r="AA41" i="67"/>
  <c r="Z41" i="67"/>
  <c r="Y41" i="67"/>
  <c r="X41" i="67"/>
  <c r="W41" i="67"/>
  <c r="V41" i="67"/>
  <c r="U41" i="67"/>
  <c r="T41" i="67"/>
  <c r="S41" i="67"/>
  <c r="R41" i="67"/>
  <c r="AT40" i="67"/>
  <c r="AS40" i="67"/>
  <c r="AR40" i="67"/>
  <c r="AD40" i="67"/>
  <c r="AR39" i="67"/>
  <c r="AD39" i="67"/>
  <c r="AS39" i="67" s="1"/>
  <c r="AT39" i="67" s="1"/>
  <c r="AT38" i="67"/>
  <c r="AS38" i="67"/>
  <c r="AR38" i="67"/>
  <c r="AD38" i="67"/>
  <c r="AS37" i="67"/>
  <c r="AT37" i="67" s="1"/>
  <c r="AR37" i="67"/>
  <c r="AD37" i="67"/>
  <c r="AS36" i="67"/>
  <c r="AT36" i="67" s="1"/>
  <c r="AR36" i="67"/>
  <c r="AD36" i="67"/>
  <c r="AT35" i="67"/>
  <c r="AS35" i="67"/>
  <c r="AR35" i="67"/>
  <c r="AD35" i="67"/>
  <c r="AR34" i="67"/>
  <c r="AS34" i="67" s="1"/>
  <c r="AT34" i="67" s="1"/>
  <c r="AD34" i="67"/>
  <c r="AR33" i="67"/>
  <c r="AS33" i="67" s="1"/>
  <c r="AT33" i="67" s="1"/>
  <c r="AT32" i="67"/>
  <c r="AS32" i="67"/>
  <c r="AR32" i="67"/>
  <c r="AD32" i="67"/>
  <c r="AR31" i="67"/>
  <c r="AD31" i="67"/>
  <c r="AS31" i="67" s="1"/>
  <c r="AT31" i="67" s="1"/>
  <c r="AR30" i="67"/>
  <c r="AD30" i="67"/>
  <c r="AS29" i="67"/>
  <c r="AT29" i="67" s="1"/>
  <c r="AR29" i="67"/>
  <c r="AD29" i="67"/>
  <c r="AS28" i="67"/>
  <c r="AT28" i="67" s="1"/>
  <c r="AR28" i="67"/>
  <c r="AD28" i="67"/>
  <c r="AR27" i="67"/>
  <c r="AD27" i="67"/>
  <c r="AS27" i="67" s="1"/>
  <c r="AT27" i="67" s="1"/>
  <c r="AT26" i="67"/>
  <c r="AR26" i="67"/>
  <c r="AD26" i="67"/>
  <c r="AS26" i="67" s="1"/>
  <c r="AQ25" i="67"/>
  <c r="AP25" i="67"/>
  <c r="AO25" i="67"/>
  <c r="AN25" i="67"/>
  <c r="AM25" i="67"/>
  <c r="AL25" i="67"/>
  <c r="AK25" i="67"/>
  <c r="AJ25" i="67"/>
  <c r="AI25" i="67"/>
  <c r="AH25" i="67"/>
  <c r="AG25" i="67"/>
  <c r="AF25" i="67"/>
  <c r="AC25" i="67"/>
  <c r="AB25" i="67"/>
  <c r="AA25" i="67"/>
  <c r="Z25" i="67"/>
  <c r="Y25" i="67"/>
  <c r="X25" i="67"/>
  <c r="W25" i="67"/>
  <c r="V25" i="67"/>
  <c r="U25" i="67"/>
  <c r="T25" i="67"/>
  <c r="S25" i="67"/>
  <c r="R25" i="67"/>
  <c r="AD25" i="67" s="1"/>
  <c r="AR24" i="67"/>
  <c r="AR23" i="67" s="1"/>
  <c r="AD24" i="67"/>
  <c r="AQ23" i="67"/>
  <c r="AP23" i="67"/>
  <c r="AO23" i="67"/>
  <c r="AN23" i="67"/>
  <c r="AM23" i="67"/>
  <c r="AL23" i="67"/>
  <c r="AK23" i="67"/>
  <c r="AJ23" i="67"/>
  <c r="AI23" i="67"/>
  <c r="AH23" i="67"/>
  <c r="AG23" i="67"/>
  <c r="AF23" i="67"/>
  <c r="AC23" i="67"/>
  <c r="AB23" i="67"/>
  <c r="AA23" i="67"/>
  <c r="Z23" i="67"/>
  <c r="Y23" i="67"/>
  <c r="X23" i="67"/>
  <c r="W23" i="67"/>
  <c r="V23" i="67"/>
  <c r="U23" i="67"/>
  <c r="T23" i="67"/>
  <c r="S23" i="67"/>
  <c r="R23" i="67"/>
  <c r="AS22" i="67"/>
  <c r="AT22" i="67" s="1"/>
  <c r="AR22" i="67"/>
  <c r="AD22" i="67"/>
  <c r="AR21" i="67"/>
  <c r="AD21" i="67"/>
  <c r="AS21" i="67" s="1"/>
  <c r="AT21" i="67" s="1"/>
  <c r="AR20" i="67"/>
  <c r="AD20" i="67"/>
  <c r="AS20" i="67" s="1"/>
  <c r="AT20" i="67" s="1"/>
  <c r="AT19" i="67"/>
  <c r="AR19" i="67"/>
  <c r="AD19" i="67"/>
  <c r="AS19" i="67" s="1"/>
  <c r="AR18" i="67"/>
  <c r="AD18" i="67"/>
  <c r="AS18" i="67" s="1"/>
  <c r="AT18" i="67" s="1"/>
  <c r="AR17" i="67"/>
  <c r="AS17" i="67" s="1"/>
  <c r="AT17" i="67" s="1"/>
  <c r="AR16" i="67"/>
  <c r="AD16" i="67"/>
  <c r="AS16" i="67" s="1"/>
  <c r="AT16" i="67" s="1"/>
  <c r="AR15" i="67"/>
  <c r="AD15" i="67"/>
  <c r="AS15" i="67" s="1"/>
  <c r="AT15" i="67" s="1"/>
  <c r="AT14" i="67"/>
  <c r="AS14" i="67"/>
  <c r="AR14" i="67"/>
  <c r="AD14" i="67"/>
  <c r="AT13" i="67"/>
  <c r="AR13" i="67"/>
  <c r="AD13" i="67"/>
  <c r="AS13" i="67" s="1"/>
  <c r="AT12" i="67"/>
  <c r="AR12" i="67"/>
  <c r="AD12" i="67"/>
  <c r="AS12" i="67" s="1"/>
  <c r="AR11" i="67"/>
  <c r="AD11" i="67"/>
  <c r="AS11" i="67" s="1"/>
  <c r="AT11" i="67" s="1"/>
  <c r="AT10" i="67"/>
  <c r="AS10" i="67"/>
  <c r="AR10" i="67"/>
  <c r="AD10" i="67"/>
  <c r="AQ9" i="67"/>
  <c r="AP9" i="67"/>
  <c r="AO9" i="67"/>
  <c r="AN9" i="67"/>
  <c r="AM9" i="67"/>
  <c r="AL9" i="67"/>
  <c r="AK9" i="67"/>
  <c r="AJ9" i="67"/>
  <c r="AI9" i="67"/>
  <c r="AH9" i="67"/>
  <c r="AG9" i="67"/>
  <c r="AF9" i="67"/>
  <c r="AC9" i="67"/>
  <c r="AB9" i="67"/>
  <c r="AA9" i="67"/>
  <c r="Z9" i="67"/>
  <c r="Y9" i="67"/>
  <c r="X9" i="67"/>
  <c r="W9" i="67"/>
  <c r="V9" i="67"/>
  <c r="U9" i="67"/>
  <c r="T9" i="67"/>
  <c r="S9" i="67"/>
  <c r="R9" i="67"/>
  <c r="AO48" i="69"/>
  <c r="AN48" i="69"/>
  <c r="AG48" i="69"/>
  <c r="AR47" i="69"/>
  <c r="AQ47" i="69"/>
  <c r="AP47" i="69"/>
  <c r="AO47" i="69"/>
  <c r="AN47" i="69"/>
  <c r="AM47" i="69"/>
  <c r="AM48" i="69" s="1"/>
  <c r="AL47" i="69"/>
  <c r="AL48" i="69" s="1"/>
  <c r="AK47" i="69"/>
  <c r="AJ47" i="69"/>
  <c r="AI47" i="69"/>
  <c r="AH47" i="69"/>
  <c r="AG47" i="69"/>
  <c r="AF47" i="69"/>
  <c r="AE47" i="69"/>
  <c r="AS47" i="69" s="1"/>
  <c r="AD47" i="69"/>
  <c r="AC47" i="69"/>
  <c r="AR46" i="69"/>
  <c r="AR48" i="69" s="1"/>
  <c r="AQ46" i="69"/>
  <c r="AQ48" i="69" s="1"/>
  <c r="AP46" i="69"/>
  <c r="AP48" i="69" s="1"/>
  <c r="AO46" i="69"/>
  <c r="AN46" i="69"/>
  <c r="AM46" i="69"/>
  <c r="AL46" i="69"/>
  <c r="AK46" i="69"/>
  <c r="AJ46" i="69"/>
  <c r="AI46" i="69"/>
  <c r="AI48" i="69" s="1"/>
  <c r="AH46" i="69"/>
  <c r="AH48" i="69" s="1"/>
  <c r="AG46" i="69"/>
  <c r="AF46" i="69"/>
  <c r="AF48" i="69" s="1"/>
  <c r="AE46" i="69"/>
  <c r="AD46" i="69"/>
  <c r="AD48" i="69" s="1"/>
  <c r="AC46" i="69"/>
  <c r="AC48" i="69" s="1"/>
  <c r="AR45" i="69"/>
  <c r="AS45" i="69" s="1"/>
  <c r="AS29" i="69" s="1"/>
  <c r="AR44" i="69"/>
  <c r="AR43" i="69"/>
  <c r="AR42" i="69"/>
  <c r="AS42" i="69" s="1"/>
  <c r="AR41" i="69"/>
  <c r="AR40" i="69"/>
  <c r="AR39" i="69"/>
  <c r="AR38" i="69"/>
  <c r="AR37" i="69"/>
  <c r="AR36" i="69"/>
  <c r="AR35" i="69"/>
  <c r="AR34" i="69"/>
  <c r="AR33" i="69"/>
  <c r="AR32" i="69"/>
  <c r="AR31" i="69"/>
  <c r="AR30" i="69"/>
  <c r="AQ29" i="69"/>
  <c r="AP29" i="69"/>
  <c r="AO29" i="69"/>
  <c r="AN29" i="69"/>
  <c r="AM29" i="69"/>
  <c r="AL29" i="69"/>
  <c r="AK29" i="69"/>
  <c r="AJ29" i="69"/>
  <c r="AI29" i="69"/>
  <c r="AH29" i="69"/>
  <c r="AG29" i="69"/>
  <c r="AF29" i="69"/>
  <c r="AE29" i="69"/>
  <c r="AC29" i="69"/>
  <c r="AD29" i="69" s="1"/>
  <c r="AS28" i="69"/>
  <c r="AR28" i="69"/>
  <c r="AR27" i="69"/>
  <c r="AS27" i="69" s="1"/>
  <c r="AS26" i="69"/>
  <c r="AR26" i="69"/>
  <c r="AR25" i="69"/>
  <c r="AS25" i="69" s="1"/>
  <c r="AR24" i="69"/>
  <c r="AS24" i="69" s="1"/>
  <c r="AR23" i="69"/>
  <c r="AS23" i="69" s="1"/>
  <c r="AS22" i="69"/>
  <c r="AR22" i="69"/>
  <c r="AS21" i="69"/>
  <c r="AR21" i="69"/>
  <c r="AR20" i="69"/>
  <c r="AS20" i="69" s="1"/>
  <c r="AR19" i="69"/>
  <c r="AS19" i="69" s="1"/>
  <c r="AR18" i="69"/>
  <c r="AS18" i="69" s="1"/>
  <c r="AS17" i="69"/>
  <c r="AR17" i="69"/>
  <c r="AS16" i="69"/>
  <c r="AR16" i="69"/>
  <c r="AR15" i="69"/>
  <c r="AS15" i="69" s="1"/>
  <c r="AS14" i="69"/>
  <c r="AR14" i="69"/>
  <c r="AS13" i="69"/>
  <c r="AR13" i="69"/>
  <c r="AR12" i="69"/>
  <c r="AS12" i="69" s="1"/>
  <c r="AS11" i="69"/>
  <c r="AR11" i="69"/>
  <c r="AS10" i="69"/>
  <c r="AR10" i="69"/>
  <c r="AR9" i="69"/>
  <c r="AS9" i="69" s="1"/>
  <c r="AQ8" i="69"/>
  <c r="AP8" i="69"/>
  <c r="AO8" i="69"/>
  <c r="AN8" i="69"/>
  <c r="AM8" i="69"/>
  <c r="AL8" i="69"/>
  <c r="AK8" i="69"/>
  <c r="AJ8" i="69"/>
  <c r="AI8" i="69"/>
  <c r="AH8" i="69"/>
  <c r="AG8" i="69"/>
  <c r="AF8" i="69"/>
  <c r="AE8" i="69"/>
  <c r="AD8" i="69"/>
  <c r="AC8" i="69"/>
  <c r="AQ139" i="81"/>
  <c r="AP139" i="81"/>
  <c r="AO139" i="81"/>
  <c r="AP134" i="81"/>
  <c r="AJ134" i="81"/>
  <c r="AH134" i="81"/>
  <c r="AC134" i="81"/>
  <c r="AO133" i="81"/>
  <c r="AF133" i="81"/>
  <c r="AR132" i="81"/>
  <c r="AP132" i="81"/>
  <c r="AO132" i="81"/>
  <c r="AK132" i="81"/>
  <c r="AH132" i="81"/>
  <c r="AE132" i="81"/>
  <c r="AS132" i="81" s="1"/>
  <c r="AD132" i="81"/>
  <c r="AC132" i="81"/>
  <c r="AN131" i="81"/>
  <c r="AK131" i="81"/>
  <c r="AJ131" i="81"/>
  <c r="AF131" i="81"/>
  <c r="AE131" i="81"/>
  <c r="AP130" i="81"/>
  <c r="AO130" i="81"/>
  <c r="AN130" i="81"/>
  <c r="AM130" i="81"/>
  <c r="AK130" i="81"/>
  <c r="AH130" i="81"/>
  <c r="AF130" i="81"/>
  <c r="AD130" i="81"/>
  <c r="AC130" i="81"/>
  <c r="AQ129" i="81"/>
  <c r="AN129" i="81"/>
  <c r="AK128" i="81"/>
  <c r="AK135" i="81" s="1"/>
  <c r="AR127" i="81"/>
  <c r="AS127" i="81" s="1"/>
  <c r="AR126" i="81"/>
  <c r="AD126" i="81"/>
  <c r="AR125" i="81"/>
  <c r="AE125" i="81"/>
  <c r="AD125" i="81" s="1"/>
  <c r="AR124" i="81"/>
  <c r="AE124" i="81"/>
  <c r="AR123" i="81"/>
  <c r="AC123" i="81"/>
  <c r="AR122" i="81"/>
  <c r="AR121" i="81"/>
  <c r="AQ120" i="81"/>
  <c r="AP120" i="81"/>
  <c r="AP119" i="81" s="1"/>
  <c r="AO120" i="81"/>
  <c r="AO119" i="81" s="1"/>
  <c r="AN120" i="81"/>
  <c r="AN119" i="81" s="1"/>
  <c r="AM120" i="81"/>
  <c r="AL120" i="81"/>
  <c r="AL119" i="81" s="1"/>
  <c r="AK120" i="81"/>
  <c r="AJ120" i="81"/>
  <c r="AI120" i="81"/>
  <c r="AH120" i="81"/>
  <c r="AG120" i="81"/>
  <c r="AF120" i="81"/>
  <c r="AR120" i="81" s="1"/>
  <c r="AE120" i="81"/>
  <c r="AR119" i="81"/>
  <c r="AS119" i="81" s="1"/>
  <c r="AQ119" i="81"/>
  <c r="AM119" i="81"/>
  <c r="AK119" i="81"/>
  <c r="AJ119" i="81"/>
  <c r="AI119" i="81"/>
  <c r="AH119" i="81"/>
  <c r="AG119" i="81"/>
  <c r="AF119" i="81"/>
  <c r="AE119" i="81"/>
  <c r="AC119" i="81"/>
  <c r="O119" i="81"/>
  <c r="AR118" i="81"/>
  <c r="AE118" i="81"/>
  <c r="AD118" i="81" s="1"/>
  <c r="AQ117" i="81"/>
  <c r="AQ116" i="81" s="1"/>
  <c r="AP117" i="81"/>
  <c r="AP116" i="81" s="1"/>
  <c r="AO117" i="81"/>
  <c r="AO116" i="81" s="1"/>
  <c r="AN117" i="81"/>
  <c r="AM117" i="81"/>
  <c r="AM116" i="81" s="1"/>
  <c r="AL117" i="81"/>
  <c r="AK117" i="81"/>
  <c r="AK116" i="81" s="1"/>
  <c r="AJ117" i="81"/>
  <c r="AJ116" i="81" s="1"/>
  <c r="AI117" i="81"/>
  <c r="AH117" i="81"/>
  <c r="AH116" i="81" s="1"/>
  <c r="AG117" i="81"/>
  <c r="AF117" i="81"/>
  <c r="AR117" i="81" s="1"/>
  <c r="AE117" i="81"/>
  <c r="AD117" i="81"/>
  <c r="AN116" i="81"/>
  <c r="AL116" i="81"/>
  <c r="AI116" i="81"/>
  <c r="AG116" i="81"/>
  <c r="AF116" i="81"/>
  <c r="AR116" i="81" s="1"/>
  <c r="AE116" i="81"/>
  <c r="AS116" i="81" s="1"/>
  <c r="AC116" i="81"/>
  <c r="O116" i="81"/>
  <c r="AQ115" i="81"/>
  <c r="AP115" i="81"/>
  <c r="AO115" i="81"/>
  <c r="AN115" i="81"/>
  <c r="AM115" i="81"/>
  <c r="AL115" i="81"/>
  <c r="AK115" i="81"/>
  <c r="AJ115" i="81"/>
  <c r="AI115" i="81"/>
  <c r="AH115" i="81"/>
  <c r="AG115" i="81"/>
  <c r="AF115" i="81"/>
  <c r="AR115" i="81" s="1"/>
  <c r="AE115" i="81"/>
  <c r="AD115" i="81"/>
  <c r="O115" i="81"/>
  <c r="AQ114" i="81"/>
  <c r="AP114" i="81"/>
  <c r="AO114" i="81"/>
  <c r="AN114" i="81"/>
  <c r="AM114" i="81"/>
  <c r="AL114" i="81"/>
  <c r="AK114" i="81"/>
  <c r="AJ114" i="81"/>
  <c r="AI114" i="81"/>
  <c r="AH114" i="81"/>
  <c r="AG114" i="81"/>
  <c r="AF114" i="81"/>
  <c r="AR114" i="81" s="1"/>
  <c r="AE114" i="81"/>
  <c r="AD114" i="81"/>
  <c r="O114" i="81"/>
  <c r="AQ113" i="81"/>
  <c r="AP113" i="81"/>
  <c r="AO113" i="81"/>
  <c r="AN113" i="81"/>
  <c r="AM113" i="81"/>
  <c r="AL113" i="81"/>
  <c r="AK113" i="81"/>
  <c r="AJ113" i="81"/>
  <c r="AI113" i="81"/>
  <c r="AH113" i="81"/>
  <c r="AG113" i="81"/>
  <c r="AF113" i="81"/>
  <c r="AR113" i="81" s="1"/>
  <c r="AE113" i="81"/>
  <c r="AD113" i="81"/>
  <c r="O113" i="81"/>
  <c r="AQ112" i="81"/>
  <c r="AP112" i="81"/>
  <c r="AO112" i="81"/>
  <c r="AN112" i="81"/>
  <c r="AM112" i="81"/>
  <c r="AL112" i="81"/>
  <c r="AK112" i="81"/>
  <c r="AJ112" i="81"/>
  <c r="AI112" i="81"/>
  <c r="AH112" i="81"/>
  <c r="AG112" i="81"/>
  <c r="AF112" i="81"/>
  <c r="AR112" i="81" s="1"/>
  <c r="AE112" i="81"/>
  <c r="AD112" i="81"/>
  <c r="O112" i="81"/>
  <c r="AQ111" i="81"/>
  <c r="AP111" i="81"/>
  <c r="AP110" i="81" s="1"/>
  <c r="AP104" i="81" s="1"/>
  <c r="AO111" i="81"/>
  <c r="AO110" i="81" s="1"/>
  <c r="AO104" i="81" s="1"/>
  <c r="AN111" i="81"/>
  <c r="AN110" i="81" s="1"/>
  <c r="AM111" i="81"/>
  <c r="AM110" i="81" s="1"/>
  <c r="AL111" i="81"/>
  <c r="AK111" i="81"/>
  <c r="AJ111" i="81"/>
  <c r="AJ110" i="81" s="1"/>
  <c r="AI111" i="81"/>
  <c r="AH111" i="81"/>
  <c r="AH110" i="81" s="1"/>
  <c r="AH104" i="81" s="1"/>
  <c r="AH139" i="81" s="1"/>
  <c r="AG111" i="81"/>
  <c r="AF111" i="81"/>
  <c r="AR111" i="81" s="1"/>
  <c r="AE111" i="81"/>
  <c r="AD111" i="81"/>
  <c r="O111" i="81"/>
  <c r="AR110" i="81"/>
  <c r="AQ110" i="81"/>
  <c r="AQ104" i="81" s="1"/>
  <c r="AL110" i="81"/>
  <c r="AL104" i="81" s="1"/>
  <c r="AL139" i="81" s="1"/>
  <c r="AK110" i="81"/>
  <c r="AK104" i="81" s="1"/>
  <c r="AK139" i="81" s="1"/>
  <c r="AI110" i="81"/>
  <c r="AG110" i="81"/>
  <c r="AG104" i="81" s="1"/>
  <c r="AG139" i="81" s="1"/>
  <c r="AF110" i="81"/>
  <c r="AE110" i="81"/>
  <c r="AS110" i="81" s="1"/>
  <c r="AC110" i="81"/>
  <c r="O110" i="81"/>
  <c r="AQ109" i="81"/>
  <c r="AP109" i="81"/>
  <c r="AO109" i="81"/>
  <c r="AN109" i="81"/>
  <c r="AM109" i="81"/>
  <c r="AL109" i="81"/>
  <c r="AR109" i="81" s="1"/>
  <c r="AE109" i="81"/>
  <c r="AD109" i="81" s="1"/>
  <c r="AR108" i="81"/>
  <c r="AQ108" i="81"/>
  <c r="AP108" i="81"/>
  <c r="AO108" i="81"/>
  <c r="AN108" i="81"/>
  <c r="AM108" i="81"/>
  <c r="AL108" i="81"/>
  <c r="AE108" i="81"/>
  <c r="AD108" i="81" s="1"/>
  <c r="AR107" i="81"/>
  <c r="AQ107" i="81"/>
  <c r="AP107" i="81"/>
  <c r="AO107" i="81"/>
  <c r="AN107" i="81"/>
  <c r="AM107" i="81"/>
  <c r="AL107" i="81"/>
  <c r="AE107" i="81"/>
  <c r="AD107" i="81" s="1"/>
  <c r="AQ106" i="81"/>
  <c r="AP106" i="81"/>
  <c r="AO106" i="81"/>
  <c r="AN106" i="81"/>
  <c r="AM106" i="81"/>
  <c r="AL106" i="81"/>
  <c r="AR106" i="81" s="1"/>
  <c r="AE106" i="81"/>
  <c r="AD106" i="81" s="1"/>
  <c r="AR105" i="81"/>
  <c r="AR104" i="81" s="1"/>
  <c r="AE105" i="81"/>
  <c r="AC105" i="81"/>
  <c r="AC104" i="81" s="1"/>
  <c r="O105" i="81"/>
  <c r="AN104" i="81"/>
  <c r="AN139" i="81" s="1"/>
  <c r="AM104" i="81"/>
  <c r="AM139" i="81" s="1"/>
  <c r="AJ104" i="81"/>
  <c r="AJ139" i="81" s="1"/>
  <c r="AI104" i="81"/>
  <c r="AI139" i="81" s="1"/>
  <c r="AF104" i="81"/>
  <c r="AF139" i="81" s="1"/>
  <c r="AR139" i="81" s="1"/>
  <c r="AR103" i="81"/>
  <c r="AD103" i="81"/>
  <c r="AR102" i="81"/>
  <c r="AD102" i="81"/>
  <c r="AR101" i="81"/>
  <c r="AD101" i="81"/>
  <c r="AQ100" i="81"/>
  <c r="AP100" i="81"/>
  <c r="AO100" i="81"/>
  <c r="AN100" i="81"/>
  <c r="AM100" i="81"/>
  <c r="AL100" i="81"/>
  <c r="AK100" i="81"/>
  <c r="AJ100" i="81"/>
  <c r="AI100" i="81"/>
  <c r="AH100" i="81"/>
  <c r="AG100" i="81"/>
  <c r="AF100" i="81"/>
  <c r="AR100" i="81" s="1"/>
  <c r="AE100" i="81"/>
  <c r="AD100" i="81"/>
  <c r="AQ99" i="81"/>
  <c r="AP99" i="81"/>
  <c r="AO99" i="81"/>
  <c r="AN99" i="81"/>
  <c r="AM99" i="81"/>
  <c r="AL99" i="81"/>
  <c r="AK99" i="81"/>
  <c r="AJ99" i="81"/>
  <c r="AI99" i="81"/>
  <c r="AH99" i="81"/>
  <c r="AG99" i="81"/>
  <c r="AF99" i="81"/>
  <c r="AR99" i="81" s="1"/>
  <c r="AE99" i="81"/>
  <c r="AD99" i="81"/>
  <c r="AQ98" i="81"/>
  <c r="AP98" i="81"/>
  <c r="AO98" i="81"/>
  <c r="AN98" i="81"/>
  <c r="AM98" i="81"/>
  <c r="AL98" i="81"/>
  <c r="AK98" i="81"/>
  <c r="AJ98" i="81"/>
  <c r="AI98" i="81"/>
  <c r="AH98" i="81"/>
  <c r="AG98" i="81"/>
  <c r="AF98" i="81"/>
  <c r="AR98" i="81" s="1"/>
  <c r="AE98" i="81"/>
  <c r="AD98" i="81" s="1"/>
  <c r="AQ97" i="81"/>
  <c r="AP97" i="81"/>
  <c r="AO97" i="81"/>
  <c r="AN97" i="81"/>
  <c r="AM97" i="81"/>
  <c r="AL97" i="81"/>
  <c r="AK97" i="81"/>
  <c r="AJ97" i="81"/>
  <c r="AI97" i="81"/>
  <c r="AH97" i="81"/>
  <c r="AG97" i="81"/>
  <c r="AF97" i="81"/>
  <c r="AR97" i="81" s="1"/>
  <c r="AE97" i="81"/>
  <c r="AD97" i="81"/>
  <c r="AQ96" i="81"/>
  <c r="AP96" i="81"/>
  <c r="AO96" i="81"/>
  <c r="AN96" i="81"/>
  <c r="AM96" i="81"/>
  <c r="AL96" i="81"/>
  <c r="AK96" i="81"/>
  <c r="AJ96" i="81"/>
  <c r="AI96" i="81"/>
  <c r="AH96" i="81"/>
  <c r="AG96" i="81"/>
  <c r="AF96" i="81"/>
  <c r="AR96" i="81" s="1"/>
  <c r="AE96" i="81"/>
  <c r="AD96" i="81" s="1"/>
  <c r="AQ95" i="81"/>
  <c r="AP95" i="81"/>
  <c r="AO95" i="81"/>
  <c r="AN95" i="81"/>
  <c r="AM95" i="81"/>
  <c r="AL95" i="81"/>
  <c r="AK95" i="81"/>
  <c r="AJ95" i="81"/>
  <c r="AI95" i="81"/>
  <c r="AH95" i="81"/>
  <c r="AG95" i="81"/>
  <c r="AF95" i="81"/>
  <c r="AR95" i="81" s="1"/>
  <c r="AE95" i="81"/>
  <c r="AD95" i="81" s="1"/>
  <c r="AQ94" i="81"/>
  <c r="AP94" i="81"/>
  <c r="AO94" i="81"/>
  <c r="AN94" i="81"/>
  <c r="AM94" i="81"/>
  <c r="AL94" i="81"/>
  <c r="AK94" i="81"/>
  <c r="AJ94" i="81"/>
  <c r="AI94" i="81"/>
  <c r="AH94" i="81"/>
  <c r="AG94" i="81"/>
  <c r="AF94" i="81"/>
  <c r="AR94" i="81" s="1"/>
  <c r="AE94" i="81"/>
  <c r="AD94" i="81" s="1"/>
  <c r="AQ93" i="81"/>
  <c r="AP93" i="81"/>
  <c r="AO93" i="81"/>
  <c r="AN93" i="81"/>
  <c r="AM93" i="81"/>
  <c r="AL93" i="81"/>
  <c r="AK93" i="81"/>
  <c r="AJ93" i="81"/>
  <c r="AI93" i="81"/>
  <c r="AH93" i="81"/>
  <c r="AG93" i="81"/>
  <c r="AF93" i="81"/>
  <c r="AR93" i="81" s="1"/>
  <c r="AE93" i="81"/>
  <c r="AD93" i="81"/>
  <c r="AQ92" i="81"/>
  <c r="AP92" i="81"/>
  <c r="AO92" i="81"/>
  <c r="AN92" i="81"/>
  <c r="AM92" i="81"/>
  <c r="AL92" i="81"/>
  <c r="AK92" i="81"/>
  <c r="AJ92" i="81"/>
  <c r="AI92" i="81"/>
  <c r="AH92" i="81"/>
  <c r="AG92" i="81"/>
  <c r="AF92" i="81"/>
  <c r="AR92" i="81" s="1"/>
  <c r="AE92" i="81"/>
  <c r="AD92" i="81"/>
  <c r="AQ91" i="81"/>
  <c r="AP91" i="81"/>
  <c r="AP90" i="81" s="1"/>
  <c r="AO91" i="81"/>
  <c r="AN91" i="81"/>
  <c r="AM91" i="81"/>
  <c r="AL91" i="81"/>
  <c r="AK91" i="81"/>
  <c r="AJ91" i="81"/>
  <c r="AI91" i="81"/>
  <c r="AH91" i="81"/>
  <c r="AG91" i="81"/>
  <c r="AF91" i="81"/>
  <c r="AF90" i="81" s="1"/>
  <c r="AR90" i="81" s="1"/>
  <c r="AE91" i="81"/>
  <c r="AD91" i="81" s="1"/>
  <c r="AQ90" i="81"/>
  <c r="AQ132" i="81" s="1"/>
  <c r="AO90" i="81"/>
  <c r="AN90" i="81"/>
  <c r="AN132" i="81" s="1"/>
  <c r="AM90" i="81"/>
  <c r="AM132" i="81" s="1"/>
  <c r="AL90" i="81"/>
  <c r="AL132" i="81" s="1"/>
  <c r="AK90" i="81"/>
  <c r="AJ90" i="81"/>
  <c r="AJ132" i="81" s="1"/>
  <c r="AI90" i="81"/>
  <c r="AI132" i="81" s="1"/>
  <c r="AH90" i="81"/>
  <c r="AG90" i="81"/>
  <c r="AG132" i="81" s="1"/>
  <c r="AE90" i="81"/>
  <c r="AC90" i="81"/>
  <c r="AD90" i="81" s="1"/>
  <c r="O90" i="81"/>
  <c r="AQ89" i="81"/>
  <c r="AP89" i="81"/>
  <c r="AO89" i="81"/>
  <c r="AN89" i="81"/>
  <c r="AM89" i="81"/>
  <c r="AL89" i="81"/>
  <c r="AK89" i="81"/>
  <c r="AJ89" i="81"/>
  <c r="AI89" i="81"/>
  <c r="AH89" i="81"/>
  <c r="AG89" i="81"/>
  <c r="AF89" i="81"/>
  <c r="AR89" i="81" s="1"/>
  <c r="AE89" i="81"/>
  <c r="AD89" i="81" s="1"/>
  <c r="AQ88" i="81"/>
  <c r="AP88" i="81"/>
  <c r="AO88" i="81"/>
  <c r="AN88" i="81"/>
  <c r="AM88" i="81"/>
  <c r="AL88" i="81"/>
  <c r="AK88" i="81"/>
  <c r="AJ88" i="81"/>
  <c r="AI88" i="81"/>
  <c r="AH88" i="81"/>
  <c r="AG88" i="81"/>
  <c r="AF88" i="81"/>
  <c r="AR88" i="81" s="1"/>
  <c r="AE88" i="81"/>
  <c r="AD88" i="81"/>
  <c r="AC88" i="81"/>
  <c r="AC83" i="81" s="1"/>
  <c r="AD83" i="81" s="1"/>
  <c r="AQ87" i="81"/>
  <c r="AP87" i="81"/>
  <c r="AO87" i="81"/>
  <c r="AN87" i="81"/>
  <c r="AM87" i="81"/>
  <c r="AL87" i="81"/>
  <c r="AK87" i="81"/>
  <c r="AJ87" i="81"/>
  <c r="AI87" i="81"/>
  <c r="AH87" i="81"/>
  <c r="AG87" i="81"/>
  <c r="AF87" i="81"/>
  <c r="AR87" i="81" s="1"/>
  <c r="AE87" i="81"/>
  <c r="AD87" i="81" s="1"/>
  <c r="AQ86" i="81"/>
  <c r="AP86" i="81"/>
  <c r="AO86" i="81"/>
  <c r="AN86" i="81"/>
  <c r="AM86" i="81"/>
  <c r="AL86" i="81"/>
  <c r="AK86" i="81"/>
  <c r="AJ86" i="81"/>
  <c r="AI86" i="81"/>
  <c r="AH86" i="81"/>
  <c r="AG86" i="81"/>
  <c r="AF86" i="81"/>
  <c r="AR86" i="81" s="1"/>
  <c r="AE86" i="81"/>
  <c r="AD86" i="81" s="1"/>
  <c r="AQ85" i="81"/>
  <c r="AP85" i="81"/>
  <c r="AO85" i="81"/>
  <c r="AN85" i="81"/>
  <c r="AM85" i="81"/>
  <c r="AL85" i="81"/>
  <c r="AK85" i="81"/>
  <c r="AJ85" i="81"/>
  <c r="AI85" i="81"/>
  <c r="AH85" i="81"/>
  <c r="AG85" i="81"/>
  <c r="AF85" i="81"/>
  <c r="AR85" i="81" s="1"/>
  <c r="AE85" i="81"/>
  <c r="AD85" i="81"/>
  <c r="AQ84" i="81"/>
  <c r="AQ83" i="81" s="1"/>
  <c r="AP84" i="81"/>
  <c r="AP83" i="81" s="1"/>
  <c r="AO84" i="81"/>
  <c r="AO83" i="81" s="1"/>
  <c r="AO82" i="81" s="1"/>
  <c r="AN84" i="81"/>
  <c r="AN83" i="81" s="1"/>
  <c r="AN82" i="81" s="1"/>
  <c r="AM84" i="81"/>
  <c r="AL84" i="81"/>
  <c r="AK84" i="81"/>
  <c r="AK83" i="81" s="1"/>
  <c r="AK82" i="81" s="1"/>
  <c r="AJ84" i="81"/>
  <c r="AI84" i="81"/>
  <c r="AH84" i="81"/>
  <c r="AG84" i="81"/>
  <c r="AF84" i="81"/>
  <c r="AF83" i="81" s="1"/>
  <c r="AE84" i="81"/>
  <c r="AD84" i="81"/>
  <c r="L84" i="81"/>
  <c r="AM83" i="81"/>
  <c r="AL83" i="81"/>
  <c r="AL82" i="81" s="1"/>
  <c r="AJ83" i="81"/>
  <c r="AJ82" i="81" s="1"/>
  <c r="AI83" i="81"/>
  <c r="AI82" i="81" s="1"/>
  <c r="AH83" i="81"/>
  <c r="AH82" i="81" s="1"/>
  <c r="AG83" i="81"/>
  <c r="AG82" i="81" s="1"/>
  <c r="AE83" i="81"/>
  <c r="O83" i="81"/>
  <c r="AQ82" i="81"/>
  <c r="AP82" i="81"/>
  <c r="AM82" i="81"/>
  <c r="AE82" i="81"/>
  <c r="AC82" i="81"/>
  <c r="AD82" i="81" s="1"/>
  <c r="AS81" i="81"/>
  <c r="AR81" i="81"/>
  <c r="AS80" i="81"/>
  <c r="AR80" i="81"/>
  <c r="AS79" i="81"/>
  <c r="AR79" i="81"/>
  <c r="AR78" i="81"/>
  <c r="AS78" i="81" s="1"/>
  <c r="AR77" i="81"/>
  <c r="AS77" i="81" s="1"/>
  <c r="AZ76" i="81"/>
  <c r="AY76" i="81"/>
  <c r="AV76" i="81" s="1"/>
  <c r="AX76" i="81"/>
  <c r="BB76" i="81" s="1"/>
  <c r="BC76" i="81" s="1"/>
  <c r="AU76" i="81"/>
  <c r="AS76" i="81"/>
  <c r="AR76" i="81"/>
  <c r="AZ75" i="81"/>
  <c r="AY75" i="81"/>
  <c r="AX75" i="81"/>
  <c r="AV75" i="81"/>
  <c r="BB75" i="81" s="1"/>
  <c r="BC75" i="81" s="1"/>
  <c r="AU75" i="81"/>
  <c r="AS75" i="81"/>
  <c r="AR75" i="81"/>
  <c r="BB74" i="81"/>
  <c r="BC74" i="81" s="1"/>
  <c r="AZ74" i="81"/>
  <c r="AY74" i="81"/>
  <c r="AX74" i="81"/>
  <c r="AV74" i="81"/>
  <c r="AU74" i="81"/>
  <c r="AR74" i="81"/>
  <c r="AS74" i="81" s="1"/>
  <c r="AZ73" i="81"/>
  <c r="AY73" i="81"/>
  <c r="AV73" i="81" s="1"/>
  <c r="AX73" i="81"/>
  <c r="AU73" i="81"/>
  <c r="AS73" i="81"/>
  <c r="AR73" i="81"/>
  <c r="AQ72" i="81"/>
  <c r="AQ131" i="81" s="1"/>
  <c r="AP72" i="81"/>
  <c r="AP131" i="81" s="1"/>
  <c r="AO72" i="81"/>
  <c r="AO131" i="81" s="1"/>
  <c r="AN72" i="81"/>
  <c r="AM72" i="81"/>
  <c r="AM131" i="81" s="1"/>
  <c r="AL72" i="81"/>
  <c r="AL131" i="81" s="1"/>
  <c r="AK72" i="81"/>
  <c r="AJ72" i="81"/>
  <c r="AI72" i="81"/>
  <c r="AI131" i="81" s="1"/>
  <c r="AH72" i="81"/>
  <c r="AH131" i="81" s="1"/>
  <c r="AG72" i="81"/>
  <c r="AG131" i="81" s="1"/>
  <c r="AF72" i="81"/>
  <c r="AE72" i="81"/>
  <c r="AC72" i="81"/>
  <c r="AC131" i="81" s="1"/>
  <c r="AR71" i="81"/>
  <c r="AS71" i="81" s="1"/>
  <c r="AD71" i="81"/>
  <c r="AZ70" i="81"/>
  <c r="AY70" i="81"/>
  <c r="AX70" i="81"/>
  <c r="BB70" i="81" s="1"/>
  <c r="BC70" i="81" s="1"/>
  <c r="AV70" i="81"/>
  <c r="AU70" i="81"/>
  <c r="AR70" i="81"/>
  <c r="AS70" i="81" s="1"/>
  <c r="AZ69" i="81"/>
  <c r="AY69" i="81"/>
  <c r="AV69" i="81" s="1"/>
  <c r="AX69" i="81"/>
  <c r="BB69" i="81" s="1"/>
  <c r="BC69" i="81" s="1"/>
  <c r="AU69" i="81"/>
  <c r="AS69" i="81"/>
  <c r="AR69" i="81"/>
  <c r="AZ68" i="81"/>
  <c r="AV68" i="81" s="1"/>
  <c r="BB68" i="81" s="1"/>
  <c r="BC68" i="81" s="1"/>
  <c r="AY68" i="81"/>
  <c r="AX68" i="81"/>
  <c r="AU68" i="81"/>
  <c r="AS68" i="81"/>
  <c r="AR68" i="81"/>
  <c r="AZ67" i="81"/>
  <c r="AY67" i="81"/>
  <c r="AX67" i="81"/>
  <c r="BB67" i="81" s="1"/>
  <c r="BC67" i="81" s="1"/>
  <c r="AV67" i="81"/>
  <c r="AU67" i="81"/>
  <c r="AR67" i="81"/>
  <c r="AS67" i="81" s="1"/>
  <c r="AZ66" i="81"/>
  <c r="AY66" i="81"/>
  <c r="AX66" i="81"/>
  <c r="AV66" i="81"/>
  <c r="AU66" i="81"/>
  <c r="AR66" i="81"/>
  <c r="AS66" i="81" s="1"/>
  <c r="AZ65" i="81"/>
  <c r="AY65" i="81"/>
  <c r="AX65" i="81"/>
  <c r="BB65" i="81" s="1"/>
  <c r="BC65" i="81" s="1"/>
  <c r="AV65" i="81"/>
  <c r="AU65" i="81"/>
  <c r="AR65" i="81"/>
  <c r="AS65" i="81" s="1"/>
  <c r="AZ64" i="81"/>
  <c r="AY64" i="81"/>
  <c r="AX64" i="81"/>
  <c r="BB64" i="81" s="1"/>
  <c r="BC64" i="81" s="1"/>
  <c r="AV64" i="81"/>
  <c r="AU64" i="81"/>
  <c r="AR64" i="81"/>
  <c r="AS64" i="81" s="1"/>
  <c r="AZ63" i="81"/>
  <c r="AV63" i="81" s="1"/>
  <c r="AY63" i="81"/>
  <c r="AX63" i="81"/>
  <c r="AU63" i="81"/>
  <c r="AS63" i="81"/>
  <c r="AR63" i="81"/>
  <c r="AZ62" i="81"/>
  <c r="AY62" i="81"/>
  <c r="AX62" i="81"/>
  <c r="AV62" i="81"/>
  <c r="BB62" i="81" s="1"/>
  <c r="BC62" i="81" s="1"/>
  <c r="AU62" i="81"/>
  <c r="AS62" i="81"/>
  <c r="AR62" i="81"/>
  <c r="AL62" i="81"/>
  <c r="AQ61" i="81"/>
  <c r="AQ130" i="81" s="1"/>
  <c r="AP61" i="81"/>
  <c r="AO61" i="81"/>
  <c r="AN61" i="81"/>
  <c r="AM61" i="81"/>
  <c r="AL61" i="81"/>
  <c r="AK61" i="81"/>
  <c r="AJ61" i="81"/>
  <c r="AJ130" i="81" s="1"/>
  <c r="AI61" i="81"/>
  <c r="AI130" i="81" s="1"/>
  <c r="AH61" i="81"/>
  <c r="AG61" i="81"/>
  <c r="AG130" i="81" s="1"/>
  <c r="AF61" i="81"/>
  <c r="AE61" i="81"/>
  <c r="AE130" i="81" s="1"/>
  <c r="AD61" i="81"/>
  <c r="AC61" i="81"/>
  <c r="AZ60" i="81"/>
  <c r="AY60" i="81"/>
  <c r="AV60" i="81" s="1"/>
  <c r="AX60" i="81"/>
  <c r="BB60" i="81" s="1"/>
  <c r="BC60" i="81" s="1"/>
  <c r="AU60" i="81"/>
  <c r="AS60" i="81"/>
  <c r="AR60" i="81"/>
  <c r="AQ59" i="81"/>
  <c r="AP59" i="81"/>
  <c r="AO59" i="81"/>
  <c r="AN59" i="81"/>
  <c r="AM59" i="81"/>
  <c r="AL59" i="81"/>
  <c r="AL134" i="81" s="1"/>
  <c r="AK59" i="81"/>
  <c r="AJ59" i="81"/>
  <c r="AI59" i="81"/>
  <c r="AH59" i="81"/>
  <c r="AG59" i="81"/>
  <c r="AG134" i="81" s="1"/>
  <c r="AF59" i="81"/>
  <c r="AR59" i="81" s="1"/>
  <c r="AE59" i="81"/>
  <c r="AC59" i="81"/>
  <c r="BC57" i="81"/>
  <c r="AZ57" i="81"/>
  <c r="AY57" i="81"/>
  <c r="AV57" i="81" s="1"/>
  <c r="AX57" i="81"/>
  <c r="AU57" i="81"/>
  <c r="AS57" i="81"/>
  <c r="AR57" i="81"/>
  <c r="BC56" i="81"/>
  <c r="AZ56" i="81"/>
  <c r="AY56" i="81"/>
  <c r="AV56" i="81" s="1"/>
  <c r="AX56" i="81"/>
  <c r="AU56" i="81"/>
  <c r="AR56" i="81"/>
  <c r="AS56" i="81" s="1"/>
  <c r="AQ55" i="81"/>
  <c r="AP55" i="81"/>
  <c r="AO55" i="81"/>
  <c r="AO134" i="81" s="1"/>
  <c r="AN55" i="81"/>
  <c r="AN134" i="81" s="1"/>
  <c r="AM55" i="81"/>
  <c r="AL55" i="81"/>
  <c r="AK55" i="81"/>
  <c r="AK134" i="81" s="1"/>
  <c r="AJ55" i="81"/>
  <c r="AI55" i="81"/>
  <c r="AH55" i="81"/>
  <c r="AG55" i="81"/>
  <c r="AF55" i="81"/>
  <c r="AE55" i="81"/>
  <c r="AC55" i="81"/>
  <c r="AD55" i="81" s="1"/>
  <c r="BC54" i="81"/>
  <c r="AZ54" i="81"/>
  <c r="AY54" i="81"/>
  <c r="AX54" i="81"/>
  <c r="AU54" i="81"/>
  <c r="AS54" i="81"/>
  <c r="AR54" i="81"/>
  <c r="BC53" i="81"/>
  <c r="AZ53" i="81"/>
  <c r="AY53" i="81"/>
  <c r="AX53" i="81"/>
  <c r="AV53" i="81"/>
  <c r="AU53" i="81"/>
  <c r="AR53" i="81"/>
  <c r="BC52" i="81"/>
  <c r="AZ52" i="81"/>
  <c r="AY52" i="81"/>
  <c r="AV52" i="81" s="1"/>
  <c r="AX52" i="81"/>
  <c r="AU52" i="81"/>
  <c r="AR52" i="81"/>
  <c r="AS52" i="81" s="1"/>
  <c r="BC51" i="81"/>
  <c r="AZ51" i="81"/>
  <c r="AY51" i="81"/>
  <c r="AX51" i="81"/>
  <c r="AV51" i="81"/>
  <c r="AU51" i="81"/>
  <c r="AR51" i="81"/>
  <c r="AS51" i="81" s="1"/>
  <c r="AQ50" i="81"/>
  <c r="AP50" i="81"/>
  <c r="AO50" i="81"/>
  <c r="AN50" i="81"/>
  <c r="AM50" i="81"/>
  <c r="AL50" i="81"/>
  <c r="AK50" i="81"/>
  <c r="AJ50" i="81"/>
  <c r="AI50" i="81"/>
  <c r="AH50" i="81"/>
  <c r="AG50" i="81"/>
  <c r="AF50" i="81"/>
  <c r="AR50" i="81" s="1"/>
  <c r="AS50" i="81" s="1"/>
  <c r="AD50" i="81"/>
  <c r="BC49" i="81"/>
  <c r="AZ49" i="81"/>
  <c r="AY49" i="81"/>
  <c r="AV49" i="81" s="1"/>
  <c r="AX49" i="81"/>
  <c r="AU49" i="81"/>
  <c r="AR49" i="81"/>
  <c r="AS49" i="81" s="1"/>
  <c r="BC48" i="81"/>
  <c r="AZ48" i="81"/>
  <c r="AY48" i="81"/>
  <c r="AV48" i="81" s="1"/>
  <c r="AX48" i="81"/>
  <c r="AU48" i="81"/>
  <c r="AS48" i="81"/>
  <c r="AR48" i="81"/>
  <c r="AQ47" i="81"/>
  <c r="AP47" i="81"/>
  <c r="AO47" i="81"/>
  <c r="AN47" i="81"/>
  <c r="AM47" i="81"/>
  <c r="AL47" i="81"/>
  <c r="AK47" i="81"/>
  <c r="AJ47" i="81"/>
  <c r="AI47" i="81"/>
  <c r="AH47" i="81"/>
  <c r="AG47" i="81"/>
  <c r="AF47" i="81"/>
  <c r="AE47" i="81"/>
  <c r="AD47" i="81"/>
  <c r="AC47" i="81"/>
  <c r="AS46" i="81"/>
  <c r="AD46" i="81"/>
  <c r="AS45" i="81"/>
  <c r="AD45" i="81"/>
  <c r="BC44" i="81"/>
  <c r="BB44" i="81"/>
  <c r="AZ44" i="81"/>
  <c r="AY44" i="81"/>
  <c r="AX44" i="81"/>
  <c r="AV44" i="81"/>
  <c r="AU44" i="81"/>
  <c r="AS44" i="81"/>
  <c r="AR44" i="81"/>
  <c r="AZ43" i="81"/>
  <c r="AY43" i="81"/>
  <c r="AX43" i="81"/>
  <c r="BB43" i="81" s="1"/>
  <c r="BC43" i="81" s="1"/>
  <c r="AV43" i="81"/>
  <c r="AU43" i="81"/>
  <c r="AR43" i="81"/>
  <c r="AR42" i="81"/>
  <c r="AS42" i="81" s="1"/>
  <c r="AQ42" i="81"/>
  <c r="AP42" i="81"/>
  <c r="AO42" i="81"/>
  <c r="AN42" i="81"/>
  <c r="AM42" i="81"/>
  <c r="AL42" i="81"/>
  <c r="AK42" i="81"/>
  <c r="AJ42" i="81"/>
  <c r="AI42" i="81"/>
  <c r="AH42" i="81"/>
  <c r="AG42" i="81"/>
  <c r="AF42" i="81"/>
  <c r="AE42" i="81"/>
  <c r="AC42" i="81"/>
  <c r="AD42" i="81" s="1"/>
  <c r="AZ41" i="81"/>
  <c r="AY41" i="81"/>
  <c r="AV41" i="81" s="1"/>
  <c r="AX41" i="81"/>
  <c r="AU41" i="81"/>
  <c r="AS41" i="81"/>
  <c r="AR41" i="81"/>
  <c r="AZ40" i="81"/>
  <c r="AY40" i="81"/>
  <c r="AV40" i="81" s="1"/>
  <c r="AX40" i="81"/>
  <c r="BB40" i="81" s="1"/>
  <c r="BC40" i="81" s="1"/>
  <c r="AU40" i="81"/>
  <c r="AR40" i="81"/>
  <c r="AZ39" i="81"/>
  <c r="AY39" i="81"/>
  <c r="AX39" i="81"/>
  <c r="AU39" i="81"/>
  <c r="AR39" i="81"/>
  <c r="AS39" i="81" s="1"/>
  <c r="AQ38" i="81"/>
  <c r="AP38" i="81"/>
  <c r="AO38" i="81"/>
  <c r="AN38" i="81"/>
  <c r="AM38" i="81"/>
  <c r="AM133" i="81" s="1"/>
  <c r="AL38" i="81"/>
  <c r="AK38" i="81"/>
  <c r="AJ38" i="81"/>
  <c r="AI38" i="81"/>
  <c r="AH38" i="81"/>
  <c r="AG38" i="81"/>
  <c r="AF38" i="81"/>
  <c r="AE38" i="81"/>
  <c r="AC38" i="81"/>
  <c r="AD38" i="81" s="1"/>
  <c r="AZ37" i="81"/>
  <c r="AV37" i="81" s="1"/>
  <c r="BB37" i="81" s="1"/>
  <c r="BC37" i="81" s="1"/>
  <c r="AY37" i="81"/>
  <c r="AX37" i="81"/>
  <c r="AU37" i="81"/>
  <c r="AZ36" i="81"/>
  <c r="AV36" i="81" s="1"/>
  <c r="BB36" i="81" s="1"/>
  <c r="BC36" i="81" s="1"/>
  <c r="AY36" i="81"/>
  <c r="AX36" i="81"/>
  <c r="AU36" i="81"/>
  <c r="AR36" i="81"/>
  <c r="AZ35" i="81"/>
  <c r="AY35" i="81"/>
  <c r="AX35" i="81"/>
  <c r="AV35" i="81"/>
  <c r="BB35" i="81" s="1"/>
  <c r="BC35" i="81" s="1"/>
  <c r="AU35" i="81"/>
  <c r="BC34" i="81"/>
  <c r="AZ34" i="81"/>
  <c r="AY34" i="81"/>
  <c r="AV34" i="81" s="1"/>
  <c r="AX34" i="81"/>
  <c r="BB34" i="81" s="1"/>
  <c r="AU34" i="81"/>
  <c r="AR34" i="81"/>
  <c r="AZ33" i="81"/>
  <c r="AV33" i="81" s="1"/>
  <c r="AY33" i="81"/>
  <c r="AX33" i="81"/>
  <c r="AU33" i="81"/>
  <c r="AR33" i="81"/>
  <c r="BC32" i="81"/>
  <c r="AZ32" i="81"/>
  <c r="AY32" i="81"/>
  <c r="AX32" i="81"/>
  <c r="AV32" i="81"/>
  <c r="AU32" i="81"/>
  <c r="AR32" i="81"/>
  <c r="AZ31" i="81"/>
  <c r="AY31" i="81"/>
  <c r="AX31" i="81"/>
  <c r="AU31" i="81"/>
  <c r="AR31" i="81"/>
  <c r="AQ30" i="81"/>
  <c r="AP30" i="81"/>
  <c r="AO30" i="81"/>
  <c r="AN30" i="81"/>
  <c r="AM30" i="81"/>
  <c r="AL30" i="81"/>
  <c r="AK30" i="81"/>
  <c r="AJ30" i="81"/>
  <c r="AI30" i="81"/>
  <c r="AH30" i="81"/>
  <c r="AG30" i="81"/>
  <c r="AF30" i="81"/>
  <c r="AE30" i="81"/>
  <c r="AC30" i="81"/>
  <c r="AD30" i="81" s="1"/>
  <c r="AR29" i="81"/>
  <c r="AD29" i="81"/>
  <c r="AR28" i="81"/>
  <c r="AD28" i="81"/>
  <c r="AQ27" i="81"/>
  <c r="AQ133" i="81" s="1"/>
  <c r="AP27" i="81"/>
  <c r="AO27" i="81"/>
  <c r="AN27" i="81"/>
  <c r="AM27" i="81"/>
  <c r="AL27" i="81"/>
  <c r="AK27" i="81"/>
  <c r="AJ27" i="81"/>
  <c r="AI27" i="81"/>
  <c r="AH27" i="81"/>
  <c r="AG27" i="81"/>
  <c r="AF27" i="81"/>
  <c r="AF128" i="81" s="1"/>
  <c r="AE27" i="81"/>
  <c r="AD27" i="81"/>
  <c r="AC27" i="81"/>
  <c r="AR26" i="81"/>
  <c r="AD26" i="81"/>
  <c r="AR25" i="81"/>
  <c r="AD25" i="81"/>
  <c r="AQ24" i="81"/>
  <c r="AP24" i="81"/>
  <c r="AO24" i="81"/>
  <c r="AN24" i="81"/>
  <c r="AM24" i="81"/>
  <c r="AL24" i="81"/>
  <c r="AK24" i="81"/>
  <c r="AJ24" i="81"/>
  <c r="AI24" i="81"/>
  <c r="AH24" i="81"/>
  <c r="AG24" i="81"/>
  <c r="AF24" i="81"/>
  <c r="AE24" i="81"/>
  <c r="AC24" i="81"/>
  <c r="AR23" i="81"/>
  <c r="AS23" i="81" s="1"/>
  <c r="AD23" i="81"/>
  <c r="BC22" i="81"/>
  <c r="AZ22" i="81"/>
  <c r="AY22" i="81"/>
  <c r="AV22" i="81" s="1"/>
  <c r="AX22" i="81"/>
  <c r="BB22" i="81" s="1"/>
  <c r="AU22" i="81"/>
  <c r="AS22" i="81"/>
  <c r="AR22" i="81"/>
  <c r="AZ21" i="81"/>
  <c r="AY21" i="81"/>
  <c r="AV21" i="81" s="1"/>
  <c r="AX21" i="81"/>
  <c r="AU21" i="81"/>
  <c r="AS21" i="81"/>
  <c r="AR21" i="81"/>
  <c r="AZ20" i="81"/>
  <c r="AY20" i="81"/>
  <c r="AX20" i="81"/>
  <c r="AU20" i="81"/>
  <c r="AR20" i="81"/>
  <c r="AS20" i="81" s="1"/>
  <c r="BB19" i="81"/>
  <c r="BC19" i="81" s="1"/>
  <c r="AZ19" i="81"/>
  <c r="AV19" i="81" s="1"/>
  <c r="AY19" i="81"/>
  <c r="AX19" i="81"/>
  <c r="AU19" i="81"/>
  <c r="AS19" i="81"/>
  <c r="AR19" i="81"/>
  <c r="BB18" i="81"/>
  <c r="BC18" i="81" s="1"/>
  <c r="AZ18" i="81"/>
  <c r="AY18" i="81"/>
  <c r="AX18" i="81"/>
  <c r="AV18" i="81"/>
  <c r="AU18" i="81"/>
  <c r="AR18" i="81"/>
  <c r="AS18" i="81" s="1"/>
  <c r="AZ17" i="81"/>
  <c r="AY17" i="81"/>
  <c r="AX17" i="81"/>
  <c r="AV17" i="81"/>
  <c r="AU17" i="81"/>
  <c r="AS17" i="81"/>
  <c r="AR17" i="81"/>
  <c r="AQ16" i="81"/>
  <c r="AP16" i="81"/>
  <c r="AO16" i="81"/>
  <c r="AN16" i="81"/>
  <c r="AM16" i="81"/>
  <c r="AL16" i="81"/>
  <c r="AK16" i="81"/>
  <c r="AJ16" i="81"/>
  <c r="AI16" i="81"/>
  <c r="AH16" i="81"/>
  <c r="AG16" i="81"/>
  <c r="AF16" i="81"/>
  <c r="AE16" i="81"/>
  <c r="AC16" i="81"/>
  <c r="AC129" i="81" s="1"/>
  <c r="AR15" i="81"/>
  <c r="AD15" i="81"/>
  <c r="AR14" i="81"/>
  <c r="AS14" i="81" s="1"/>
  <c r="AD14" i="81"/>
  <c r="BB13" i="81"/>
  <c r="BC13" i="81" s="1"/>
  <c r="AZ13" i="81"/>
  <c r="AY13" i="81"/>
  <c r="AX13" i="81"/>
  <c r="AV13" i="81"/>
  <c r="AU13" i="81"/>
  <c r="AR13" i="81"/>
  <c r="AS13" i="81" s="1"/>
  <c r="AZ12" i="81"/>
  <c r="AY12" i="81"/>
  <c r="AX12" i="81"/>
  <c r="AV12" i="81"/>
  <c r="AU12" i="81"/>
  <c r="AR12" i="81"/>
  <c r="AS12" i="81" s="1"/>
  <c r="AZ11" i="81"/>
  <c r="AV11" i="81" s="1"/>
  <c r="AY11" i="81"/>
  <c r="AX11" i="81"/>
  <c r="AU11" i="81"/>
  <c r="AR11" i="81"/>
  <c r="AS11" i="81" s="1"/>
  <c r="AZ10" i="81"/>
  <c r="AY10" i="81"/>
  <c r="AX10" i="81"/>
  <c r="AV10" i="81"/>
  <c r="BB10" i="81" s="1"/>
  <c r="BC10" i="81" s="1"/>
  <c r="AU10" i="81"/>
  <c r="AR10" i="81"/>
  <c r="AS10" i="81" s="1"/>
  <c r="AQ9" i="81"/>
  <c r="AP9" i="81"/>
  <c r="AO9" i="81"/>
  <c r="AN9" i="81"/>
  <c r="AM9" i="81"/>
  <c r="AM129" i="81" s="1"/>
  <c r="AL9" i="81"/>
  <c r="AK9" i="81"/>
  <c r="AJ9" i="81"/>
  <c r="AI9" i="81"/>
  <c r="AH9" i="81"/>
  <c r="AG9" i="81"/>
  <c r="AF9" i="81"/>
  <c r="AE9" i="81"/>
  <c r="AE129" i="81" s="1"/>
  <c r="AC9" i="81"/>
  <c r="AK8" i="81"/>
  <c r="AJ8" i="81"/>
  <c r="BC6" i="81"/>
  <c r="AM135" i="65"/>
  <c r="AL135" i="65"/>
  <c r="AK135" i="65"/>
  <c r="AH135" i="65"/>
  <c r="AG135" i="65"/>
  <c r="AQ133" i="65"/>
  <c r="AO133" i="65"/>
  <c r="AL133" i="65"/>
  <c r="AH133" i="65"/>
  <c r="AG133" i="65"/>
  <c r="AF133" i="65"/>
  <c r="AC133" i="65"/>
  <c r="AQ132" i="65"/>
  <c r="V155" i="41" s="1"/>
  <c r="AE132" i="65"/>
  <c r="AQ131" i="65"/>
  <c r="AO131" i="65"/>
  <c r="AM131" i="65"/>
  <c r="AJ131" i="65"/>
  <c r="AI131" i="65"/>
  <c r="AR128" i="65"/>
  <c r="AS128" i="65" s="1"/>
  <c r="AQ127" i="65"/>
  <c r="AP127" i="65"/>
  <c r="AO127" i="65"/>
  <c r="AN127" i="65"/>
  <c r="AM127" i="65"/>
  <c r="AL127" i="65"/>
  <c r="AK127" i="65"/>
  <c r="AE127" i="65"/>
  <c r="AD127" i="65"/>
  <c r="AR126" i="65"/>
  <c r="AQ126" i="65"/>
  <c r="AP126" i="65"/>
  <c r="AO126" i="65"/>
  <c r="AN126" i="65"/>
  <c r="AN124" i="65" s="1"/>
  <c r="AM126" i="65"/>
  <c r="AL126" i="65"/>
  <c r="AK126" i="65"/>
  <c r="AE126" i="65"/>
  <c r="AD126" i="65" s="1"/>
  <c r="AQ125" i="65"/>
  <c r="AP125" i="65"/>
  <c r="AR125" i="65" s="1"/>
  <c r="AO125" i="65"/>
  <c r="AN125" i="65"/>
  <c r="AM125" i="65"/>
  <c r="AL125" i="65"/>
  <c r="AK125" i="65"/>
  <c r="AE125" i="65"/>
  <c r="AD125" i="65" s="1"/>
  <c r="AQ124" i="65"/>
  <c r="AP124" i="65"/>
  <c r="AO124" i="65"/>
  <c r="AO105" i="65" s="1"/>
  <c r="AK124" i="65"/>
  <c r="AI124" i="65"/>
  <c r="AI105" i="65" s="1"/>
  <c r="AH124" i="65"/>
  <c r="AG124" i="65"/>
  <c r="AF124" i="65"/>
  <c r="AC124" i="65"/>
  <c r="AR123" i="65"/>
  <c r="AR122" i="65"/>
  <c r="AQ121" i="65"/>
  <c r="AP121" i="65"/>
  <c r="AO121" i="65"/>
  <c r="AO120" i="65" s="1"/>
  <c r="AN121" i="65"/>
  <c r="AN120" i="65" s="1"/>
  <c r="AR120" i="65" s="1"/>
  <c r="AM121" i="65"/>
  <c r="AL121" i="65"/>
  <c r="AL120" i="65" s="1"/>
  <c r="AK121" i="65"/>
  <c r="AK120" i="65" s="1"/>
  <c r="AJ121" i="65"/>
  <c r="AJ120" i="65" s="1"/>
  <c r="AI121" i="65"/>
  <c r="AI120" i="65" s="1"/>
  <c r="AH121" i="65"/>
  <c r="AH120" i="65" s="1"/>
  <c r="AG121" i="65"/>
  <c r="AG120" i="65" s="1"/>
  <c r="AF121" i="65"/>
  <c r="AE121" i="65"/>
  <c r="AQ120" i="65"/>
  <c r="AP120" i="65"/>
  <c r="AM120" i="65"/>
  <c r="AF120" i="65"/>
  <c r="AC120" i="65"/>
  <c r="AE120" i="65" s="1"/>
  <c r="O120" i="65"/>
  <c r="AR119" i="65"/>
  <c r="AE119" i="65"/>
  <c r="AD119" i="65"/>
  <c r="AQ118" i="65"/>
  <c r="AQ117" i="65" s="1"/>
  <c r="AP118" i="65"/>
  <c r="AO118" i="65"/>
  <c r="AO117" i="65" s="1"/>
  <c r="AN118" i="65"/>
  <c r="AM118" i="65"/>
  <c r="AL118" i="65"/>
  <c r="AK118" i="65"/>
  <c r="AJ118" i="65"/>
  <c r="AI118" i="65"/>
  <c r="AH118" i="65"/>
  <c r="AH117" i="65" s="1"/>
  <c r="AG118" i="65"/>
  <c r="AG117" i="65" s="1"/>
  <c r="AF118" i="65"/>
  <c r="AF117" i="65" s="1"/>
  <c r="AE118" i="65"/>
  <c r="AD118" i="65" s="1"/>
  <c r="AP117" i="65"/>
  <c r="AN117" i="65"/>
  <c r="AM117" i="65"/>
  <c r="AL117" i="65"/>
  <c r="AK117" i="65"/>
  <c r="AJ117" i="65"/>
  <c r="AI117" i="65"/>
  <c r="AE117" i="65"/>
  <c r="AC117" i="65"/>
  <c r="O117" i="65"/>
  <c r="AR116" i="65"/>
  <c r="O116" i="65"/>
  <c r="AR115" i="65"/>
  <c r="O115" i="65"/>
  <c r="AR114" i="65"/>
  <c r="O114" i="65"/>
  <c r="AR113" i="65"/>
  <c r="O113" i="65"/>
  <c r="AR112" i="65"/>
  <c r="O112" i="65"/>
  <c r="AQ111" i="65"/>
  <c r="AP111" i="65"/>
  <c r="AO111" i="65"/>
  <c r="AN111" i="65"/>
  <c r="AM111" i="65"/>
  <c r="AL111" i="65"/>
  <c r="AK111" i="65"/>
  <c r="AJ111" i="65"/>
  <c r="AI111" i="65"/>
  <c r="AH111" i="65"/>
  <c r="AG111" i="65"/>
  <c r="AF111" i="65"/>
  <c r="O111" i="65"/>
  <c r="AQ110" i="65"/>
  <c r="AP110" i="65"/>
  <c r="AO110" i="65"/>
  <c r="AN110" i="65"/>
  <c r="AM110" i="65"/>
  <c r="AL110" i="65"/>
  <c r="AR110" i="65" s="1"/>
  <c r="AE110" i="65"/>
  <c r="AD110" i="65" s="1"/>
  <c r="AR109" i="65"/>
  <c r="AE109" i="65"/>
  <c r="AD109" i="65"/>
  <c r="AR108" i="65"/>
  <c r="AE108" i="65"/>
  <c r="AD108" i="65" s="1"/>
  <c r="AR107" i="65"/>
  <c r="AE107" i="65"/>
  <c r="AD107" i="65" s="1"/>
  <c r="AR106" i="65"/>
  <c r="AE106" i="65"/>
  <c r="AC106" i="65"/>
  <c r="AC105" i="65" s="1"/>
  <c r="O106" i="65"/>
  <c r="AQ104" i="65"/>
  <c r="AP104" i="65"/>
  <c r="AO104" i="65"/>
  <c r="AN104" i="65"/>
  <c r="AM104" i="65"/>
  <c r="AL104" i="65"/>
  <c r="AK104" i="65"/>
  <c r="AJ104" i="65"/>
  <c r="AI104" i="65"/>
  <c r="AH104" i="65"/>
  <c r="AG104" i="65"/>
  <c r="AF104" i="65"/>
  <c r="AR104" i="65" s="1"/>
  <c r="AE104" i="65"/>
  <c r="AD104" i="65"/>
  <c r="O104" i="65"/>
  <c r="AQ103" i="65"/>
  <c r="AQ102" i="65" s="1"/>
  <c r="AP103" i="65"/>
  <c r="AP102" i="65" s="1"/>
  <c r="AO103" i="65"/>
  <c r="AN103" i="65"/>
  <c r="AM103" i="65"/>
  <c r="AL103" i="65"/>
  <c r="AK103" i="65"/>
  <c r="AK102" i="65" s="1"/>
  <c r="AJ103" i="65"/>
  <c r="AJ102" i="65" s="1"/>
  <c r="AI103" i="65"/>
  <c r="AH103" i="65"/>
  <c r="AH102" i="65" s="1"/>
  <c r="AG103" i="65"/>
  <c r="AG102" i="65" s="1"/>
  <c r="AF103" i="65"/>
  <c r="AE103" i="65"/>
  <c r="AE102" i="65" s="1"/>
  <c r="O103" i="65"/>
  <c r="AO102" i="65"/>
  <c r="AN102" i="65"/>
  <c r="AL102" i="65"/>
  <c r="AI102" i="65"/>
  <c r="AC102" i="65"/>
  <c r="O102" i="65"/>
  <c r="AR101" i="65"/>
  <c r="AE101" i="65"/>
  <c r="AD101" i="65" s="1"/>
  <c r="AR100" i="65"/>
  <c r="AE100" i="65"/>
  <c r="AD100" i="65"/>
  <c r="AR99" i="65"/>
  <c r="AE99" i="65"/>
  <c r="AD99" i="65"/>
  <c r="AR98" i="65"/>
  <c r="AE98" i="65"/>
  <c r="AD98" i="65"/>
  <c r="AR97" i="65"/>
  <c r="AE97" i="65"/>
  <c r="AD97" i="65" s="1"/>
  <c r="AR96" i="65"/>
  <c r="AE96" i="65"/>
  <c r="AD96" i="65"/>
  <c r="AR95" i="65"/>
  <c r="AE95" i="65"/>
  <c r="AD95" i="65"/>
  <c r="AR94" i="65"/>
  <c r="AE94" i="65"/>
  <c r="AD94" i="65"/>
  <c r="AR93" i="65"/>
  <c r="AE93" i="65"/>
  <c r="AD93" i="65" s="1"/>
  <c r="AR92" i="65"/>
  <c r="AE92" i="65"/>
  <c r="AD92" i="65"/>
  <c r="AQ91" i="65"/>
  <c r="AP91" i="65"/>
  <c r="AP133" i="65" s="1"/>
  <c r="AO91" i="65"/>
  <c r="AN91" i="65"/>
  <c r="AN133" i="65" s="1"/>
  <c r="AM91" i="65"/>
  <c r="AM133" i="65" s="1"/>
  <c r="AL91" i="65"/>
  <c r="AK91" i="65"/>
  <c r="AK133" i="65" s="1"/>
  <c r="AJ91" i="65"/>
  <c r="AJ133" i="65" s="1"/>
  <c r="AI91" i="65"/>
  <c r="AI133" i="65" s="1"/>
  <c r="AH91" i="65"/>
  <c r="AG91" i="65"/>
  <c r="AF91" i="65"/>
  <c r="AR91" i="65" s="1"/>
  <c r="AR133" i="65" s="1"/>
  <c r="AC91" i="65"/>
  <c r="O91" i="65"/>
  <c r="AQ90" i="65"/>
  <c r="AP90" i="65"/>
  <c r="AO90" i="65"/>
  <c r="AN90" i="65"/>
  <c r="AM90" i="65"/>
  <c r="AL90" i="65"/>
  <c r="AK90" i="65"/>
  <c r="AJ90" i="65"/>
  <c r="AI90" i="65"/>
  <c r="AH90" i="65"/>
  <c r="AG90" i="65"/>
  <c r="AF90" i="65"/>
  <c r="AR90" i="65" s="1"/>
  <c r="AE90" i="65"/>
  <c r="AD90" i="65"/>
  <c r="AE89" i="65"/>
  <c r="AD89" i="65"/>
  <c r="AC89" i="65"/>
  <c r="AQ88" i="65"/>
  <c r="AP88" i="65"/>
  <c r="AO88" i="65"/>
  <c r="AN88" i="65"/>
  <c r="AM88" i="65"/>
  <c r="AL88" i="65"/>
  <c r="AK88" i="65"/>
  <c r="AJ88" i="65"/>
  <c r="AI88" i="65"/>
  <c r="AH88" i="65"/>
  <c r="AG88" i="65"/>
  <c r="AF88" i="65"/>
  <c r="AE88" i="65"/>
  <c r="AD88" i="65" s="1"/>
  <c r="AQ87" i="65"/>
  <c r="AP87" i="65"/>
  <c r="AO87" i="65"/>
  <c r="AN87" i="65"/>
  <c r="AM87" i="65"/>
  <c r="AL87" i="65"/>
  <c r="AK87" i="65"/>
  <c r="AJ87" i="65"/>
  <c r="AI87" i="65"/>
  <c r="AH87" i="65"/>
  <c r="AG87" i="65"/>
  <c r="AF87" i="65"/>
  <c r="AE87" i="65"/>
  <c r="AD87" i="65" s="1"/>
  <c r="AQ86" i="65"/>
  <c r="AP86" i="65"/>
  <c r="AO86" i="65"/>
  <c r="AN86" i="65"/>
  <c r="AM86" i="65"/>
  <c r="AL86" i="65"/>
  <c r="AK86" i="65"/>
  <c r="AJ86" i="65"/>
  <c r="AI86" i="65"/>
  <c r="AH86" i="65"/>
  <c r="AG86" i="65"/>
  <c r="AF86" i="65"/>
  <c r="AE86" i="65"/>
  <c r="AD86" i="65" s="1"/>
  <c r="AQ85" i="65"/>
  <c r="AP85" i="65"/>
  <c r="AO85" i="65"/>
  <c r="AN85" i="65"/>
  <c r="AM85" i="65"/>
  <c r="AL85" i="65"/>
  <c r="AK85" i="65"/>
  <c r="AJ85" i="65"/>
  <c r="AI85" i="65"/>
  <c r="AH85" i="65"/>
  <c r="AG85" i="65"/>
  <c r="AF85" i="65"/>
  <c r="AE85" i="65"/>
  <c r="AD85" i="65" s="1"/>
  <c r="L85" i="65"/>
  <c r="O84" i="65"/>
  <c r="AR82" i="65"/>
  <c r="AS82" i="65" s="1"/>
  <c r="AS81" i="65"/>
  <c r="AR81" i="65"/>
  <c r="AR80" i="65"/>
  <c r="AS80" i="65" s="1"/>
  <c r="AS79" i="65"/>
  <c r="AR79" i="65"/>
  <c r="AR78" i="65"/>
  <c r="AS78" i="65" s="1"/>
  <c r="AS77" i="65"/>
  <c r="AS76" i="65"/>
  <c r="AR76" i="65"/>
  <c r="AR75" i="65"/>
  <c r="AS75" i="65" s="1"/>
  <c r="AS74" i="65"/>
  <c r="AR74" i="65"/>
  <c r="AR73" i="65"/>
  <c r="AR72" i="65" s="1"/>
  <c r="AQ72" i="65"/>
  <c r="AP72" i="65"/>
  <c r="AO72" i="65"/>
  <c r="AN72" i="65"/>
  <c r="AN132" i="65" s="1"/>
  <c r="S155" i="41" s="1"/>
  <c r="AM72" i="65"/>
  <c r="AL72" i="65"/>
  <c r="AK72" i="65"/>
  <c r="AJ72" i="65"/>
  <c r="AJ132" i="65" s="1"/>
  <c r="AI72" i="65"/>
  <c r="AH72" i="65"/>
  <c r="AG72" i="65"/>
  <c r="AF72" i="65"/>
  <c r="AE72" i="65"/>
  <c r="AD72" i="65"/>
  <c r="AD132" i="65" s="1"/>
  <c r="AC72" i="65"/>
  <c r="AC132" i="65" s="1"/>
  <c r="AS71" i="65"/>
  <c r="AR71" i="65"/>
  <c r="AD71" i="65"/>
  <c r="AR70" i="65"/>
  <c r="AS70" i="65" s="1"/>
  <c r="AS69" i="65"/>
  <c r="AR69" i="65"/>
  <c r="AR68" i="65"/>
  <c r="AS68" i="65" s="1"/>
  <c r="AR67" i="65"/>
  <c r="AS67" i="65" s="1"/>
  <c r="AR66" i="65"/>
  <c r="AS66" i="65" s="1"/>
  <c r="AS65" i="65"/>
  <c r="AR65" i="65"/>
  <c r="AS64" i="65"/>
  <c r="AR64" i="65"/>
  <c r="AR63" i="65"/>
  <c r="AS63" i="65" s="1"/>
  <c r="AR62" i="65"/>
  <c r="AS62" i="65" s="1"/>
  <c r="AQ61" i="65"/>
  <c r="AP61" i="65"/>
  <c r="AP131" i="65" s="1"/>
  <c r="AO61" i="65"/>
  <c r="AN61" i="65"/>
  <c r="AN131" i="65" s="1"/>
  <c r="AM61" i="65"/>
  <c r="AL61" i="65"/>
  <c r="AL131" i="65" s="1"/>
  <c r="AK61" i="65"/>
  <c r="AK131" i="65" s="1"/>
  <c r="AJ61" i="65"/>
  <c r="AI61" i="65"/>
  <c r="AH61" i="65"/>
  <c r="AH131" i="65" s="1"/>
  <c r="AG61" i="65"/>
  <c r="AG131" i="65" s="1"/>
  <c r="AF61" i="65"/>
  <c r="AE61" i="65"/>
  <c r="AD61" i="65"/>
  <c r="AC61" i="65"/>
  <c r="AC131" i="65" s="1"/>
  <c r="AR60" i="65"/>
  <c r="AS60" i="65" s="1"/>
  <c r="AQ59" i="65"/>
  <c r="AP59" i="65"/>
  <c r="AO59" i="65"/>
  <c r="AN59" i="65"/>
  <c r="AM59" i="65"/>
  <c r="AL59" i="65"/>
  <c r="AK59" i="65"/>
  <c r="AJ59" i="65"/>
  <c r="AI59" i="65"/>
  <c r="AI135" i="65" s="1"/>
  <c r="AH59" i="65"/>
  <c r="AG59" i="65"/>
  <c r="AF59" i="65"/>
  <c r="AR59" i="65" s="1"/>
  <c r="AS59" i="65" s="1"/>
  <c r="AE59" i="65"/>
  <c r="AC59" i="65"/>
  <c r="AR57" i="65"/>
  <c r="AS57" i="65" s="1"/>
  <c r="AR56" i="65"/>
  <c r="AS56" i="65" s="1"/>
  <c r="AQ55" i="65"/>
  <c r="AQ135" i="65" s="1"/>
  <c r="AP55" i="65"/>
  <c r="AP135" i="65" s="1"/>
  <c r="AO55" i="65"/>
  <c r="AO135" i="65" s="1"/>
  <c r="AN55" i="65"/>
  <c r="AN135" i="65" s="1"/>
  <c r="AM55" i="65"/>
  <c r="AL55" i="65"/>
  <c r="AK55" i="65"/>
  <c r="AJ55" i="65"/>
  <c r="AI55" i="65"/>
  <c r="AH55" i="65"/>
  <c r="AG55" i="65"/>
  <c r="AF55" i="65"/>
  <c r="AE55" i="65"/>
  <c r="AD55" i="65"/>
  <c r="AC55" i="65"/>
  <c r="AC135" i="65" s="1"/>
  <c r="AS54" i="65"/>
  <c r="AR54" i="65"/>
  <c r="AR53" i="65"/>
  <c r="AR52" i="65"/>
  <c r="AS52" i="65" s="1"/>
  <c r="AR51" i="65"/>
  <c r="AS51" i="65" s="1"/>
  <c r="AQ50" i="65"/>
  <c r="AP50" i="65"/>
  <c r="AO50" i="65"/>
  <c r="AN50" i="65"/>
  <c r="AM50" i="65"/>
  <c r="AL50" i="65"/>
  <c r="AK50" i="65"/>
  <c r="AJ50" i="65"/>
  <c r="AI50" i="65"/>
  <c r="AH50" i="65"/>
  <c r="AG50" i="65"/>
  <c r="AF50" i="65"/>
  <c r="AD50" i="65"/>
  <c r="AS49" i="65"/>
  <c r="AR49" i="65"/>
  <c r="AS48" i="65"/>
  <c r="AR48" i="65"/>
  <c r="AQ47" i="65"/>
  <c r="AP47" i="65"/>
  <c r="AO47" i="65"/>
  <c r="AN47" i="65"/>
  <c r="AM47" i="65"/>
  <c r="AL47" i="65"/>
  <c r="AK47" i="65"/>
  <c r="AJ47" i="65"/>
  <c r="AI47" i="65"/>
  <c r="AH47" i="65"/>
  <c r="AG47" i="65"/>
  <c r="AF47" i="65"/>
  <c r="AE47" i="65"/>
  <c r="AC47" i="65"/>
  <c r="AS46" i="65"/>
  <c r="AD46" i="65"/>
  <c r="AS45" i="65"/>
  <c r="AD45" i="65"/>
  <c r="AS44" i="65"/>
  <c r="AR44" i="65"/>
  <c r="AR43" i="65"/>
  <c r="AR42" i="65"/>
  <c r="AS42" i="65" s="1"/>
  <c r="AQ42" i="65"/>
  <c r="AP42" i="65"/>
  <c r="AO42" i="65"/>
  <c r="AN42" i="65"/>
  <c r="AM42" i="65"/>
  <c r="AL42" i="65"/>
  <c r="AK42" i="65"/>
  <c r="AJ42" i="65"/>
  <c r="AI42" i="65"/>
  <c r="AH42" i="65"/>
  <c r="AG42" i="65"/>
  <c r="AF42" i="65"/>
  <c r="AE42" i="65"/>
  <c r="AC42" i="65"/>
  <c r="AR41" i="65"/>
  <c r="AS41" i="65" s="1"/>
  <c r="AR40" i="65"/>
  <c r="AR39" i="65"/>
  <c r="AS39" i="65" s="1"/>
  <c r="AQ38" i="65"/>
  <c r="AP38" i="65"/>
  <c r="AO38" i="65"/>
  <c r="AN38" i="65"/>
  <c r="AM38" i="65"/>
  <c r="AL38" i="65"/>
  <c r="AK38" i="65"/>
  <c r="AJ38" i="65"/>
  <c r="AI38" i="65"/>
  <c r="AH38" i="65"/>
  <c r="AG38" i="65"/>
  <c r="AF38" i="65"/>
  <c r="AE38" i="65"/>
  <c r="AD38" i="65"/>
  <c r="AC38" i="65"/>
  <c r="AR36" i="65"/>
  <c r="AR34" i="65"/>
  <c r="AR33" i="65"/>
  <c r="AR32" i="65"/>
  <c r="AR31" i="65"/>
  <c r="AQ30" i="65"/>
  <c r="AP30" i="65"/>
  <c r="AO30" i="65"/>
  <c r="AN30" i="65"/>
  <c r="AM30" i="65"/>
  <c r="AL30" i="65"/>
  <c r="AK30" i="65"/>
  <c r="AJ30" i="65"/>
  <c r="AI30" i="65"/>
  <c r="AH30" i="65"/>
  <c r="AG30" i="65"/>
  <c r="AF30" i="65"/>
  <c r="AE30" i="65"/>
  <c r="AC30" i="65"/>
  <c r="AD30" i="65" s="1"/>
  <c r="AR29" i="65"/>
  <c r="AD29" i="65"/>
  <c r="AR28" i="65"/>
  <c r="AD28" i="65"/>
  <c r="AQ27" i="65"/>
  <c r="AP27" i="65"/>
  <c r="AO27" i="65"/>
  <c r="AN27" i="65"/>
  <c r="AM27" i="65"/>
  <c r="AL27" i="65"/>
  <c r="AK27" i="65"/>
  <c r="AJ27" i="65"/>
  <c r="AI27" i="65"/>
  <c r="AH27" i="65"/>
  <c r="AG27" i="65"/>
  <c r="AF27" i="65"/>
  <c r="AR27" i="65" s="1"/>
  <c r="AE27" i="65"/>
  <c r="AD27" i="65" s="1"/>
  <c r="AC27" i="65"/>
  <c r="AR26" i="65"/>
  <c r="AD26" i="65"/>
  <c r="AR25" i="65"/>
  <c r="AS25" i="65" s="1"/>
  <c r="AD25" i="65"/>
  <c r="AR24" i="65"/>
  <c r="AQ24" i="65"/>
  <c r="AP24" i="65"/>
  <c r="AO24" i="65"/>
  <c r="AN24" i="65"/>
  <c r="AM24" i="65"/>
  <c r="AL24" i="65"/>
  <c r="AK24" i="65"/>
  <c r="AJ24" i="65"/>
  <c r="AI24" i="65"/>
  <c r="AH24" i="65"/>
  <c r="AG24" i="65"/>
  <c r="AF24" i="65"/>
  <c r="AE24" i="65"/>
  <c r="AC24" i="65"/>
  <c r="AR23" i="65"/>
  <c r="AS23" i="65" s="1"/>
  <c r="AD23" i="65"/>
  <c r="AR22" i="65"/>
  <c r="AS22" i="65" s="1"/>
  <c r="AR21" i="65"/>
  <c r="AS21" i="65" s="1"/>
  <c r="AR20" i="65"/>
  <c r="AS20" i="65" s="1"/>
  <c r="AS19" i="65"/>
  <c r="AR19" i="65"/>
  <c r="AR18" i="65"/>
  <c r="AS18" i="65" s="1"/>
  <c r="AS17" i="65"/>
  <c r="AR17" i="65"/>
  <c r="AQ16" i="65"/>
  <c r="AP16" i="65"/>
  <c r="AO16" i="65"/>
  <c r="AN16" i="65"/>
  <c r="AM16" i="65"/>
  <c r="AL16" i="65"/>
  <c r="AK16" i="65"/>
  <c r="AJ16" i="65"/>
  <c r="AI16" i="65"/>
  <c r="AH16" i="65"/>
  <c r="AG16" i="65"/>
  <c r="AF16" i="65"/>
  <c r="AE16" i="65"/>
  <c r="AC16" i="65"/>
  <c r="AR15" i="65"/>
  <c r="AD15" i="65"/>
  <c r="AR14" i="65"/>
  <c r="AS14" i="65" s="1"/>
  <c r="AD14" i="65"/>
  <c r="AR13" i="65"/>
  <c r="AS13" i="65" s="1"/>
  <c r="AR12" i="65"/>
  <c r="AS12" i="65" s="1"/>
  <c r="AS11" i="65"/>
  <c r="AR11" i="65"/>
  <c r="AR10" i="65"/>
  <c r="AS10" i="65" s="1"/>
  <c r="AQ9" i="65"/>
  <c r="AP9" i="65"/>
  <c r="AO9" i="65"/>
  <c r="AN9" i="65"/>
  <c r="AM9" i="65"/>
  <c r="AL9" i="65"/>
  <c r="AK9" i="65"/>
  <c r="AJ9" i="65"/>
  <c r="AI9" i="65"/>
  <c r="AH9" i="65"/>
  <c r="AG9" i="65"/>
  <c r="AF9" i="65"/>
  <c r="AE9" i="65"/>
  <c r="AD9" i="65"/>
  <c r="AC9" i="65"/>
  <c r="Y155" i="64"/>
  <c r="Y152" i="64"/>
  <c r="Y132" i="64"/>
  <c r="Y124" i="64"/>
  <c r="Y115" i="64"/>
  <c r="Y109" i="64"/>
  <c r="Y64" i="64"/>
  <c r="Y61" i="64"/>
  <c r="Y48" i="64"/>
  <c r="Y39" i="64"/>
  <c r="Y1" i="64"/>
  <c r="Y148" i="64" s="1"/>
  <c r="AJ65" i="42"/>
  <c r="AI65" i="42"/>
  <c r="AH65" i="42"/>
  <c r="AG65" i="42"/>
  <c r="AF65" i="42"/>
  <c r="AE65" i="42"/>
  <c r="AD65" i="42"/>
  <c r="AC65" i="42"/>
  <c r="AB65" i="42"/>
  <c r="AA65" i="42"/>
  <c r="Z65" i="42"/>
  <c r="Y65" i="42"/>
  <c r="J65" i="42"/>
  <c r="AS64" i="42"/>
  <c r="AR64" i="42"/>
  <c r="AQ64" i="42"/>
  <c r="AK63" i="42"/>
  <c r="W63" i="42"/>
  <c r="AK62" i="42"/>
  <c r="W62" i="42"/>
  <c r="AS61" i="42"/>
  <c r="AR61" i="42"/>
  <c r="AO61" i="42"/>
  <c r="AK61" i="42"/>
  <c r="W61" i="42"/>
  <c r="G61" i="42"/>
  <c r="AS60" i="42"/>
  <c r="AO60" i="42"/>
  <c r="AO65" i="42" s="1"/>
  <c r="AM60" i="42"/>
  <c r="AK60" i="42"/>
  <c r="W60" i="42"/>
  <c r="G60" i="42"/>
  <c r="AS59" i="42"/>
  <c r="AO59" i="42"/>
  <c r="AM59" i="42"/>
  <c r="AM65" i="42" s="1"/>
  <c r="AE59" i="42"/>
  <c r="Z59" i="42"/>
  <c r="AK59" i="42" s="1"/>
  <c r="W59" i="42"/>
  <c r="AS58" i="42"/>
  <c r="AR58" i="42"/>
  <c r="AK58" i="42"/>
  <c r="W58" i="42"/>
  <c r="G58" i="42"/>
  <c r="AK57" i="42"/>
  <c r="W57" i="42"/>
  <c r="G57" i="42"/>
  <c r="AK56" i="42"/>
  <c r="W56" i="42"/>
  <c r="G56" i="42"/>
  <c r="AK55" i="42"/>
  <c r="W55" i="42"/>
  <c r="G55" i="42"/>
  <c r="AR54" i="42"/>
  <c r="AQ54" i="42"/>
  <c r="AK54" i="42"/>
  <c r="Y160" i="64" s="1"/>
  <c r="W54" i="42"/>
  <c r="G54" i="42"/>
  <c r="AS53" i="42"/>
  <c r="AK53" i="42"/>
  <c r="W53" i="42"/>
  <c r="G53" i="42"/>
  <c r="AK52" i="42"/>
  <c r="W52" i="42"/>
  <c r="G52" i="42"/>
  <c r="AS51" i="42"/>
  <c r="AR51" i="42"/>
  <c r="AK51" i="42"/>
  <c r="W51" i="42"/>
  <c r="AQ51" i="42" s="1"/>
  <c r="G51" i="42"/>
  <c r="AK50" i="42"/>
  <c r="W50" i="42"/>
  <c r="G50" i="42"/>
  <c r="AS49" i="42"/>
  <c r="AR49" i="42"/>
  <c r="AK49" i="42"/>
  <c r="W49" i="42"/>
  <c r="AQ49" i="42" s="1"/>
  <c r="AQ48" i="42"/>
  <c r="AK48" i="42"/>
  <c r="W48" i="42"/>
  <c r="AK47" i="42"/>
  <c r="AS47" i="42" s="1"/>
  <c r="W47" i="42"/>
  <c r="G47" i="42"/>
  <c r="AK46" i="42"/>
  <c r="W46" i="42"/>
  <c r="G46" i="42"/>
  <c r="AS45" i="42"/>
  <c r="AK45" i="42"/>
  <c r="W45" i="42"/>
  <c r="AR44" i="42"/>
  <c r="AK44" i="42"/>
  <c r="W44" i="42"/>
  <c r="AS44" i="42" s="1"/>
  <c r="G44" i="42"/>
  <c r="AK43" i="42"/>
  <c r="W43" i="42"/>
  <c r="G43" i="42"/>
  <c r="AR42" i="42"/>
  <c r="AQ42" i="42"/>
  <c r="AK42" i="42"/>
  <c r="W42" i="42"/>
  <c r="G42" i="42"/>
  <c r="AS41" i="42"/>
  <c r="AK41" i="42"/>
  <c r="W41" i="42"/>
  <c r="AK40" i="42"/>
  <c r="W40" i="42"/>
  <c r="G40" i="42"/>
  <c r="AK39" i="42"/>
  <c r="Y145" i="64" s="1"/>
  <c r="W39" i="42"/>
  <c r="G39" i="42"/>
  <c r="AK38" i="42"/>
  <c r="Y144" i="64" s="1"/>
  <c r="W38" i="42"/>
  <c r="G38" i="42"/>
  <c r="AS37" i="42"/>
  <c r="AR37" i="42"/>
  <c r="AK37" i="42"/>
  <c r="W37" i="42"/>
  <c r="G37" i="42"/>
  <c r="AK36" i="42"/>
  <c r="Y142" i="64" s="1"/>
  <c r="W36" i="42"/>
  <c r="G36" i="42"/>
  <c r="AS35" i="42"/>
  <c r="AR35" i="42"/>
  <c r="AQ35" i="42"/>
  <c r="AK35" i="42"/>
  <c r="W35" i="42"/>
  <c r="AK34" i="42"/>
  <c r="W34" i="42"/>
  <c r="G34" i="42"/>
  <c r="AK33" i="42"/>
  <c r="Y139" i="64" s="1"/>
  <c r="W33" i="42"/>
  <c r="G33" i="42"/>
  <c r="AS32" i="42"/>
  <c r="AK32" i="42"/>
  <c r="W32" i="42"/>
  <c r="G32" i="42"/>
  <c r="AK31" i="42"/>
  <c r="Y137" i="64" s="1"/>
  <c r="W31" i="42"/>
  <c r="G31" i="42"/>
  <c r="AK30" i="42"/>
  <c r="Y136" i="64" s="1"/>
  <c r="W30" i="42"/>
  <c r="G30" i="42"/>
  <c r="AK29" i="42"/>
  <c r="W29" i="42"/>
  <c r="AK28" i="42"/>
  <c r="W28" i="42"/>
  <c r="G28" i="42"/>
  <c r="AK27" i="42"/>
  <c r="W27" i="42"/>
  <c r="G27" i="42"/>
  <c r="AK26" i="42"/>
  <c r="W26" i="42"/>
  <c r="G26" i="42"/>
  <c r="AS25" i="42"/>
  <c r="AR25" i="42"/>
  <c r="AK25" i="42"/>
  <c r="W25" i="42"/>
  <c r="G25" i="42"/>
  <c r="AS24" i="42"/>
  <c r="AR24" i="42"/>
  <c r="AK24" i="42"/>
  <c r="W24" i="42"/>
  <c r="AQ24" i="42" s="1"/>
  <c r="G24" i="42"/>
  <c r="AS23" i="42"/>
  <c r="AR23" i="42"/>
  <c r="AQ23" i="42"/>
  <c r="AK23" i="42"/>
  <c r="W23" i="42"/>
  <c r="AS22" i="42"/>
  <c r="AR22" i="42"/>
  <c r="AQ22" i="42"/>
  <c r="AK22" i="42"/>
  <c r="W22" i="42"/>
  <c r="G22" i="42"/>
  <c r="AK21" i="42"/>
  <c r="Y127" i="64" s="1"/>
  <c r="W21" i="42"/>
  <c r="G21" i="42"/>
  <c r="AS20" i="42"/>
  <c r="AR20" i="42"/>
  <c r="AQ20" i="42"/>
  <c r="AK20" i="42"/>
  <c r="W20" i="42"/>
  <c r="AQ19" i="42"/>
  <c r="AK19" i="42"/>
  <c r="W19" i="42"/>
  <c r="AK18" i="42"/>
  <c r="W18" i="42"/>
  <c r="G18" i="42"/>
  <c r="AK17" i="42"/>
  <c r="W17" i="42"/>
  <c r="G17" i="42"/>
  <c r="AK16" i="42"/>
  <c r="W16" i="42"/>
  <c r="G16" i="42"/>
  <c r="AK15" i="42"/>
  <c r="Y121" i="64" s="1"/>
  <c r="W15" i="42"/>
  <c r="G15" i="42"/>
  <c r="AS14" i="42"/>
  <c r="AR14" i="42"/>
  <c r="AK14" i="42"/>
  <c r="W14" i="42"/>
  <c r="AK13" i="42"/>
  <c r="Y119" i="64" s="1"/>
  <c r="V13" i="42"/>
  <c r="U13" i="42"/>
  <c r="T13" i="42"/>
  <c r="S13" i="42"/>
  <c r="R13" i="42"/>
  <c r="Q13" i="42"/>
  <c r="P13" i="42"/>
  <c r="O13" i="42"/>
  <c r="N13" i="42"/>
  <c r="M13" i="42"/>
  <c r="L13" i="42"/>
  <c r="K13" i="42"/>
  <c r="AK12" i="42"/>
  <c r="Y118" i="64" s="1"/>
  <c r="V12" i="42"/>
  <c r="U12" i="42"/>
  <c r="T12" i="42"/>
  <c r="S12" i="42"/>
  <c r="R12" i="42"/>
  <c r="Q12" i="42"/>
  <c r="P12" i="42"/>
  <c r="O12" i="42"/>
  <c r="N12" i="42"/>
  <c r="M12" i="42"/>
  <c r="L12" i="42"/>
  <c r="K12" i="42"/>
  <c r="AK11" i="42"/>
  <c r="V11" i="42"/>
  <c r="U11" i="42"/>
  <c r="T11" i="42"/>
  <c r="S11" i="42"/>
  <c r="R11" i="42"/>
  <c r="Q11" i="42"/>
  <c r="P11" i="42"/>
  <c r="O11" i="42"/>
  <c r="N11" i="42"/>
  <c r="M11" i="42"/>
  <c r="L11" i="42"/>
  <c r="K11" i="42"/>
  <c r="AK10" i="42"/>
  <c r="Y116" i="64" s="1"/>
  <c r="V10" i="42"/>
  <c r="U10" i="42"/>
  <c r="T10" i="42"/>
  <c r="S10" i="42"/>
  <c r="R10" i="42"/>
  <c r="Q10" i="42"/>
  <c r="P10" i="42"/>
  <c r="O10" i="42"/>
  <c r="N10" i="42"/>
  <c r="M10" i="42"/>
  <c r="L10" i="42"/>
  <c r="K10" i="42"/>
  <c r="AS9" i="42"/>
  <c r="AR9" i="42"/>
  <c r="AQ9" i="42"/>
  <c r="AK9" i="42"/>
  <c r="W9" i="42"/>
  <c r="AK8" i="42"/>
  <c r="Y114" i="64" s="1"/>
  <c r="V8" i="42"/>
  <c r="U8" i="42"/>
  <c r="T8" i="42"/>
  <c r="S8" i="42"/>
  <c r="R8" i="42"/>
  <c r="Q8" i="42"/>
  <c r="P8" i="42"/>
  <c r="O8" i="42"/>
  <c r="N8" i="42"/>
  <c r="M8" i="42"/>
  <c r="L8" i="42"/>
  <c r="K8" i="42"/>
  <c r="AK7" i="42"/>
  <c r="V7" i="42"/>
  <c r="U7" i="42"/>
  <c r="T7" i="42"/>
  <c r="S7" i="42"/>
  <c r="R7" i="42"/>
  <c r="Q7" i="42"/>
  <c r="P7" i="42"/>
  <c r="O7" i="42"/>
  <c r="N7" i="42"/>
  <c r="M7" i="42"/>
  <c r="L7" i="42"/>
  <c r="K7" i="42"/>
  <c r="AK6" i="42"/>
  <c r="V6" i="42"/>
  <c r="U6" i="42"/>
  <c r="T6" i="42"/>
  <c r="S6" i="42"/>
  <c r="R6" i="42"/>
  <c r="Q6" i="42"/>
  <c r="P6" i="42"/>
  <c r="O6" i="42"/>
  <c r="N6" i="42"/>
  <c r="M6" i="42"/>
  <c r="L6" i="42"/>
  <c r="K6" i="42"/>
  <c r="AK5" i="42"/>
  <c r="V5" i="42"/>
  <c r="U5" i="42"/>
  <c r="T5" i="42"/>
  <c r="S5" i="42"/>
  <c r="R5" i="42"/>
  <c r="Q5" i="42"/>
  <c r="P5" i="42"/>
  <c r="O5" i="42"/>
  <c r="N5" i="42"/>
  <c r="M5" i="42"/>
  <c r="L5" i="42"/>
  <c r="K5" i="42"/>
  <c r="AO14" i="62"/>
  <c r="AM14" i="62"/>
  <c r="AJ14" i="62"/>
  <c r="AI14" i="62"/>
  <c r="AH14" i="62"/>
  <c r="AG14" i="62"/>
  <c r="AF14" i="62"/>
  <c r="AE14" i="62"/>
  <c r="AD14" i="62"/>
  <c r="AC14" i="62"/>
  <c r="AB14" i="62"/>
  <c r="AA14" i="62"/>
  <c r="Z14" i="62"/>
  <c r="Y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AK13" i="62"/>
  <c r="AR13" i="62" s="1"/>
  <c r="AK12" i="62"/>
  <c r="AK14" i="62" s="1"/>
  <c r="AO8" i="62"/>
  <c r="AM8" i="62"/>
  <c r="AK8" i="62"/>
  <c r="AJ8" i="62"/>
  <c r="AI8" i="62"/>
  <c r="AH8" i="62"/>
  <c r="AG8" i="62"/>
  <c r="AF8" i="62"/>
  <c r="AE8" i="62"/>
  <c r="AD8" i="62"/>
  <c r="AC8" i="62"/>
  <c r="AB8" i="62"/>
  <c r="AA8" i="62"/>
  <c r="Z8" i="62"/>
  <c r="Y8" i="62"/>
  <c r="J8" i="62"/>
  <c r="AK6" i="62"/>
  <c r="AK5" i="62"/>
  <c r="AR209" i="41"/>
  <c r="AQ209" i="41"/>
  <c r="AK208" i="41"/>
  <c r="W208" i="41"/>
  <c r="AQ206" i="41"/>
  <c r="AK206" i="41"/>
  <c r="W206" i="41"/>
  <c r="AK205" i="41"/>
  <c r="W205" i="41"/>
  <c r="AK204" i="41"/>
  <c r="W204" i="41"/>
  <c r="AK203" i="41"/>
  <c r="W203" i="41"/>
  <c r="AK202" i="41"/>
  <c r="W202" i="41"/>
  <c r="AK200" i="41"/>
  <c r="W200" i="41"/>
  <c r="AQ200" i="41" s="1"/>
  <c r="AK199" i="41"/>
  <c r="W199" i="41"/>
  <c r="AK198" i="41"/>
  <c r="AR198" i="41" s="1"/>
  <c r="W198" i="41"/>
  <c r="AK197" i="41"/>
  <c r="AQ197" i="41" s="1"/>
  <c r="W197" i="41"/>
  <c r="AQ196" i="41"/>
  <c r="AK196" i="41"/>
  <c r="W196" i="41"/>
  <c r="AR196" i="41" s="1"/>
  <c r="AR195" i="41"/>
  <c r="AK195" i="41"/>
  <c r="W195" i="41"/>
  <c r="AK194" i="41"/>
  <c r="W194" i="41"/>
  <c r="AR192" i="41"/>
  <c r="AK192" i="41"/>
  <c r="W192" i="41"/>
  <c r="AQ192" i="41" s="1"/>
  <c r="AK191" i="41"/>
  <c r="W191" i="41"/>
  <c r="AR191" i="41" s="1"/>
  <c r="AK190" i="41"/>
  <c r="W190" i="41"/>
  <c r="AK189" i="41"/>
  <c r="W189" i="41"/>
  <c r="AR188" i="41"/>
  <c r="AQ188" i="41"/>
  <c r="AK188" i="41"/>
  <c r="W188" i="41"/>
  <c r="AK187" i="41"/>
  <c r="W187" i="41"/>
  <c r="AK186" i="41"/>
  <c r="W186" i="41"/>
  <c r="AK185" i="41"/>
  <c r="AR185" i="41" s="1"/>
  <c r="W185" i="41"/>
  <c r="AK184" i="41"/>
  <c r="W184" i="41"/>
  <c r="AR184" i="41" s="1"/>
  <c r="AK183" i="41"/>
  <c r="W183" i="41"/>
  <c r="AR183" i="41" s="1"/>
  <c r="AO182" i="41"/>
  <c r="AO210" i="41" s="1"/>
  <c r="AM182" i="41"/>
  <c r="AM210" i="41" s="1"/>
  <c r="AJ182" i="41"/>
  <c r="AI182" i="41"/>
  <c r="AH182" i="41"/>
  <c r="AH210" i="41" s="1"/>
  <c r="AG182" i="41"/>
  <c r="AF182" i="41"/>
  <c r="AE182" i="41"/>
  <c r="AD182" i="41"/>
  <c r="AC182" i="41"/>
  <c r="AB182" i="41"/>
  <c r="AA182" i="41"/>
  <c r="Z182" i="41"/>
  <c r="Z210" i="41" s="1"/>
  <c r="Y182" i="41"/>
  <c r="Y210" i="41" s="1"/>
  <c r="V182" i="41"/>
  <c r="U182" i="41"/>
  <c r="T182" i="41"/>
  <c r="S182" i="41"/>
  <c r="R182" i="41"/>
  <c r="Q182" i="41"/>
  <c r="P182" i="41"/>
  <c r="O182" i="41"/>
  <c r="N182" i="41"/>
  <c r="M182" i="41"/>
  <c r="L182" i="41"/>
  <c r="K182" i="41"/>
  <c r="J182" i="41"/>
  <c r="AR181" i="41"/>
  <c r="AQ181" i="41"/>
  <c r="AQ180" i="41"/>
  <c r="AK180" i="41"/>
  <c r="W180" i="41"/>
  <c r="AK178" i="41"/>
  <c r="W178" i="41"/>
  <c r="AR178" i="41" s="1"/>
  <c r="AK177" i="41"/>
  <c r="W177" i="41"/>
  <c r="AQ177" i="41" s="1"/>
  <c r="AK176" i="41"/>
  <c r="W176" i="41"/>
  <c r="AR175" i="41"/>
  <c r="AQ175" i="41"/>
  <c r="AK175" i="41"/>
  <c r="W175" i="41"/>
  <c r="AR174" i="41"/>
  <c r="AQ174" i="41"/>
  <c r="AK173" i="41"/>
  <c r="W173" i="41"/>
  <c r="AK172" i="41"/>
  <c r="V172" i="41"/>
  <c r="V161" i="41" s="1"/>
  <c r="U172" i="41"/>
  <c r="U161" i="41" s="1"/>
  <c r="U210" i="41" s="1"/>
  <c r="T172" i="41"/>
  <c r="T161" i="41" s="1"/>
  <c r="S172" i="41"/>
  <c r="S161" i="41" s="1"/>
  <c r="R172" i="41"/>
  <c r="R161" i="41" s="1"/>
  <c r="Q172" i="41"/>
  <c r="Q161" i="41" s="1"/>
  <c r="Q210" i="41" s="1"/>
  <c r="P172" i="41"/>
  <c r="P161" i="41" s="1"/>
  <c r="P210" i="41" s="1"/>
  <c r="O172" i="41"/>
  <c r="N172" i="41"/>
  <c r="M172" i="41"/>
  <c r="L172" i="41"/>
  <c r="L161" i="41" s="1"/>
  <c r="K172" i="41"/>
  <c r="K161" i="41" s="1"/>
  <c r="AK171" i="41"/>
  <c r="W171" i="41"/>
  <c r="AK170" i="41"/>
  <c r="W170" i="41"/>
  <c r="AQ170" i="41" s="1"/>
  <c r="AK169" i="41"/>
  <c r="W169" i="41"/>
  <c r="AR169" i="41" s="1"/>
  <c r="AK168" i="41"/>
  <c r="W168" i="41"/>
  <c r="AK167" i="41"/>
  <c r="W167" i="41"/>
  <c r="AK166" i="41"/>
  <c r="W166" i="41"/>
  <c r="AK165" i="41"/>
  <c r="W165" i="41"/>
  <c r="AK164" i="41"/>
  <c r="W164" i="41"/>
  <c r="AK163" i="41"/>
  <c r="W163" i="41"/>
  <c r="AQ163" i="41" s="1"/>
  <c r="AK162" i="41"/>
  <c r="AK161" i="41" s="1"/>
  <c r="W162" i="41"/>
  <c r="AO161" i="41"/>
  <c r="AM161" i="41"/>
  <c r="AJ161" i="41"/>
  <c r="AI161" i="41"/>
  <c r="AI210" i="41" s="1"/>
  <c r="AH161" i="41"/>
  <c r="AG161" i="41"/>
  <c r="AF161" i="41"/>
  <c r="AE161" i="41"/>
  <c r="AD161" i="41"/>
  <c r="AC161" i="41"/>
  <c r="AB161" i="41"/>
  <c r="AA161" i="41"/>
  <c r="Z161" i="41"/>
  <c r="Y161" i="41"/>
  <c r="O161" i="41"/>
  <c r="O210" i="41" s="1"/>
  <c r="N161" i="41"/>
  <c r="M161" i="41"/>
  <c r="M210" i="41" s="1"/>
  <c r="J161" i="41"/>
  <c r="J210" i="41" s="1"/>
  <c r="Z157" i="41"/>
  <c r="AR156" i="41"/>
  <c r="AQ156" i="41"/>
  <c r="AK155" i="41"/>
  <c r="O155" i="41"/>
  <c r="AK153" i="41"/>
  <c r="W153" i="41"/>
  <c r="AK152" i="41"/>
  <c r="W152" i="41"/>
  <c r="AR152" i="41" s="1"/>
  <c r="AK151" i="41"/>
  <c r="W151" i="41"/>
  <c r="AK150" i="41"/>
  <c r="W150" i="41"/>
  <c r="AK149" i="41"/>
  <c r="AR149" i="41" s="1"/>
  <c r="W149" i="41"/>
  <c r="AQ149" i="41" s="1"/>
  <c r="AK147" i="41"/>
  <c r="W147" i="41"/>
  <c r="AK145" i="41"/>
  <c r="W145" i="41"/>
  <c r="AM144" i="41"/>
  <c r="AM127" i="41" s="1"/>
  <c r="AM157" i="41" s="1"/>
  <c r="AK144" i="41"/>
  <c r="F29" i="56" s="1"/>
  <c r="U29" i="56" s="1"/>
  <c r="W144" i="41"/>
  <c r="AK143" i="41"/>
  <c r="W143" i="41"/>
  <c r="AQ142" i="41"/>
  <c r="AK142" i="41"/>
  <c r="W142" i="41"/>
  <c r="AK141" i="41"/>
  <c r="AK140" i="41"/>
  <c r="W140" i="41"/>
  <c r="AK138" i="41"/>
  <c r="W138" i="41"/>
  <c r="AQ136" i="41"/>
  <c r="AK136" i="41"/>
  <c r="W136" i="41"/>
  <c r="AR136" i="41" s="1"/>
  <c r="AK135" i="41"/>
  <c r="W135" i="41"/>
  <c r="AQ134" i="41"/>
  <c r="AK134" i="41"/>
  <c r="W134" i="41"/>
  <c r="AQ133" i="41"/>
  <c r="AK133" i="41"/>
  <c r="AR133" i="41" s="1"/>
  <c r="W133" i="41"/>
  <c r="AK132" i="41"/>
  <c r="W132" i="41"/>
  <c r="AK131" i="41"/>
  <c r="W131" i="41"/>
  <c r="AK130" i="41"/>
  <c r="W130" i="41"/>
  <c r="AR130" i="41" s="1"/>
  <c r="AK129" i="41"/>
  <c r="AR129" i="41" s="1"/>
  <c r="W129" i="41"/>
  <c r="AK128" i="41"/>
  <c r="AO127" i="41"/>
  <c r="AJ127" i="41"/>
  <c r="AI127" i="41"/>
  <c r="AH127" i="41"/>
  <c r="AG127" i="41"/>
  <c r="AG157" i="41" s="1"/>
  <c r="AF127" i="41"/>
  <c r="AE127" i="41"/>
  <c r="AE157" i="41" s="1"/>
  <c r="AD127" i="41"/>
  <c r="AD157" i="41" s="1"/>
  <c r="AC127" i="41"/>
  <c r="AC157" i="41" s="1"/>
  <c r="AB127" i="41"/>
  <c r="AA127" i="41"/>
  <c r="Z127" i="41"/>
  <c r="Y127" i="41"/>
  <c r="J127" i="41"/>
  <c r="W126" i="41"/>
  <c r="AQ126" i="41" s="1"/>
  <c r="AK125" i="41"/>
  <c r="W124" i="41"/>
  <c r="AK123" i="41"/>
  <c r="AK122" i="41"/>
  <c r="W122" i="41"/>
  <c r="AK121" i="41"/>
  <c r="AK120" i="41"/>
  <c r="W120" i="41"/>
  <c r="AR120" i="41" s="1"/>
  <c r="AK118" i="41"/>
  <c r="AK117" i="41"/>
  <c r="V117" i="41"/>
  <c r="U117" i="41"/>
  <c r="T117" i="41"/>
  <c r="S117" i="41"/>
  <c r="R117" i="41"/>
  <c r="Q117" i="41"/>
  <c r="P117" i="41"/>
  <c r="O117" i="41"/>
  <c r="N117" i="41"/>
  <c r="M117" i="41"/>
  <c r="L117" i="41"/>
  <c r="K117" i="41"/>
  <c r="AR116" i="41"/>
  <c r="AK116" i="41"/>
  <c r="W116" i="41"/>
  <c r="AQ116" i="41" s="1"/>
  <c r="W115" i="41"/>
  <c r="AK114" i="41"/>
  <c r="W114" i="41"/>
  <c r="AK113" i="41"/>
  <c r="W113" i="41"/>
  <c r="AQ113" i="41" s="1"/>
  <c r="AK112" i="41"/>
  <c r="W112" i="41"/>
  <c r="AK111" i="41"/>
  <c r="AR110" i="41"/>
  <c r="AK110" i="41"/>
  <c r="W110" i="41"/>
  <c r="AK109" i="41"/>
  <c r="W109" i="41"/>
  <c r="AK108" i="41"/>
  <c r="W108" i="41"/>
  <c r="AK107" i="41"/>
  <c r="W107" i="41"/>
  <c r="AK106" i="41"/>
  <c r="AO105" i="41"/>
  <c r="AM105" i="41"/>
  <c r="AJ105" i="41"/>
  <c r="AI105" i="41"/>
  <c r="AH105" i="41"/>
  <c r="AH157" i="41" s="1"/>
  <c r="AG105" i="41"/>
  <c r="AF105" i="41"/>
  <c r="AE105" i="41"/>
  <c r="AD105" i="41"/>
  <c r="AC105" i="41"/>
  <c r="AB105" i="41"/>
  <c r="AA105" i="41"/>
  <c r="Z105" i="41"/>
  <c r="Y105" i="41"/>
  <c r="Y157" i="41" s="1"/>
  <c r="J105" i="41"/>
  <c r="AR100" i="41"/>
  <c r="AQ100" i="41"/>
  <c r="AK99" i="41"/>
  <c r="AK98" i="41"/>
  <c r="Y101" i="64" s="1"/>
  <c r="W98" i="41"/>
  <c r="AK97" i="41"/>
  <c r="W97" i="41"/>
  <c r="AK96" i="41"/>
  <c r="W96" i="41"/>
  <c r="AK95" i="41"/>
  <c r="W95" i="41"/>
  <c r="AK94" i="41"/>
  <c r="Y97" i="64" s="1"/>
  <c r="W94" i="41"/>
  <c r="AR94" i="41" s="1"/>
  <c r="AK93" i="41"/>
  <c r="Y96" i="64" s="1"/>
  <c r="W93" i="41"/>
  <c r="AK92" i="41"/>
  <c r="W92" i="41"/>
  <c r="AK91" i="41"/>
  <c r="Y94" i="64" s="1"/>
  <c r="W91" i="41"/>
  <c r="AK90" i="41"/>
  <c r="Y70" i="64" s="1"/>
  <c r="W90" i="41"/>
  <c r="AR90" i="41" s="1"/>
  <c r="AK89" i="41"/>
  <c r="W89" i="41"/>
  <c r="AM88" i="41"/>
  <c r="AM71" i="41" s="1"/>
  <c r="AK88" i="41"/>
  <c r="W88" i="41"/>
  <c r="AK87" i="41"/>
  <c r="Y67" i="64" s="1"/>
  <c r="W87" i="41"/>
  <c r="AQ87" i="41" s="1"/>
  <c r="AR86" i="41"/>
  <c r="AK86" i="41"/>
  <c r="W86" i="41"/>
  <c r="AQ86" i="41" s="1"/>
  <c r="AK85" i="41"/>
  <c r="W85" i="41"/>
  <c r="AR84" i="41"/>
  <c r="AK84" i="41"/>
  <c r="W84" i="41"/>
  <c r="AQ84" i="41" s="1"/>
  <c r="AK83" i="41"/>
  <c r="Y63" i="64" s="1"/>
  <c r="W83" i="41"/>
  <c r="AK82" i="41"/>
  <c r="Y62" i="64" s="1"/>
  <c r="W82" i="41"/>
  <c r="AK80" i="41"/>
  <c r="Y60" i="64" s="1"/>
  <c r="V80" i="41"/>
  <c r="U80" i="41"/>
  <c r="T80" i="41"/>
  <c r="S80" i="41"/>
  <c r="R80" i="41"/>
  <c r="N28" i="55" s="1"/>
  <c r="Q80" i="41"/>
  <c r="P80" i="41"/>
  <c r="O80" i="41"/>
  <c r="N80" i="41"/>
  <c r="M80" i="41"/>
  <c r="L80" i="41"/>
  <c r="K80" i="41"/>
  <c r="AK79" i="41"/>
  <c r="V79" i="41"/>
  <c r="U79" i="41"/>
  <c r="T79" i="41"/>
  <c r="P28" i="55" s="1"/>
  <c r="S79" i="41"/>
  <c r="R79" i="41"/>
  <c r="Q79" i="41"/>
  <c r="P79" i="41"/>
  <c r="O79" i="41"/>
  <c r="N79" i="41"/>
  <c r="M79" i="41"/>
  <c r="L79" i="41"/>
  <c r="K79" i="41"/>
  <c r="AK78" i="41"/>
  <c r="V78" i="41"/>
  <c r="U78" i="41"/>
  <c r="T78" i="41"/>
  <c r="S78" i="41"/>
  <c r="R78" i="41"/>
  <c r="Q78" i="41"/>
  <c r="P78" i="41"/>
  <c r="O78" i="41"/>
  <c r="N78" i="41"/>
  <c r="M78" i="41"/>
  <c r="L78" i="41"/>
  <c r="K78" i="41"/>
  <c r="AK77" i="41"/>
  <c r="Y57" i="64" s="1"/>
  <c r="V77" i="41"/>
  <c r="U77" i="41"/>
  <c r="Q28" i="55" s="1"/>
  <c r="T77" i="41"/>
  <c r="S77" i="41"/>
  <c r="R77" i="41"/>
  <c r="Q77" i="41"/>
  <c r="P77" i="41"/>
  <c r="O77" i="41"/>
  <c r="N77" i="41"/>
  <c r="M77" i="41"/>
  <c r="L77" i="41"/>
  <c r="K77" i="41"/>
  <c r="AK76" i="41"/>
  <c r="Y56" i="64" s="1"/>
  <c r="V76" i="41"/>
  <c r="U76" i="41"/>
  <c r="T76" i="41"/>
  <c r="S76" i="41"/>
  <c r="R76" i="41"/>
  <c r="Q76" i="41"/>
  <c r="P76" i="41"/>
  <c r="O76" i="41"/>
  <c r="N76" i="41"/>
  <c r="M76" i="41"/>
  <c r="L76" i="41"/>
  <c r="K76" i="41"/>
  <c r="AK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AK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AK73" i="41"/>
  <c r="V73" i="41"/>
  <c r="U73" i="41"/>
  <c r="T73" i="41"/>
  <c r="S73" i="41"/>
  <c r="R73" i="41"/>
  <c r="Q73" i="41"/>
  <c r="M28" i="55" s="1"/>
  <c r="P73" i="41"/>
  <c r="O73" i="41"/>
  <c r="N73" i="41"/>
  <c r="M73" i="41"/>
  <c r="L73" i="41"/>
  <c r="K73" i="41"/>
  <c r="AK72" i="41"/>
  <c r="F28" i="55" s="1"/>
  <c r="U28" i="55" s="1"/>
  <c r="V72" i="41"/>
  <c r="U72" i="41"/>
  <c r="T72" i="41"/>
  <c r="S72" i="41"/>
  <c r="R72" i="41"/>
  <c r="Q72" i="41"/>
  <c r="P72" i="41"/>
  <c r="L28" i="55" s="1"/>
  <c r="O72" i="41"/>
  <c r="K28" i="55" s="1"/>
  <c r="J30" i="48" s="1"/>
  <c r="N72" i="41"/>
  <c r="J28" i="55" s="1"/>
  <c r="I30" i="48" s="1"/>
  <c r="M72" i="41"/>
  <c r="I28" i="55" s="1"/>
  <c r="L72" i="41"/>
  <c r="H28" i="55" s="1"/>
  <c r="G30" i="48" s="1"/>
  <c r="K72" i="41"/>
  <c r="AO71" i="41"/>
  <c r="AJ71" i="41"/>
  <c r="AI71" i="41"/>
  <c r="AH71" i="41"/>
  <c r="AG71" i="41"/>
  <c r="AF71" i="41"/>
  <c r="AE71" i="41"/>
  <c r="AD71" i="41"/>
  <c r="AC71" i="41"/>
  <c r="AB71" i="41"/>
  <c r="AA71" i="41"/>
  <c r="Z71" i="41"/>
  <c r="Y71" i="41"/>
  <c r="J71" i="41"/>
  <c r="AK70" i="41"/>
  <c r="AR70" i="41" s="1"/>
  <c r="AK69" i="41"/>
  <c r="Y49" i="64" s="1"/>
  <c r="W68" i="41"/>
  <c r="AK67" i="41"/>
  <c r="Y47" i="64" s="1"/>
  <c r="AK66" i="41"/>
  <c r="Y46" i="64" s="1"/>
  <c r="W66" i="41"/>
  <c r="AQ66" i="41" s="1"/>
  <c r="AK65" i="41"/>
  <c r="Y45" i="64" s="1"/>
  <c r="AK64" i="41"/>
  <c r="Y44" i="64" s="1"/>
  <c r="W64" i="41"/>
  <c r="AR64" i="41" s="1"/>
  <c r="AK63" i="41"/>
  <c r="Y43" i="64" s="1"/>
  <c r="AK62" i="41"/>
  <c r="Y42" i="64" s="1"/>
  <c r="AK61" i="41"/>
  <c r="Y41" i="64" s="1"/>
  <c r="W61" i="41"/>
  <c r="AR61" i="41" s="1"/>
  <c r="AR60" i="41"/>
  <c r="AK60" i="41"/>
  <c r="Y40" i="64" s="1"/>
  <c r="W60" i="41"/>
  <c r="AR59" i="41"/>
  <c r="AQ59" i="41"/>
  <c r="AK58" i="41"/>
  <c r="Y38" i="64" s="1"/>
  <c r="V58" i="41"/>
  <c r="U58" i="41"/>
  <c r="T58" i="41"/>
  <c r="S58" i="41"/>
  <c r="R58" i="41"/>
  <c r="Q58" i="41"/>
  <c r="P58" i="41"/>
  <c r="O58" i="41"/>
  <c r="N58" i="41"/>
  <c r="M58" i="41"/>
  <c r="L58" i="41"/>
  <c r="K58" i="41"/>
  <c r="AK57" i="41"/>
  <c r="Y37" i="64" s="1"/>
  <c r="V57" i="41"/>
  <c r="U57" i="41"/>
  <c r="T57" i="41"/>
  <c r="S57" i="41"/>
  <c r="R57" i="41"/>
  <c r="Q57" i="41"/>
  <c r="P57" i="41"/>
  <c r="O57" i="41"/>
  <c r="N57" i="41"/>
  <c r="M57" i="41"/>
  <c r="L57" i="41"/>
  <c r="K57" i="41"/>
  <c r="AK56" i="41"/>
  <c r="Y36" i="64" s="1"/>
  <c r="V56" i="41"/>
  <c r="U56" i="41"/>
  <c r="T56" i="41"/>
  <c r="S56" i="41"/>
  <c r="R56" i="41"/>
  <c r="Q56" i="41"/>
  <c r="P56" i="41"/>
  <c r="O56" i="41"/>
  <c r="N56" i="41"/>
  <c r="M56" i="41"/>
  <c r="L56" i="41"/>
  <c r="K56" i="41"/>
  <c r="AK55" i="41"/>
  <c r="Y35" i="64" s="1"/>
  <c r="V55" i="41"/>
  <c r="U55" i="41"/>
  <c r="T55" i="41"/>
  <c r="S55" i="41"/>
  <c r="R55" i="41"/>
  <c r="Q55" i="41"/>
  <c r="P55" i="41"/>
  <c r="O55" i="41"/>
  <c r="N55" i="41"/>
  <c r="M55" i="41"/>
  <c r="L55" i="41"/>
  <c r="K55" i="41"/>
  <c r="AK54" i="41"/>
  <c r="Y34" i="64" s="1"/>
  <c r="V54" i="41"/>
  <c r="U54" i="41"/>
  <c r="T54" i="41"/>
  <c r="S54" i="41"/>
  <c r="R54" i="41"/>
  <c r="Q54" i="41"/>
  <c r="P54" i="41"/>
  <c r="O54" i="41"/>
  <c r="N54" i="41"/>
  <c r="M54" i="41"/>
  <c r="L54" i="41"/>
  <c r="K54" i="41"/>
  <c r="AK53" i="41"/>
  <c r="Y33" i="64" s="1"/>
  <c r="V53" i="41"/>
  <c r="U53" i="41"/>
  <c r="T53" i="41"/>
  <c r="S53" i="41"/>
  <c r="R53" i="41"/>
  <c r="Q53" i="41"/>
  <c r="P53" i="41"/>
  <c r="O53" i="41"/>
  <c r="N53" i="41"/>
  <c r="M53" i="41"/>
  <c r="L53" i="41"/>
  <c r="K53" i="41"/>
  <c r="AK52" i="41"/>
  <c r="Y32" i="64" s="1"/>
  <c r="V52" i="41"/>
  <c r="U52" i="41"/>
  <c r="T52" i="41"/>
  <c r="S52" i="41"/>
  <c r="R52" i="41"/>
  <c r="Q52" i="41"/>
  <c r="P52" i="41"/>
  <c r="O52" i="41"/>
  <c r="N52" i="41"/>
  <c r="M52" i="41"/>
  <c r="L52" i="41"/>
  <c r="K52" i="41"/>
  <c r="AK51" i="41"/>
  <c r="W51" i="41"/>
  <c r="V51" i="41"/>
  <c r="U51" i="41"/>
  <c r="T51" i="41"/>
  <c r="S51" i="41"/>
  <c r="R51" i="41"/>
  <c r="Q51" i="41"/>
  <c r="P51" i="41"/>
  <c r="O51" i="41"/>
  <c r="N51" i="41"/>
  <c r="M51" i="41"/>
  <c r="L51" i="41"/>
  <c r="K51" i="41"/>
  <c r="AK50" i="41"/>
  <c r="Y30" i="64" s="1"/>
  <c r="V50" i="41"/>
  <c r="U50" i="41"/>
  <c r="T50" i="41"/>
  <c r="S50" i="41"/>
  <c r="R50" i="41"/>
  <c r="Q50" i="41"/>
  <c r="P50" i="41"/>
  <c r="O50" i="41"/>
  <c r="N50" i="41"/>
  <c r="M50" i="41"/>
  <c r="L50" i="41"/>
  <c r="K50" i="41"/>
  <c r="AO49" i="41"/>
  <c r="AM49" i="41"/>
  <c r="AJ49" i="41"/>
  <c r="AI49" i="41"/>
  <c r="AH49" i="41"/>
  <c r="AG49" i="41"/>
  <c r="AF49" i="41"/>
  <c r="AE49" i="41"/>
  <c r="AD49" i="41"/>
  <c r="AC49" i="41"/>
  <c r="AB49" i="41"/>
  <c r="AA49" i="41"/>
  <c r="Z49" i="41"/>
  <c r="Y49" i="41"/>
  <c r="J49" i="41"/>
  <c r="AR48" i="41"/>
  <c r="AQ48" i="41"/>
  <c r="AK47" i="41"/>
  <c r="AK46" i="41"/>
  <c r="W46" i="41"/>
  <c r="AK45" i="41"/>
  <c r="AK44" i="41"/>
  <c r="W44" i="41"/>
  <c r="AQ44" i="41" s="1"/>
  <c r="AK43" i="41"/>
  <c r="Y22" i="64" s="1"/>
  <c r="W43" i="41"/>
  <c r="AK42" i="41"/>
  <c r="AK41" i="41"/>
  <c r="AK40" i="41"/>
  <c r="AK39" i="41"/>
  <c r="W39" i="41"/>
  <c r="AK38" i="41"/>
  <c r="W38" i="41"/>
  <c r="AK36" i="41"/>
  <c r="V36" i="41"/>
  <c r="U36" i="41"/>
  <c r="T36" i="41"/>
  <c r="S36" i="41"/>
  <c r="R36" i="41"/>
  <c r="Q36" i="41"/>
  <c r="P36" i="41"/>
  <c r="O36" i="41"/>
  <c r="N36" i="41"/>
  <c r="M36" i="41"/>
  <c r="L36" i="41"/>
  <c r="K36" i="41"/>
  <c r="AK35" i="41"/>
  <c r="Y14" i="64" s="1"/>
  <c r="V35" i="41"/>
  <c r="U35" i="41"/>
  <c r="T35" i="41"/>
  <c r="S35" i="41"/>
  <c r="R35" i="41"/>
  <c r="Q35" i="41"/>
  <c r="P35" i="41"/>
  <c r="O35" i="41"/>
  <c r="N35" i="41"/>
  <c r="M35" i="41"/>
  <c r="L35" i="41"/>
  <c r="K35" i="41"/>
  <c r="AK34" i="41"/>
  <c r="Y13" i="64" s="1"/>
  <c r="V34" i="41"/>
  <c r="U34" i="41"/>
  <c r="T34" i="41"/>
  <c r="S34" i="41"/>
  <c r="R34" i="41"/>
  <c r="Q34" i="41"/>
  <c r="P34" i="41"/>
  <c r="O34" i="41"/>
  <c r="N34" i="41"/>
  <c r="M34" i="41"/>
  <c r="L34" i="41"/>
  <c r="K34" i="41"/>
  <c r="AK33" i="41"/>
  <c r="V33" i="41"/>
  <c r="U33" i="41"/>
  <c r="T33" i="41"/>
  <c r="S33" i="41"/>
  <c r="R33" i="41"/>
  <c r="Q33" i="41"/>
  <c r="P33" i="41"/>
  <c r="O33" i="41"/>
  <c r="N33" i="41"/>
  <c r="M33" i="41"/>
  <c r="L33" i="41"/>
  <c r="K33" i="41"/>
  <c r="AK32" i="41"/>
  <c r="V32" i="41"/>
  <c r="U32" i="41"/>
  <c r="T32" i="41"/>
  <c r="S32" i="41"/>
  <c r="R32" i="41"/>
  <c r="Q32" i="41"/>
  <c r="P32" i="41"/>
  <c r="O32" i="41"/>
  <c r="N32" i="41"/>
  <c r="M32" i="41"/>
  <c r="L32" i="41"/>
  <c r="K32" i="41"/>
  <c r="AQ31" i="41"/>
  <c r="AK31" i="41"/>
  <c r="Y10" i="64" s="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AK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AK29" i="41"/>
  <c r="Y8" i="64" s="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AK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AO27" i="41"/>
  <c r="AM27" i="41"/>
  <c r="AJ27" i="41"/>
  <c r="AI27" i="41"/>
  <c r="AH27" i="41"/>
  <c r="AG27" i="41"/>
  <c r="AF27" i="41"/>
  <c r="AE27" i="41"/>
  <c r="AD27" i="41"/>
  <c r="AC27" i="41"/>
  <c r="AB27" i="41"/>
  <c r="AA27" i="41"/>
  <c r="Z27" i="41"/>
  <c r="Y27" i="41"/>
  <c r="J27" i="41"/>
  <c r="AR26" i="41"/>
  <c r="AQ26" i="41"/>
  <c r="AO25" i="41"/>
  <c r="AM25" i="41"/>
  <c r="AJ25" i="41"/>
  <c r="AI25" i="41"/>
  <c r="AH25" i="41"/>
  <c r="AG25" i="41"/>
  <c r="AF25" i="41"/>
  <c r="AE25" i="41"/>
  <c r="AD25" i="41"/>
  <c r="AC25" i="41"/>
  <c r="AB25" i="41"/>
  <c r="AA25" i="41"/>
  <c r="Z25" i="41"/>
  <c r="Y25" i="41"/>
  <c r="AO24" i="41"/>
  <c r="AM24" i="41"/>
  <c r="AJ24" i="41"/>
  <c r="AI24" i="41"/>
  <c r="AH24" i="41"/>
  <c r="AG24" i="41"/>
  <c r="AF24" i="41"/>
  <c r="AE24" i="41"/>
  <c r="AD24" i="41"/>
  <c r="AC24" i="41"/>
  <c r="AB24" i="41"/>
  <c r="AA24" i="41"/>
  <c r="Z24" i="41"/>
  <c r="Y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AO23" i="41"/>
  <c r="AM23" i="41"/>
  <c r="AJ23" i="41"/>
  <c r="AI23" i="41"/>
  <c r="AH23" i="41"/>
  <c r="AG23" i="41"/>
  <c r="AF23" i="41"/>
  <c r="AE23" i="41"/>
  <c r="AD23" i="41"/>
  <c r="AC23" i="41"/>
  <c r="AB23" i="41"/>
  <c r="AA23" i="41"/>
  <c r="Z23" i="41"/>
  <c r="Y23" i="41"/>
  <c r="AK23" i="41" s="1"/>
  <c r="AO22" i="41"/>
  <c r="AM22" i="41"/>
  <c r="AJ22" i="41"/>
  <c r="AI22" i="41"/>
  <c r="AH22" i="41"/>
  <c r="AG22" i="41"/>
  <c r="AF22" i="41"/>
  <c r="AE22" i="41"/>
  <c r="AD22" i="41"/>
  <c r="AC22" i="41"/>
  <c r="AB22" i="41"/>
  <c r="AA22" i="41"/>
  <c r="Z22" i="41"/>
  <c r="Y22" i="41"/>
  <c r="AK22" i="41" s="1"/>
  <c r="V22" i="41"/>
  <c r="U22" i="41"/>
  <c r="T22" i="41"/>
  <c r="S22" i="41"/>
  <c r="R22" i="41"/>
  <c r="Q22" i="41"/>
  <c r="P22" i="41"/>
  <c r="O22" i="41"/>
  <c r="N22" i="41"/>
  <c r="M22" i="41"/>
  <c r="L22" i="41"/>
  <c r="K22" i="41"/>
  <c r="AO21" i="41"/>
  <c r="AM21" i="41"/>
  <c r="AJ21" i="41"/>
  <c r="AI21" i="41"/>
  <c r="AH21" i="41"/>
  <c r="AG21" i="41"/>
  <c r="AF21" i="41"/>
  <c r="AE21" i="41"/>
  <c r="AD21" i="41"/>
  <c r="AC21" i="41"/>
  <c r="AB21" i="41"/>
  <c r="AA21" i="41"/>
  <c r="Z21" i="41"/>
  <c r="Y21" i="41"/>
  <c r="AO20" i="41"/>
  <c r="AM20" i="41"/>
  <c r="AJ20" i="41"/>
  <c r="AI20" i="41"/>
  <c r="AH20" i="41"/>
  <c r="AG20" i="41"/>
  <c r="AF20" i="41"/>
  <c r="AE20" i="41"/>
  <c r="AD20" i="41"/>
  <c r="AC20" i="41"/>
  <c r="AB20" i="41"/>
  <c r="AA20" i="41"/>
  <c r="Z20" i="41"/>
  <c r="Y20" i="41"/>
  <c r="AO19" i="41"/>
  <c r="AM19" i="41"/>
  <c r="AJ19" i="41"/>
  <c r="AI19" i="41"/>
  <c r="AH19" i="41"/>
  <c r="AG19" i="41"/>
  <c r="AF19" i="41"/>
  <c r="AE19" i="41"/>
  <c r="AD19" i="41"/>
  <c r="AC19" i="41"/>
  <c r="AB19" i="41"/>
  <c r="AA19" i="41"/>
  <c r="Z19" i="41"/>
  <c r="Y19" i="41"/>
  <c r="AO18" i="41"/>
  <c r="AM18" i="41"/>
  <c r="AJ18" i="41"/>
  <c r="AI18" i="41"/>
  <c r="AH18" i="41"/>
  <c r="AG18" i="41"/>
  <c r="AF18" i="41"/>
  <c r="AE18" i="41"/>
  <c r="AD18" i="41"/>
  <c r="AC18" i="41"/>
  <c r="AB18" i="41"/>
  <c r="AA18" i="41"/>
  <c r="Z18" i="41"/>
  <c r="Y18" i="41"/>
  <c r="AO17" i="41"/>
  <c r="AM17" i="41"/>
  <c r="AJ17" i="41"/>
  <c r="AI17" i="41"/>
  <c r="AH17" i="41"/>
  <c r="AG17" i="41"/>
  <c r="AF17" i="41"/>
  <c r="AE17" i="41"/>
  <c r="AD17" i="41"/>
  <c r="AC17" i="41"/>
  <c r="AB17" i="41"/>
  <c r="AA17" i="41"/>
  <c r="Z17" i="41"/>
  <c r="Y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AO16" i="41"/>
  <c r="AM16" i="41"/>
  <c r="AJ16" i="41"/>
  <c r="AI16" i="41"/>
  <c r="AH16" i="41"/>
  <c r="AG16" i="41"/>
  <c r="AF16" i="41"/>
  <c r="AE16" i="41"/>
  <c r="AD16" i="41"/>
  <c r="AC16" i="41"/>
  <c r="AB16" i="41"/>
  <c r="AA16" i="41"/>
  <c r="Z16" i="41"/>
  <c r="Y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AO15" i="41"/>
  <c r="AM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AO14" i="41"/>
  <c r="AM14" i="41"/>
  <c r="AJ14" i="41"/>
  <c r="AI14" i="41"/>
  <c r="AH14" i="41"/>
  <c r="AG14" i="41"/>
  <c r="AF14" i="41"/>
  <c r="AE14" i="41"/>
  <c r="AD14" i="41"/>
  <c r="AC14" i="41"/>
  <c r="AB14" i="41"/>
  <c r="AA14" i="41"/>
  <c r="Z14" i="41"/>
  <c r="Y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AO13" i="41"/>
  <c r="AM13" i="41"/>
  <c r="AJ13" i="41"/>
  <c r="AI13" i="41"/>
  <c r="AH13" i="41"/>
  <c r="AG13" i="41"/>
  <c r="AF13" i="41"/>
  <c r="AE13" i="41"/>
  <c r="AD13" i="41"/>
  <c r="AC13" i="41"/>
  <c r="AB13" i="41"/>
  <c r="AA13" i="41"/>
  <c r="Z13" i="41"/>
  <c r="Y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AO12" i="41"/>
  <c r="AM12" i="41"/>
  <c r="AJ12" i="41"/>
  <c r="AI12" i="41"/>
  <c r="AH12" i="41"/>
  <c r="AG12" i="41"/>
  <c r="AF12" i="41"/>
  <c r="AE12" i="41"/>
  <c r="AD12" i="41"/>
  <c r="AC12" i="41"/>
  <c r="AB12" i="41"/>
  <c r="AA12" i="41"/>
  <c r="Z12" i="41"/>
  <c r="Y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AO11" i="41"/>
  <c r="AM11" i="41"/>
  <c r="AJ11" i="41"/>
  <c r="AI11" i="41"/>
  <c r="AH11" i="41"/>
  <c r="AG11" i="41"/>
  <c r="AF11" i="41"/>
  <c r="AE11" i="41"/>
  <c r="AD11" i="41"/>
  <c r="AC11" i="41"/>
  <c r="AB11" i="41"/>
  <c r="AA11" i="41"/>
  <c r="Z11" i="41"/>
  <c r="Y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AO10" i="41"/>
  <c r="AM10" i="41"/>
  <c r="AJ10" i="41"/>
  <c r="AI10" i="41"/>
  <c r="AH10" i="41"/>
  <c r="AG10" i="41"/>
  <c r="AF10" i="41"/>
  <c r="AE10" i="41"/>
  <c r="AD10" i="41"/>
  <c r="AC10" i="41"/>
  <c r="AB10" i="41"/>
  <c r="AA10" i="41"/>
  <c r="Z10" i="41"/>
  <c r="Y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AO9" i="41"/>
  <c r="AM9" i="41"/>
  <c r="AJ9" i="41"/>
  <c r="AI9" i="41"/>
  <c r="AH9" i="41"/>
  <c r="AG9" i="41"/>
  <c r="AF9" i="41"/>
  <c r="AE9" i="41"/>
  <c r="AD9" i="41"/>
  <c r="AC9" i="41"/>
  <c r="AB9" i="41"/>
  <c r="AA9" i="41"/>
  <c r="Z9" i="41"/>
  <c r="Y9" i="41"/>
  <c r="V9" i="41"/>
  <c r="U9" i="41"/>
  <c r="T9" i="41"/>
  <c r="S9" i="41"/>
  <c r="R9" i="41"/>
  <c r="Q9" i="41"/>
  <c r="P9" i="41"/>
  <c r="O9" i="41"/>
  <c r="N9" i="41"/>
  <c r="M9" i="41"/>
  <c r="L9" i="41"/>
  <c r="K9" i="41"/>
  <c r="AO8" i="41"/>
  <c r="AM8" i="41"/>
  <c r="AJ8" i="41"/>
  <c r="AJ5" i="41" s="1"/>
  <c r="AI8" i="41"/>
  <c r="AH8" i="41"/>
  <c r="AG8" i="41"/>
  <c r="AF8" i="41"/>
  <c r="AE8" i="41"/>
  <c r="AD8" i="41"/>
  <c r="AC8" i="41"/>
  <c r="AB8" i="41"/>
  <c r="AA8" i="41"/>
  <c r="Z8" i="41"/>
  <c r="Y8" i="41"/>
  <c r="V8" i="41"/>
  <c r="U8" i="41"/>
  <c r="T8" i="41"/>
  <c r="S8" i="41"/>
  <c r="R8" i="41"/>
  <c r="Q8" i="41"/>
  <c r="P8" i="41"/>
  <c r="O8" i="41"/>
  <c r="N8" i="41"/>
  <c r="M8" i="41"/>
  <c r="L8" i="41"/>
  <c r="K8" i="41"/>
  <c r="AO7" i="41"/>
  <c r="AM7" i="41"/>
  <c r="AM5" i="41" s="1"/>
  <c r="AJ7" i="41"/>
  <c r="AI7" i="41"/>
  <c r="AH7" i="41"/>
  <c r="AG7" i="41"/>
  <c r="AF7" i="41"/>
  <c r="AE7" i="41"/>
  <c r="AD7" i="41"/>
  <c r="AC7" i="41"/>
  <c r="AB7" i="41"/>
  <c r="AA7" i="41"/>
  <c r="Z7" i="41"/>
  <c r="Y7" i="41"/>
  <c r="V7" i="41"/>
  <c r="U7" i="41"/>
  <c r="T7" i="41"/>
  <c r="S7" i="41"/>
  <c r="R7" i="41"/>
  <c r="Q7" i="41"/>
  <c r="P7" i="41"/>
  <c r="O7" i="41"/>
  <c r="N7" i="41"/>
  <c r="M7" i="41"/>
  <c r="L7" i="41"/>
  <c r="K7" i="41"/>
  <c r="AO6" i="41"/>
  <c r="AM6" i="41"/>
  <c r="AJ6" i="41"/>
  <c r="AI6" i="41"/>
  <c r="AH6" i="41"/>
  <c r="AG6" i="41"/>
  <c r="AF6" i="41"/>
  <c r="AE6" i="41"/>
  <c r="AD6" i="41"/>
  <c r="AC6" i="41"/>
  <c r="AB6" i="41"/>
  <c r="AA6" i="41"/>
  <c r="Z6" i="41"/>
  <c r="Y6" i="41"/>
  <c r="L6" i="41"/>
  <c r="K6" i="41"/>
  <c r="J5" i="41"/>
  <c r="Z3" i="41"/>
  <c r="AA3" i="41" s="1"/>
  <c r="AB3" i="41" s="1"/>
  <c r="AC3" i="41" s="1"/>
  <c r="AD3" i="41" s="1"/>
  <c r="AE3" i="41" s="1"/>
  <c r="AF3" i="41" s="1"/>
  <c r="AG3" i="41" s="1"/>
  <c r="AH3" i="41" s="1"/>
  <c r="AI3" i="41" s="1"/>
  <c r="AJ3" i="41" s="1"/>
  <c r="U228" i="37"/>
  <c r="T228" i="37"/>
  <c r="AB225" i="37"/>
  <c r="AA225" i="37"/>
  <c r="AE224" i="37"/>
  <c r="AD224" i="37"/>
  <c r="U224" i="37"/>
  <c r="U226" i="37" s="1"/>
  <c r="U227" i="37" s="1"/>
  <c r="U229" i="37" s="1"/>
  <c r="AF222" i="37"/>
  <c r="AE222" i="37"/>
  <c r="AD222" i="37"/>
  <c r="AC222" i="37"/>
  <c r="AB222" i="37"/>
  <c r="AA222" i="37"/>
  <c r="Z222" i="37"/>
  <c r="Y222" i="37"/>
  <c r="X222" i="37"/>
  <c r="W222" i="37"/>
  <c r="V222" i="37"/>
  <c r="U222" i="37"/>
  <c r="T222" i="37"/>
  <c r="T223" i="37" s="1"/>
  <c r="X221" i="37"/>
  <c r="X223" i="37" s="1"/>
  <c r="AA220" i="37"/>
  <c r="Z220" i="37"/>
  <c r="Y220" i="37"/>
  <c r="Y221" i="37" s="1"/>
  <c r="Y223" i="37" s="1"/>
  <c r="X220" i="37"/>
  <c r="T220" i="37"/>
  <c r="AB219" i="37"/>
  <c r="AB221" i="37" s="1"/>
  <c r="AA219" i="37"/>
  <c r="AA221" i="37" s="1"/>
  <c r="T219" i="37"/>
  <c r="T221" i="37" s="1"/>
  <c r="AE215" i="37"/>
  <c r="AE220" i="37" s="1"/>
  <c r="AD215" i="37"/>
  <c r="AD220" i="37" s="1"/>
  <c r="AC215" i="37"/>
  <c r="AC220" i="37" s="1"/>
  <c r="AB215" i="37"/>
  <c r="AB220" i="37" s="1"/>
  <c r="AA215" i="37"/>
  <c r="Z215" i="37"/>
  <c r="Y215" i="37"/>
  <c r="X215" i="37"/>
  <c r="W215" i="37"/>
  <c r="W220" i="37" s="1"/>
  <c r="V215" i="37"/>
  <c r="V220" i="37" s="1"/>
  <c r="U215" i="37"/>
  <c r="U220" i="37" s="1"/>
  <c r="T215" i="37"/>
  <c r="AE207" i="37"/>
  <c r="AD207" i="37"/>
  <c r="AC207" i="37"/>
  <c r="AB207" i="37"/>
  <c r="AA207" i="37"/>
  <c r="Z207" i="37"/>
  <c r="Y207" i="37"/>
  <c r="X207" i="37"/>
  <c r="W207" i="37"/>
  <c r="V207" i="37"/>
  <c r="U207" i="37"/>
  <c r="T207" i="37"/>
  <c r="E207" i="37"/>
  <c r="E215" i="37" s="1"/>
  <c r="AF206" i="37"/>
  <c r="AF205" i="37"/>
  <c r="F205" i="37"/>
  <c r="AF204" i="37"/>
  <c r="AF203" i="37"/>
  <c r="AF202" i="37"/>
  <c r="AF201" i="37"/>
  <c r="AF200" i="37"/>
  <c r="AF199" i="37"/>
  <c r="AF198" i="37"/>
  <c r="Q198" i="37"/>
  <c r="K198" i="37"/>
  <c r="AF197" i="37"/>
  <c r="AF196" i="37"/>
  <c r="AF195" i="37"/>
  <c r="AF194" i="37"/>
  <c r="AF193" i="37"/>
  <c r="AF192" i="37"/>
  <c r="AE188" i="37"/>
  <c r="AD188" i="37"/>
  <c r="AC188" i="37"/>
  <c r="AB188" i="37"/>
  <c r="AA188" i="37"/>
  <c r="Z188" i="37"/>
  <c r="Y188" i="37"/>
  <c r="X188" i="37"/>
  <c r="W188" i="37"/>
  <c r="V188" i="37"/>
  <c r="U188" i="37"/>
  <c r="T188" i="37"/>
  <c r="E188" i="37"/>
  <c r="AF187" i="37"/>
  <c r="O187" i="37"/>
  <c r="N187" i="37"/>
  <c r="I187" i="37"/>
  <c r="G187" i="37"/>
  <c r="AF186" i="37"/>
  <c r="L186" i="37"/>
  <c r="K186" i="37"/>
  <c r="J186" i="37"/>
  <c r="I186" i="37"/>
  <c r="AF185" i="37"/>
  <c r="K185" i="37"/>
  <c r="I185" i="37"/>
  <c r="G185" i="37"/>
  <c r="F185" i="37"/>
  <c r="AE181" i="37"/>
  <c r="AD181" i="37"/>
  <c r="AC181" i="37"/>
  <c r="AB181" i="37"/>
  <c r="AA181" i="37"/>
  <c r="Z181" i="37"/>
  <c r="Y181" i="37"/>
  <c r="X181" i="37"/>
  <c r="W181" i="37"/>
  <c r="V181" i="37"/>
  <c r="U181" i="37"/>
  <c r="T181" i="37"/>
  <c r="E181" i="37"/>
  <c r="AF180" i="37"/>
  <c r="AF179" i="37"/>
  <c r="I179" i="37"/>
  <c r="G179" i="37"/>
  <c r="AF178" i="37"/>
  <c r="G178" i="37"/>
  <c r="AE174" i="37"/>
  <c r="AD174" i="37"/>
  <c r="AC174" i="37"/>
  <c r="AB174" i="37"/>
  <c r="AA174" i="37"/>
  <c r="Z174" i="37"/>
  <c r="Y174" i="37"/>
  <c r="X174" i="37"/>
  <c r="W174" i="37"/>
  <c r="V174" i="37"/>
  <c r="U174" i="37"/>
  <c r="T174" i="37"/>
  <c r="AF173" i="37"/>
  <c r="AF174" i="37" s="1"/>
  <c r="AF211" i="37" s="1"/>
  <c r="N173" i="37"/>
  <c r="M173" i="37"/>
  <c r="I173" i="37"/>
  <c r="G173" i="37"/>
  <c r="F173" i="37"/>
  <c r="AF172" i="37"/>
  <c r="O172" i="37"/>
  <c r="M172" i="37"/>
  <c r="I172" i="37"/>
  <c r="AF171" i="37"/>
  <c r="O171" i="37"/>
  <c r="O174" i="37" s="1"/>
  <c r="O211" i="37" s="1"/>
  <c r="N171" i="37"/>
  <c r="M171" i="37"/>
  <c r="M174" i="37" s="1"/>
  <c r="M211" i="37" s="1"/>
  <c r="AE165" i="37"/>
  <c r="AD165" i="37"/>
  <c r="AC165" i="37"/>
  <c r="AB165" i="37"/>
  <c r="AA165" i="37"/>
  <c r="Z165" i="37"/>
  <c r="Y165" i="37"/>
  <c r="X165" i="37"/>
  <c r="W165" i="37"/>
  <c r="V165" i="37"/>
  <c r="U165" i="37"/>
  <c r="T165" i="37"/>
  <c r="P165" i="37"/>
  <c r="O165" i="37"/>
  <c r="N165" i="37"/>
  <c r="M165" i="37"/>
  <c r="L165" i="37"/>
  <c r="J165" i="37"/>
  <c r="I165" i="37"/>
  <c r="AE160" i="37"/>
  <c r="AD160" i="37"/>
  <c r="AC160" i="37"/>
  <c r="AB160" i="37"/>
  <c r="AA160" i="37"/>
  <c r="Z160" i="37"/>
  <c r="Y160" i="37"/>
  <c r="X160" i="37"/>
  <c r="W160" i="37"/>
  <c r="V160" i="37"/>
  <c r="U160" i="37"/>
  <c r="T160" i="37"/>
  <c r="N160" i="37"/>
  <c r="L160" i="37"/>
  <c r="J160" i="37"/>
  <c r="F160" i="37"/>
  <c r="AE155" i="37"/>
  <c r="AD155" i="37"/>
  <c r="AC155" i="37"/>
  <c r="AB155" i="37"/>
  <c r="AA155" i="37"/>
  <c r="Z155" i="37"/>
  <c r="Y155" i="37"/>
  <c r="X155" i="37"/>
  <c r="W155" i="37"/>
  <c r="V155" i="37"/>
  <c r="U155" i="37"/>
  <c r="T155" i="37"/>
  <c r="AF155" i="37" s="1"/>
  <c r="E155" i="37"/>
  <c r="AF154" i="37"/>
  <c r="AF153" i="37"/>
  <c r="AF152" i="37"/>
  <c r="AF151" i="37"/>
  <c r="AF150" i="37"/>
  <c r="AF149" i="37"/>
  <c r="R149" i="37"/>
  <c r="AF148" i="37"/>
  <c r="AF147" i="37"/>
  <c r="AF146" i="37"/>
  <c r="O146" i="37"/>
  <c r="K146" i="37"/>
  <c r="K90" i="40" s="1"/>
  <c r="AF145" i="37"/>
  <c r="AF144" i="37"/>
  <c r="AF143" i="37"/>
  <c r="AF142" i="37"/>
  <c r="AF141" i="37"/>
  <c r="AF140" i="37"/>
  <c r="AE136" i="37"/>
  <c r="AD136" i="37"/>
  <c r="AC136" i="37"/>
  <c r="AB136" i="37"/>
  <c r="AA136" i="37"/>
  <c r="Z136" i="37"/>
  <c r="Y136" i="37"/>
  <c r="X136" i="37"/>
  <c r="W136" i="37"/>
  <c r="V136" i="37"/>
  <c r="U136" i="37"/>
  <c r="T136" i="37"/>
  <c r="Y107" i="64" s="1"/>
  <c r="E136" i="37"/>
  <c r="AF135" i="37"/>
  <c r="AF134" i="37"/>
  <c r="AF133" i="37"/>
  <c r="AF132" i="37"/>
  <c r="AF131" i="37"/>
  <c r="AF130" i="37"/>
  <c r="AF129" i="37"/>
  <c r="AF128" i="37"/>
  <c r="AF127" i="37"/>
  <c r="Q127" i="37"/>
  <c r="O127" i="37"/>
  <c r="L127" i="37"/>
  <c r="L146" i="37" s="1"/>
  <c r="L90" i="40" s="1"/>
  <c r="K127" i="37"/>
  <c r="AF126" i="37"/>
  <c r="AF125" i="37"/>
  <c r="AF124" i="37"/>
  <c r="AF123" i="37"/>
  <c r="AF122" i="37"/>
  <c r="AF121" i="37"/>
  <c r="R121" i="37"/>
  <c r="AE117" i="37"/>
  <c r="AD117" i="37"/>
  <c r="AC117" i="37"/>
  <c r="AB117" i="37"/>
  <c r="AA117" i="37"/>
  <c r="Z117" i="37"/>
  <c r="Y117" i="37"/>
  <c r="X117" i="37"/>
  <c r="W117" i="37"/>
  <c r="V117" i="37"/>
  <c r="U117" i="37"/>
  <c r="T117" i="37"/>
  <c r="AF116" i="37"/>
  <c r="AF115" i="37"/>
  <c r="AF114" i="37"/>
  <c r="AF113" i="37"/>
  <c r="AF112" i="37"/>
  <c r="AF111" i="37"/>
  <c r="AF110" i="37"/>
  <c r="AF109" i="37"/>
  <c r="AF108" i="37"/>
  <c r="AF117" i="37" s="1"/>
  <c r="R108" i="37"/>
  <c r="AF107" i="37"/>
  <c r="AF106" i="37"/>
  <c r="AF105" i="37"/>
  <c r="AF104" i="37"/>
  <c r="AF103" i="37"/>
  <c r="AF102" i="37"/>
  <c r="AE97" i="37"/>
  <c r="AE219" i="37" s="1"/>
  <c r="AE221" i="37" s="1"/>
  <c r="AE223" i="37" s="1"/>
  <c r="AD97" i="37"/>
  <c r="AD219" i="37" s="1"/>
  <c r="AD221" i="37" s="1"/>
  <c r="AD223" i="37" s="1"/>
  <c r="AC97" i="37"/>
  <c r="AC219" i="37" s="1"/>
  <c r="AC221" i="37" s="1"/>
  <c r="AB97" i="37"/>
  <c r="AA97" i="37"/>
  <c r="Z97" i="37"/>
  <c r="Z219" i="37" s="1"/>
  <c r="Y97" i="37"/>
  <c r="Y219" i="37" s="1"/>
  <c r="X97" i="37"/>
  <c r="X219" i="37" s="1"/>
  <c r="W97" i="37"/>
  <c r="W219" i="37" s="1"/>
  <c r="W221" i="37" s="1"/>
  <c r="W223" i="37" s="1"/>
  <c r="V97" i="37"/>
  <c r="U97" i="37"/>
  <c r="U219" i="37" s="1"/>
  <c r="U221" i="37" s="1"/>
  <c r="U223" i="37" s="1"/>
  <c r="T97" i="37"/>
  <c r="Y103" i="64" s="1"/>
  <c r="E97" i="37"/>
  <c r="AF96" i="37"/>
  <c r="AF95" i="37"/>
  <c r="AF94" i="37"/>
  <c r="AF93" i="37"/>
  <c r="AF92" i="37"/>
  <c r="AF91" i="37"/>
  <c r="AF90" i="37"/>
  <c r="AF89" i="37"/>
  <c r="AF88" i="37"/>
  <c r="AF87" i="37"/>
  <c r="AF86" i="37"/>
  <c r="AF85" i="37"/>
  <c r="AF84" i="37"/>
  <c r="AF83" i="37"/>
  <c r="AF82" i="37"/>
  <c r="AE78" i="37"/>
  <c r="AD78" i="37"/>
  <c r="AC78" i="37"/>
  <c r="AB78" i="37"/>
  <c r="AA78" i="37"/>
  <c r="Z78" i="37"/>
  <c r="Y78" i="37"/>
  <c r="X78" i="37"/>
  <c r="W78" i="37"/>
  <c r="V78" i="37"/>
  <c r="U78" i="37"/>
  <c r="T78" i="37"/>
  <c r="AF77" i="37"/>
  <c r="AF76" i="37"/>
  <c r="AF75" i="37"/>
  <c r="AF74" i="37"/>
  <c r="AF73" i="37"/>
  <c r="AF72" i="37"/>
  <c r="AF71" i="37"/>
  <c r="AF70" i="37"/>
  <c r="AF69" i="37"/>
  <c r="AF68" i="37"/>
  <c r="AF67" i="37"/>
  <c r="AF66" i="37"/>
  <c r="AF65" i="37"/>
  <c r="AF64" i="37"/>
  <c r="AF63" i="37"/>
  <c r="AE59" i="37"/>
  <c r="AD59" i="37"/>
  <c r="AC59" i="37"/>
  <c r="AB59" i="37"/>
  <c r="AA59" i="37"/>
  <c r="Z59" i="37"/>
  <c r="Y59" i="37"/>
  <c r="X59" i="37"/>
  <c r="W59" i="37"/>
  <c r="V59" i="37"/>
  <c r="U59" i="37"/>
  <c r="T59" i="37"/>
  <c r="E59" i="37"/>
  <c r="AF58" i="37"/>
  <c r="O58" i="37"/>
  <c r="N58" i="37"/>
  <c r="K58" i="37"/>
  <c r="AF57" i="37"/>
  <c r="Q57" i="37"/>
  <c r="O57" i="37"/>
  <c r="N57" i="37"/>
  <c r="M57" i="37"/>
  <c r="AF56" i="37"/>
  <c r="P56" i="37"/>
  <c r="O56" i="37"/>
  <c r="N56" i="37"/>
  <c r="K56" i="37"/>
  <c r="I56" i="37"/>
  <c r="G56" i="37"/>
  <c r="AF55" i="37"/>
  <c r="K55" i="37"/>
  <c r="I55" i="37"/>
  <c r="G55" i="37"/>
  <c r="F55" i="37"/>
  <c r="AF54" i="37"/>
  <c r="N54" i="37"/>
  <c r="K54" i="37"/>
  <c r="I54" i="37"/>
  <c r="G54" i="37"/>
  <c r="F54" i="37"/>
  <c r="AF53" i="37"/>
  <c r="O53" i="37"/>
  <c r="N53" i="37"/>
  <c r="M53" i="37"/>
  <c r="K53" i="37"/>
  <c r="I53" i="37"/>
  <c r="G53" i="37"/>
  <c r="AF52" i="37"/>
  <c r="O52" i="37"/>
  <c r="N52" i="37"/>
  <c r="M52" i="37"/>
  <c r="L52" i="37"/>
  <c r="K52" i="37"/>
  <c r="I52" i="37"/>
  <c r="G52" i="37"/>
  <c r="AF51" i="37"/>
  <c r="N51" i="37"/>
  <c r="M51" i="37"/>
  <c r="L51" i="37"/>
  <c r="K51" i="37"/>
  <c r="I51" i="37"/>
  <c r="AF50" i="37"/>
  <c r="Q50" i="37"/>
  <c r="P50" i="37"/>
  <c r="K50" i="37"/>
  <c r="I50" i="37"/>
  <c r="AF49" i="37"/>
  <c r="P49" i="37"/>
  <c r="O49" i="37"/>
  <c r="M49" i="37"/>
  <c r="L49" i="37"/>
  <c r="K49" i="37"/>
  <c r="I49" i="37"/>
  <c r="AF48" i="37"/>
  <c r="N48" i="37"/>
  <c r="M48" i="37"/>
  <c r="L48" i="37"/>
  <c r="K48" i="37"/>
  <c r="I48" i="37"/>
  <c r="G48" i="37"/>
  <c r="AF47" i="37"/>
  <c r="M47" i="37"/>
  <c r="G47" i="37"/>
  <c r="AF46" i="37"/>
  <c r="Q46" i="37"/>
  <c r="P46" i="37"/>
  <c r="O46" i="37"/>
  <c r="K46" i="37"/>
  <c r="I46" i="37"/>
  <c r="G46" i="37"/>
  <c r="AF45" i="37"/>
  <c r="O45" i="37"/>
  <c r="N45" i="37"/>
  <c r="I45" i="37"/>
  <c r="F45" i="37"/>
  <c r="AF44" i="37"/>
  <c r="AF59" i="37" s="1"/>
  <c r="I44" i="37"/>
  <c r="AE40" i="37"/>
  <c r="AD40" i="37"/>
  <c r="AC40" i="37"/>
  <c r="AB40" i="37"/>
  <c r="AA40" i="37"/>
  <c r="Z40" i="37"/>
  <c r="Y40" i="37"/>
  <c r="X40" i="37"/>
  <c r="W40" i="37"/>
  <c r="V40" i="37"/>
  <c r="U40" i="37"/>
  <c r="T40" i="37"/>
  <c r="E40" i="37"/>
  <c r="AF39" i="37"/>
  <c r="K39" i="37"/>
  <c r="J39" i="37"/>
  <c r="I39" i="37"/>
  <c r="G39" i="37"/>
  <c r="AF38" i="37"/>
  <c r="I38" i="37"/>
  <c r="AF37" i="37"/>
  <c r="P37" i="37"/>
  <c r="O37" i="37"/>
  <c r="K37" i="37"/>
  <c r="AF36" i="37"/>
  <c r="P36" i="37"/>
  <c r="O36" i="37"/>
  <c r="N36" i="37"/>
  <c r="I36" i="37"/>
  <c r="AF35" i="37"/>
  <c r="AF34" i="37"/>
  <c r="P34" i="37"/>
  <c r="N34" i="37"/>
  <c r="AF33" i="37"/>
  <c r="P33" i="37"/>
  <c r="O33" i="37"/>
  <c r="N33" i="37"/>
  <c r="M33" i="37"/>
  <c r="M71" i="37" s="1"/>
  <c r="G33" i="37"/>
  <c r="AF32" i="37"/>
  <c r="O32" i="37"/>
  <c r="AF31" i="37"/>
  <c r="Q31" i="37"/>
  <c r="J31" i="37"/>
  <c r="G31" i="37"/>
  <c r="AF30" i="37"/>
  <c r="P30" i="37"/>
  <c r="O30" i="37"/>
  <c r="G30" i="37"/>
  <c r="AF29" i="37"/>
  <c r="Q29" i="37"/>
  <c r="P29" i="37"/>
  <c r="AF28" i="37"/>
  <c r="K28" i="37"/>
  <c r="I28" i="37"/>
  <c r="AF27" i="37"/>
  <c r="K27" i="37"/>
  <c r="J27" i="37"/>
  <c r="I27" i="37"/>
  <c r="G27" i="37"/>
  <c r="AF26" i="37"/>
  <c r="AF25" i="37"/>
  <c r="P25" i="37"/>
  <c r="O25" i="37"/>
  <c r="K25" i="37"/>
  <c r="J25" i="37"/>
  <c r="G25" i="37"/>
  <c r="AE21" i="37"/>
  <c r="AD21" i="37"/>
  <c r="AC21" i="37"/>
  <c r="AB21" i="37"/>
  <c r="AA21" i="37"/>
  <c r="Z21" i="37"/>
  <c r="Y21" i="37"/>
  <c r="X21" i="37"/>
  <c r="W21" i="37"/>
  <c r="V21" i="37"/>
  <c r="U21" i="37"/>
  <c r="T21" i="37"/>
  <c r="E21" i="37"/>
  <c r="AF20" i="37"/>
  <c r="Q20" i="37"/>
  <c r="P20" i="37"/>
  <c r="O20" i="37"/>
  <c r="M20" i="37"/>
  <c r="AF19" i="37"/>
  <c r="O19" i="37"/>
  <c r="N19" i="37"/>
  <c r="M19" i="37"/>
  <c r="L19" i="37"/>
  <c r="K19" i="37"/>
  <c r="G19" i="37"/>
  <c r="AF18" i="37"/>
  <c r="O18" i="37"/>
  <c r="N18" i="37"/>
  <c r="M18" i="37"/>
  <c r="L18" i="37"/>
  <c r="AF17" i="37"/>
  <c r="O17" i="37"/>
  <c r="N17" i="37"/>
  <c r="M17" i="37"/>
  <c r="I17" i="37"/>
  <c r="AF16" i="37"/>
  <c r="P16" i="37"/>
  <c r="O16" i="37"/>
  <c r="M16" i="37"/>
  <c r="I16" i="37"/>
  <c r="AF15" i="37"/>
  <c r="Q15" i="37"/>
  <c r="P15" i="37"/>
  <c r="O15" i="37"/>
  <c r="M15" i="37"/>
  <c r="H15" i="37"/>
  <c r="F15" i="37"/>
  <c r="AF14" i="37"/>
  <c r="M14" i="37"/>
  <c r="K14" i="37"/>
  <c r="J14" i="37"/>
  <c r="F14" i="37"/>
  <c r="AF13" i="37"/>
  <c r="Q13" i="37"/>
  <c r="L13" i="37"/>
  <c r="K13" i="37"/>
  <c r="J13" i="37"/>
  <c r="I13" i="37"/>
  <c r="AF12" i="37"/>
  <c r="Q12" i="37"/>
  <c r="O12" i="37"/>
  <c r="M12" i="37"/>
  <c r="L12" i="37"/>
  <c r="K12" i="37"/>
  <c r="J12" i="37"/>
  <c r="I12" i="37"/>
  <c r="H12" i="37"/>
  <c r="AF11" i="37"/>
  <c r="M11" i="37"/>
  <c r="K11" i="37"/>
  <c r="J11" i="37"/>
  <c r="I11" i="37"/>
  <c r="F11" i="37"/>
  <c r="AF10" i="37"/>
  <c r="O10" i="37"/>
  <c r="M10" i="37"/>
  <c r="K10" i="37"/>
  <c r="I10" i="37"/>
  <c r="F10" i="37"/>
  <c r="AF9" i="37"/>
  <c r="P9" i="37"/>
  <c r="O9" i="37"/>
  <c r="M9" i="37"/>
  <c r="J9" i="37"/>
  <c r="I9" i="37"/>
  <c r="AF8" i="37"/>
  <c r="P8" i="37"/>
  <c r="O8" i="37"/>
  <c r="M8" i="37"/>
  <c r="J8" i="37"/>
  <c r="I8" i="37"/>
  <c r="AF7" i="37"/>
  <c r="O7" i="37"/>
  <c r="M7" i="37"/>
  <c r="L7" i="37"/>
  <c r="AF6" i="37"/>
  <c r="Q6" i="37"/>
  <c r="P6" i="37"/>
  <c r="O6" i="37"/>
  <c r="N6" i="37"/>
  <c r="M6" i="37"/>
  <c r="L6" i="37"/>
  <c r="K6" i="37"/>
  <c r="J6" i="37"/>
  <c r="P144" i="38"/>
  <c r="N144" i="38"/>
  <c r="M144" i="38"/>
  <c r="L144" i="38"/>
  <c r="K144" i="38"/>
  <c r="R143" i="38"/>
  <c r="Q143" i="38"/>
  <c r="P143" i="38"/>
  <c r="N143" i="38"/>
  <c r="M143" i="38"/>
  <c r="L143" i="38"/>
  <c r="K143" i="38"/>
  <c r="J143" i="38"/>
  <c r="Q142" i="38"/>
  <c r="P142" i="38"/>
  <c r="O142" i="38"/>
  <c r="N142" i="38"/>
  <c r="M142" i="38"/>
  <c r="L142" i="38"/>
  <c r="P141" i="38"/>
  <c r="N141" i="38"/>
  <c r="M141" i="38"/>
  <c r="L141" i="38"/>
  <c r="K141" i="38"/>
  <c r="J141" i="38"/>
  <c r="I141" i="38"/>
  <c r="S140" i="38"/>
  <c r="Q140" i="38"/>
  <c r="N140" i="38"/>
  <c r="M140" i="38"/>
  <c r="L140" i="38"/>
  <c r="S139" i="38"/>
  <c r="Q139" i="38"/>
  <c r="O198" i="37" s="1"/>
  <c r="N139" i="38"/>
  <c r="L198" i="37" s="1"/>
  <c r="M139" i="38"/>
  <c r="J139" i="38"/>
  <c r="I139" i="38"/>
  <c r="S138" i="38"/>
  <c r="R138" i="38"/>
  <c r="Q138" i="38"/>
  <c r="M138" i="38"/>
  <c r="J138" i="38"/>
  <c r="S137" i="38"/>
  <c r="Q137" i="38"/>
  <c r="P137" i="38"/>
  <c r="L137" i="38"/>
  <c r="J137" i="38"/>
  <c r="I137" i="38"/>
  <c r="S136" i="38"/>
  <c r="Q136" i="38"/>
  <c r="I136" i="38"/>
  <c r="S135" i="38"/>
  <c r="R135" i="38"/>
  <c r="Q135" i="38"/>
  <c r="O135" i="38"/>
  <c r="N135" i="38"/>
  <c r="J135" i="38"/>
  <c r="Q134" i="38"/>
  <c r="O134" i="38"/>
  <c r="N134" i="38"/>
  <c r="M134" i="38"/>
  <c r="I134" i="38"/>
  <c r="S133" i="38"/>
  <c r="R133" i="38"/>
  <c r="Q133" i="38"/>
  <c r="N133" i="38"/>
  <c r="M133" i="38"/>
  <c r="J133" i="38"/>
  <c r="S111" i="38"/>
  <c r="O111" i="38"/>
  <c r="N111" i="38"/>
  <c r="S110" i="38"/>
  <c r="R110" i="38"/>
  <c r="R111" i="38" s="1"/>
  <c r="Q110" i="38"/>
  <c r="Q111" i="38" s="1"/>
  <c r="P110" i="38"/>
  <c r="O110" i="38"/>
  <c r="N110" i="38"/>
  <c r="M110" i="38"/>
  <c r="M111" i="38" s="1"/>
  <c r="L110" i="38"/>
  <c r="K110" i="38"/>
  <c r="J110" i="38"/>
  <c r="J111" i="38" s="1"/>
  <c r="I110" i="38"/>
  <c r="H110" i="38"/>
  <c r="H111" i="38" s="1"/>
  <c r="F110" i="38"/>
  <c r="E110" i="38"/>
  <c r="S92" i="38"/>
  <c r="S91" i="38"/>
  <c r="R91" i="38"/>
  <c r="R92" i="38" s="1"/>
  <c r="Q91" i="38"/>
  <c r="Q92" i="38" s="1"/>
  <c r="P91" i="38"/>
  <c r="P92" i="38" s="1"/>
  <c r="O91" i="38"/>
  <c r="O92" i="38" s="1"/>
  <c r="N91" i="38"/>
  <c r="N92" i="38" s="1"/>
  <c r="M91" i="38"/>
  <c r="M92" i="38" s="1"/>
  <c r="L91" i="38"/>
  <c r="L92" i="38" s="1"/>
  <c r="K91" i="38"/>
  <c r="K92" i="38" s="1"/>
  <c r="J91" i="38"/>
  <c r="I91" i="38"/>
  <c r="H91" i="38"/>
  <c r="H92" i="38" s="1"/>
  <c r="G91" i="38"/>
  <c r="F91" i="38"/>
  <c r="E91" i="38"/>
  <c r="S73" i="38"/>
  <c r="R73" i="38"/>
  <c r="Q73" i="38"/>
  <c r="P73" i="38"/>
  <c r="O73" i="38"/>
  <c r="N73" i="38"/>
  <c r="S72" i="38"/>
  <c r="R72" i="38"/>
  <c r="Q72" i="38"/>
  <c r="P72" i="38"/>
  <c r="O72" i="38"/>
  <c r="N72" i="38"/>
  <c r="M72" i="38"/>
  <c r="M73" i="38" s="1"/>
  <c r="L72" i="38"/>
  <c r="K72" i="38"/>
  <c r="K73" i="38" s="1"/>
  <c r="J72" i="38"/>
  <c r="J73" i="38" s="1"/>
  <c r="I72" i="38"/>
  <c r="I73" i="38" s="1"/>
  <c r="H72" i="38"/>
  <c r="G72" i="38"/>
  <c r="F72" i="38"/>
  <c r="E72" i="38"/>
  <c r="S52" i="38"/>
  <c r="R52" i="38"/>
  <c r="P160" i="37" s="1"/>
  <c r="P167" i="40" s="1"/>
  <c r="P169" i="40" s="1"/>
  <c r="Q52" i="38"/>
  <c r="O160" i="37" s="1"/>
  <c r="O167" i="40" s="1"/>
  <c r="O169" i="40" s="1"/>
  <c r="P52" i="38"/>
  <c r="O52" i="38"/>
  <c r="M160" i="37" s="1"/>
  <c r="N52" i="38"/>
  <c r="M52" i="38"/>
  <c r="K165" i="37" s="1"/>
  <c r="L52" i="38"/>
  <c r="K52" i="38"/>
  <c r="I160" i="37" s="1"/>
  <c r="I167" i="40" s="1"/>
  <c r="J52" i="38"/>
  <c r="I52" i="38"/>
  <c r="H52" i="38"/>
  <c r="F165" i="37" s="1"/>
  <c r="S43" i="38"/>
  <c r="R43" i="38"/>
  <c r="Q43" i="38"/>
  <c r="P43" i="38"/>
  <c r="O43" i="38"/>
  <c r="N43" i="38"/>
  <c r="M43" i="38"/>
  <c r="L43" i="38"/>
  <c r="K43" i="38"/>
  <c r="K142" i="38" s="1"/>
  <c r="J43" i="38"/>
  <c r="I43" i="38"/>
  <c r="H43" i="38"/>
  <c r="G43" i="38"/>
  <c r="F43" i="38"/>
  <c r="E43" i="38"/>
  <c r="R37" i="38"/>
  <c r="P37" i="38"/>
  <c r="O37" i="38"/>
  <c r="K37" i="38"/>
  <c r="J37" i="38"/>
  <c r="S36" i="38"/>
  <c r="S37" i="38" s="1"/>
  <c r="R36" i="38"/>
  <c r="Q36" i="38"/>
  <c r="Q37" i="38" s="1"/>
  <c r="P36" i="38"/>
  <c r="O36" i="38"/>
  <c r="N36" i="38"/>
  <c r="M36" i="38"/>
  <c r="L36" i="38"/>
  <c r="L136" i="38" s="1"/>
  <c r="K36" i="38"/>
  <c r="J36" i="38"/>
  <c r="I36" i="38"/>
  <c r="I37" i="38" s="1"/>
  <c r="H36" i="38"/>
  <c r="G36" i="38"/>
  <c r="F36" i="38"/>
  <c r="E36" i="38"/>
  <c r="S28" i="38"/>
  <c r="R28" i="38"/>
  <c r="O28" i="38"/>
  <c r="N28" i="38"/>
  <c r="M28" i="38"/>
  <c r="L28" i="38"/>
  <c r="K28" i="38"/>
  <c r="S27" i="38"/>
  <c r="S134" i="38" s="1"/>
  <c r="R27" i="38"/>
  <c r="R134" i="38" s="1"/>
  <c r="Q27" i="38"/>
  <c r="Q28" i="38" s="1"/>
  <c r="P27" i="38"/>
  <c r="P135" i="38" s="1"/>
  <c r="O27" i="38"/>
  <c r="O138" i="38" s="1"/>
  <c r="N27" i="38"/>
  <c r="N138" i="38" s="1"/>
  <c r="M27" i="38"/>
  <c r="M135" i="38" s="1"/>
  <c r="L27" i="38"/>
  <c r="K27" i="38"/>
  <c r="J27" i="38"/>
  <c r="J28" i="38" s="1"/>
  <c r="I27" i="38"/>
  <c r="H27" i="38"/>
  <c r="S20" i="38"/>
  <c r="R20" i="38"/>
  <c r="Q20" i="38"/>
  <c r="P20" i="38"/>
  <c r="O20" i="38"/>
  <c r="N20" i="38"/>
  <c r="M20" i="38"/>
  <c r="L20" i="38"/>
  <c r="K20" i="38"/>
  <c r="J20" i="38"/>
  <c r="I20" i="38"/>
  <c r="I111" i="38" s="1"/>
  <c r="H20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S8" i="38"/>
  <c r="R8" i="38"/>
  <c r="Q8" i="38"/>
  <c r="P8" i="38"/>
  <c r="O8" i="38"/>
  <c r="N8" i="38"/>
  <c r="D14" i="52" s="1"/>
  <c r="K20" i="52" s="1"/>
  <c r="M8" i="38"/>
  <c r="L8" i="38"/>
  <c r="K8" i="38"/>
  <c r="J8" i="38"/>
  <c r="I8" i="38"/>
  <c r="H8" i="38"/>
  <c r="G8" i="38"/>
  <c r="F8" i="38"/>
  <c r="E8" i="38"/>
  <c r="S47" i="39"/>
  <c r="R47" i="39"/>
  <c r="Q47" i="39"/>
  <c r="P47" i="39"/>
  <c r="O47" i="39"/>
  <c r="N47" i="39"/>
  <c r="M47" i="39"/>
  <c r="L47" i="39"/>
  <c r="K47" i="39"/>
  <c r="J47" i="39"/>
  <c r="I47" i="39"/>
  <c r="H47" i="39"/>
  <c r="G42" i="39"/>
  <c r="F42" i="39"/>
  <c r="E42" i="39"/>
  <c r="T41" i="39"/>
  <c r="H40" i="39"/>
  <c r="T31" i="39"/>
  <c r="S31" i="39"/>
  <c r="R31" i="39"/>
  <c r="Q31" i="39"/>
  <c r="P31" i="39"/>
  <c r="P40" i="39" s="1"/>
  <c r="O31" i="39"/>
  <c r="O40" i="39" s="1"/>
  <c r="N31" i="39"/>
  <c r="M31" i="39"/>
  <c r="M40" i="39" s="1"/>
  <c r="L31" i="39"/>
  <c r="K31" i="39"/>
  <c r="K40" i="39" s="1"/>
  <c r="J31" i="39"/>
  <c r="J40" i="39" s="1"/>
  <c r="I31" i="39"/>
  <c r="I40" i="39" s="1"/>
  <c r="H31" i="39"/>
  <c r="G31" i="39"/>
  <c r="F31" i="39"/>
  <c r="E31" i="39"/>
  <c r="T28" i="39"/>
  <c r="I28" i="39"/>
  <c r="H28" i="39"/>
  <c r="T25" i="39"/>
  <c r="J25" i="39"/>
  <c r="I25" i="39"/>
  <c r="H25" i="39"/>
  <c r="AQ27" i="40" s="1"/>
  <c r="AQ29" i="40" s="1"/>
  <c r="AS29" i="40" s="1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T19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W16" i="39"/>
  <c r="X15" i="39"/>
  <c r="S15" i="39"/>
  <c r="R15" i="39"/>
  <c r="Q15" i="39"/>
  <c r="O51" i="37" s="1"/>
  <c r="P15" i="39"/>
  <c r="O15" i="39"/>
  <c r="N15" i="39"/>
  <c r="M15" i="39"/>
  <c r="K45" i="37" s="1"/>
  <c r="L15" i="39"/>
  <c r="K15" i="39"/>
  <c r="J15" i="39"/>
  <c r="H185" i="37" s="1"/>
  <c r="I15" i="39"/>
  <c r="H15" i="39"/>
  <c r="X14" i="39"/>
  <c r="R14" i="39"/>
  <c r="Q14" i="39"/>
  <c r="P14" i="39"/>
  <c r="L14" i="39"/>
  <c r="H14" i="39"/>
  <c r="X13" i="39"/>
  <c r="X16" i="39" s="1"/>
  <c r="S13" i="39"/>
  <c r="Q19" i="37" s="1"/>
  <c r="R13" i="39"/>
  <c r="Q13" i="39"/>
  <c r="O173" i="37" s="1"/>
  <c r="P13" i="39"/>
  <c r="N7" i="37" s="1"/>
  <c r="O13" i="39"/>
  <c r="M13" i="37" s="1"/>
  <c r="N13" i="39"/>
  <c r="M13" i="39"/>
  <c r="K8" i="37" s="1"/>
  <c r="L13" i="39"/>
  <c r="K13" i="39"/>
  <c r="J13" i="39"/>
  <c r="I13" i="39"/>
  <c r="G14" i="37" s="1"/>
  <c r="G71" i="37" s="1"/>
  <c r="H13" i="39"/>
  <c r="G10" i="39"/>
  <c r="F10" i="39"/>
  <c r="E10" i="39"/>
  <c r="G9" i="39"/>
  <c r="T8" i="39"/>
  <c r="S8" i="39"/>
  <c r="S14" i="39" s="1"/>
  <c r="R8" i="39"/>
  <c r="Q8" i="39"/>
  <c r="P8" i="39"/>
  <c r="O8" i="39"/>
  <c r="O14" i="39" s="1"/>
  <c r="N8" i="39"/>
  <c r="N14" i="39" s="1"/>
  <c r="M8" i="39"/>
  <c r="M14" i="39" s="1"/>
  <c r="L8" i="39"/>
  <c r="K8" i="39"/>
  <c r="K14" i="39" s="1"/>
  <c r="J8" i="39"/>
  <c r="J14" i="39" s="1"/>
  <c r="I8" i="39"/>
  <c r="I14" i="39" s="1"/>
  <c r="G37" i="37" s="1"/>
  <c r="H8" i="39"/>
  <c r="G8" i="39"/>
  <c r="G7" i="39"/>
  <c r="Q4" i="39"/>
  <c r="P4" i="39"/>
  <c r="M4" i="39"/>
  <c r="K4" i="39"/>
  <c r="AG17" i="84"/>
  <c r="AD17" i="84"/>
  <c r="Y17" i="84"/>
  <c r="W17" i="84"/>
  <c r="V17" i="84"/>
  <c r="U17" i="84"/>
  <c r="T17" i="84"/>
  <c r="Z16" i="84"/>
  <c r="Y16" i="84"/>
  <c r="X16" i="84"/>
  <c r="V16" i="84"/>
  <c r="U16" i="84"/>
  <c r="AG15" i="84"/>
  <c r="AA15" i="84"/>
  <c r="Z15" i="84"/>
  <c r="Y15" i="84"/>
  <c r="W15" i="84"/>
  <c r="V15" i="84"/>
  <c r="AF14" i="84"/>
  <c r="AE14" i="84"/>
  <c r="AD14" i="84"/>
  <c r="Z14" i="84"/>
  <c r="X14" i="84"/>
  <c r="T14" i="84"/>
  <c r="AB13" i="84"/>
  <c r="X13" i="84"/>
  <c r="W13" i="84"/>
  <c r="V13" i="84"/>
  <c r="U13" i="84"/>
  <c r="AC12" i="84"/>
  <c r="AA12" i="84"/>
  <c r="W12" i="84"/>
  <c r="T12" i="84"/>
  <c r="AD11" i="84"/>
  <c r="Z11" i="84"/>
  <c r="X11" i="84"/>
  <c r="V11" i="84"/>
  <c r="AE10" i="84"/>
  <c r="AD10" i="84"/>
  <c r="AC10" i="84"/>
  <c r="AB10" i="84"/>
  <c r="AA10" i="84"/>
  <c r="Z10" i="84"/>
  <c r="Y10" i="84"/>
  <c r="AF9" i="84"/>
  <c r="AE9" i="84"/>
  <c r="AD9" i="84"/>
  <c r="AB9" i="84"/>
  <c r="X9" i="84"/>
  <c r="W9" i="84"/>
  <c r="V9" i="84"/>
  <c r="AE8" i="84"/>
  <c r="Y8" i="84"/>
  <c r="X8" i="84"/>
  <c r="W8" i="84"/>
  <c r="V8" i="84"/>
  <c r="U8" i="84"/>
  <c r="X7" i="84"/>
  <c r="W7" i="84"/>
  <c r="N169" i="40"/>
  <c r="L169" i="40"/>
  <c r="I169" i="40"/>
  <c r="AM168" i="40"/>
  <c r="AL168" i="40"/>
  <c r="N167" i="40"/>
  <c r="L167" i="40"/>
  <c r="F167" i="40"/>
  <c r="AF163" i="40"/>
  <c r="I163" i="40"/>
  <c r="AA162" i="40"/>
  <c r="Y162" i="40"/>
  <c r="V162" i="40"/>
  <c r="U162" i="40"/>
  <c r="T162" i="40"/>
  <c r="R162" i="40"/>
  <c r="Q162" i="40"/>
  <c r="P162" i="40"/>
  <c r="N162" i="40"/>
  <c r="M162" i="40"/>
  <c r="L162" i="40"/>
  <c r="L163" i="40" s="1"/>
  <c r="K162" i="40"/>
  <c r="J162" i="40"/>
  <c r="I162" i="40"/>
  <c r="F162" i="40"/>
  <c r="O162" i="40" s="1"/>
  <c r="AF161" i="40"/>
  <c r="N161" i="40"/>
  <c r="L161" i="40"/>
  <c r="I161" i="40"/>
  <c r="F161" i="40"/>
  <c r="AE157" i="40"/>
  <c r="AD157" i="40"/>
  <c r="AC157" i="40"/>
  <c r="AB157" i="40"/>
  <c r="AA157" i="40"/>
  <c r="Z157" i="40"/>
  <c r="V157" i="40"/>
  <c r="U157" i="40"/>
  <c r="T157" i="40"/>
  <c r="E157" i="40"/>
  <c r="AF156" i="40"/>
  <c r="AF155" i="40"/>
  <c r="AF154" i="40"/>
  <c r="AF153" i="40"/>
  <c r="AF152" i="40"/>
  <c r="Y151" i="40"/>
  <c r="Y157" i="40" s="1"/>
  <c r="X151" i="40"/>
  <c r="X157" i="40" s="1"/>
  <c r="W151" i="40"/>
  <c r="AF150" i="40"/>
  <c r="AF149" i="40"/>
  <c r="AF148" i="40"/>
  <c r="AF147" i="40"/>
  <c r="AF146" i="40"/>
  <c r="AF145" i="40"/>
  <c r="AF144" i="40"/>
  <c r="AF143" i="40"/>
  <c r="AF142" i="40"/>
  <c r="AE138" i="40"/>
  <c r="AD138" i="40"/>
  <c r="AD225" i="37" s="1"/>
  <c r="AC138" i="40"/>
  <c r="AC225" i="37" s="1"/>
  <c r="AB138" i="40"/>
  <c r="AA138" i="40"/>
  <c r="AA118" i="40" s="1"/>
  <c r="Z138" i="40"/>
  <c r="Y138" i="40"/>
  <c r="V138" i="40"/>
  <c r="U138" i="40"/>
  <c r="U225" i="37" s="1"/>
  <c r="T138" i="40"/>
  <c r="T225" i="37" s="1"/>
  <c r="E138" i="40"/>
  <c r="AF137" i="40"/>
  <c r="AF136" i="40"/>
  <c r="AF116" i="40" s="1"/>
  <c r="AF17" i="84" s="1"/>
  <c r="AF135" i="40"/>
  <c r="AF115" i="40" s="1"/>
  <c r="AF134" i="40"/>
  <c r="AF114" i="40" s="1"/>
  <c r="AF133" i="40"/>
  <c r="AF113" i="40" s="1"/>
  <c r="Y132" i="40"/>
  <c r="Y112" i="40" s="1"/>
  <c r="X132" i="40"/>
  <c r="X138" i="40" s="1"/>
  <c r="W132" i="40"/>
  <c r="AF131" i="40"/>
  <c r="AF130" i="40"/>
  <c r="AF110" i="40" s="1"/>
  <c r="AF129" i="40"/>
  <c r="AF128" i="40"/>
  <c r="AF127" i="40"/>
  <c r="AF107" i="40" s="1"/>
  <c r="AF126" i="40"/>
  <c r="AF106" i="40" s="1"/>
  <c r="AF125" i="40"/>
  <c r="AF124" i="40"/>
  <c r="AF104" i="40" s="1"/>
  <c r="AF123" i="40"/>
  <c r="AM119" i="40"/>
  <c r="AL119" i="40"/>
  <c r="AC118" i="40"/>
  <c r="AB118" i="40"/>
  <c r="T118" i="40"/>
  <c r="AF117" i="40"/>
  <c r="AE117" i="40"/>
  <c r="AD117" i="40"/>
  <c r="AC117" i="40"/>
  <c r="AB117" i="40"/>
  <c r="AA117" i="40"/>
  <c r="Z117" i="40"/>
  <c r="Y117" i="40"/>
  <c r="X117" i="40"/>
  <c r="W117" i="40"/>
  <c r="V117" i="40"/>
  <c r="U117" i="40"/>
  <c r="T117" i="40"/>
  <c r="AE116" i="40"/>
  <c r="AE17" i="84" s="1"/>
  <c r="AD116" i="40"/>
  <c r="AC116" i="40"/>
  <c r="AC17" i="84" s="1"/>
  <c r="AB116" i="40"/>
  <c r="AB17" i="84" s="1"/>
  <c r="AA116" i="40"/>
  <c r="AA17" i="84" s="1"/>
  <c r="Z116" i="40"/>
  <c r="Z17" i="84" s="1"/>
  <c r="Y116" i="40"/>
  <c r="X116" i="40"/>
  <c r="X17" i="84" s="1"/>
  <c r="W116" i="40"/>
  <c r="V116" i="40"/>
  <c r="U116" i="40"/>
  <c r="T116" i="40"/>
  <c r="AE115" i="40"/>
  <c r="AD115" i="40"/>
  <c r="AC115" i="40"/>
  <c r="AB115" i="40"/>
  <c r="AA115" i="40"/>
  <c r="Z115" i="40"/>
  <c r="Y115" i="40"/>
  <c r="X115" i="40"/>
  <c r="W115" i="40"/>
  <c r="V115" i="40"/>
  <c r="U115" i="40"/>
  <c r="T115" i="40"/>
  <c r="AE114" i="40"/>
  <c r="AD114" i="40"/>
  <c r="AC114" i="40"/>
  <c r="AB114" i="40"/>
  <c r="AA114" i="40"/>
  <c r="Z114" i="40"/>
  <c r="Y114" i="40"/>
  <c r="X114" i="40"/>
  <c r="W114" i="40"/>
  <c r="V114" i="40"/>
  <c r="U114" i="40"/>
  <c r="T114" i="40"/>
  <c r="AE113" i="40"/>
  <c r="AD113" i="40"/>
  <c r="AC113" i="40"/>
  <c r="AB113" i="40"/>
  <c r="AA113" i="40"/>
  <c r="Z113" i="40"/>
  <c r="Y113" i="40"/>
  <c r="X113" i="40"/>
  <c r="W113" i="40"/>
  <c r="V113" i="40"/>
  <c r="U113" i="40"/>
  <c r="T113" i="40"/>
  <c r="AE112" i="40"/>
  <c r="AE16" i="84" s="1"/>
  <c r="AD112" i="40"/>
  <c r="AD16" i="84" s="1"/>
  <c r="AC112" i="40"/>
  <c r="AC16" i="84" s="1"/>
  <c r="AB112" i="40"/>
  <c r="AB16" i="84" s="1"/>
  <c r="AA112" i="40"/>
  <c r="AA16" i="84" s="1"/>
  <c r="Z112" i="40"/>
  <c r="X112" i="40"/>
  <c r="V112" i="40"/>
  <c r="U112" i="40"/>
  <c r="T112" i="40"/>
  <c r="T16" i="84" s="1"/>
  <c r="AF111" i="40"/>
  <c r="AE111" i="40"/>
  <c r="AD111" i="40"/>
  <c r="AC111" i="40"/>
  <c r="AB111" i="40"/>
  <c r="AA111" i="40"/>
  <c r="Z111" i="40"/>
  <c r="Y111" i="40"/>
  <c r="X111" i="40"/>
  <c r="W111" i="40"/>
  <c r="V111" i="40"/>
  <c r="U111" i="40"/>
  <c r="T111" i="40"/>
  <c r="AE110" i="40"/>
  <c r="AD110" i="40"/>
  <c r="AC110" i="40"/>
  <c r="AB110" i="40"/>
  <c r="AA110" i="40"/>
  <c r="Z110" i="40"/>
  <c r="Y110" i="40"/>
  <c r="X110" i="40"/>
  <c r="W110" i="40"/>
  <c r="V110" i="40"/>
  <c r="U110" i="40"/>
  <c r="T110" i="40"/>
  <c r="AF109" i="40"/>
  <c r="AE109" i="40"/>
  <c r="AD109" i="40"/>
  <c r="AC109" i="40"/>
  <c r="AB109" i="40"/>
  <c r="AA109" i="40"/>
  <c r="Z109" i="40"/>
  <c r="Y109" i="40"/>
  <c r="X109" i="40"/>
  <c r="W109" i="40"/>
  <c r="V109" i="40"/>
  <c r="U109" i="40"/>
  <c r="T109" i="40"/>
  <c r="AT108" i="40"/>
  <c r="AF108" i="40"/>
  <c r="AE108" i="40"/>
  <c r="AD108" i="40"/>
  <c r="AC108" i="40"/>
  <c r="AB108" i="40"/>
  <c r="AA108" i="40"/>
  <c r="Z108" i="40"/>
  <c r="Y108" i="40"/>
  <c r="X108" i="40"/>
  <c r="W108" i="40"/>
  <c r="V108" i="40"/>
  <c r="U108" i="40"/>
  <c r="T108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AE106" i="40"/>
  <c r="AD106" i="40"/>
  <c r="AC106" i="40"/>
  <c r="AB106" i="40"/>
  <c r="AA106" i="40"/>
  <c r="Z106" i="40"/>
  <c r="Y106" i="40"/>
  <c r="X106" i="40"/>
  <c r="W106" i="40"/>
  <c r="V106" i="40"/>
  <c r="U106" i="40"/>
  <c r="T106" i="40"/>
  <c r="AF105" i="40"/>
  <c r="AE105" i="40"/>
  <c r="AD105" i="40"/>
  <c r="AC105" i="40"/>
  <c r="AB105" i="40"/>
  <c r="AA105" i="40"/>
  <c r="Z105" i="40"/>
  <c r="Y105" i="40"/>
  <c r="X105" i="40"/>
  <c r="W105" i="40"/>
  <c r="V105" i="40"/>
  <c r="U105" i="40"/>
  <c r="T105" i="40"/>
  <c r="AE104" i="40"/>
  <c r="AD104" i="40"/>
  <c r="AC104" i="40"/>
  <c r="AB104" i="40"/>
  <c r="AA104" i="40"/>
  <c r="Z104" i="40"/>
  <c r="Y104" i="40"/>
  <c r="X104" i="40"/>
  <c r="W104" i="40"/>
  <c r="V104" i="40"/>
  <c r="U104" i="40"/>
  <c r="T104" i="40"/>
  <c r="AF103" i="40"/>
  <c r="AF15" i="84" s="1"/>
  <c r="AE103" i="40"/>
  <c r="AE15" i="84" s="1"/>
  <c r="AD103" i="40"/>
  <c r="AD15" i="84" s="1"/>
  <c r="AC103" i="40"/>
  <c r="AC15" i="84" s="1"/>
  <c r="AB103" i="40"/>
  <c r="AB15" i="84" s="1"/>
  <c r="AA103" i="40"/>
  <c r="Z103" i="40"/>
  <c r="Y103" i="40"/>
  <c r="X103" i="40"/>
  <c r="X15" i="84" s="1"/>
  <c r="W103" i="40"/>
  <c r="V103" i="40"/>
  <c r="U103" i="40"/>
  <c r="U15" i="84" s="1"/>
  <c r="T103" i="40"/>
  <c r="T15" i="84" s="1"/>
  <c r="AE99" i="40"/>
  <c r="AD99" i="40"/>
  <c r="AC99" i="40"/>
  <c r="AB99" i="40"/>
  <c r="AA99" i="40"/>
  <c r="Z99" i="40"/>
  <c r="Y99" i="40"/>
  <c r="X99" i="40"/>
  <c r="W99" i="40"/>
  <c r="V99" i="40"/>
  <c r="U99" i="40"/>
  <c r="T99" i="40"/>
  <c r="AF99" i="40" s="1"/>
  <c r="E99" i="40"/>
  <c r="AF97" i="40"/>
  <c r="AM94" i="40"/>
  <c r="AL94" i="40"/>
  <c r="AF93" i="40"/>
  <c r="Q93" i="40"/>
  <c r="P93" i="40"/>
  <c r="O93" i="40"/>
  <c r="N93" i="40"/>
  <c r="M93" i="40"/>
  <c r="L93" i="40"/>
  <c r="K93" i="40"/>
  <c r="J93" i="40"/>
  <c r="I93" i="40"/>
  <c r="H93" i="40"/>
  <c r="G93" i="40"/>
  <c r="F93" i="40"/>
  <c r="O90" i="40"/>
  <c r="AE80" i="40"/>
  <c r="AE228" i="37" s="1"/>
  <c r="AD80" i="40"/>
  <c r="AC80" i="40"/>
  <c r="AC228" i="37" s="1"/>
  <c r="AB80" i="40"/>
  <c r="AB228" i="37" s="1"/>
  <c r="AA80" i="40"/>
  <c r="AA228" i="37" s="1"/>
  <c r="Z80" i="40"/>
  <c r="Y80" i="40"/>
  <c r="X80" i="40"/>
  <c r="W80" i="40"/>
  <c r="V80" i="40"/>
  <c r="U80" i="40"/>
  <c r="T80" i="40"/>
  <c r="AF80" i="40" s="1"/>
  <c r="E80" i="40"/>
  <c r="AF78" i="40"/>
  <c r="AM75" i="40"/>
  <c r="AL75" i="40"/>
  <c r="AF74" i="40"/>
  <c r="O71" i="40"/>
  <c r="L71" i="40"/>
  <c r="K71" i="40"/>
  <c r="Q65" i="40"/>
  <c r="P65" i="40"/>
  <c r="O65" i="40"/>
  <c r="N65" i="40"/>
  <c r="M65" i="40"/>
  <c r="L65" i="40"/>
  <c r="K65" i="40"/>
  <c r="J65" i="40"/>
  <c r="I65" i="40"/>
  <c r="H65" i="40"/>
  <c r="G65" i="40"/>
  <c r="F65" i="40"/>
  <c r="AE60" i="40"/>
  <c r="AD60" i="40"/>
  <c r="AC60" i="40"/>
  <c r="AC224" i="37" s="1"/>
  <c r="AB60" i="40"/>
  <c r="AB224" i="37" s="1"/>
  <c r="Z60" i="40"/>
  <c r="Z224" i="37" s="1"/>
  <c r="Y60" i="40"/>
  <c r="Y224" i="37" s="1"/>
  <c r="X60" i="40"/>
  <c r="X224" i="37" s="1"/>
  <c r="W60" i="40"/>
  <c r="W224" i="37" s="1"/>
  <c r="V60" i="40"/>
  <c r="U60" i="40"/>
  <c r="E60" i="40"/>
  <c r="AF59" i="40"/>
  <c r="AF40" i="40" s="1"/>
  <c r="AF58" i="40"/>
  <c r="AF57" i="40"/>
  <c r="AF56" i="40"/>
  <c r="AF37" i="40" s="1"/>
  <c r="AF12" i="84" s="1"/>
  <c r="AF55" i="40"/>
  <c r="AF36" i="40" s="1"/>
  <c r="AF54" i="40"/>
  <c r="AF53" i="40"/>
  <c r="AF52" i="40"/>
  <c r="AF51" i="40"/>
  <c r="AF32" i="40" s="1"/>
  <c r="AF10" i="84" s="1"/>
  <c r="AF50" i="40"/>
  <c r="AF49" i="40"/>
  <c r="AF48" i="40"/>
  <c r="AF47" i="40"/>
  <c r="AB46" i="40"/>
  <c r="AA46" i="40"/>
  <c r="AF46" i="40" s="1"/>
  <c r="AF27" i="40" s="1"/>
  <c r="AF8" i="84" s="1"/>
  <c r="W45" i="40"/>
  <c r="W26" i="40" s="1"/>
  <c r="V45" i="40"/>
  <c r="V26" i="40" s="1"/>
  <c r="V7" i="84" s="1"/>
  <c r="U45" i="40"/>
  <c r="U26" i="40" s="1"/>
  <c r="U7" i="84" s="1"/>
  <c r="T45" i="40"/>
  <c r="AF45" i="40" s="1"/>
  <c r="AF26" i="40" s="1"/>
  <c r="AF7" i="84" s="1"/>
  <c r="AE40" i="40"/>
  <c r="AD40" i="40"/>
  <c r="AC40" i="40"/>
  <c r="AB40" i="40"/>
  <c r="AA40" i="40"/>
  <c r="Z40" i="40"/>
  <c r="Y40" i="40"/>
  <c r="X40" i="40"/>
  <c r="W40" i="40"/>
  <c r="V40" i="40"/>
  <c r="U40" i="40"/>
  <c r="T40" i="40"/>
  <c r="AE39" i="40"/>
  <c r="AD39" i="40"/>
  <c r="AC39" i="40"/>
  <c r="AC14" i="84" s="1"/>
  <c r="AB39" i="40"/>
  <c r="AB14" i="84" s="1"/>
  <c r="AA39" i="40"/>
  <c r="AA14" i="84" s="1"/>
  <c r="Z39" i="40"/>
  <c r="Y39" i="40"/>
  <c r="Y14" i="84" s="1"/>
  <c r="X39" i="40"/>
  <c r="W39" i="40"/>
  <c r="W14" i="84" s="1"/>
  <c r="V39" i="40"/>
  <c r="V14" i="84" s="1"/>
  <c r="U39" i="40"/>
  <c r="U14" i="84" s="1"/>
  <c r="T39" i="40"/>
  <c r="AE38" i="40"/>
  <c r="AE13" i="84" s="1"/>
  <c r="AD38" i="40"/>
  <c r="AD13" i="84" s="1"/>
  <c r="AC38" i="40"/>
  <c r="AC13" i="84" s="1"/>
  <c r="AB38" i="40"/>
  <c r="AA38" i="40"/>
  <c r="AA13" i="84" s="1"/>
  <c r="Z38" i="40"/>
  <c r="Z13" i="84" s="1"/>
  <c r="Y38" i="40"/>
  <c r="Y13" i="84" s="1"/>
  <c r="X38" i="40"/>
  <c r="W38" i="40"/>
  <c r="V38" i="40"/>
  <c r="U38" i="40"/>
  <c r="T38" i="40"/>
  <c r="T13" i="84" s="1"/>
  <c r="AE37" i="40"/>
  <c r="AE12" i="84" s="1"/>
  <c r="AD37" i="40"/>
  <c r="AD12" i="84" s="1"/>
  <c r="AC37" i="40"/>
  <c r="AB37" i="40"/>
  <c r="AB12" i="84" s="1"/>
  <c r="AA37" i="40"/>
  <c r="Z37" i="40"/>
  <c r="Z12" i="84" s="1"/>
  <c r="Y37" i="40"/>
  <c r="Y12" i="84" s="1"/>
  <c r="X37" i="40"/>
  <c r="X12" i="84" s="1"/>
  <c r="W37" i="40"/>
  <c r="V37" i="40"/>
  <c r="V12" i="84" s="1"/>
  <c r="U37" i="40"/>
  <c r="U12" i="84" s="1"/>
  <c r="T37" i="40"/>
  <c r="AE36" i="40"/>
  <c r="AD36" i="40"/>
  <c r="AC36" i="40"/>
  <c r="AB36" i="40"/>
  <c r="AA36" i="40"/>
  <c r="Z36" i="40"/>
  <c r="Y36" i="40"/>
  <c r="X36" i="40"/>
  <c r="W36" i="40"/>
  <c r="V36" i="40"/>
  <c r="U36" i="40"/>
  <c r="T36" i="40"/>
  <c r="AF35" i="40"/>
  <c r="AE35" i="40"/>
  <c r="AD35" i="40"/>
  <c r="AC35" i="40"/>
  <c r="AB35" i="40"/>
  <c r="AA35" i="40"/>
  <c r="Z35" i="40"/>
  <c r="Y35" i="40"/>
  <c r="X35" i="40"/>
  <c r="W35" i="40"/>
  <c r="V35" i="40"/>
  <c r="U35" i="40"/>
  <c r="T35" i="40"/>
  <c r="AE34" i="40"/>
  <c r="AD34" i="40"/>
  <c r="AC34" i="40"/>
  <c r="AB34" i="40"/>
  <c r="AA34" i="40"/>
  <c r="Z34" i="40"/>
  <c r="Y34" i="40"/>
  <c r="X34" i="40"/>
  <c r="W34" i="40"/>
  <c r="V34" i="40"/>
  <c r="U34" i="40"/>
  <c r="T34" i="40"/>
  <c r="AF33" i="40"/>
  <c r="AF11" i="84" s="1"/>
  <c r="AE33" i="40"/>
  <c r="AE11" i="84" s="1"/>
  <c r="AD33" i="40"/>
  <c r="AC33" i="40"/>
  <c r="AC11" i="84" s="1"/>
  <c r="AB33" i="40"/>
  <c r="AB11" i="84" s="1"/>
  <c r="AA33" i="40"/>
  <c r="AA11" i="84" s="1"/>
  <c r="Z33" i="40"/>
  <c r="Y33" i="40"/>
  <c r="Y11" i="84" s="1"/>
  <c r="X33" i="40"/>
  <c r="W33" i="40"/>
  <c r="W11" i="84" s="1"/>
  <c r="V33" i="40"/>
  <c r="U33" i="40"/>
  <c r="U11" i="84" s="1"/>
  <c r="T33" i="40"/>
  <c r="T11" i="84" s="1"/>
  <c r="AE32" i="40"/>
  <c r="AD32" i="40"/>
  <c r="AC32" i="40"/>
  <c r="AB32" i="40"/>
  <c r="AA32" i="40"/>
  <c r="Z32" i="40"/>
  <c r="Y32" i="40"/>
  <c r="X32" i="40"/>
  <c r="X10" i="84" s="1"/>
  <c r="W32" i="40"/>
  <c r="W10" i="84" s="1"/>
  <c r="V32" i="40"/>
  <c r="V10" i="84" s="1"/>
  <c r="U32" i="40"/>
  <c r="U10" i="84" s="1"/>
  <c r="T32" i="40"/>
  <c r="T10" i="84" s="1"/>
  <c r="AE31" i="40"/>
  <c r="AD31" i="40"/>
  <c r="AC31" i="40"/>
  <c r="AB31" i="40"/>
  <c r="AA31" i="40"/>
  <c r="Z31" i="40"/>
  <c r="Y31" i="40"/>
  <c r="X31" i="40"/>
  <c r="W31" i="40"/>
  <c r="V31" i="40"/>
  <c r="U31" i="40"/>
  <c r="T31" i="40"/>
  <c r="AF30" i="40"/>
  <c r="AE30" i="40"/>
  <c r="AD30" i="40"/>
  <c r="AC30" i="40"/>
  <c r="AC9" i="84" s="1"/>
  <c r="AB30" i="40"/>
  <c r="AA30" i="40"/>
  <c r="AA9" i="84" s="1"/>
  <c r="Z30" i="40"/>
  <c r="Z9" i="84" s="1"/>
  <c r="Y30" i="40"/>
  <c r="Y9" i="84" s="1"/>
  <c r="X30" i="40"/>
  <c r="W30" i="40"/>
  <c r="V30" i="40"/>
  <c r="U30" i="40"/>
  <c r="U9" i="84" s="1"/>
  <c r="T30" i="40"/>
  <c r="T9" i="84" s="1"/>
  <c r="AT29" i="40"/>
  <c r="AF29" i="40"/>
  <c r="AE29" i="40"/>
  <c r="AD29" i="40"/>
  <c r="AC29" i="40"/>
  <c r="AB29" i="40"/>
  <c r="AA29" i="40"/>
  <c r="Z29" i="40"/>
  <c r="Y29" i="40"/>
  <c r="X29" i="40"/>
  <c r="W29" i="40"/>
  <c r="V29" i="40"/>
  <c r="U29" i="40"/>
  <c r="T29" i="40"/>
  <c r="AT28" i="40"/>
  <c r="AE28" i="40"/>
  <c r="AD28" i="40"/>
  <c r="AC28" i="40"/>
  <c r="AB28" i="40"/>
  <c r="AA28" i="40"/>
  <c r="Z28" i="40"/>
  <c r="Y28" i="40"/>
  <c r="X28" i="40"/>
  <c r="W28" i="40"/>
  <c r="V28" i="40"/>
  <c r="U28" i="40"/>
  <c r="T28" i="40"/>
  <c r="AT27" i="40"/>
  <c r="AE27" i="40"/>
  <c r="AD27" i="40"/>
  <c r="AD8" i="84" s="1"/>
  <c r="AC27" i="40"/>
  <c r="AC8" i="84" s="1"/>
  <c r="AB27" i="40"/>
  <c r="AB8" i="84" s="1"/>
  <c r="AA27" i="40"/>
  <c r="AA8" i="84" s="1"/>
  <c r="Z27" i="40"/>
  <c r="Z8" i="84" s="1"/>
  <c r="Y27" i="40"/>
  <c r="X27" i="40"/>
  <c r="W27" i="40"/>
  <c r="V27" i="40"/>
  <c r="U27" i="40"/>
  <c r="T27" i="40"/>
  <c r="T8" i="84" s="1"/>
  <c r="AE26" i="40"/>
  <c r="AE7" i="84" s="1"/>
  <c r="AD26" i="40"/>
  <c r="AD7" i="84" s="1"/>
  <c r="AC26" i="40"/>
  <c r="AC7" i="84" s="1"/>
  <c r="AB26" i="40"/>
  <c r="AB7" i="84" s="1"/>
  <c r="AA26" i="40"/>
  <c r="AA7" i="84" s="1"/>
  <c r="Z26" i="40"/>
  <c r="Z7" i="84" s="1"/>
  <c r="Y26" i="40"/>
  <c r="Y7" i="84" s="1"/>
  <c r="X26" i="40"/>
  <c r="T26" i="40"/>
  <c r="T7" i="84" s="1"/>
  <c r="AE22" i="40"/>
  <c r="AD22" i="40"/>
  <c r="AC22" i="40"/>
  <c r="AB22" i="40"/>
  <c r="AA22" i="40"/>
  <c r="Z22" i="40"/>
  <c r="Y22" i="40"/>
  <c r="X22" i="40"/>
  <c r="W22" i="40"/>
  <c r="W228" i="37" s="1"/>
  <c r="V22" i="40"/>
  <c r="U22" i="40"/>
  <c r="T22" i="40"/>
  <c r="AF22" i="40" s="1"/>
  <c r="E22" i="40"/>
  <c r="AF21" i="40"/>
  <c r="AF20" i="40"/>
  <c r="AF39" i="40" s="1"/>
  <c r="AF19" i="40"/>
  <c r="AF38" i="40" s="1"/>
  <c r="AF13" i="84" s="1"/>
  <c r="AF18" i="40"/>
  <c r="AF17" i="40"/>
  <c r="AF16" i="40"/>
  <c r="AF15" i="40"/>
  <c r="AF14" i="40"/>
  <c r="AF13" i="40"/>
  <c r="AF12" i="40"/>
  <c r="AF11" i="40"/>
  <c r="AF10" i="40"/>
  <c r="AF9" i="40"/>
  <c r="AF28" i="40" s="1"/>
  <c r="AF8" i="40"/>
  <c r="AF7" i="40"/>
  <c r="R246" i="63"/>
  <c r="R245" i="63"/>
  <c r="R243" i="63"/>
  <c r="R240" i="63"/>
  <c r="R239" i="63"/>
  <c r="R238" i="63"/>
  <c r="Q237" i="63"/>
  <c r="P237" i="63"/>
  <c r="O237" i="63"/>
  <c r="N237" i="63"/>
  <c r="M237" i="63"/>
  <c r="L237" i="63"/>
  <c r="K237" i="63"/>
  <c r="J237" i="63"/>
  <c r="I237" i="63"/>
  <c r="H237" i="63"/>
  <c r="G237" i="63"/>
  <c r="F237" i="63"/>
  <c r="Q236" i="63"/>
  <c r="P236" i="63"/>
  <c r="O236" i="63"/>
  <c r="N236" i="63"/>
  <c r="M236" i="63"/>
  <c r="L236" i="63"/>
  <c r="K236" i="63"/>
  <c r="J236" i="63"/>
  <c r="I236" i="63"/>
  <c r="H236" i="63"/>
  <c r="G236" i="63"/>
  <c r="F236" i="63"/>
  <c r="R233" i="63"/>
  <c r="R231" i="63"/>
  <c r="R228" i="63"/>
  <c r="R227" i="63"/>
  <c r="R226" i="63"/>
  <c r="Q225" i="63"/>
  <c r="P225" i="63"/>
  <c r="O225" i="63"/>
  <c r="N225" i="63"/>
  <c r="M225" i="63"/>
  <c r="L225" i="63"/>
  <c r="K225" i="63"/>
  <c r="J225" i="63"/>
  <c r="I225" i="63"/>
  <c r="H225" i="63"/>
  <c r="G225" i="63"/>
  <c r="F225" i="63"/>
  <c r="R224" i="63"/>
  <c r="Q224" i="63"/>
  <c r="P224" i="63"/>
  <c r="O224" i="63"/>
  <c r="N224" i="63"/>
  <c r="M224" i="63"/>
  <c r="L224" i="63"/>
  <c r="K224" i="63"/>
  <c r="J224" i="63"/>
  <c r="I224" i="63"/>
  <c r="H224" i="63"/>
  <c r="G224" i="63"/>
  <c r="F224" i="63"/>
  <c r="R220" i="63"/>
  <c r="R219" i="63"/>
  <c r="R218" i="63"/>
  <c r="R217" i="63"/>
  <c r="R216" i="63"/>
  <c r="R215" i="63"/>
  <c r="R214" i="63"/>
  <c r="R213" i="63"/>
  <c r="R212" i="63"/>
  <c r="Q211" i="63"/>
  <c r="P211" i="63"/>
  <c r="O211" i="63"/>
  <c r="N211" i="63"/>
  <c r="M211" i="63"/>
  <c r="L211" i="63"/>
  <c r="K211" i="63"/>
  <c r="J211" i="63"/>
  <c r="I211" i="63"/>
  <c r="H211" i="63"/>
  <c r="G211" i="63"/>
  <c r="F211" i="63"/>
  <c r="Q210" i="63"/>
  <c r="P210" i="63"/>
  <c r="O210" i="63"/>
  <c r="N210" i="63"/>
  <c r="M210" i="63"/>
  <c r="L210" i="63"/>
  <c r="K210" i="63"/>
  <c r="J210" i="63"/>
  <c r="I210" i="63"/>
  <c r="H210" i="63"/>
  <c r="G210" i="63"/>
  <c r="F210" i="63"/>
  <c r="R208" i="63"/>
  <c r="R207" i="63"/>
  <c r="R206" i="63"/>
  <c r="R205" i="63"/>
  <c r="R204" i="63"/>
  <c r="R203" i="63"/>
  <c r="R202" i="63"/>
  <c r="R201" i="63"/>
  <c r="R200" i="63"/>
  <c r="L199" i="63"/>
  <c r="K199" i="63"/>
  <c r="J199" i="63"/>
  <c r="I199" i="63"/>
  <c r="H199" i="63"/>
  <c r="Q198" i="63"/>
  <c r="P198" i="63"/>
  <c r="O198" i="63"/>
  <c r="N198" i="63"/>
  <c r="M198" i="63"/>
  <c r="L198" i="63"/>
  <c r="K198" i="63"/>
  <c r="J198" i="63"/>
  <c r="I198" i="63"/>
  <c r="H198" i="63"/>
  <c r="G198" i="63"/>
  <c r="F198" i="63"/>
  <c r="P197" i="63"/>
  <c r="P199" i="63" s="1"/>
  <c r="M197" i="63"/>
  <c r="M199" i="63" s="1"/>
  <c r="L197" i="63"/>
  <c r="K197" i="63"/>
  <c r="J197" i="63"/>
  <c r="G197" i="63"/>
  <c r="G199" i="63" s="1"/>
  <c r="F197" i="63"/>
  <c r="F199" i="63" s="1"/>
  <c r="R196" i="63"/>
  <c r="W58" i="41" s="1"/>
  <c r="AQ58" i="41" s="1"/>
  <c r="R195" i="63"/>
  <c r="W57" i="41" s="1"/>
  <c r="R194" i="63"/>
  <c r="W56" i="41" s="1"/>
  <c r="R193" i="63"/>
  <c r="W55" i="41" s="1"/>
  <c r="R192" i="63"/>
  <c r="W54" i="41" s="1"/>
  <c r="R191" i="63"/>
  <c r="W53" i="41" s="1"/>
  <c r="R190" i="63"/>
  <c r="W52" i="41" s="1"/>
  <c r="R189" i="63"/>
  <c r="R188" i="63"/>
  <c r="J187" i="63"/>
  <c r="I187" i="63"/>
  <c r="H187" i="63"/>
  <c r="G187" i="63"/>
  <c r="Q186" i="63"/>
  <c r="P186" i="63"/>
  <c r="O186" i="63"/>
  <c r="N186" i="63"/>
  <c r="M186" i="63"/>
  <c r="L186" i="63"/>
  <c r="K186" i="63"/>
  <c r="J186" i="63"/>
  <c r="I186" i="63"/>
  <c r="H186" i="63"/>
  <c r="G186" i="63"/>
  <c r="F186" i="63"/>
  <c r="M185" i="63"/>
  <c r="M187" i="63" s="1"/>
  <c r="J185" i="63"/>
  <c r="I185" i="63"/>
  <c r="H185" i="63"/>
  <c r="G185" i="63"/>
  <c r="R184" i="63"/>
  <c r="W36" i="41" s="1"/>
  <c r="R183" i="63"/>
  <c r="W35" i="41" s="1"/>
  <c r="R182" i="63"/>
  <c r="W34" i="41" s="1"/>
  <c r="R181" i="63"/>
  <c r="W33" i="41" s="1"/>
  <c r="R180" i="63"/>
  <c r="W32" i="41" s="1"/>
  <c r="R179" i="63"/>
  <c r="R178" i="63"/>
  <c r="W30" i="41" s="1"/>
  <c r="AR30" i="41" s="1"/>
  <c r="R177" i="63"/>
  <c r="R176" i="63"/>
  <c r="N175" i="63"/>
  <c r="M175" i="63"/>
  <c r="Q174" i="63"/>
  <c r="P174" i="63"/>
  <c r="O174" i="63"/>
  <c r="N174" i="63"/>
  <c r="M174" i="63"/>
  <c r="L174" i="63"/>
  <c r="K174" i="63"/>
  <c r="J174" i="63"/>
  <c r="I174" i="63"/>
  <c r="H174" i="63"/>
  <c r="G174" i="63"/>
  <c r="F174" i="63"/>
  <c r="O173" i="63"/>
  <c r="O175" i="63" s="1"/>
  <c r="N173" i="63"/>
  <c r="M173" i="63"/>
  <c r="G173" i="63"/>
  <c r="G175" i="63" s="1"/>
  <c r="F173" i="63"/>
  <c r="F175" i="63" s="1"/>
  <c r="R171" i="63"/>
  <c r="R170" i="63"/>
  <c r="R169" i="63"/>
  <c r="R168" i="63"/>
  <c r="R167" i="63"/>
  <c r="R166" i="63"/>
  <c r="R165" i="63"/>
  <c r="R162" i="63" s="1"/>
  <c r="R164" i="63"/>
  <c r="Q162" i="63"/>
  <c r="P162" i="63"/>
  <c r="O162" i="63"/>
  <c r="N162" i="63"/>
  <c r="M162" i="63"/>
  <c r="L162" i="63"/>
  <c r="K162" i="63"/>
  <c r="J162" i="63"/>
  <c r="I162" i="63"/>
  <c r="H162" i="63"/>
  <c r="G162" i="63"/>
  <c r="F162" i="63"/>
  <c r="P161" i="63"/>
  <c r="P163" i="63" s="1"/>
  <c r="N161" i="63"/>
  <c r="N163" i="63" s="1"/>
  <c r="M161" i="63"/>
  <c r="M163" i="63" s="1"/>
  <c r="L161" i="63"/>
  <c r="L163" i="63" s="1"/>
  <c r="K161" i="63"/>
  <c r="K163" i="63" s="1"/>
  <c r="J161" i="63"/>
  <c r="J163" i="63" s="1"/>
  <c r="I161" i="63"/>
  <c r="I163" i="63" s="1"/>
  <c r="H161" i="63"/>
  <c r="H163" i="63" s="1"/>
  <c r="G161" i="63"/>
  <c r="G163" i="63" s="1"/>
  <c r="R160" i="63"/>
  <c r="R159" i="63"/>
  <c r="R158" i="63"/>
  <c r="R157" i="63"/>
  <c r="R156" i="63"/>
  <c r="R155" i="63"/>
  <c r="R154" i="63"/>
  <c r="R153" i="63"/>
  <c r="R152" i="63"/>
  <c r="G151" i="63"/>
  <c r="Q150" i="63"/>
  <c r="P150" i="63"/>
  <c r="O150" i="63"/>
  <c r="N150" i="63"/>
  <c r="M150" i="63"/>
  <c r="L150" i="63"/>
  <c r="K150" i="63"/>
  <c r="J150" i="63"/>
  <c r="I150" i="63"/>
  <c r="H150" i="63"/>
  <c r="G150" i="63"/>
  <c r="F150" i="63"/>
  <c r="L149" i="63"/>
  <c r="L151" i="63" s="1"/>
  <c r="Q128" i="41" s="1"/>
  <c r="K149" i="63"/>
  <c r="K151" i="63" s="1"/>
  <c r="P128" i="41" s="1"/>
  <c r="J149" i="63"/>
  <c r="J151" i="63" s="1"/>
  <c r="G149" i="63"/>
  <c r="R148" i="63"/>
  <c r="R147" i="63"/>
  <c r="R146" i="63"/>
  <c r="R145" i="63"/>
  <c r="R144" i="63"/>
  <c r="R143" i="63"/>
  <c r="R142" i="63"/>
  <c r="R141" i="63"/>
  <c r="R140" i="63"/>
  <c r="O139" i="63"/>
  <c r="N139" i="63"/>
  <c r="M139" i="63"/>
  <c r="H139" i="63"/>
  <c r="Q138" i="63"/>
  <c r="P138" i="63"/>
  <c r="O138" i="63"/>
  <c r="N138" i="63"/>
  <c r="M138" i="63"/>
  <c r="L138" i="63"/>
  <c r="K138" i="63"/>
  <c r="J138" i="63"/>
  <c r="I138" i="63"/>
  <c r="H138" i="63"/>
  <c r="G138" i="63"/>
  <c r="F138" i="63"/>
  <c r="O137" i="63"/>
  <c r="N137" i="63"/>
  <c r="I137" i="63"/>
  <c r="I139" i="63" s="1"/>
  <c r="H137" i="63"/>
  <c r="R136" i="63"/>
  <c r="R135" i="63"/>
  <c r="R134" i="63"/>
  <c r="R133" i="63"/>
  <c r="R132" i="63"/>
  <c r="R131" i="63"/>
  <c r="R130" i="63"/>
  <c r="R129" i="63"/>
  <c r="R128" i="63"/>
  <c r="Q127" i="63"/>
  <c r="P127" i="63"/>
  <c r="O127" i="63"/>
  <c r="N127" i="63"/>
  <c r="M127" i="63"/>
  <c r="L127" i="63"/>
  <c r="K127" i="63"/>
  <c r="J127" i="63"/>
  <c r="I127" i="63"/>
  <c r="H127" i="63"/>
  <c r="G127" i="63"/>
  <c r="F127" i="63"/>
  <c r="Q126" i="63"/>
  <c r="P126" i="63"/>
  <c r="O126" i="63"/>
  <c r="N126" i="63"/>
  <c r="M126" i="63"/>
  <c r="L126" i="63"/>
  <c r="K126" i="63"/>
  <c r="J126" i="63"/>
  <c r="I126" i="63"/>
  <c r="H126" i="63"/>
  <c r="G126" i="63"/>
  <c r="F126" i="63"/>
  <c r="R126" i="63" s="1"/>
  <c r="R124" i="63"/>
  <c r="R123" i="63"/>
  <c r="R122" i="63"/>
  <c r="R121" i="63"/>
  <c r="R120" i="63"/>
  <c r="R119" i="63"/>
  <c r="R118" i="63"/>
  <c r="R117" i="63"/>
  <c r="R116" i="63"/>
  <c r="Q115" i="63"/>
  <c r="P115" i="63"/>
  <c r="O115" i="63"/>
  <c r="N115" i="63"/>
  <c r="M115" i="63"/>
  <c r="L115" i="63"/>
  <c r="K115" i="63"/>
  <c r="J115" i="63"/>
  <c r="I115" i="63"/>
  <c r="H115" i="63"/>
  <c r="G115" i="63"/>
  <c r="F115" i="63"/>
  <c r="Q114" i="63"/>
  <c r="P114" i="63"/>
  <c r="O114" i="63"/>
  <c r="N114" i="63"/>
  <c r="M114" i="63"/>
  <c r="L114" i="63"/>
  <c r="K114" i="63"/>
  <c r="J114" i="63"/>
  <c r="I114" i="63"/>
  <c r="H114" i="63"/>
  <c r="G114" i="63"/>
  <c r="F114" i="63"/>
  <c r="R112" i="63"/>
  <c r="R111" i="63"/>
  <c r="R110" i="63"/>
  <c r="R109" i="63"/>
  <c r="R108" i="63"/>
  <c r="R107" i="63"/>
  <c r="R106" i="63"/>
  <c r="R105" i="63"/>
  <c r="R104" i="63"/>
  <c r="Q103" i="63"/>
  <c r="P103" i="63"/>
  <c r="O103" i="63"/>
  <c r="N103" i="63"/>
  <c r="M103" i="63"/>
  <c r="L103" i="63"/>
  <c r="K103" i="63"/>
  <c r="J103" i="63"/>
  <c r="I103" i="63"/>
  <c r="H103" i="63"/>
  <c r="G103" i="63"/>
  <c r="F103" i="63"/>
  <c r="Q102" i="63"/>
  <c r="P102" i="63"/>
  <c r="O102" i="63"/>
  <c r="N102" i="63"/>
  <c r="M102" i="63"/>
  <c r="L102" i="63"/>
  <c r="K102" i="63"/>
  <c r="J102" i="63"/>
  <c r="I102" i="63"/>
  <c r="H102" i="63"/>
  <c r="G102" i="63"/>
  <c r="F102" i="63"/>
  <c r="R100" i="63"/>
  <c r="R99" i="63"/>
  <c r="R98" i="63"/>
  <c r="R97" i="63"/>
  <c r="R96" i="63"/>
  <c r="R95" i="63"/>
  <c r="R94" i="63"/>
  <c r="R93" i="63"/>
  <c r="R92" i="63"/>
  <c r="Q91" i="63"/>
  <c r="P91" i="63"/>
  <c r="O91" i="63"/>
  <c r="N91" i="63"/>
  <c r="M91" i="63"/>
  <c r="L91" i="63"/>
  <c r="K91" i="63"/>
  <c r="J91" i="63"/>
  <c r="I91" i="63"/>
  <c r="H91" i="63"/>
  <c r="G91" i="63"/>
  <c r="F91" i="63"/>
  <c r="Q90" i="63"/>
  <c r="P90" i="63"/>
  <c r="O90" i="63"/>
  <c r="N90" i="63"/>
  <c r="M90" i="63"/>
  <c r="L90" i="63"/>
  <c r="K90" i="63"/>
  <c r="J90" i="63"/>
  <c r="I90" i="63"/>
  <c r="H90" i="63"/>
  <c r="G90" i="63"/>
  <c r="F90" i="63"/>
  <c r="R88" i="63"/>
  <c r="R87" i="63"/>
  <c r="R86" i="63"/>
  <c r="R85" i="63"/>
  <c r="R84" i="63"/>
  <c r="R83" i="63"/>
  <c r="R82" i="63"/>
  <c r="R81" i="63"/>
  <c r="R80" i="63"/>
  <c r="Q79" i="63"/>
  <c r="O79" i="63"/>
  <c r="Q78" i="63"/>
  <c r="P78" i="63"/>
  <c r="O78" i="63"/>
  <c r="N78" i="63"/>
  <c r="M78" i="63"/>
  <c r="L78" i="63"/>
  <c r="K78" i="63"/>
  <c r="J78" i="63"/>
  <c r="I78" i="63"/>
  <c r="H78" i="63"/>
  <c r="G78" i="63"/>
  <c r="F78" i="63"/>
  <c r="Q77" i="63"/>
  <c r="P77" i="63"/>
  <c r="P79" i="63" s="1"/>
  <c r="N77" i="63"/>
  <c r="N79" i="63" s="1"/>
  <c r="M77" i="63"/>
  <c r="M79" i="63" s="1"/>
  <c r="L77" i="63"/>
  <c r="L79" i="63" s="1"/>
  <c r="I77" i="63"/>
  <c r="I79" i="63" s="1"/>
  <c r="H77" i="63"/>
  <c r="H79" i="63" s="1"/>
  <c r="G77" i="63"/>
  <c r="G79" i="63" s="1"/>
  <c r="R76" i="63"/>
  <c r="R75" i="63"/>
  <c r="R74" i="63"/>
  <c r="R73" i="63"/>
  <c r="R72" i="63"/>
  <c r="R71" i="63"/>
  <c r="R70" i="63"/>
  <c r="R69" i="63"/>
  <c r="R68" i="63"/>
  <c r="Q67" i="63"/>
  <c r="P67" i="63"/>
  <c r="O67" i="63"/>
  <c r="N67" i="63"/>
  <c r="M67" i="63"/>
  <c r="L67" i="63"/>
  <c r="K67" i="63"/>
  <c r="J67" i="63"/>
  <c r="I67" i="63"/>
  <c r="H67" i="63"/>
  <c r="G67" i="63"/>
  <c r="F67" i="63"/>
  <c r="Q66" i="63"/>
  <c r="P66" i="63"/>
  <c r="O66" i="63"/>
  <c r="N66" i="63"/>
  <c r="M66" i="63"/>
  <c r="L66" i="63"/>
  <c r="K66" i="63"/>
  <c r="J66" i="63"/>
  <c r="I66" i="63"/>
  <c r="H66" i="63"/>
  <c r="G66" i="63"/>
  <c r="F66" i="63"/>
  <c r="R66" i="63" s="1"/>
  <c r="R64" i="63"/>
  <c r="R63" i="63"/>
  <c r="R62" i="63"/>
  <c r="R61" i="63"/>
  <c r="R60" i="63"/>
  <c r="R59" i="63"/>
  <c r="R58" i="63"/>
  <c r="R57" i="63"/>
  <c r="R56" i="63"/>
  <c r="Q55" i="63"/>
  <c r="P55" i="63"/>
  <c r="O55" i="63"/>
  <c r="N55" i="63"/>
  <c r="M55" i="63"/>
  <c r="L55" i="63"/>
  <c r="K55" i="63"/>
  <c r="J55" i="63"/>
  <c r="I55" i="63"/>
  <c r="H55" i="63"/>
  <c r="G55" i="63"/>
  <c r="F55" i="63"/>
  <c r="Q54" i="63"/>
  <c r="P54" i="63"/>
  <c r="O54" i="63"/>
  <c r="N54" i="63"/>
  <c r="M54" i="63"/>
  <c r="L54" i="63"/>
  <c r="K54" i="63"/>
  <c r="J54" i="63"/>
  <c r="I54" i="63"/>
  <c r="H54" i="63"/>
  <c r="G54" i="63"/>
  <c r="F54" i="63"/>
  <c r="R52" i="63"/>
  <c r="R51" i="63"/>
  <c r="R50" i="63"/>
  <c r="R49" i="63"/>
  <c r="R48" i="63"/>
  <c r="R47" i="63"/>
  <c r="R46" i="63"/>
  <c r="R45" i="63"/>
  <c r="R44" i="63"/>
  <c r="K43" i="63"/>
  <c r="J43" i="63"/>
  <c r="I43" i="63"/>
  <c r="G43" i="63"/>
  <c r="F43" i="63"/>
  <c r="Q42" i="63"/>
  <c r="P42" i="63"/>
  <c r="O42" i="63"/>
  <c r="N42" i="63"/>
  <c r="M42" i="63"/>
  <c r="L42" i="63"/>
  <c r="K42" i="63"/>
  <c r="J42" i="63"/>
  <c r="I42" i="63"/>
  <c r="H42" i="63"/>
  <c r="G42" i="63"/>
  <c r="F42" i="63"/>
  <c r="K41" i="63"/>
  <c r="J41" i="63"/>
  <c r="H41" i="63"/>
  <c r="H43" i="63" s="1"/>
  <c r="G41" i="63"/>
  <c r="R40" i="63"/>
  <c r="R39" i="63"/>
  <c r="R38" i="63"/>
  <c r="R37" i="63"/>
  <c r="R36" i="63"/>
  <c r="R35" i="63"/>
  <c r="R34" i="63"/>
  <c r="R33" i="63"/>
  <c r="R32" i="63"/>
  <c r="P31" i="63"/>
  <c r="O31" i="63"/>
  <c r="N31" i="63"/>
  <c r="M31" i="63"/>
  <c r="L31" i="63"/>
  <c r="F31" i="63"/>
  <c r="Q30" i="63"/>
  <c r="P30" i="63"/>
  <c r="O30" i="63"/>
  <c r="N30" i="63"/>
  <c r="M30" i="63"/>
  <c r="L30" i="63"/>
  <c r="K30" i="63"/>
  <c r="J30" i="63"/>
  <c r="I30" i="63"/>
  <c r="H30" i="63"/>
  <c r="G30" i="63"/>
  <c r="F30" i="63"/>
  <c r="R29" i="63"/>
  <c r="Q29" i="63"/>
  <c r="Q31" i="63" s="1"/>
  <c r="P29" i="63"/>
  <c r="O29" i="63"/>
  <c r="N29" i="63"/>
  <c r="L29" i="63"/>
  <c r="R28" i="63"/>
  <c r="R27" i="63"/>
  <c r="R26" i="63"/>
  <c r="R25" i="63"/>
  <c r="R24" i="63"/>
  <c r="R23" i="63"/>
  <c r="R22" i="63"/>
  <c r="R21" i="63"/>
  <c r="R20" i="63"/>
  <c r="M19" i="63"/>
  <c r="L19" i="63"/>
  <c r="K19" i="63"/>
  <c r="Q18" i="63"/>
  <c r="P18" i="63"/>
  <c r="O18" i="63"/>
  <c r="N18" i="63"/>
  <c r="M18" i="63"/>
  <c r="L18" i="63"/>
  <c r="K18" i="63"/>
  <c r="J18" i="63"/>
  <c r="I18" i="63"/>
  <c r="H18" i="63"/>
  <c r="G18" i="63"/>
  <c r="F18" i="63"/>
  <c r="M17" i="63"/>
  <c r="L17" i="63"/>
  <c r="K17" i="63"/>
  <c r="J17" i="63"/>
  <c r="J19" i="63" s="1"/>
  <c r="I17" i="63"/>
  <c r="I19" i="63" s="1"/>
  <c r="H17" i="63"/>
  <c r="H19" i="63" s="1"/>
  <c r="R16" i="63"/>
  <c r="R15" i="63"/>
  <c r="R14" i="63"/>
  <c r="R13" i="63"/>
  <c r="R12" i="63"/>
  <c r="R6" i="63" s="1"/>
  <c r="R11" i="63"/>
  <c r="R10" i="63"/>
  <c r="R9" i="63"/>
  <c r="R8" i="63"/>
  <c r="L7" i="63"/>
  <c r="Q6" i="63"/>
  <c r="P6" i="63"/>
  <c r="O6" i="63"/>
  <c r="N6" i="63"/>
  <c r="M6" i="63"/>
  <c r="L6" i="63"/>
  <c r="K6" i="63"/>
  <c r="J6" i="63"/>
  <c r="I6" i="63"/>
  <c r="H6" i="63"/>
  <c r="G6" i="63"/>
  <c r="F6" i="63"/>
  <c r="Q5" i="63"/>
  <c r="Q7" i="63" s="1"/>
  <c r="P5" i="63"/>
  <c r="P7" i="63" s="1"/>
  <c r="L5" i="63"/>
  <c r="R89" i="72"/>
  <c r="Q89" i="72"/>
  <c r="P89" i="72"/>
  <c r="O89" i="72"/>
  <c r="N89" i="72"/>
  <c r="M89" i="72"/>
  <c r="L89" i="72"/>
  <c r="K89" i="72"/>
  <c r="J89" i="72"/>
  <c r="I89" i="72"/>
  <c r="H89" i="72"/>
  <c r="G89" i="72"/>
  <c r="F89" i="72"/>
  <c r="R85" i="72"/>
  <c r="Q85" i="72"/>
  <c r="P85" i="72"/>
  <c r="O85" i="72"/>
  <c r="N85" i="72"/>
  <c r="M85" i="72"/>
  <c r="L85" i="72"/>
  <c r="K85" i="72"/>
  <c r="J85" i="72"/>
  <c r="I85" i="72"/>
  <c r="H85" i="72"/>
  <c r="G85" i="72"/>
  <c r="F85" i="72"/>
  <c r="E85" i="72"/>
  <c r="D85" i="72"/>
  <c r="Q82" i="72"/>
  <c r="P82" i="72"/>
  <c r="O82" i="72"/>
  <c r="N82" i="72"/>
  <c r="M82" i="72"/>
  <c r="L82" i="72"/>
  <c r="K82" i="72"/>
  <c r="J82" i="72"/>
  <c r="I82" i="72"/>
  <c r="H82" i="72"/>
  <c r="G82" i="72"/>
  <c r="F82" i="72"/>
  <c r="Q78" i="72"/>
  <c r="P78" i="72"/>
  <c r="O78" i="72"/>
  <c r="N78" i="72"/>
  <c r="M78" i="72"/>
  <c r="L78" i="72"/>
  <c r="K78" i="72"/>
  <c r="J78" i="72"/>
  <c r="I78" i="72"/>
  <c r="H78" i="72"/>
  <c r="G78" i="72"/>
  <c r="F78" i="72"/>
  <c r="E78" i="72"/>
  <c r="Q76" i="72"/>
  <c r="P76" i="72"/>
  <c r="O76" i="72"/>
  <c r="N76" i="72"/>
  <c r="M76" i="72"/>
  <c r="L76" i="72"/>
  <c r="K76" i="72"/>
  <c r="J76" i="72"/>
  <c r="I76" i="72"/>
  <c r="H76" i="72"/>
  <c r="G76" i="72"/>
  <c r="F76" i="72"/>
  <c r="E76" i="72"/>
  <c r="Q74" i="72"/>
  <c r="P74" i="72"/>
  <c r="O74" i="72"/>
  <c r="N74" i="72"/>
  <c r="M74" i="72"/>
  <c r="L74" i="72"/>
  <c r="K74" i="72"/>
  <c r="J74" i="72"/>
  <c r="I74" i="72"/>
  <c r="H74" i="72"/>
  <c r="G74" i="72"/>
  <c r="F74" i="72"/>
  <c r="E74" i="72"/>
  <c r="R73" i="72"/>
  <c r="R82" i="72" s="1"/>
  <c r="R72" i="72"/>
  <c r="R71" i="72"/>
  <c r="R70" i="72"/>
  <c r="R69" i="72"/>
  <c r="Q68" i="72"/>
  <c r="Q197" i="63" s="1"/>
  <c r="Q199" i="63" s="1"/>
  <c r="P68" i="72"/>
  <c r="O68" i="72"/>
  <c r="O197" i="63" s="1"/>
  <c r="O199" i="63" s="1"/>
  <c r="N68" i="72"/>
  <c r="N197" i="63" s="1"/>
  <c r="N199" i="63" s="1"/>
  <c r="M68" i="72"/>
  <c r="L68" i="72"/>
  <c r="K68" i="72"/>
  <c r="J68" i="72"/>
  <c r="I68" i="72"/>
  <c r="I197" i="63" s="1"/>
  <c r="H68" i="72"/>
  <c r="H197" i="63" s="1"/>
  <c r="G68" i="72"/>
  <c r="F68" i="72"/>
  <c r="E68" i="72"/>
  <c r="R64" i="72"/>
  <c r="Q63" i="72"/>
  <c r="P63" i="72"/>
  <c r="P185" i="63" s="1"/>
  <c r="P187" i="63" s="1"/>
  <c r="O63" i="72"/>
  <c r="O185" i="63" s="1"/>
  <c r="O187" i="63" s="1"/>
  <c r="N63" i="72"/>
  <c r="N185" i="63" s="1"/>
  <c r="N187" i="63" s="1"/>
  <c r="M63" i="72"/>
  <c r="L63" i="72"/>
  <c r="L185" i="63" s="1"/>
  <c r="L187" i="63" s="1"/>
  <c r="K63" i="72"/>
  <c r="K185" i="63" s="1"/>
  <c r="K187" i="63" s="1"/>
  <c r="J63" i="72"/>
  <c r="I63" i="72"/>
  <c r="H63" i="72"/>
  <c r="G63" i="72"/>
  <c r="F63" i="72"/>
  <c r="E63" i="72"/>
  <c r="E62" i="72"/>
  <c r="E82" i="72" s="1"/>
  <c r="R61" i="72"/>
  <c r="R60" i="72"/>
  <c r="Q58" i="72"/>
  <c r="R58" i="72" s="1"/>
  <c r="P58" i="72"/>
  <c r="O58" i="72"/>
  <c r="O57" i="72" s="1"/>
  <c r="N58" i="72"/>
  <c r="N57" i="72" s="1"/>
  <c r="M58" i="72"/>
  <c r="L58" i="72"/>
  <c r="K58" i="72"/>
  <c r="K57" i="72" s="1"/>
  <c r="K173" i="63" s="1"/>
  <c r="K175" i="63" s="1"/>
  <c r="J58" i="72"/>
  <c r="J57" i="72" s="1"/>
  <c r="J173" i="63" s="1"/>
  <c r="J175" i="63" s="1"/>
  <c r="I58" i="72"/>
  <c r="I57" i="72" s="1"/>
  <c r="I173" i="63" s="1"/>
  <c r="I175" i="63" s="1"/>
  <c r="H58" i="72"/>
  <c r="G58" i="72"/>
  <c r="G57" i="72" s="1"/>
  <c r="F58" i="72"/>
  <c r="R57" i="72"/>
  <c r="Q57" i="72"/>
  <c r="Q173" i="63" s="1"/>
  <c r="P57" i="72"/>
  <c r="P173" i="63" s="1"/>
  <c r="P175" i="63" s="1"/>
  <c r="M57" i="72"/>
  <c r="L57" i="72"/>
  <c r="L173" i="63" s="1"/>
  <c r="L175" i="63" s="1"/>
  <c r="H57" i="72"/>
  <c r="H173" i="63" s="1"/>
  <c r="H175" i="63" s="1"/>
  <c r="F57" i="72"/>
  <c r="R56" i="72"/>
  <c r="R55" i="72"/>
  <c r="R52" i="72" s="1"/>
  <c r="R54" i="72"/>
  <c r="R53" i="72"/>
  <c r="Q52" i="72"/>
  <c r="P52" i="72"/>
  <c r="O52" i="72"/>
  <c r="N52" i="72"/>
  <c r="M52" i="72"/>
  <c r="L52" i="72"/>
  <c r="K52" i="72"/>
  <c r="J52" i="72"/>
  <c r="I52" i="72"/>
  <c r="H52" i="72"/>
  <c r="G52" i="72"/>
  <c r="F52" i="72"/>
  <c r="F161" i="63" s="1"/>
  <c r="F163" i="63" s="1"/>
  <c r="E52" i="72"/>
  <c r="N51" i="72"/>
  <c r="M51" i="72"/>
  <c r="R50" i="72"/>
  <c r="R44" i="72"/>
  <c r="R43" i="72"/>
  <c r="Q43" i="72"/>
  <c r="Q149" i="63" s="1"/>
  <c r="P43" i="72"/>
  <c r="P149" i="63" s="1"/>
  <c r="P151" i="63" s="1"/>
  <c r="U128" i="41" s="1"/>
  <c r="O43" i="72"/>
  <c r="O149" i="63" s="1"/>
  <c r="O151" i="63" s="1"/>
  <c r="T128" i="41" s="1"/>
  <c r="N43" i="72"/>
  <c r="N149" i="63" s="1"/>
  <c r="N151" i="63" s="1"/>
  <c r="S128" i="41" s="1"/>
  <c r="M43" i="72"/>
  <c r="M149" i="63" s="1"/>
  <c r="M151" i="63" s="1"/>
  <c r="R128" i="41" s="1"/>
  <c r="L43" i="72"/>
  <c r="K43" i="72"/>
  <c r="J43" i="72"/>
  <c r="I43" i="72"/>
  <c r="I149" i="63" s="1"/>
  <c r="I151" i="63" s="1"/>
  <c r="H43" i="72"/>
  <c r="H149" i="63" s="1"/>
  <c r="H151" i="63" s="1"/>
  <c r="G43" i="72"/>
  <c r="F43" i="72"/>
  <c r="F149" i="63" s="1"/>
  <c r="F151" i="63" s="1"/>
  <c r="E43" i="72"/>
  <c r="R39" i="72"/>
  <c r="Q39" i="72"/>
  <c r="Q137" i="63" s="1"/>
  <c r="P39" i="72"/>
  <c r="P137" i="63" s="1"/>
  <c r="P139" i="63" s="1"/>
  <c r="O39" i="72"/>
  <c r="N39" i="72"/>
  <c r="M39" i="72"/>
  <c r="M137" i="63" s="1"/>
  <c r="L39" i="72"/>
  <c r="L137" i="63" s="1"/>
  <c r="L139" i="63" s="1"/>
  <c r="K39" i="72"/>
  <c r="K137" i="63" s="1"/>
  <c r="K139" i="63" s="1"/>
  <c r="J39" i="72"/>
  <c r="J137" i="63" s="1"/>
  <c r="J139" i="63" s="1"/>
  <c r="I39" i="72"/>
  <c r="H39" i="72"/>
  <c r="G39" i="72"/>
  <c r="G137" i="63" s="1"/>
  <c r="G139" i="63" s="1"/>
  <c r="F39" i="72"/>
  <c r="F137" i="63" s="1"/>
  <c r="F139" i="63" s="1"/>
  <c r="E39" i="72"/>
  <c r="R38" i="72"/>
  <c r="R37" i="72"/>
  <c r="Q37" i="72"/>
  <c r="P37" i="72"/>
  <c r="O37" i="72"/>
  <c r="N37" i="72"/>
  <c r="M37" i="72"/>
  <c r="L37" i="72"/>
  <c r="K37" i="72"/>
  <c r="J37" i="72"/>
  <c r="I37" i="72"/>
  <c r="H37" i="72"/>
  <c r="G37" i="72"/>
  <c r="F37" i="72"/>
  <c r="E37" i="72"/>
  <c r="R36" i="72"/>
  <c r="Q35" i="72"/>
  <c r="R35" i="72" s="1"/>
  <c r="P35" i="72"/>
  <c r="O35" i="72"/>
  <c r="N35" i="72"/>
  <c r="M35" i="72"/>
  <c r="L35" i="72"/>
  <c r="K35" i="72"/>
  <c r="J35" i="72"/>
  <c r="I35" i="72"/>
  <c r="H35" i="72"/>
  <c r="G35" i="72"/>
  <c r="F35" i="72"/>
  <c r="E35" i="72"/>
  <c r="R34" i="72"/>
  <c r="Q33" i="72"/>
  <c r="R33" i="72" s="1"/>
  <c r="P33" i="72"/>
  <c r="O33" i="72"/>
  <c r="N33" i="72"/>
  <c r="M33" i="72"/>
  <c r="L33" i="72"/>
  <c r="K33" i="72"/>
  <c r="J33" i="72"/>
  <c r="I33" i="72"/>
  <c r="H33" i="72"/>
  <c r="G33" i="72"/>
  <c r="F33" i="72"/>
  <c r="E33" i="72"/>
  <c r="R32" i="72"/>
  <c r="Q31" i="72"/>
  <c r="R31" i="72" s="1"/>
  <c r="P31" i="72"/>
  <c r="O31" i="72"/>
  <c r="N31" i="72"/>
  <c r="M31" i="72"/>
  <c r="L31" i="72"/>
  <c r="K31" i="72"/>
  <c r="J31" i="72"/>
  <c r="I31" i="72"/>
  <c r="H31" i="72"/>
  <c r="G31" i="72"/>
  <c r="F31" i="72"/>
  <c r="E31" i="72"/>
  <c r="R28" i="72"/>
  <c r="R27" i="72"/>
  <c r="Q27" i="72"/>
  <c r="P27" i="72"/>
  <c r="O27" i="72"/>
  <c r="O77" i="63" s="1"/>
  <c r="N27" i="72"/>
  <c r="M27" i="72"/>
  <c r="L27" i="72"/>
  <c r="K27" i="72"/>
  <c r="K77" i="63" s="1"/>
  <c r="K79" i="63" s="1"/>
  <c r="J27" i="72"/>
  <c r="J77" i="63" s="1"/>
  <c r="J79" i="63" s="1"/>
  <c r="I27" i="72"/>
  <c r="H27" i="72"/>
  <c r="G27" i="72"/>
  <c r="F27" i="72"/>
  <c r="F77" i="63" s="1"/>
  <c r="F79" i="63" s="1"/>
  <c r="E27" i="72"/>
  <c r="Q25" i="72"/>
  <c r="P25" i="72"/>
  <c r="O25" i="72"/>
  <c r="N25" i="72"/>
  <c r="M25" i="72"/>
  <c r="L25" i="72"/>
  <c r="K25" i="72"/>
  <c r="J25" i="72"/>
  <c r="I25" i="72"/>
  <c r="H25" i="72"/>
  <c r="G25" i="72"/>
  <c r="F25" i="72"/>
  <c r="E25" i="72"/>
  <c r="Q23" i="72"/>
  <c r="P23" i="72"/>
  <c r="O23" i="72"/>
  <c r="N23" i="72"/>
  <c r="M23" i="72"/>
  <c r="L23" i="72"/>
  <c r="K23" i="72"/>
  <c r="J23" i="72"/>
  <c r="I23" i="72"/>
  <c r="H23" i="72"/>
  <c r="G23" i="72"/>
  <c r="F23" i="72"/>
  <c r="E23" i="72"/>
  <c r="R22" i="72"/>
  <c r="R21" i="72"/>
  <c r="Q21" i="72"/>
  <c r="P21" i="72"/>
  <c r="Q41" i="63" s="1"/>
  <c r="Q43" i="63" s="1"/>
  <c r="O21" i="72"/>
  <c r="P41" i="63" s="1"/>
  <c r="P43" i="63" s="1"/>
  <c r="N21" i="72"/>
  <c r="O41" i="63" s="1"/>
  <c r="O43" i="63" s="1"/>
  <c r="M21" i="72"/>
  <c r="N41" i="63" s="1"/>
  <c r="N43" i="63" s="1"/>
  <c r="L21" i="72"/>
  <c r="M41" i="63" s="1"/>
  <c r="M43" i="63" s="1"/>
  <c r="K21" i="72"/>
  <c r="L41" i="63" s="1"/>
  <c r="L43" i="63" s="1"/>
  <c r="J21" i="72"/>
  <c r="I21" i="72"/>
  <c r="H21" i="72"/>
  <c r="I41" i="63" s="1"/>
  <c r="G21" i="72"/>
  <c r="F21" i="72"/>
  <c r="E21" i="72"/>
  <c r="R20" i="72"/>
  <c r="R19" i="72"/>
  <c r="R18" i="72"/>
  <c r="R17" i="72"/>
  <c r="R16" i="72"/>
  <c r="Q16" i="72"/>
  <c r="P16" i="72"/>
  <c r="O16" i="72"/>
  <c r="N16" i="72"/>
  <c r="M16" i="72"/>
  <c r="L16" i="72"/>
  <c r="M29" i="63" s="1"/>
  <c r="K16" i="72"/>
  <c r="J16" i="72"/>
  <c r="K29" i="63" s="1"/>
  <c r="K31" i="63" s="1"/>
  <c r="I16" i="72"/>
  <c r="J29" i="63" s="1"/>
  <c r="J31" i="63" s="1"/>
  <c r="H16" i="72"/>
  <c r="I29" i="63" s="1"/>
  <c r="I31" i="63" s="1"/>
  <c r="G16" i="72"/>
  <c r="H29" i="63" s="1"/>
  <c r="H31" i="63" s="1"/>
  <c r="F16" i="72"/>
  <c r="G29" i="63" s="1"/>
  <c r="G31" i="63" s="1"/>
  <c r="E16" i="72"/>
  <c r="R15" i="72"/>
  <c r="R14" i="72"/>
  <c r="R13" i="72"/>
  <c r="R12" i="72"/>
  <c r="R11" i="72"/>
  <c r="R10" i="72"/>
  <c r="R9" i="72"/>
  <c r="R8" i="72"/>
  <c r="Q8" i="72"/>
  <c r="P8" i="72"/>
  <c r="P17" i="63" s="1"/>
  <c r="P19" i="63" s="1"/>
  <c r="O8" i="72"/>
  <c r="O17" i="63" s="1"/>
  <c r="O19" i="63" s="1"/>
  <c r="N8" i="72"/>
  <c r="M8" i="72"/>
  <c r="L8" i="72"/>
  <c r="K8" i="72"/>
  <c r="J8" i="72"/>
  <c r="I8" i="72"/>
  <c r="H8" i="72"/>
  <c r="G8" i="72"/>
  <c r="G17" i="63" s="1"/>
  <c r="G19" i="63" s="1"/>
  <c r="F8" i="72"/>
  <c r="F17" i="63" s="1"/>
  <c r="F19" i="63" s="1"/>
  <c r="E8" i="72"/>
  <c r="R7" i="72"/>
  <c r="R6" i="72"/>
  <c r="R5" i="72"/>
  <c r="Q5" i="72"/>
  <c r="P5" i="72"/>
  <c r="O5" i="72"/>
  <c r="O5" i="63" s="1"/>
  <c r="O7" i="63" s="1"/>
  <c r="N5" i="72"/>
  <c r="N5" i="63" s="1"/>
  <c r="N7" i="63" s="1"/>
  <c r="M5" i="72"/>
  <c r="M5" i="63" s="1"/>
  <c r="M7" i="63" s="1"/>
  <c r="L5" i="72"/>
  <c r="K5" i="72"/>
  <c r="J5" i="72"/>
  <c r="I5" i="72"/>
  <c r="H5" i="72"/>
  <c r="G5" i="72"/>
  <c r="F5" i="72"/>
  <c r="E5" i="72"/>
  <c r="G55" i="85"/>
  <c r="E54" i="85"/>
  <c r="G54" i="85" s="1"/>
  <c r="E53" i="85"/>
  <c r="E52" i="85"/>
  <c r="E47" i="85"/>
  <c r="F46" i="85"/>
  <c r="E46" i="85"/>
  <c r="F45" i="85"/>
  <c r="G37" i="85"/>
  <c r="E36" i="85"/>
  <c r="G36" i="85" s="1"/>
  <c r="E35" i="85"/>
  <c r="E34" i="85"/>
  <c r="E28" i="85"/>
  <c r="F27" i="85"/>
  <c r="F26" i="85"/>
  <c r="E26" i="85"/>
  <c r="G18" i="85"/>
  <c r="G17" i="85"/>
  <c r="E17" i="85"/>
  <c r="E13" i="85"/>
  <c r="G13" i="85" s="1"/>
  <c r="E12" i="85"/>
  <c r="F11" i="85"/>
  <c r="F10" i="85"/>
  <c r="E10" i="85"/>
  <c r="F9" i="85"/>
  <c r="E7" i="85"/>
  <c r="G55" i="47"/>
  <c r="G54" i="47"/>
  <c r="E54" i="47"/>
  <c r="E53" i="47"/>
  <c r="E52" i="47"/>
  <c r="G49" i="47"/>
  <c r="G47" i="47"/>
  <c r="F46" i="47"/>
  <c r="E46" i="47"/>
  <c r="F45" i="47"/>
  <c r="E43" i="47"/>
  <c r="G37" i="47"/>
  <c r="E36" i="47"/>
  <c r="G36" i="47" s="1"/>
  <c r="E35" i="47"/>
  <c r="E34" i="47"/>
  <c r="G30" i="47"/>
  <c r="G28" i="47"/>
  <c r="F27" i="47"/>
  <c r="F26" i="47"/>
  <c r="E26" i="47"/>
  <c r="E24" i="47"/>
  <c r="E23" i="47" s="1"/>
  <c r="G18" i="47"/>
  <c r="E17" i="47"/>
  <c r="G17" i="47" s="1"/>
  <c r="G16" i="47"/>
  <c r="E13" i="47"/>
  <c r="G13" i="47" s="1"/>
  <c r="G12" i="47"/>
  <c r="E12" i="47"/>
  <c r="F11" i="47"/>
  <c r="F10" i="47"/>
  <c r="F9" i="47"/>
  <c r="E9" i="47"/>
  <c r="E8" i="47"/>
  <c r="E7" i="47" s="1"/>
  <c r="E10" i="47" s="1"/>
  <c r="K121" i="52"/>
  <c r="G120" i="52"/>
  <c r="H120" i="52" s="1"/>
  <c r="F120" i="52"/>
  <c r="E120" i="52"/>
  <c r="D113" i="52"/>
  <c r="E112" i="52"/>
  <c r="I111" i="52"/>
  <c r="H111" i="52"/>
  <c r="G111" i="52"/>
  <c r="F111" i="52"/>
  <c r="K107" i="52"/>
  <c r="K106" i="52"/>
  <c r="K104" i="52"/>
  <c r="D97" i="52"/>
  <c r="K120" i="52" s="1"/>
  <c r="H96" i="52"/>
  <c r="G96" i="52"/>
  <c r="I96" i="52" s="1"/>
  <c r="F96" i="52"/>
  <c r="E96" i="52"/>
  <c r="K91" i="52"/>
  <c r="E95" i="52" s="1"/>
  <c r="F95" i="52" s="1"/>
  <c r="F90" i="52"/>
  <c r="G90" i="52" s="1"/>
  <c r="H90" i="52" s="1"/>
  <c r="E90" i="52"/>
  <c r="D81" i="52"/>
  <c r="K74" i="52" s="1"/>
  <c r="E80" i="52"/>
  <c r="F80" i="52" s="1"/>
  <c r="I79" i="52"/>
  <c r="H79" i="52"/>
  <c r="F79" i="52"/>
  <c r="G79" i="52" s="1"/>
  <c r="E79" i="52"/>
  <c r="K75" i="52"/>
  <c r="E74" i="52"/>
  <c r="F74" i="52" s="1"/>
  <c r="G74" i="52" s="1"/>
  <c r="H74" i="52" s="1"/>
  <c r="K73" i="52"/>
  <c r="H55" i="52"/>
  <c r="I55" i="52" s="1"/>
  <c r="G55" i="52"/>
  <c r="F55" i="52"/>
  <c r="H51" i="52"/>
  <c r="I51" i="52" s="1"/>
  <c r="G51" i="52"/>
  <c r="F51" i="52"/>
  <c r="D42" i="52"/>
  <c r="E41" i="52"/>
  <c r="K36" i="52"/>
  <c r="E40" i="52" s="1"/>
  <c r="D28" i="52"/>
  <c r="K22" i="52"/>
  <c r="E26" i="52" s="1"/>
  <c r="I22" i="52"/>
  <c r="F22" i="52"/>
  <c r="E21" i="52"/>
  <c r="F21" i="52" s="1"/>
  <c r="G21" i="52" s="1"/>
  <c r="E13" i="52"/>
  <c r="F13" i="52" s="1"/>
  <c r="I8" i="52"/>
  <c r="H8" i="52"/>
  <c r="F8" i="52"/>
  <c r="K8" i="52" s="1"/>
  <c r="E12" i="52" s="1"/>
  <c r="H7" i="52"/>
  <c r="G7" i="52"/>
  <c r="S48" i="56"/>
  <c r="S46" i="56"/>
  <c r="S45" i="56"/>
  <c r="S44" i="56"/>
  <c r="S42" i="56"/>
  <c r="S41" i="56"/>
  <c r="S40" i="56"/>
  <c r="S39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S38" i="56" s="1"/>
  <c r="F38" i="56"/>
  <c r="S37" i="56"/>
  <c r="S36" i="56"/>
  <c r="S35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R31" i="56"/>
  <c r="R51" i="56" s="1"/>
  <c r="O31" i="56"/>
  <c r="O51" i="56" s="1"/>
  <c r="K31" i="56"/>
  <c r="K51" i="56" s="1"/>
  <c r="F31" i="56"/>
  <c r="U31" i="56" s="1"/>
  <c r="R29" i="56"/>
  <c r="Q29" i="56"/>
  <c r="P29" i="56"/>
  <c r="O29" i="56"/>
  <c r="N29" i="56"/>
  <c r="M31" i="48" s="1"/>
  <c r="M29" i="56"/>
  <c r="L31" i="48" s="1"/>
  <c r="L29" i="56"/>
  <c r="K31" i="48" s="1"/>
  <c r="K29" i="56"/>
  <c r="J29" i="56"/>
  <c r="I29" i="56"/>
  <c r="H29" i="56"/>
  <c r="G29" i="56"/>
  <c r="N28" i="56"/>
  <c r="K28" i="56"/>
  <c r="J28" i="56"/>
  <c r="I28" i="56"/>
  <c r="H28" i="56"/>
  <c r="G28" i="56"/>
  <c r="F28" i="56"/>
  <c r="F24" i="56"/>
  <c r="F23" i="56" s="1"/>
  <c r="F22" i="56"/>
  <c r="U22" i="56" s="1"/>
  <c r="F21" i="56"/>
  <c r="U21" i="56" s="1"/>
  <c r="S17" i="56"/>
  <c r="F17" i="56"/>
  <c r="S13" i="56"/>
  <c r="M12" i="56"/>
  <c r="L13" i="48" s="1"/>
  <c r="J12" i="56"/>
  <c r="I13" i="48" s="1"/>
  <c r="F12" i="56"/>
  <c r="E13" i="48" s="1"/>
  <c r="S10" i="56"/>
  <c r="F10" i="56"/>
  <c r="O8" i="56"/>
  <c r="N8" i="48" s="1"/>
  <c r="M8" i="56"/>
  <c r="L8" i="48" s="1"/>
  <c r="J8" i="56"/>
  <c r="F8" i="56"/>
  <c r="S6" i="56"/>
  <c r="F6" i="56"/>
  <c r="F5" i="56"/>
  <c r="P21" i="83"/>
  <c r="O21" i="83"/>
  <c r="N21" i="83"/>
  <c r="M21" i="83"/>
  <c r="L21" i="83"/>
  <c r="L7" i="83" s="1"/>
  <c r="K21" i="83"/>
  <c r="J21" i="83"/>
  <c r="I21" i="83"/>
  <c r="H21" i="83"/>
  <c r="G21" i="83"/>
  <c r="F21" i="83"/>
  <c r="E21" i="83"/>
  <c r="D21" i="83"/>
  <c r="P19" i="83"/>
  <c r="O19" i="83"/>
  <c r="N19" i="83"/>
  <c r="N7" i="83" s="1"/>
  <c r="M19" i="83"/>
  <c r="M7" i="83" s="1"/>
  <c r="F19" i="83"/>
  <c r="E19" i="83"/>
  <c r="Q18" i="83"/>
  <c r="R18" i="83" s="1"/>
  <c r="Q15" i="83"/>
  <c r="R15" i="83" s="1"/>
  <c r="P9" i="83"/>
  <c r="O9" i="83"/>
  <c r="O8" i="83" s="1"/>
  <c r="O7" i="83" s="1"/>
  <c r="N9" i="83"/>
  <c r="M9" i="83"/>
  <c r="L9" i="83"/>
  <c r="L19" i="83" s="1"/>
  <c r="K9" i="83"/>
  <c r="K19" i="83" s="1"/>
  <c r="J9" i="83"/>
  <c r="J19" i="83" s="1"/>
  <c r="I9" i="83"/>
  <c r="I19" i="83" s="1"/>
  <c r="H9" i="83"/>
  <c r="H19" i="83" s="1"/>
  <c r="G9" i="83"/>
  <c r="G19" i="83" s="1"/>
  <c r="F9" i="83"/>
  <c r="E9" i="83"/>
  <c r="P8" i="83"/>
  <c r="N8" i="83"/>
  <c r="M8" i="83"/>
  <c r="L8" i="83"/>
  <c r="K8" i="83"/>
  <c r="J8" i="83"/>
  <c r="J7" i="83" s="1"/>
  <c r="F8" i="83"/>
  <c r="E8" i="83"/>
  <c r="F7" i="83"/>
  <c r="E7" i="83"/>
  <c r="Q5" i="83"/>
  <c r="P5" i="83"/>
  <c r="O5" i="83"/>
  <c r="N5" i="83"/>
  <c r="M5" i="83"/>
  <c r="L5" i="83"/>
  <c r="K5" i="83"/>
  <c r="J5" i="83"/>
  <c r="I5" i="83"/>
  <c r="H5" i="83"/>
  <c r="G5" i="83"/>
  <c r="F5" i="83"/>
  <c r="E5" i="83"/>
  <c r="F4" i="83"/>
  <c r="G4" i="83" s="1"/>
  <c r="H4" i="83" s="1"/>
  <c r="I4" i="83" s="1"/>
  <c r="J4" i="83" s="1"/>
  <c r="K4" i="83" s="1"/>
  <c r="L4" i="83" s="1"/>
  <c r="M4" i="83" s="1"/>
  <c r="N4" i="83" s="1"/>
  <c r="O4" i="83" s="1"/>
  <c r="P4" i="83" s="1"/>
  <c r="S60" i="82"/>
  <c r="R60" i="82"/>
  <c r="M60" i="82"/>
  <c r="L60" i="82"/>
  <c r="H60" i="82"/>
  <c r="G60" i="82"/>
  <c r="F60" i="82"/>
  <c r="S56" i="82"/>
  <c r="R56" i="82"/>
  <c r="Q56" i="82"/>
  <c r="Q60" i="82" s="1"/>
  <c r="P56" i="82"/>
  <c r="P60" i="82" s="1"/>
  <c r="O56" i="82"/>
  <c r="O60" i="82" s="1"/>
  <c r="N56" i="82"/>
  <c r="N60" i="82" s="1"/>
  <c r="M56" i="82"/>
  <c r="L56" i="82"/>
  <c r="K56" i="82"/>
  <c r="K60" i="82" s="1"/>
  <c r="J56" i="82"/>
  <c r="J60" i="82" s="1"/>
  <c r="I56" i="82"/>
  <c r="I60" i="82" s="1"/>
  <c r="H56" i="82"/>
  <c r="G56" i="82"/>
  <c r="F56" i="82"/>
  <c r="E56" i="82"/>
  <c r="E60" i="82" s="1"/>
  <c r="D56" i="82"/>
  <c r="D60" i="82" s="1"/>
  <c r="Q51" i="82"/>
  <c r="P51" i="82"/>
  <c r="O51" i="82"/>
  <c r="J51" i="82"/>
  <c r="I51" i="82"/>
  <c r="S48" i="82"/>
  <c r="S46" i="82"/>
  <c r="S45" i="82"/>
  <c r="S44" i="82"/>
  <c r="S42" i="82"/>
  <c r="S41" i="82"/>
  <c r="S40" i="82"/>
  <c r="S39" i="82"/>
  <c r="R38" i="82"/>
  <c r="Q38" i="82"/>
  <c r="P38" i="82"/>
  <c r="O38" i="82"/>
  <c r="N38" i="82"/>
  <c r="M38" i="82"/>
  <c r="L38" i="82"/>
  <c r="K38" i="82"/>
  <c r="J38" i="82"/>
  <c r="I38" i="82"/>
  <c r="H38" i="82"/>
  <c r="G38" i="82"/>
  <c r="F38" i="82"/>
  <c r="E38" i="82"/>
  <c r="D38" i="82"/>
  <c r="S37" i="82"/>
  <c r="R36" i="82"/>
  <c r="R34" i="82" s="1"/>
  <c r="Q36" i="82"/>
  <c r="Q34" i="82" s="1"/>
  <c r="P36" i="82"/>
  <c r="P34" i="82" s="1"/>
  <c r="O36" i="82"/>
  <c r="O34" i="82" s="1"/>
  <c r="N36" i="82"/>
  <c r="M36" i="82"/>
  <c r="L36" i="82"/>
  <c r="K38" i="48" s="1"/>
  <c r="K36" i="82"/>
  <c r="J38" i="48" s="1"/>
  <c r="J36" i="82"/>
  <c r="I36" i="82"/>
  <c r="H36" i="82"/>
  <c r="G36" i="82"/>
  <c r="S36" i="82" s="1"/>
  <c r="S35" i="82"/>
  <c r="N34" i="82"/>
  <c r="M34" i="82"/>
  <c r="G34" i="82"/>
  <c r="F34" i="82"/>
  <c r="F58" i="82" s="1"/>
  <c r="E34" i="82"/>
  <c r="D34" i="82"/>
  <c r="F33" i="82"/>
  <c r="E33" i="82"/>
  <c r="D33" i="82"/>
  <c r="R31" i="82"/>
  <c r="R51" i="82" s="1"/>
  <c r="Q31" i="82"/>
  <c r="P31" i="82"/>
  <c r="O31" i="82"/>
  <c r="N31" i="82"/>
  <c r="N51" i="82" s="1"/>
  <c r="M31" i="82"/>
  <c r="M51" i="82" s="1"/>
  <c r="L31" i="82"/>
  <c r="L51" i="82" s="1"/>
  <c r="K31" i="82"/>
  <c r="K51" i="82" s="1"/>
  <c r="J31" i="82"/>
  <c r="I31" i="82"/>
  <c r="H31" i="82"/>
  <c r="H51" i="82" s="1"/>
  <c r="G31" i="82"/>
  <c r="G51" i="82" s="1"/>
  <c r="R30" i="82"/>
  <c r="Q30" i="82"/>
  <c r="P30" i="82"/>
  <c r="O30" i="82"/>
  <c r="N30" i="82"/>
  <c r="M30" i="82"/>
  <c r="L30" i="82"/>
  <c r="L27" i="82" s="1"/>
  <c r="K30" i="82"/>
  <c r="J30" i="82"/>
  <c r="J27" i="82" s="1"/>
  <c r="I30" i="82"/>
  <c r="H30" i="82"/>
  <c r="G30" i="82"/>
  <c r="S29" i="82"/>
  <c r="R28" i="82"/>
  <c r="Q28" i="82"/>
  <c r="P28" i="82"/>
  <c r="O28" i="82"/>
  <c r="N28" i="82"/>
  <c r="M28" i="82"/>
  <c r="M27" i="82" s="1"/>
  <c r="L28" i="82"/>
  <c r="K28" i="82"/>
  <c r="J28" i="82"/>
  <c r="I28" i="82"/>
  <c r="I27" i="82" s="1"/>
  <c r="H28" i="82"/>
  <c r="H27" i="82" s="1"/>
  <c r="G28" i="82"/>
  <c r="R27" i="82"/>
  <c r="Q27" i="82"/>
  <c r="P27" i="82"/>
  <c r="O27" i="82"/>
  <c r="N27" i="82"/>
  <c r="K27" i="82"/>
  <c r="F27" i="82"/>
  <c r="E27" i="82"/>
  <c r="D27" i="82"/>
  <c r="E26" i="82"/>
  <c r="D26" i="82"/>
  <c r="F25" i="82"/>
  <c r="F32" i="82" s="1"/>
  <c r="F43" i="82" s="1"/>
  <c r="F47" i="82" s="1"/>
  <c r="R24" i="82"/>
  <c r="Q24" i="82"/>
  <c r="P24" i="82"/>
  <c r="O24" i="82"/>
  <c r="O23" i="82" s="1"/>
  <c r="N24" i="82"/>
  <c r="N23" i="82" s="1"/>
  <c r="M24" i="82"/>
  <c r="M23" i="82" s="1"/>
  <c r="L24" i="82"/>
  <c r="K24" i="82"/>
  <c r="K23" i="82" s="1"/>
  <c r="J24" i="82"/>
  <c r="J23" i="82" s="1"/>
  <c r="I24" i="82"/>
  <c r="I23" i="82" s="1"/>
  <c r="H24" i="82"/>
  <c r="H23" i="82" s="1"/>
  <c r="G24" i="82"/>
  <c r="R23" i="82"/>
  <c r="Q23" i="82"/>
  <c r="P23" i="82"/>
  <c r="L23" i="82"/>
  <c r="G23" i="82"/>
  <c r="F23" i="82"/>
  <c r="F26" i="82" s="1"/>
  <c r="E23" i="82"/>
  <c r="E14" i="82" s="1"/>
  <c r="D23" i="82"/>
  <c r="D14" i="82" s="1"/>
  <c r="R22" i="82"/>
  <c r="Q22" i="82"/>
  <c r="P22" i="82"/>
  <c r="O22" i="82"/>
  <c r="N22" i="82"/>
  <c r="M22" i="82"/>
  <c r="L22" i="82"/>
  <c r="K22" i="82"/>
  <c r="J22" i="82"/>
  <c r="I22" i="82"/>
  <c r="H22" i="82"/>
  <c r="G22" i="82"/>
  <c r="S22" i="82" s="1"/>
  <c r="R21" i="82"/>
  <c r="Q21" i="82"/>
  <c r="P21" i="82"/>
  <c r="P15" i="82" s="1"/>
  <c r="O21" i="82"/>
  <c r="N21" i="82"/>
  <c r="M21" i="82"/>
  <c r="L21" i="82"/>
  <c r="K21" i="82"/>
  <c r="J21" i="82"/>
  <c r="I21" i="82"/>
  <c r="H21" i="82"/>
  <c r="G21" i="82"/>
  <c r="S21" i="82" s="1"/>
  <c r="R20" i="82"/>
  <c r="R15" i="82" s="1"/>
  <c r="R14" i="82" s="1"/>
  <c r="R25" i="82" s="1"/>
  <c r="Q20" i="82"/>
  <c r="Q15" i="82" s="1"/>
  <c r="Q14" i="82" s="1"/>
  <c r="P20" i="82"/>
  <c r="O20" i="82"/>
  <c r="N20" i="82"/>
  <c r="M20" i="82"/>
  <c r="L20" i="82"/>
  <c r="K20" i="82"/>
  <c r="J20" i="82"/>
  <c r="I20" i="82"/>
  <c r="H20" i="82"/>
  <c r="G20" i="82"/>
  <c r="S20" i="82" s="1"/>
  <c r="R19" i="82"/>
  <c r="I19" i="82"/>
  <c r="H19" i="82"/>
  <c r="F19" i="82"/>
  <c r="E19" i="82"/>
  <c r="D19" i="82"/>
  <c r="S18" i="82"/>
  <c r="R17" i="82"/>
  <c r="Q17" i="82"/>
  <c r="P17" i="82"/>
  <c r="O17" i="82"/>
  <c r="N17" i="82"/>
  <c r="M17" i="82"/>
  <c r="L17" i="82"/>
  <c r="K17" i="82"/>
  <c r="J17" i="82"/>
  <c r="I17" i="82"/>
  <c r="H17" i="82"/>
  <c r="G17" i="82"/>
  <c r="R16" i="82"/>
  <c r="Q16" i="82"/>
  <c r="P16" i="82"/>
  <c r="O16" i="82"/>
  <c r="N16" i="82"/>
  <c r="M16" i="82"/>
  <c r="L16" i="82"/>
  <c r="K16" i="82"/>
  <c r="K15" i="82" s="1"/>
  <c r="K14" i="82" s="1"/>
  <c r="J16" i="82"/>
  <c r="I16" i="82"/>
  <c r="H16" i="82"/>
  <c r="G16" i="82"/>
  <c r="I15" i="82"/>
  <c r="I14" i="82" s="1"/>
  <c r="H15" i="82"/>
  <c r="H14" i="82" s="1"/>
  <c r="H25" i="82" s="1"/>
  <c r="G15" i="82"/>
  <c r="E15" i="82"/>
  <c r="D15" i="82"/>
  <c r="S13" i="82"/>
  <c r="R10" i="82"/>
  <c r="R9" i="82" s="1"/>
  <c r="Q10" i="82"/>
  <c r="P10" i="82"/>
  <c r="P9" i="82" s="1"/>
  <c r="O10" i="82"/>
  <c r="N10" i="82"/>
  <c r="M10" i="82"/>
  <c r="L14" i="48" s="1"/>
  <c r="L10" i="82"/>
  <c r="K14" i="48" s="1"/>
  <c r="K10" i="82"/>
  <c r="J14" i="48" s="1"/>
  <c r="J10" i="82"/>
  <c r="J9" i="82" s="1"/>
  <c r="I10" i="82"/>
  <c r="H10" i="82"/>
  <c r="H9" i="82" s="1"/>
  <c r="G10" i="82"/>
  <c r="Q9" i="82"/>
  <c r="O9" i="82"/>
  <c r="N9" i="82"/>
  <c r="I9" i="82"/>
  <c r="F9" i="82"/>
  <c r="E9" i="82"/>
  <c r="D9" i="82"/>
  <c r="S8" i="82"/>
  <c r="S7" i="82"/>
  <c r="R6" i="82"/>
  <c r="Q9" i="48" s="1"/>
  <c r="Q6" i="82"/>
  <c r="P9" i="48" s="1"/>
  <c r="P6" i="82"/>
  <c r="O9" i="48" s="1"/>
  <c r="O6" i="82"/>
  <c r="O5" i="82" s="1"/>
  <c r="N6" i="82"/>
  <c r="N5" i="82" s="1"/>
  <c r="M6" i="82"/>
  <c r="M5" i="82" s="1"/>
  <c r="L6" i="82"/>
  <c r="K6" i="82"/>
  <c r="J6" i="82"/>
  <c r="I6" i="82"/>
  <c r="I5" i="82" s="1"/>
  <c r="H6" i="82"/>
  <c r="G9" i="48" s="1"/>
  <c r="G6" i="82"/>
  <c r="S6" i="82" s="1"/>
  <c r="Q5" i="82"/>
  <c r="P5" i="82"/>
  <c r="L5" i="82"/>
  <c r="K5" i="82"/>
  <c r="J5" i="82"/>
  <c r="F5" i="82"/>
  <c r="E5" i="82"/>
  <c r="D5" i="82"/>
  <c r="P60" i="55"/>
  <c r="O60" i="55"/>
  <c r="N60" i="55"/>
  <c r="M60" i="55"/>
  <c r="L60" i="55"/>
  <c r="K60" i="55"/>
  <c r="J60" i="55"/>
  <c r="I60" i="55"/>
  <c r="S56" i="55"/>
  <c r="S60" i="55" s="1"/>
  <c r="R56" i="55"/>
  <c r="R60" i="55" s="1"/>
  <c r="Q56" i="55"/>
  <c r="Q60" i="55" s="1"/>
  <c r="P56" i="55"/>
  <c r="O56" i="55"/>
  <c r="N56" i="55"/>
  <c r="M56" i="55"/>
  <c r="L56" i="55"/>
  <c r="K56" i="55"/>
  <c r="J56" i="55"/>
  <c r="I56" i="55"/>
  <c r="H56" i="55"/>
  <c r="H60" i="55" s="1"/>
  <c r="G56" i="55"/>
  <c r="G60" i="55" s="1"/>
  <c r="F56" i="55"/>
  <c r="F60" i="55" s="1"/>
  <c r="E56" i="55"/>
  <c r="E60" i="55" s="1"/>
  <c r="D56" i="55"/>
  <c r="D60" i="55" s="1"/>
  <c r="F51" i="55"/>
  <c r="U51" i="55" s="1"/>
  <c r="S48" i="55"/>
  <c r="S46" i="55"/>
  <c r="S45" i="55"/>
  <c r="S44" i="55"/>
  <c r="S42" i="55"/>
  <c r="R41" i="55"/>
  <c r="Q41" i="55"/>
  <c r="P41" i="55"/>
  <c r="O43" i="48" s="1"/>
  <c r="O41" i="55"/>
  <c r="N43" i="48" s="1"/>
  <c r="N41" i="55"/>
  <c r="M43" i="48" s="1"/>
  <c r="M41" i="55"/>
  <c r="L41" i="55"/>
  <c r="K41" i="55"/>
  <c r="J41" i="55"/>
  <c r="I43" i="48" s="1"/>
  <c r="I41" i="55"/>
  <c r="H43" i="48" s="1"/>
  <c r="H41" i="55"/>
  <c r="G43" i="48" s="1"/>
  <c r="G41" i="55"/>
  <c r="S41" i="55" s="1"/>
  <c r="F41" i="55"/>
  <c r="R39" i="55"/>
  <c r="Q39" i="55"/>
  <c r="P39" i="55"/>
  <c r="O39" i="55"/>
  <c r="N39" i="55"/>
  <c r="M39" i="55"/>
  <c r="L41" i="48" s="1"/>
  <c r="L39" i="55"/>
  <c r="K41" i="48" s="1"/>
  <c r="K39" i="55"/>
  <c r="J41" i="48" s="1"/>
  <c r="G39" i="55"/>
  <c r="E38" i="55"/>
  <c r="D38" i="55"/>
  <c r="S37" i="55"/>
  <c r="S36" i="55"/>
  <c r="S35" i="55"/>
  <c r="R34" i="55"/>
  <c r="Q34" i="55"/>
  <c r="P34" i="55"/>
  <c r="O34" i="55"/>
  <c r="N34" i="55"/>
  <c r="M34" i="55"/>
  <c r="L34" i="55"/>
  <c r="K34" i="55"/>
  <c r="J34" i="55"/>
  <c r="I34" i="55"/>
  <c r="H34" i="55"/>
  <c r="G34" i="55"/>
  <c r="S34" i="55" s="1"/>
  <c r="F34" i="55"/>
  <c r="E36" i="48" s="1"/>
  <c r="E34" i="55"/>
  <c r="D36" i="48" s="1"/>
  <c r="D34" i="55"/>
  <c r="F31" i="55"/>
  <c r="U31" i="55" s="1"/>
  <c r="R29" i="55"/>
  <c r="Q29" i="55"/>
  <c r="P29" i="55"/>
  <c r="O31" i="48" s="1"/>
  <c r="O29" i="55"/>
  <c r="N29" i="55"/>
  <c r="M29" i="55"/>
  <c r="L29" i="55"/>
  <c r="K29" i="55"/>
  <c r="J29" i="55"/>
  <c r="I31" i="48" s="1"/>
  <c r="I29" i="55"/>
  <c r="H31" i="48" s="1"/>
  <c r="H29" i="55"/>
  <c r="G31" i="48" s="1"/>
  <c r="G29" i="55"/>
  <c r="F31" i="48" s="1"/>
  <c r="F29" i="55"/>
  <c r="U29" i="55" s="1"/>
  <c r="O28" i="55"/>
  <c r="E27" i="55"/>
  <c r="D27" i="55"/>
  <c r="F24" i="55"/>
  <c r="E26" i="48" s="1"/>
  <c r="E23" i="55"/>
  <c r="D25" i="48" s="1"/>
  <c r="D23" i="55"/>
  <c r="H22" i="55"/>
  <c r="F16" i="55"/>
  <c r="E15" i="55"/>
  <c r="D15" i="55"/>
  <c r="S13" i="55"/>
  <c r="S12" i="55"/>
  <c r="E10" i="55"/>
  <c r="E9" i="55"/>
  <c r="D9" i="55"/>
  <c r="S8" i="55"/>
  <c r="F6" i="55"/>
  <c r="E5" i="55"/>
  <c r="D5" i="55"/>
  <c r="G62" i="48"/>
  <c r="R58" i="48"/>
  <c r="R62" i="48" s="1"/>
  <c r="Q58" i="48"/>
  <c r="Q62" i="48" s="1"/>
  <c r="P58" i="48"/>
  <c r="P62" i="48" s="1"/>
  <c r="O58" i="48"/>
  <c r="O62" i="48" s="1"/>
  <c r="N58" i="48"/>
  <c r="N62" i="48" s="1"/>
  <c r="M58" i="48"/>
  <c r="M62" i="48" s="1"/>
  <c r="L58" i="48"/>
  <c r="L62" i="48" s="1"/>
  <c r="K58" i="48"/>
  <c r="K62" i="48" s="1"/>
  <c r="J58" i="48"/>
  <c r="J62" i="48" s="1"/>
  <c r="I58" i="48"/>
  <c r="I62" i="48" s="1"/>
  <c r="H58" i="48"/>
  <c r="H62" i="48" s="1"/>
  <c r="G58" i="48"/>
  <c r="F58" i="48"/>
  <c r="F62" i="48" s="1"/>
  <c r="E58" i="48"/>
  <c r="E62" i="48" s="1"/>
  <c r="D58" i="48"/>
  <c r="D62" i="48" s="1"/>
  <c r="D53" i="48"/>
  <c r="R50" i="48"/>
  <c r="E50" i="48"/>
  <c r="D50" i="48"/>
  <c r="Q48" i="48"/>
  <c r="P48" i="48"/>
  <c r="O48" i="48"/>
  <c r="N48" i="48"/>
  <c r="M48" i="48"/>
  <c r="L48" i="48"/>
  <c r="K48" i="48"/>
  <c r="J48" i="48"/>
  <c r="I48" i="48"/>
  <c r="H48" i="48"/>
  <c r="G48" i="48"/>
  <c r="F48" i="48"/>
  <c r="R48" i="48" s="1"/>
  <c r="E48" i="48"/>
  <c r="D48" i="48"/>
  <c r="Q47" i="48"/>
  <c r="P47" i="48"/>
  <c r="O47" i="48"/>
  <c r="N47" i="48"/>
  <c r="M47" i="48"/>
  <c r="L47" i="48"/>
  <c r="K47" i="48"/>
  <c r="J47" i="48"/>
  <c r="I47" i="48"/>
  <c r="H47" i="48"/>
  <c r="G47" i="48"/>
  <c r="F47" i="48"/>
  <c r="E47" i="48"/>
  <c r="D47" i="48"/>
  <c r="Q46" i="48"/>
  <c r="P46" i="48"/>
  <c r="O46" i="48"/>
  <c r="N46" i="48"/>
  <c r="M46" i="48"/>
  <c r="L46" i="48"/>
  <c r="K46" i="48"/>
  <c r="J46" i="48"/>
  <c r="I46" i="48"/>
  <c r="H46" i="48"/>
  <c r="G46" i="48"/>
  <c r="F46" i="48"/>
  <c r="E46" i="48"/>
  <c r="D46" i="48"/>
  <c r="Q44" i="48"/>
  <c r="P44" i="48"/>
  <c r="O44" i="48"/>
  <c r="N44" i="48"/>
  <c r="M44" i="48"/>
  <c r="L44" i="48"/>
  <c r="K44" i="48"/>
  <c r="J44" i="48"/>
  <c r="I44" i="48"/>
  <c r="H44" i="48"/>
  <c r="G44" i="48"/>
  <c r="F44" i="48"/>
  <c r="R44" i="48" s="1"/>
  <c r="E44" i="48"/>
  <c r="D44" i="48"/>
  <c r="Q43" i="48"/>
  <c r="P43" i="48"/>
  <c r="L43" i="48"/>
  <c r="K43" i="48"/>
  <c r="J43" i="48"/>
  <c r="F43" i="48"/>
  <c r="R43" i="48" s="1"/>
  <c r="E43" i="48"/>
  <c r="D43" i="48"/>
  <c r="D42" i="48"/>
  <c r="Q41" i="48"/>
  <c r="P41" i="48"/>
  <c r="O41" i="48"/>
  <c r="N41" i="48"/>
  <c r="F41" i="48"/>
  <c r="D41" i="48"/>
  <c r="D40" i="48"/>
  <c r="Q39" i="48"/>
  <c r="P39" i="48"/>
  <c r="O39" i="48"/>
  <c r="N39" i="48"/>
  <c r="M39" i="48"/>
  <c r="L39" i="48"/>
  <c r="K39" i="48"/>
  <c r="J39" i="48"/>
  <c r="I39" i="48"/>
  <c r="H39" i="48"/>
  <c r="G39" i="48"/>
  <c r="F39" i="48"/>
  <c r="R39" i="48" s="1"/>
  <c r="E39" i="48"/>
  <c r="D39" i="48"/>
  <c r="Q38" i="48"/>
  <c r="O38" i="48"/>
  <c r="N38" i="48"/>
  <c r="M38" i="48"/>
  <c r="M36" i="48" s="1"/>
  <c r="L38" i="48"/>
  <c r="F38" i="48"/>
  <c r="E38" i="48"/>
  <c r="D38" i="48"/>
  <c r="Q37" i="48"/>
  <c r="P37" i="48"/>
  <c r="O37" i="48"/>
  <c r="N37" i="48"/>
  <c r="M37" i="48"/>
  <c r="L37" i="48"/>
  <c r="K37" i="48"/>
  <c r="K36" i="48" s="1"/>
  <c r="J37" i="48"/>
  <c r="J36" i="48" s="1"/>
  <c r="I37" i="48"/>
  <c r="H37" i="48"/>
  <c r="G37" i="48"/>
  <c r="F37" i="48"/>
  <c r="E37" i="48"/>
  <c r="D37" i="48"/>
  <c r="O36" i="48"/>
  <c r="N36" i="48"/>
  <c r="L36" i="48"/>
  <c r="D33" i="48"/>
  <c r="D32" i="48"/>
  <c r="N31" i="48"/>
  <c r="D31" i="48"/>
  <c r="D30" i="48"/>
  <c r="D26" i="48"/>
  <c r="D24" i="48"/>
  <c r="D23" i="48"/>
  <c r="D22" i="48"/>
  <c r="E20" i="48"/>
  <c r="D20" i="48"/>
  <c r="E19" i="48"/>
  <c r="D19" i="48"/>
  <c r="D18" i="48"/>
  <c r="D17" i="48"/>
  <c r="Q15" i="48"/>
  <c r="P15" i="48"/>
  <c r="O15" i="48"/>
  <c r="N15" i="48"/>
  <c r="M15" i="48"/>
  <c r="L15" i="48"/>
  <c r="K15" i="48"/>
  <c r="J15" i="48"/>
  <c r="I15" i="48"/>
  <c r="H15" i="48"/>
  <c r="G15" i="48"/>
  <c r="F15" i="48"/>
  <c r="R15" i="48" s="1"/>
  <c r="E15" i="48"/>
  <c r="D15" i="48"/>
  <c r="Q14" i="48"/>
  <c r="P14" i="48"/>
  <c r="N14" i="48"/>
  <c r="M14" i="48"/>
  <c r="I14" i="48"/>
  <c r="H14" i="48"/>
  <c r="G14" i="48"/>
  <c r="F14" i="48"/>
  <c r="D13" i="48"/>
  <c r="D12" i="48"/>
  <c r="D11" i="48"/>
  <c r="N9" i="48"/>
  <c r="M9" i="48"/>
  <c r="L9" i="48"/>
  <c r="K9" i="48"/>
  <c r="J9" i="48"/>
  <c r="I9" i="48"/>
  <c r="H9" i="48"/>
  <c r="I8" i="48"/>
  <c r="E8" i="48"/>
  <c r="D8" i="48"/>
  <c r="D7" i="48"/>
  <c r="E6" i="48"/>
  <c r="D6" i="48"/>
  <c r="D5" i="48"/>
  <c r="Q3" i="48"/>
  <c r="P3" i="48"/>
  <c r="O3" i="48"/>
  <c r="N3" i="48"/>
  <c r="M3" i="48"/>
  <c r="L3" i="48"/>
  <c r="K3" i="48"/>
  <c r="J3" i="48"/>
  <c r="I3" i="48"/>
  <c r="H3" i="48"/>
  <c r="G3" i="48"/>
  <c r="F3" i="48"/>
  <c r="G22" i="71"/>
  <c r="E3" i="71" s="1"/>
  <c r="G21" i="71"/>
  <c r="G20" i="71"/>
  <c r="G19" i="71"/>
  <c r="G16" i="71"/>
  <c r="D16" i="71"/>
  <c r="G15" i="71"/>
  <c r="D15" i="71"/>
  <c r="G14" i="71"/>
  <c r="G13" i="71"/>
  <c r="E13" i="71"/>
  <c r="E14" i="71" s="1"/>
  <c r="E15" i="71" s="1"/>
  <c r="E16" i="71" s="1"/>
  <c r="D13" i="71"/>
  <c r="B13" i="71"/>
  <c r="B14" i="71" s="1"/>
  <c r="B15" i="71" s="1"/>
  <c r="B16" i="71" s="1"/>
  <c r="B17" i="71" s="1"/>
  <c r="G12" i="71"/>
  <c r="G11" i="71"/>
  <c r="D11" i="71"/>
  <c r="G10" i="71"/>
  <c r="D10" i="71"/>
  <c r="B10" i="71"/>
  <c r="B11" i="71" s="1"/>
  <c r="B12" i="71" s="1"/>
  <c r="G9" i="71"/>
  <c r="E9" i="71"/>
  <c r="E10" i="71" s="1"/>
  <c r="E11" i="71" s="1"/>
  <c r="E12" i="71" s="1"/>
  <c r="D12" i="71" s="1"/>
  <c r="D9" i="71"/>
  <c r="G8" i="71"/>
  <c r="E8" i="71"/>
  <c r="D8" i="71"/>
  <c r="G7" i="71"/>
  <c r="G18" i="71" s="1"/>
  <c r="E7" i="71"/>
  <c r="D14" i="71" s="1"/>
  <c r="BT5" i="71"/>
  <c r="BU5" i="71" s="1"/>
  <c r="BV5" i="71" s="1"/>
  <c r="BW5" i="71" s="1"/>
  <c r="BX5" i="71" s="1"/>
  <c r="BY5" i="71" s="1"/>
  <c r="BZ5" i="71" s="1"/>
  <c r="CA5" i="71" s="1"/>
  <c r="CB5" i="71" s="1"/>
  <c r="CC5" i="71" s="1"/>
  <c r="CD5" i="71" s="1"/>
  <c r="CE5" i="71" s="1"/>
  <c r="CF5" i="71" s="1"/>
  <c r="CG5" i="71" s="1"/>
  <c r="CH5" i="71" s="1"/>
  <c r="CI5" i="71" s="1"/>
  <c r="CJ5" i="71" s="1"/>
  <c r="CK5" i="71" s="1"/>
  <c r="CL5" i="71" s="1"/>
  <c r="CM5" i="71" s="1"/>
  <c r="CN5" i="71" s="1"/>
  <c r="CO5" i="71" s="1"/>
  <c r="CP5" i="71" s="1"/>
  <c r="CQ5" i="71" s="1"/>
  <c r="CR5" i="71" s="1"/>
  <c r="CS5" i="71" s="1"/>
  <c r="CT5" i="71" s="1"/>
  <c r="BS5" i="71"/>
  <c r="C5" i="71"/>
  <c r="E4" i="71"/>
  <c r="D4" i="71"/>
  <c r="G3" i="71"/>
  <c r="D3" i="71"/>
  <c r="D2" i="71"/>
  <c r="B2" i="71"/>
  <c r="H56" i="37" l="1"/>
  <c r="H47" i="37"/>
  <c r="H186" i="37"/>
  <c r="H39" i="37"/>
  <c r="H29" i="37"/>
  <c r="H26" i="37"/>
  <c r="H32" i="37"/>
  <c r="H37" i="37"/>
  <c r="H30" i="37"/>
  <c r="H27" i="37"/>
  <c r="H36" i="37"/>
  <c r="H179" i="37"/>
  <c r="H38" i="37"/>
  <c r="H31" i="37"/>
  <c r="H28" i="37"/>
  <c r="H25" i="37"/>
  <c r="H178" i="37"/>
  <c r="H54" i="37"/>
  <c r="H53" i="37"/>
  <c r="H57" i="37"/>
  <c r="H55" i="37"/>
  <c r="H44" i="37"/>
  <c r="AA157" i="41"/>
  <c r="AR58" i="41"/>
  <c r="V210" i="41"/>
  <c r="AK8" i="41"/>
  <c r="W8" i="41"/>
  <c r="W16" i="41"/>
  <c r="AR44" i="41"/>
  <c r="AK12" i="41"/>
  <c r="AQ82" i="41"/>
  <c r="AQ120" i="41"/>
  <c r="AR135" i="41"/>
  <c r="G22" i="55"/>
  <c r="AR82" i="41"/>
  <c r="AQ130" i="41"/>
  <c r="AR151" i="41"/>
  <c r="AQ169" i="41"/>
  <c r="Y50" i="64"/>
  <c r="P31" i="48"/>
  <c r="AI5" i="41"/>
  <c r="AK25" i="41"/>
  <c r="AR112" i="41"/>
  <c r="AR163" i="41"/>
  <c r="AA210" i="41"/>
  <c r="AQ183" i="41"/>
  <c r="AQ195" i="41"/>
  <c r="W17" i="41"/>
  <c r="AR17" i="41" s="1"/>
  <c r="AK7" i="41"/>
  <c r="J31" i="48"/>
  <c r="AQ152" i="41"/>
  <c r="AR95" i="41"/>
  <c r="AR113" i="41"/>
  <c r="AR170" i="41"/>
  <c r="AR177" i="41"/>
  <c r="AK105" i="41"/>
  <c r="S29" i="55"/>
  <c r="AK17" i="41"/>
  <c r="AK21" i="41"/>
  <c r="W22" i="41"/>
  <c r="AQ22" i="41" s="1"/>
  <c r="AQ95" i="41"/>
  <c r="AB157" i="41"/>
  <c r="AJ157" i="41"/>
  <c r="AF210" i="41"/>
  <c r="AQ191" i="41"/>
  <c r="AQ90" i="41"/>
  <c r="AQ178" i="41"/>
  <c r="AG210" i="41"/>
  <c r="J157" i="41"/>
  <c r="AO157" i="41"/>
  <c r="R210" i="41"/>
  <c r="Y71" i="64"/>
  <c r="AR134" i="41"/>
  <c r="AR167" i="41"/>
  <c r="S210" i="41"/>
  <c r="AR205" i="41"/>
  <c r="Y80" i="64"/>
  <c r="AF157" i="41"/>
  <c r="AQ110" i="41"/>
  <c r="AJ210" i="41"/>
  <c r="AR206" i="41"/>
  <c r="Y83" i="64"/>
  <c r="E30" i="48"/>
  <c r="U30" i="48" s="1"/>
  <c r="U28" i="56"/>
  <c r="Q31" i="48"/>
  <c r="R31" i="48" s="1"/>
  <c r="AR203" i="41"/>
  <c r="F51" i="56"/>
  <c r="E33" i="48"/>
  <c r="U33" i="48" s="1"/>
  <c r="L210" i="41"/>
  <c r="S29" i="56"/>
  <c r="E31" i="48"/>
  <c r="U31" i="48" s="1"/>
  <c r="F15" i="56"/>
  <c r="J29" i="39"/>
  <c r="J28" i="39" s="1"/>
  <c r="K26" i="39"/>
  <c r="AQ28" i="40"/>
  <c r="F26" i="52"/>
  <c r="E52" i="52"/>
  <c r="I34" i="82"/>
  <c r="I62" i="82" s="1"/>
  <c r="H38" i="48"/>
  <c r="H36" i="48" s="1"/>
  <c r="AH99" i="40"/>
  <c r="AJ99" i="40" s="1"/>
  <c r="S23" i="82"/>
  <c r="Q185" i="63"/>
  <c r="Q187" i="63" s="1"/>
  <c r="R63" i="72"/>
  <c r="R51" i="72" s="1"/>
  <c r="E27" i="52"/>
  <c r="E62" i="52" s="1"/>
  <c r="E65" i="52" s="1"/>
  <c r="H21" i="52"/>
  <c r="F5" i="63"/>
  <c r="F7" i="63" s="1"/>
  <c r="F80" i="72"/>
  <c r="F81" i="72" s="1"/>
  <c r="N17" i="63"/>
  <c r="N19" i="63" s="1"/>
  <c r="N80" i="72"/>
  <c r="N81" i="72" s="1"/>
  <c r="H95" i="52"/>
  <c r="G95" i="52"/>
  <c r="I95" i="52" s="1"/>
  <c r="N25" i="82"/>
  <c r="N62" i="82" s="1"/>
  <c r="F59" i="82"/>
  <c r="F57" i="82"/>
  <c r="AR55" i="41"/>
  <c r="AQ55" i="41"/>
  <c r="R65" i="40"/>
  <c r="AF157" i="40"/>
  <c r="N19" i="82"/>
  <c r="N15" i="82"/>
  <c r="N14" i="82" s="1"/>
  <c r="K7" i="83"/>
  <c r="H80" i="52"/>
  <c r="G80" i="52"/>
  <c r="I80" i="52" s="1"/>
  <c r="J19" i="82"/>
  <c r="J25" i="82"/>
  <c r="D58" i="55"/>
  <c r="Y225" i="37"/>
  <c r="Y226" i="37" s="1"/>
  <c r="Y227" i="37" s="1"/>
  <c r="Y229" i="37" s="1"/>
  <c r="Y118" i="40"/>
  <c r="J34" i="82"/>
  <c r="I38" i="48"/>
  <c r="P28" i="56"/>
  <c r="O30" i="48" s="1"/>
  <c r="T47" i="39"/>
  <c r="Y169" i="64"/>
  <c r="AR63" i="42"/>
  <c r="AQ63" i="42"/>
  <c r="G5" i="63"/>
  <c r="G7" i="63" s="1"/>
  <c r="Q151" i="63"/>
  <c r="V128" i="41" s="1"/>
  <c r="R149" i="63"/>
  <c r="I36" i="48"/>
  <c r="O25" i="82"/>
  <c r="P14" i="82"/>
  <c r="P25" i="82" s="1"/>
  <c r="R248" i="63"/>
  <c r="AO5" i="41"/>
  <c r="AO101" i="41" s="1"/>
  <c r="AQ114" i="41"/>
  <c r="AR114" i="41"/>
  <c r="AJ22" i="40"/>
  <c r="G14" i="82"/>
  <c r="G38" i="48"/>
  <c r="G36" i="48" s="1"/>
  <c r="H34" i="82"/>
  <c r="H62" i="82" s="1"/>
  <c r="Z225" i="37"/>
  <c r="Z226" i="37" s="1"/>
  <c r="Z227" i="37" s="1"/>
  <c r="Z229" i="37" s="1"/>
  <c r="Z118" i="40"/>
  <c r="M41" i="48"/>
  <c r="S38" i="82"/>
  <c r="Q139" i="63"/>
  <c r="R137" i="63"/>
  <c r="L179" i="37"/>
  <c r="L32" i="37"/>
  <c r="L70" i="37" s="1"/>
  <c r="L31" i="37"/>
  <c r="L30" i="37"/>
  <c r="L29" i="37"/>
  <c r="L36" i="37"/>
  <c r="L180" i="37"/>
  <c r="L178" i="37"/>
  <c r="L37" i="37"/>
  <c r="L25" i="37"/>
  <c r="L26" i="37"/>
  <c r="L64" i="37" s="1"/>
  <c r="L38" i="37"/>
  <c r="L76" i="37" s="1"/>
  <c r="L34" i="37"/>
  <c r="L28" i="37"/>
  <c r="L33" i="37"/>
  <c r="L27" i="37"/>
  <c r="N4" i="39"/>
  <c r="L35" i="37"/>
  <c r="L39" i="37"/>
  <c r="L15" i="82"/>
  <c r="L14" i="82" s="1"/>
  <c r="L19" i="82"/>
  <c r="F50" i="82"/>
  <c r="F53" i="82" s="1"/>
  <c r="F49" i="82"/>
  <c r="F52" i="82" s="1"/>
  <c r="F12" i="52"/>
  <c r="E48" i="52"/>
  <c r="W157" i="40"/>
  <c r="AF151" i="40"/>
  <c r="E42" i="52"/>
  <c r="AR208" i="41"/>
  <c r="AQ208" i="41"/>
  <c r="G5" i="82"/>
  <c r="F9" i="48"/>
  <c r="R9" i="48" s="1"/>
  <c r="F41" i="52"/>
  <c r="H26" i="82"/>
  <c r="H32" i="82"/>
  <c r="Q28" i="56"/>
  <c r="P30" i="48" s="1"/>
  <c r="G110" i="37"/>
  <c r="G90" i="37"/>
  <c r="G15" i="40" s="1"/>
  <c r="M15" i="82"/>
  <c r="M14" i="82" s="1"/>
  <c r="R32" i="82"/>
  <c r="R26" i="82"/>
  <c r="AF228" i="37"/>
  <c r="F7" i="55"/>
  <c r="E7" i="48" s="1"/>
  <c r="M110" i="37"/>
  <c r="M90" i="37" s="1"/>
  <c r="M15" i="40" s="1"/>
  <c r="F5" i="55"/>
  <c r="E5" i="48" s="1"/>
  <c r="Y106" i="64" s="1"/>
  <c r="Q38" i="55"/>
  <c r="H198" i="37"/>
  <c r="H127" i="37"/>
  <c r="D14" i="55"/>
  <c r="M38" i="55"/>
  <c r="I80" i="72"/>
  <c r="I81" i="72" s="1"/>
  <c r="I5" i="63"/>
  <c r="I7" i="63" s="1"/>
  <c r="Q17" i="63"/>
  <c r="F179" i="37"/>
  <c r="F37" i="37"/>
  <c r="F25" i="37"/>
  <c r="H39" i="39"/>
  <c r="F36" i="37"/>
  <c r="F35" i="37"/>
  <c r="F34" i="37"/>
  <c r="F28" i="37"/>
  <c r="F29" i="37"/>
  <c r="F39" i="37"/>
  <c r="F31" i="37"/>
  <c r="F180" i="37"/>
  <c r="T14" i="39"/>
  <c r="F33" i="37"/>
  <c r="F27" i="37"/>
  <c r="AQ8" i="41"/>
  <c r="D25" i="55"/>
  <c r="F23" i="55"/>
  <c r="V224" i="37"/>
  <c r="V226" i="37" s="1"/>
  <c r="V227" i="37" s="1"/>
  <c r="V229" i="37" s="1"/>
  <c r="H188" i="37"/>
  <c r="H213" i="37" s="1"/>
  <c r="G198" i="37"/>
  <c r="G127" i="37"/>
  <c r="O19" i="82"/>
  <c r="AR56" i="41"/>
  <c r="AQ56" i="41"/>
  <c r="AR143" i="41"/>
  <c r="AQ143" i="41"/>
  <c r="Y90" i="64"/>
  <c r="AS52" i="42"/>
  <c r="AR52" i="42"/>
  <c r="AQ52" i="42"/>
  <c r="Q40" i="48"/>
  <c r="K51" i="72"/>
  <c r="K80" i="72" s="1"/>
  <c r="K81" i="72" s="1"/>
  <c r="R210" i="63"/>
  <c r="J57" i="37"/>
  <c r="J51" i="37"/>
  <c r="J45" i="37"/>
  <c r="J187" i="37"/>
  <c r="J48" i="37"/>
  <c r="J47" i="37"/>
  <c r="J46" i="37"/>
  <c r="J65" i="37" s="1"/>
  <c r="J185" i="37"/>
  <c r="J188" i="37" s="1"/>
  <c r="J213" i="37" s="1"/>
  <c r="L40" i="39"/>
  <c r="J52" i="37"/>
  <c r="J53" i="37"/>
  <c r="J49" i="37"/>
  <c r="J54" i="37"/>
  <c r="J44" i="37"/>
  <c r="J55" i="37"/>
  <c r="AR189" i="41"/>
  <c r="W182" i="41"/>
  <c r="AQ189" i="41"/>
  <c r="E14" i="55"/>
  <c r="D16" i="48" s="1"/>
  <c r="S34" i="56"/>
  <c r="J80" i="72"/>
  <c r="J81" i="72" s="1"/>
  <c r="J5" i="63"/>
  <c r="J7" i="63" s="1"/>
  <c r="G8" i="56"/>
  <c r="F163" i="40"/>
  <c r="G12" i="56" s="1"/>
  <c r="M178" i="37"/>
  <c r="M35" i="37"/>
  <c r="M73" i="37" s="1"/>
  <c r="M29" i="37"/>
  <c r="M67" i="37" s="1"/>
  <c r="M31" i="37"/>
  <c r="M69" i="37" s="1"/>
  <c r="M88" i="37" s="1"/>
  <c r="M13" i="40" s="1"/>
  <c r="M30" i="37"/>
  <c r="M28" i="37"/>
  <c r="M36" i="37"/>
  <c r="M74" i="37" s="1"/>
  <c r="M180" i="37"/>
  <c r="M37" i="37"/>
  <c r="M75" i="37" s="1"/>
  <c r="M25" i="37"/>
  <c r="M38" i="37"/>
  <c r="M26" i="37"/>
  <c r="M27" i="37"/>
  <c r="M32" i="37"/>
  <c r="M34" i="37"/>
  <c r="M72" i="37" s="1"/>
  <c r="M179" i="37"/>
  <c r="N74" i="37"/>
  <c r="J63" i="37"/>
  <c r="F30" i="37"/>
  <c r="F32" i="37"/>
  <c r="J56" i="37"/>
  <c r="J58" i="37"/>
  <c r="F178" i="37"/>
  <c r="J180" i="37"/>
  <c r="J33" i="37"/>
  <c r="J71" i="37" s="1"/>
  <c r="J32" i="37"/>
  <c r="J70" i="37" s="1"/>
  <c r="J30" i="37"/>
  <c r="J68" i="37" s="1"/>
  <c r="J35" i="37"/>
  <c r="J40" i="37" s="1"/>
  <c r="J36" i="37"/>
  <c r="J37" i="37"/>
  <c r="J34" i="37"/>
  <c r="J178" i="37"/>
  <c r="J29" i="37"/>
  <c r="J26" i="37"/>
  <c r="J179" i="37"/>
  <c r="J38" i="37"/>
  <c r="J28" i="37"/>
  <c r="J69" i="37"/>
  <c r="J88" i="37" s="1"/>
  <c r="J13" i="40" s="1"/>
  <c r="AE5" i="41"/>
  <c r="W13" i="41"/>
  <c r="S17" i="82"/>
  <c r="S30" i="82"/>
  <c r="L34" i="82"/>
  <c r="M39" i="37"/>
  <c r="M77" i="37" s="1"/>
  <c r="AR8" i="41"/>
  <c r="AL130" i="81"/>
  <c r="AL8" i="81"/>
  <c r="AL128" i="81"/>
  <c r="AL135" i="81" s="1"/>
  <c r="R90" i="63"/>
  <c r="AR36" i="41"/>
  <c r="AQ36" i="41"/>
  <c r="K65" i="37"/>
  <c r="N46" i="39"/>
  <c r="K139" i="38"/>
  <c r="K136" i="38"/>
  <c r="K137" i="38"/>
  <c r="K140" i="38"/>
  <c r="O143" i="38"/>
  <c r="O144" i="38"/>
  <c r="O141" i="38"/>
  <c r="L73" i="38"/>
  <c r="O63" i="37"/>
  <c r="F71" i="37"/>
  <c r="AG5" i="41"/>
  <c r="AG101" i="41" s="1"/>
  <c r="Y113" i="64"/>
  <c r="F39" i="55"/>
  <c r="J39" i="55"/>
  <c r="N65" i="42"/>
  <c r="J40" i="55" s="1"/>
  <c r="I42" i="48" s="1"/>
  <c r="AI84" i="65"/>
  <c r="AI129" i="65" s="1"/>
  <c r="AI136" i="65" s="1"/>
  <c r="R46" i="48"/>
  <c r="L9" i="82"/>
  <c r="F40" i="52"/>
  <c r="E56" i="52"/>
  <c r="P51" i="72"/>
  <c r="P80" i="72" s="1"/>
  <c r="P81" i="72" s="1"/>
  <c r="Q39" i="37"/>
  <c r="Q77" i="37" s="1"/>
  <c r="Q33" i="37"/>
  <c r="Q27" i="37"/>
  <c r="Q38" i="37"/>
  <c r="Q76" i="37" s="1"/>
  <c r="Q26" i="37"/>
  <c r="Q37" i="37"/>
  <c r="Q25" i="37"/>
  <c r="Q180" i="37"/>
  <c r="Q178" i="37"/>
  <c r="Q32" i="37"/>
  <c r="Q35" i="37"/>
  <c r="Q30" i="37"/>
  <c r="Q34" i="37"/>
  <c r="Q72" i="37" s="1"/>
  <c r="Q179" i="37"/>
  <c r="Q36" i="37"/>
  <c r="Q28" i="37"/>
  <c r="P63" i="37"/>
  <c r="F38" i="37"/>
  <c r="AF5" i="41"/>
  <c r="H39" i="55"/>
  <c r="S39" i="55" s="1"/>
  <c r="H5" i="63"/>
  <c r="H7" i="63" s="1"/>
  <c r="J51" i="72"/>
  <c r="AR91" i="41"/>
  <c r="AQ91" i="41"/>
  <c r="AQ203" i="41"/>
  <c r="G172" i="37"/>
  <c r="G171" i="37"/>
  <c r="G174" i="37" s="1"/>
  <c r="G211" i="37" s="1"/>
  <c r="G8" i="37"/>
  <c r="G65" i="37" s="1"/>
  <c r="I38" i="39"/>
  <c r="G7" i="37"/>
  <c r="G20" i="37"/>
  <c r="G77" i="37" s="1"/>
  <c r="G6" i="37"/>
  <c r="G12" i="37"/>
  <c r="G69" i="37" s="1"/>
  <c r="G88" i="37" s="1"/>
  <c r="G13" i="40" s="1"/>
  <c r="G13" i="37"/>
  <c r="G70" i="37" s="1"/>
  <c r="G16" i="37"/>
  <c r="G9" i="37"/>
  <c r="G17" i="37"/>
  <c r="G15" i="37"/>
  <c r="G10" i="37"/>
  <c r="G67" i="37" s="1"/>
  <c r="G11" i="37"/>
  <c r="G18" i="37"/>
  <c r="G75" i="37" s="1"/>
  <c r="I4" i="39"/>
  <c r="AQ38" i="42"/>
  <c r="O15" i="82"/>
  <c r="O14" i="82" s="1"/>
  <c r="R54" i="63"/>
  <c r="AR33" i="41"/>
  <c r="AQ33" i="41"/>
  <c r="O4" i="39"/>
  <c r="H17" i="37"/>
  <c r="H11" i="37"/>
  <c r="H7" i="37"/>
  <c r="H20" i="37"/>
  <c r="H6" i="37"/>
  <c r="H171" i="37"/>
  <c r="H19" i="37"/>
  <c r="J4" i="39"/>
  <c r="H13" i="37"/>
  <c r="J38" i="39"/>
  <c r="H14" i="37"/>
  <c r="H9" i="37"/>
  <c r="H173" i="37"/>
  <c r="R173" i="37" s="1"/>
  <c r="H10" i="37"/>
  <c r="H67" i="37" s="1"/>
  <c r="H16" i="37"/>
  <c r="H172" i="37"/>
  <c r="H18" i="37"/>
  <c r="H8" i="37"/>
  <c r="AS46" i="69"/>
  <c r="AS48" i="69" s="1"/>
  <c r="AE48" i="69"/>
  <c r="E25" i="55"/>
  <c r="D10" i="48"/>
  <c r="I25" i="82"/>
  <c r="S24" i="82"/>
  <c r="S28" i="82"/>
  <c r="K34" i="82"/>
  <c r="K5" i="63"/>
  <c r="K7" i="63" s="1"/>
  <c r="W128" i="41"/>
  <c r="L28" i="56"/>
  <c r="AR34" i="41"/>
  <c r="AQ34" i="41"/>
  <c r="M65" i="37"/>
  <c r="M21" i="37"/>
  <c r="K67" i="37"/>
  <c r="P72" i="37"/>
  <c r="AF78" i="37"/>
  <c r="AK13" i="41"/>
  <c r="E18" i="48"/>
  <c r="S16" i="82"/>
  <c r="E81" i="52"/>
  <c r="F81" i="52" s="1"/>
  <c r="E82" i="52"/>
  <c r="E113" i="52"/>
  <c r="F113" i="52" s="1"/>
  <c r="AR35" i="41"/>
  <c r="AQ35" i="41"/>
  <c r="J140" i="38"/>
  <c r="J136" i="38"/>
  <c r="O65" i="37"/>
  <c r="AQ33" i="42"/>
  <c r="AS33" i="42"/>
  <c r="AR33" i="42"/>
  <c r="AJ84" i="65"/>
  <c r="AJ83" i="65" s="1"/>
  <c r="AH84" i="65"/>
  <c r="AH83" i="65" s="1"/>
  <c r="O14" i="48"/>
  <c r="R14" i="48" s="1"/>
  <c r="H30" i="48"/>
  <c r="K9" i="82"/>
  <c r="G8" i="83"/>
  <c r="G7" i="83" s="1"/>
  <c r="F112" i="52"/>
  <c r="R173" i="63"/>
  <c r="Q175" i="63"/>
  <c r="R138" i="63"/>
  <c r="I133" i="38"/>
  <c r="I138" i="38"/>
  <c r="I135" i="38"/>
  <c r="I28" i="38"/>
  <c r="M161" i="40"/>
  <c r="M167" i="40"/>
  <c r="M169" i="40" s="1"/>
  <c r="P65" i="37"/>
  <c r="W9" i="41"/>
  <c r="AM101" i="41"/>
  <c r="D29" i="48"/>
  <c r="E62" i="82"/>
  <c r="H8" i="83"/>
  <c r="H7" i="83" s="1"/>
  <c r="R5" i="82"/>
  <c r="R58" i="82" s="1"/>
  <c r="M9" i="82"/>
  <c r="M25" i="82" s="1"/>
  <c r="M58" i="82" s="1"/>
  <c r="J15" i="82"/>
  <c r="J14" i="82" s="1"/>
  <c r="I8" i="83"/>
  <c r="I7" i="83" s="1"/>
  <c r="F9" i="56"/>
  <c r="M28" i="56"/>
  <c r="H13" i="52"/>
  <c r="G13" i="52"/>
  <c r="I13" i="52" s="1"/>
  <c r="Q161" i="63"/>
  <c r="Q51" i="72"/>
  <c r="Q80" i="72" s="1"/>
  <c r="Q81" i="72" s="1"/>
  <c r="R81" i="72" s="1"/>
  <c r="AS28" i="40"/>
  <c r="AD228" i="37"/>
  <c r="AD118" i="40"/>
  <c r="F169" i="40"/>
  <c r="I66" i="37"/>
  <c r="F68" i="37"/>
  <c r="F26" i="37"/>
  <c r="R26" i="37" s="1"/>
  <c r="J50" i="37"/>
  <c r="R47" i="48"/>
  <c r="M30" i="48"/>
  <c r="R150" i="63"/>
  <c r="AM162" i="40"/>
  <c r="AL162" i="40"/>
  <c r="AF21" i="37"/>
  <c r="J66" i="37"/>
  <c r="K133" i="38"/>
  <c r="K134" i="38"/>
  <c r="K135" i="38"/>
  <c r="K138" i="38"/>
  <c r="R38" i="55"/>
  <c r="Q19" i="82"/>
  <c r="S51" i="82"/>
  <c r="P185" i="37"/>
  <c r="P186" i="37"/>
  <c r="P54" i="37"/>
  <c r="P48" i="37"/>
  <c r="P187" i="37"/>
  <c r="P53" i="37"/>
  <c r="P47" i="37"/>
  <c r="P55" i="37"/>
  <c r="P51" i="37"/>
  <c r="P44" i="37"/>
  <c r="P58" i="37"/>
  <c r="P77" i="37" s="1"/>
  <c r="P52" i="37"/>
  <c r="S141" i="38"/>
  <c r="S142" i="38"/>
  <c r="S143" i="38"/>
  <c r="S144" i="38"/>
  <c r="O76" i="37"/>
  <c r="Q36" i="48"/>
  <c r="P38" i="48"/>
  <c r="P36" i="48" s="1"/>
  <c r="L30" i="48"/>
  <c r="H5" i="82"/>
  <c r="D25" i="82"/>
  <c r="S10" i="82"/>
  <c r="P7" i="83"/>
  <c r="K6" i="52"/>
  <c r="K90" i="52"/>
  <c r="E97" i="52"/>
  <c r="K105" i="52"/>
  <c r="F7" i="85"/>
  <c r="R30" i="63"/>
  <c r="R102" i="63"/>
  <c r="W28" i="41"/>
  <c r="R174" i="63"/>
  <c r="R198" i="63"/>
  <c r="X225" i="37"/>
  <c r="X226" i="37" s="1"/>
  <c r="X227" i="37" s="1"/>
  <c r="X118" i="40"/>
  <c r="O161" i="40"/>
  <c r="I180" i="37"/>
  <c r="I37" i="37"/>
  <c r="I31" i="37"/>
  <c r="I69" i="37" s="1"/>
  <c r="I88" i="37" s="1"/>
  <c r="I13" i="40" s="1"/>
  <c r="I25" i="37"/>
  <c r="I40" i="37" s="1"/>
  <c r="I34" i="37"/>
  <c r="I33" i="37"/>
  <c r="I30" i="37"/>
  <c r="I35" i="37"/>
  <c r="I32" i="37"/>
  <c r="I70" i="37" s="1"/>
  <c r="I29" i="37"/>
  <c r="I67" i="37" s="1"/>
  <c r="I178" i="37"/>
  <c r="I26" i="37"/>
  <c r="P173" i="37"/>
  <c r="P19" i="37"/>
  <c r="P76" i="37" s="1"/>
  <c r="P13" i="37"/>
  <c r="P70" i="37" s="1"/>
  <c r="P7" i="37"/>
  <c r="P12" i="37"/>
  <c r="P11" i="37"/>
  <c r="P68" i="37" s="1"/>
  <c r="P10" i="37"/>
  <c r="P172" i="37"/>
  <c r="P17" i="37"/>
  <c r="R4" i="39"/>
  <c r="P171" i="37"/>
  <c r="P18" i="37"/>
  <c r="P75" i="37" s="1"/>
  <c r="P14" i="37"/>
  <c r="P71" i="37" s="1"/>
  <c r="Q185" i="37"/>
  <c r="Q188" i="37" s="1"/>
  <c r="Q213" i="37" s="1"/>
  <c r="Q186" i="37"/>
  <c r="Q54" i="37"/>
  <c r="Q187" i="37"/>
  <c r="S40" i="39"/>
  <c r="Q53" i="37"/>
  <c r="Q56" i="37"/>
  <c r="Q55" i="37"/>
  <c r="Q52" i="37"/>
  <c r="Q48" i="37"/>
  <c r="Q49" i="37"/>
  <c r="Q51" i="37"/>
  <c r="Q70" i="37" s="1"/>
  <c r="Q47" i="37"/>
  <c r="Q44" i="37"/>
  <c r="Q58" i="37"/>
  <c r="P139" i="38"/>
  <c r="P140" i="38"/>
  <c r="P136" i="38"/>
  <c r="Q45" i="37"/>
  <c r="AF97" i="37"/>
  <c r="Z221" i="37"/>
  <c r="Z223" i="37" s="1"/>
  <c r="AF219" i="37"/>
  <c r="AF221" i="37" s="1"/>
  <c r="AF223" i="37" s="1"/>
  <c r="W7" i="41"/>
  <c r="AR51" i="41"/>
  <c r="AJ101" i="41"/>
  <c r="AR126" i="41"/>
  <c r="AR171" i="41"/>
  <c r="AQ171" i="41"/>
  <c r="AR27" i="42"/>
  <c r="AQ27" i="42"/>
  <c r="AS27" i="42"/>
  <c r="AS38" i="65"/>
  <c r="M46" i="39"/>
  <c r="Q141" i="38"/>
  <c r="Q144" i="38"/>
  <c r="M76" i="37"/>
  <c r="R28" i="55"/>
  <c r="AS36" i="42"/>
  <c r="AR36" i="42"/>
  <c r="AR50" i="65"/>
  <c r="AS50" i="65" s="1"/>
  <c r="L51" i="72"/>
  <c r="L80" i="72" s="1"/>
  <c r="L81" i="72" s="1"/>
  <c r="F185" i="63"/>
  <c r="F187" i="63" s="1"/>
  <c r="F51" i="72"/>
  <c r="AH22" i="40"/>
  <c r="AF31" i="40"/>
  <c r="R93" i="40"/>
  <c r="AQ30" i="40"/>
  <c r="AS27" i="40"/>
  <c r="L134" i="38"/>
  <c r="L135" i="38"/>
  <c r="L138" i="38"/>
  <c r="R141" i="38"/>
  <c r="R142" i="38"/>
  <c r="R144" i="38"/>
  <c r="L133" i="38"/>
  <c r="I68" i="37"/>
  <c r="R54" i="37"/>
  <c r="J167" i="40"/>
  <c r="J169" i="40" s="1"/>
  <c r="J161" i="40"/>
  <c r="AK24" i="41"/>
  <c r="AR147" i="41"/>
  <c r="AQ147" i="41"/>
  <c r="AQ12" i="62"/>
  <c r="O65" i="42"/>
  <c r="K40" i="55" s="1"/>
  <c r="AS30" i="42"/>
  <c r="AS39" i="42"/>
  <c r="AR39" i="42"/>
  <c r="AQ39" i="42"/>
  <c r="AS46" i="42"/>
  <c r="AR46" i="42"/>
  <c r="AQ46" i="42"/>
  <c r="M65" i="42"/>
  <c r="I40" i="55" s="1"/>
  <c r="H42" i="48" s="1"/>
  <c r="AD41" i="67"/>
  <c r="AS41" i="67" s="1"/>
  <c r="AT41" i="67" s="1"/>
  <c r="Q25" i="82"/>
  <c r="Q62" i="82" s="1"/>
  <c r="F62" i="82"/>
  <c r="R78" i="63"/>
  <c r="Z228" i="37"/>
  <c r="AH80" i="40"/>
  <c r="W112" i="40"/>
  <c r="W16" i="84" s="1"/>
  <c r="AF132" i="40"/>
  <c r="AF112" i="40" s="1"/>
  <c r="AF16" i="84" s="1"/>
  <c r="Q160" i="37"/>
  <c r="Q165" i="37"/>
  <c r="K63" i="37"/>
  <c r="AF207" i="37"/>
  <c r="AF214" i="37" s="1"/>
  <c r="AR176" i="41"/>
  <c r="AQ176" i="41"/>
  <c r="AQ185" i="41"/>
  <c r="AR12" i="62"/>
  <c r="AQ36" i="42"/>
  <c r="F36" i="48"/>
  <c r="R37" i="48"/>
  <c r="I39" i="55"/>
  <c r="E25" i="82"/>
  <c r="O161" i="63"/>
  <c r="O163" i="63" s="1"/>
  <c r="O51" i="72"/>
  <c r="O80" i="72" s="1"/>
  <c r="O81" i="72" s="1"/>
  <c r="R68" i="72"/>
  <c r="R80" i="72" s="1"/>
  <c r="M80" i="72"/>
  <c r="M81" i="72" s="1"/>
  <c r="AQ53" i="41"/>
  <c r="AR53" i="41"/>
  <c r="T60" i="40"/>
  <c r="V225" i="37"/>
  <c r="V118" i="40"/>
  <c r="AH138" i="40"/>
  <c r="P161" i="40"/>
  <c r="Q173" i="37"/>
  <c r="Q172" i="37"/>
  <c r="Q11" i="37"/>
  <c r="Q10" i="37"/>
  <c r="Q9" i="37"/>
  <c r="Q17" i="37"/>
  <c r="S4" i="39"/>
  <c r="Q18" i="37"/>
  <c r="Q75" i="37" s="1"/>
  <c r="Q171" i="37"/>
  <c r="Q7" i="37"/>
  <c r="Q21" i="37" s="1"/>
  <c r="Q14" i="37"/>
  <c r="Q71" i="37" s="1"/>
  <c r="Q8" i="37"/>
  <c r="Q65" i="37" s="1"/>
  <c r="F53" i="37"/>
  <c r="F47" i="37"/>
  <c r="F58" i="37"/>
  <c r="F52" i="37"/>
  <c r="F186" i="37"/>
  <c r="F188" i="37" s="1"/>
  <c r="F213" i="37" s="1"/>
  <c r="F51" i="37"/>
  <c r="F50" i="37"/>
  <c r="F187" i="37"/>
  <c r="F57" i="37"/>
  <c r="F44" i="37"/>
  <c r="F56" i="37"/>
  <c r="R56" i="37" s="1"/>
  <c r="F46" i="37"/>
  <c r="F49" i="37"/>
  <c r="T15" i="39"/>
  <c r="R40" i="39"/>
  <c r="M63" i="37"/>
  <c r="I65" i="37"/>
  <c r="F72" i="37"/>
  <c r="L75" i="37"/>
  <c r="P57" i="37"/>
  <c r="AF160" i="37"/>
  <c r="V228" i="37"/>
  <c r="Y31" i="64"/>
  <c r="AK49" i="41"/>
  <c r="AR107" i="41"/>
  <c r="AQ107" i="41"/>
  <c r="AR162" i="41"/>
  <c r="AQ162" i="41"/>
  <c r="W161" i="41"/>
  <c r="AR194" i="41"/>
  <c r="AQ194" i="41"/>
  <c r="P19" i="82"/>
  <c r="R42" i="63"/>
  <c r="T21" i="39"/>
  <c r="Q69" i="37"/>
  <c r="Q88" i="37" s="1"/>
  <c r="Q13" i="40" s="1"/>
  <c r="I73" i="37"/>
  <c r="O74" i="37"/>
  <c r="Q146" i="37"/>
  <c r="Q90" i="40" s="1"/>
  <c r="Q71" i="40"/>
  <c r="G28" i="55"/>
  <c r="W78" i="41"/>
  <c r="G38" i="55"/>
  <c r="S31" i="82"/>
  <c r="H62" i="52"/>
  <c r="H65" i="52" s="1"/>
  <c r="J48" i="39" s="1"/>
  <c r="L62" i="52"/>
  <c r="L65" i="52" s="1"/>
  <c r="N48" i="39" s="1"/>
  <c r="N53" i="39" s="1"/>
  <c r="K62" i="52"/>
  <c r="K65" i="52" s="1"/>
  <c r="M48" i="39" s="1"/>
  <c r="M53" i="39" s="1"/>
  <c r="E14" i="52"/>
  <c r="E16" i="85"/>
  <c r="K89" i="52"/>
  <c r="K119" i="52"/>
  <c r="R18" i="63"/>
  <c r="O137" i="38"/>
  <c r="O139" i="38"/>
  <c r="O140" i="38"/>
  <c r="O136" i="38"/>
  <c r="P45" i="37"/>
  <c r="Q65" i="42"/>
  <c r="M40" i="55" s="1"/>
  <c r="L42" i="48" s="1"/>
  <c r="L40" i="48" s="1"/>
  <c r="O28" i="56"/>
  <c r="AR54" i="41"/>
  <c r="AQ54" i="41"/>
  <c r="W138" i="40"/>
  <c r="K179" i="37"/>
  <c r="K36" i="37"/>
  <c r="K30" i="37"/>
  <c r="K68" i="37" s="1"/>
  <c r="K180" i="37"/>
  <c r="K32" i="37"/>
  <c r="K70" i="37" s="1"/>
  <c r="K31" i="37"/>
  <c r="K69" i="37" s="1"/>
  <c r="K88" i="37" s="1"/>
  <c r="K13" i="40" s="1"/>
  <c r="K35" i="37"/>
  <c r="K34" i="37"/>
  <c r="K178" i="37"/>
  <c r="K29" i="37"/>
  <c r="K26" i="37"/>
  <c r="K38" i="37"/>
  <c r="K76" i="37" s="1"/>
  <c r="F172" i="37"/>
  <c r="F171" i="37"/>
  <c r="F18" i="37"/>
  <c r="F12" i="37"/>
  <c r="F6" i="37"/>
  <c r="F9" i="37"/>
  <c r="F8" i="37"/>
  <c r="F7" i="37"/>
  <c r="F19" i="37"/>
  <c r="F20" i="37"/>
  <c r="F13" i="37"/>
  <c r="H4" i="39"/>
  <c r="F16" i="37"/>
  <c r="F17" i="37"/>
  <c r="T13" i="39"/>
  <c r="P138" i="38"/>
  <c r="P133" i="38"/>
  <c r="P28" i="38"/>
  <c r="P134" i="38"/>
  <c r="P111" i="38"/>
  <c r="Q16" i="37"/>
  <c r="Q73" i="37" s="1"/>
  <c r="AF40" i="37"/>
  <c r="K33" i="37"/>
  <c r="K71" i="37" s="1"/>
  <c r="F48" i="37"/>
  <c r="R48" i="37" s="1"/>
  <c r="AC223" i="37"/>
  <c r="W11" i="41"/>
  <c r="AK11" i="41"/>
  <c r="AK16" i="41"/>
  <c r="AR29" i="41"/>
  <c r="AQ29" i="41"/>
  <c r="AQ51" i="41"/>
  <c r="AQ167" i="41"/>
  <c r="AQ14" i="62"/>
  <c r="AR14" i="62"/>
  <c r="H51" i="72"/>
  <c r="H80" i="72" s="1"/>
  <c r="H81" i="72" s="1"/>
  <c r="AE225" i="37"/>
  <c r="AE226" i="37" s="1"/>
  <c r="AE227" i="37" s="1"/>
  <c r="AE229" i="37" s="1"/>
  <c r="AE118" i="40"/>
  <c r="L15" i="37"/>
  <c r="L9" i="37"/>
  <c r="L173" i="37"/>
  <c r="L172" i="37"/>
  <c r="L17" i="37"/>
  <c r="L16" i="37"/>
  <c r="L14" i="37"/>
  <c r="L71" i="37" s="1"/>
  <c r="L171" i="37"/>
  <c r="L174" i="37" s="1"/>
  <c r="L211" i="37" s="1"/>
  <c r="L8" i="37"/>
  <c r="L65" i="37" s="1"/>
  <c r="L187" i="37"/>
  <c r="L56" i="37"/>
  <c r="L50" i="37"/>
  <c r="L44" i="37"/>
  <c r="L46" i="37"/>
  <c r="L45" i="37"/>
  <c r="L53" i="37"/>
  <c r="L58" i="37"/>
  <c r="L54" i="37"/>
  <c r="R165" i="37"/>
  <c r="L11" i="37"/>
  <c r="L68" i="37" s="1"/>
  <c r="L185" i="37"/>
  <c r="L188" i="37" s="1"/>
  <c r="L213" i="37" s="1"/>
  <c r="AR138" i="41"/>
  <c r="AQ138" i="41"/>
  <c r="W172" i="41"/>
  <c r="AS31" i="42"/>
  <c r="AR31" i="42"/>
  <c r="AQ31" i="42"/>
  <c r="G17" i="71"/>
  <c r="G27" i="82"/>
  <c r="I51" i="72"/>
  <c r="W50" i="41"/>
  <c r="R186" i="63"/>
  <c r="AA60" i="40"/>
  <c r="U118" i="40"/>
  <c r="AF138" i="40"/>
  <c r="M70" i="37"/>
  <c r="O180" i="37"/>
  <c r="O179" i="37"/>
  <c r="O178" i="37"/>
  <c r="O181" i="37" s="1"/>
  <c r="O212" i="37" s="1"/>
  <c r="O34" i="37"/>
  <c r="O40" i="37" s="1"/>
  <c r="O28" i="37"/>
  <c r="O29" i="37"/>
  <c r="O39" i="37"/>
  <c r="O27" i="37"/>
  <c r="O38" i="37"/>
  <c r="O26" i="37"/>
  <c r="O64" i="37" s="1"/>
  <c r="O31" i="37"/>
  <c r="O69" i="37" s="1"/>
  <c r="O88" i="37" s="1"/>
  <c r="O13" i="40" s="1"/>
  <c r="M187" i="37"/>
  <c r="M56" i="37"/>
  <c r="M186" i="37"/>
  <c r="M185" i="37"/>
  <c r="M188" i="37" s="1"/>
  <c r="M213" i="37" s="1"/>
  <c r="M45" i="37"/>
  <c r="M44" i="37"/>
  <c r="M58" i="37"/>
  <c r="M54" i="37"/>
  <c r="M46" i="37"/>
  <c r="M55" i="37"/>
  <c r="I143" i="38"/>
  <c r="I144" i="38"/>
  <c r="I142" i="38"/>
  <c r="G165" i="37"/>
  <c r="G160" i="37"/>
  <c r="K111" i="38"/>
  <c r="M68" i="37"/>
  <c r="O75" i="37"/>
  <c r="L20" i="37"/>
  <c r="O35" i="37"/>
  <c r="O44" i="37"/>
  <c r="L47" i="37"/>
  <c r="M50" i="37"/>
  <c r="L57" i="37"/>
  <c r="AK14" i="41"/>
  <c r="AR97" i="41"/>
  <c r="AQ97" i="41"/>
  <c r="AR168" i="41"/>
  <c r="AQ168" i="41"/>
  <c r="K210" i="41"/>
  <c r="AR186" i="41"/>
  <c r="AQ186" i="41"/>
  <c r="AQ57" i="42"/>
  <c r="AS57" i="42"/>
  <c r="AR57" i="42"/>
  <c r="AN134" i="65"/>
  <c r="AN8" i="65"/>
  <c r="AN5" i="65" s="1"/>
  <c r="AM134" i="65"/>
  <c r="AM129" i="65"/>
  <c r="AM136" i="65" s="1"/>
  <c r="AD104" i="81"/>
  <c r="N180" i="37"/>
  <c r="N179" i="37"/>
  <c r="N178" i="37"/>
  <c r="N30" i="37"/>
  <c r="N29" i="37"/>
  <c r="N28" i="37"/>
  <c r="N39" i="37"/>
  <c r="N27" i="37"/>
  <c r="N37" i="37"/>
  <c r="N75" i="37" s="1"/>
  <c r="N25" i="37"/>
  <c r="N38" i="37"/>
  <c r="N76" i="37" s="1"/>
  <c r="N26" i="37"/>
  <c r="N64" i="37" s="1"/>
  <c r="N31" i="37"/>
  <c r="R140" i="38"/>
  <c r="R137" i="38"/>
  <c r="H144" i="38"/>
  <c r="H143" i="38"/>
  <c r="H142" i="38"/>
  <c r="H141" i="38"/>
  <c r="R139" i="38"/>
  <c r="N35" i="37"/>
  <c r="L55" i="37"/>
  <c r="AK127" i="41"/>
  <c r="AS15" i="42"/>
  <c r="AR15" i="42"/>
  <c r="AQ15" i="42"/>
  <c r="AL134" i="65"/>
  <c r="AL8" i="65"/>
  <c r="AL5" i="65" s="1"/>
  <c r="G9" i="82"/>
  <c r="E57" i="72"/>
  <c r="E51" i="72" s="1"/>
  <c r="E80" i="72" s="1"/>
  <c r="E81" i="72" s="1"/>
  <c r="G51" i="72"/>
  <c r="G80" i="72" s="1"/>
  <c r="G81" i="72" s="1"/>
  <c r="R114" i="63"/>
  <c r="AB226" i="37"/>
  <c r="AB227" i="37" s="1"/>
  <c r="AB229" i="37" s="1"/>
  <c r="G38" i="37"/>
  <c r="G76" i="37" s="1"/>
  <c r="G32" i="37"/>
  <c r="G26" i="37"/>
  <c r="G40" i="37" s="1"/>
  <c r="G36" i="37"/>
  <c r="G35" i="37"/>
  <c r="G180" i="37"/>
  <c r="G181" i="37" s="1"/>
  <c r="G212" i="37" s="1"/>
  <c r="G34" i="37"/>
  <c r="G29" i="37"/>
  <c r="I39" i="39"/>
  <c r="N20" i="37"/>
  <c r="N14" i="37"/>
  <c r="N71" i="37" s="1"/>
  <c r="N8" i="37"/>
  <c r="N15" i="37"/>
  <c r="N72" i="37" s="1"/>
  <c r="N13" i="37"/>
  <c r="N12" i="37"/>
  <c r="N9" i="37"/>
  <c r="N66" i="37" s="1"/>
  <c r="N16" i="37"/>
  <c r="N73" i="37" s="1"/>
  <c r="N10" i="37"/>
  <c r="N67" i="37" s="1"/>
  <c r="N172" i="37"/>
  <c r="N174" i="37" s="1"/>
  <c r="N211" i="37" s="1"/>
  <c r="P180" i="37"/>
  <c r="P179" i="37"/>
  <c r="P178" i="37"/>
  <c r="P181" i="37" s="1"/>
  <c r="P212" i="37" s="1"/>
  <c r="P39" i="37"/>
  <c r="P28" i="37"/>
  <c r="P27" i="37"/>
  <c r="P38" i="37"/>
  <c r="P26" i="37"/>
  <c r="P40" i="37" s="1"/>
  <c r="P31" i="37"/>
  <c r="P32" i="37"/>
  <c r="N186" i="37"/>
  <c r="N185" i="37"/>
  <c r="N55" i="37"/>
  <c r="N49" i="37"/>
  <c r="N44" i="37"/>
  <c r="N46" i="37"/>
  <c r="N47" i="37"/>
  <c r="H140" i="38"/>
  <c r="H139" i="38"/>
  <c r="H137" i="38"/>
  <c r="H136" i="38"/>
  <c r="H37" i="38"/>
  <c r="J144" i="38"/>
  <c r="J142" i="38"/>
  <c r="H165" i="37"/>
  <c r="H160" i="37"/>
  <c r="I92" i="38"/>
  <c r="L111" i="38"/>
  <c r="I140" i="38"/>
  <c r="N11" i="37"/>
  <c r="N68" i="37" s="1"/>
  <c r="I74" i="37"/>
  <c r="G28" i="37"/>
  <c r="N32" i="37"/>
  <c r="P35" i="37"/>
  <c r="P73" i="37" s="1"/>
  <c r="N50" i="37"/>
  <c r="AF220" i="37"/>
  <c r="AK10" i="41"/>
  <c r="AR31" i="41"/>
  <c r="AR66" i="41"/>
  <c r="W77" i="41"/>
  <c r="AR88" i="41"/>
  <c r="AQ88" i="41"/>
  <c r="Y73" i="64"/>
  <c r="Y95" i="64"/>
  <c r="Y72" i="64"/>
  <c r="Y100" i="64"/>
  <c r="Y159" i="64"/>
  <c r="Y128" i="64"/>
  <c r="Y170" i="64"/>
  <c r="Y15" i="64"/>
  <c r="Y130" i="64"/>
  <c r="Y16" i="64"/>
  <c r="Y134" i="64"/>
  <c r="Y117" i="64"/>
  <c r="Y84" i="64"/>
  <c r="Y25" i="64"/>
  <c r="Y131" i="64"/>
  <c r="Y26" i="64"/>
  <c r="Y9" i="64"/>
  <c r="Y120" i="64"/>
  <c r="Y86" i="64"/>
  <c r="Y27" i="64"/>
  <c r="Y157" i="64"/>
  <c r="Y93" i="64"/>
  <c r="Y19" i="64"/>
  <c r="Y166" i="64"/>
  <c r="Y12" i="64"/>
  <c r="Y146" i="64"/>
  <c r="Y164" i="64"/>
  <c r="AO134" i="65"/>
  <c r="AO8" i="65"/>
  <c r="AO5" i="65" s="1"/>
  <c r="AR38" i="65"/>
  <c r="AD103" i="65"/>
  <c r="AR111" i="65"/>
  <c r="AS111" i="65" s="1"/>
  <c r="AS105" i="81"/>
  <c r="AE104" i="81"/>
  <c r="AS104" i="81" s="1"/>
  <c r="AR52" i="41"/>
  <c r="AQ52" i="41"/>
  <c r="AC226" i="37"/>
  <c r="AC227" i="37" s="1"/>
  <c r="AC229" i="37" s="1"/>
  <c r="N163" i="40"/>
  <c r="O12" i="56" s="1"/>
  <c r="N13" i="48" s="1"/>
  <c r="O186" i="37"/>
  <c r="O185" i="37"/>
  <c r="O55" i="37"/>
  <c r="O54" i="37"/>
  <c r="Q40" i="39"/>
  <c r="O47" i="37"/>
  <c r="O48" i="37"/>
  <c r="O67" i="37" s="1"/>
  <c r="N40" i="39"/>
  <c r="H73" i="38"/>
  <c r="R136" i="38"/>
  <c r="L10" i="37"/>
  <c r="L67" i="37" s="1"/>
  <c r="O77" i="37"/>
  <c r="O50" i="37"/>
  <c r="V219" i="37"/>
  <c r="V221" i="37" s="1"/>
  <c r="V223" i="37" s="1"/>
  <c r="AH5" i="41"/>
  <c r="W15" i="41"/>
  <c r="AK20" i="41"/>
  <c r="Y68" i="64"/>
  <c r="Y91" i="64"/>
  <c r="AR93" i="41"/>
  <c r="AQ93" i="41"/>
  <c r="AR164" i="41"/>
  <c r="AQ164" i="41"/>
  <c r="W7" i="42"/>
  <c r="W12" i="42"/>
  <c r="AR16" i="42"/>
  <c r="AQ16" i="42"/>
  <c r="AS16" i="42"/>
  <c r="AQ28" i="42"/>
  <c r="AS28" i="42"/>
  <c r="AR28" i="42"/>
  <c r="AF8" i="65"/>
  <c r="AF5" i="65" s="1"/>
  <c r="AR16" i="65"/>
  <c r="AS16" i="65" s="1"/>
  <c r="Y81" i="64"/>
  <c r="AQ108" i="41"/>
  <c r="AR108" i="41"/>
  <c r="N210" i="41"/>
  <c r="Y153" i="64"/>
  <c r="AR85" i="41"/>
  <c r="AQ85" i="41"/>
  <c r="Y69" i="64"/>
  <c r="AR89" i="41"/>
  <c r="AQ89" i="41"/>
  <c r="AR144" i="41"/>
  <c r="AQ144" i="41"/>
  <c r="AQ205" i="41"/>
  <c r="Y123" i="64"/>
  <c r="Y149" i="64"/>
  <c r="AS43" i="42"/>
  <c r="AR43" i="42"/>
  <c r="AQ43" i="42"/>
  <c r="Y58" i="64"/>
  <c r="AR47" i="65"/>
  <c r="AS47" i="65" s="1"/>
  <c r="AD135" i="65"/>
  <c r="AK9" i="41"/>
  <c r="AK18" i="41"/>
  <c r="F21" i="55" s="1"/>
  <c r="W73" i="41"/>
  <c r="Y102" i="64"/>
  <c r="AK65" i="42"/>
  <c r="Y111" i="64"/>
  <c r="AQ17" i="42"/>
  <c r="Y156" i="64"/>
  <c r="Y162" i="64"/>
  <c r="AR59" i="42"/>
  <c r="AQ59" i="42"/>
  <c r="Y92" i="64"/>
  <c r="AI8" i="65"/>
  <c r="AI5" i="65" s="1"/>
  <c r="AE135" i="65"/>
  <c r="AS135" i="65" s="1"/>
  <c r="AS55" i="65"/>
  <c r="AQ30" i="41"/>
  <c r="AR57" i="41"/>
  <c r="AQ57" i="41"/>
  <c r="AF34" i="40"/>
  <c r="I171" i="37"/>
  <c r="I174" i="37" s="1"/>
  <c r="I211" i="37" s="1"/>
  <c r="I20" i="37"/>
  <c r="I6" i="37"/>
  <c r="I19" i="37"/>
  <c r="I18" i="37"/>
  <c r="G58" i="37"/>
  <c r="G186" i="37"/>
  <c r="G188" i="37" s="1"/>
  <c r="G213" i="37" s="1"/>
  <c r="G51" i="37"/>
  <c r="G50" i="37"/>
  <c r="G49" i="37"/>
  <c r="L37" i="38"/>
  <c r="I7" i="37"/>
  <c r="K9" i="37"/>
  <c r="K66" i="37" s="1"/>
  <c r="I15" i="37"/>
  <c r="I72" i="37" s="1"/>
  <c r="G45" i="37"/>
  <c r="K160" i="37"/>
  <c r="Y5" i="41"/>
  <c r="Y101" i="41" s="1"/>
  <c r="AK6" i="41"/>
  <c r="Y18" i="64"/>
  <c r="Y21" i="64"/>
  <c r="AQ70" i="41"/>
  <c r="Y76" i="64"/>
  <c r="AQ112" i="41"/>
  <c r="L65" i="42"/>
  <c r="W10" i="42"/>
  <c r="AR17" i="42"/>
  <c r="AR41" i="42"/>
  <c r="AQ41" i="42"/>
  <c r="AQ47" i="42"/>
  <c r="AQ50" i="42"/>
  <c r="AQ56" i="42"/>
  <c r="Y165" i="64"/>
  <c r="AQ61" i="42"/>
  <c r="AP105" i="65"/>
  <c r="AM8" i="81"/>
  <c r="AM128" i="81"/>
  <c r="AM135" i="81" s="1"/>
  <c r="AR27" i="81"/>
  <c r="AS27" i="81" s="1"/>
  <c r="AS59" i="81"/>
  <c r="AD59" i="81"/>
  <c r="AD134" i="81" s="1"/>
  <c r="AE134" i="81"/>
  <c r="AS134" i="81" s="1"/>
  <c r="AR111" i="67"/>
  <c r="AS112" i="67"/>
  <c r="AT112" i="67" s="1"/>
  <c r="X228" i="37"/>
  <c r="AJ80" i="40"/>
  <c r="G162" i="40"/>
  <c r="J16" i="37"/>
  <c r="J10" i="37"/>
  <c r="J67" i="37" s="1"/>
  <c r="J19" i="37"/>
  <c r="J76" i="37" s="1"/>
  <c r="L4" i="39"/>
  <c r="J171" i="37"/>
  <c r="J174" i="37" s="1"/>
  <c r="J211" i="37" s="1"/>
  <c r="J18" i="37"/>
  <c r="J75" i="37" s="1"/>
  <c r="J173" i="37"/>
  <c r="J172" i="37"/>
  <c r="J17" i="37"/>
  <c r="J74" i="37" s="1"/>
  <c r="H35" i="37"/>
  <c r="H180" i="37"/>
  <c r="H34" i="37"/>
  <c r="H72" i="37" s="1"/>
  <c r="H33" i="37"/>
  <c r="H58" i="37"/>
  <c r="H52" i="37"/>
  <c r="H46" i="37"/>
  <c r="H50" i="37"/>
  <c r="H69" i="37" s="1"/>
  <c r="H88" i="37" s="1"/>
  <c r="H13" i="40" s="1"/>
  <c r="H49" i="37"/>
  <c r="H187" i="37"/>
  <c r="H48" i="37"/>
  <c r="J39" i="39"/>
  <c r="M136" i="38"/>
  <c r="M137" i="38"/>
  <c r="M37" i="38"/>
  <c r="O133" i="38"/>
  <c r="L139" i="38"/>
  <c r="J7" i="37"/>
  <c r="J64" i="37" s="1"/>
  <c r="M66" i="37"/>
  <c r="I14" i="37"/>
  <c r="I71" i="37" s="1"/>
  <c r="J15" i="37"/>
  <c r="J20" i="37"/>
  <c r="J77" i="37" s="1"/>
  <c r="H45" i="37"/>
  <c r="H51" i="37"/>
  <c r="AF136" i="37"/>
  <c r="I188" i="37"/>
  <c r="I213" i="37" s="1"/>
  <c r="AF188" i="37"/>
  <c r="AF213" i="37" s="1"/>
  <c r="AA223" i="37"/>
  <c r="Z5" i="41"/>
  <c r="Z101" i="41" s="1"/>
  <c r="W10" i="41"/>
  <c r="W24" i="41"/>
  <c r="AE101" i="41"/>
  <c r="Y98" i="64"/>
  <c r="AR122" i="41"/>
  <c r="AQ122" i="41"/>
  <c r="AQ151" i="41"/>
  <c r="AE210" i="41"/>
  <c r="AR202" i="41"/>
  <c r="AQ202" i="41"/>
  <c r="Y112" i="64"/>
  <c r="R65" i="42"/>
  <c r="N40" i="55" s="1"/>
  <c r="M42" i="48" s="1"/>
  <c r="AR47" i="42"/>
  <c r="AR56" i="42"/>
  <c r="AP132" i="65"/>
  <c r="U155" i="41" s="1"/>
  <c r="Q31" i="56" s="1"/>
  <c r="Q51" i="56" s="1"/>
  <c r="AD102" i="65"/>
  <c r="AR32" i="41"/>
  <c r="AQ32" i="41"/>
  <c r="R236" i="63"/>
  <c r="Y228" i="37"/>
  <c r="H162" i="40"/>
  <c r="K171" i="37"/>
  <c r="K18" i="37"/>
  <c r="K75" i="37" s="1"/>
  <c r="K173" i="37"/>
  <c r="K172" i="37"/>
  <c r="K17" i="37"/>
  <c r="K74" i="37" s="1"/>
  <c r="K16" i="37"/>
  <c r="K73" i="37" s="1"/>
  <c r="K15" i="37"/>
  <c r="K72" i="37" s="1"/>
  <c r="N136" i="38"/>
  <c r="N137" i="38"/>
  <c r="N37" i="38"/>
  <c r="K7" i="37"/>
  <c r="K20" i="37"/>
  <c r="K77" i="37" s="1"/>
  <c r="G44" i="37"/>
  <c r="G57" i="37"/>
  <c r="AB223" i="37"/>
  <c r="AD226" i="37"/>
  <c r="AD227" i="37" s="1"/>
  <c r="AD229" i="37" s="1"/>
  <c r="AA5" i="41"/>
  <c r="AA101" i="41" s="1"/>
  <c r="AR43" i="41"/>
  <c r="AQ43" i="41"/>
  <c r="Y24" i="64"/>
  <c r="AF101" i="41"/>
  <c r="W74" i="41"/>
  <c r="Y77" i="64"/>
  <c r="Y54" i="64"/>
  <c r="Y85" i="64"/>
  <c r="AR132" i="41"/>
  <c r="AQ132" i="41"/>
  <c r="AR197" i="41"/>
  <c r="AS18" i="42"/>
  <c r="AR18" i="42"/>
  <c r="AQ18" i="42"/>
  <c r="AS21" i="42"/>
  <c r="AR21" i="42"/>
  <c r="AQ21" i="42"/>
  <c r="AS54" i="42"/>
  <c r="AS56" i="42"/>
  <c r="Y53" i="64"/>
  <c r="AR88" i="65"/>
  <c r="AH89" i="65"/>
  <c r="AM89" i="65"/>
  <c r="AC84" i="65"/>
  <c r="AL89" i="65"/>
  <c r="AL84" i="65" s="1"/>
  <c r="AL83" i="65" s="1"/>
  <c r="AN89" i="65"/>
  <c r="AN84" i="65" s="1"/>
  <c r="AG89" i="65"/>
  <c r="AF89" i="65"/>
  <c r="AF84" i="65" s="1"/>
  <c r="AQ89" i="65"/>
  <c r="AQ84" i="65" s="1"/>
  <c r="AP89" i="65"/>
  <c r="AP84" i="65" s="1"/>
  <c r="AO89" i="65"/>
  <c r="AO84" i="65" s="1"/>
  <c r="AK89" i="65"/>
  <c r="AJ89" i="65"/>
  <c r="AI89" i="65"/>
  <c r="BB73" i="81"/>
  <c r="BC73" i="81" s="1"/>
  <c r="I58" i="37"/>
  <c r="I57" i="37"/>
  <c r="H138" i="38"/>
  <c r="H135" i="38"/>
  <c r="H134" i="38"/>
  <c r="H133" i="38"/>
  <c r="H28" i="38"/>
  <c r="J134" i="38"/>
  <c r="O11" i="37"/>
  <c r="O68" i="37" s="1"/>
  <c r="K44" i="37"/>
  <c r="I47" i="37"/>
  <c r="I59" i="37" s="1"/>
  <c r="AF165" i="37"/>
  <c r="W14" i="41"/>
  <c r="AR165" i="41"/>
  <c r="AQ165" i="41"/>
  <c r="AB210" i="41"/>
  <c r="AR190" i="41"/>
  <c r="AQ190" i="41"/>
  <c r="AR204" i="41"/>
  <c r="AQ204" i="41"/>
  <c r="AQ26" i="42"/>
  <c r="AS26" i="42"/>
  <c r="AR26" i="42"/>
  <c r="Y141" i="64"/>
  <c r="Y147" i="64"/>
  <c r="Y158" i="64"/>
  <c r="Y163" i="64"/>
  <c r="AR62" i="42"/>
  <c r="AQ62" i="42"/>
  <c r="AS62" i="42"/>
  <c r="AG8" i="65"/>
  <c r="AG5" i="65" s="1"/>
  <c r="AD24" i="65"/>
  <c r="AD134" i="65" s="1"/>
  <c r="AC8" i="65"/>
  <c r="AC129" i="65"/>
  <c r="AC136" i="65" s="1"/>
  <c r="AC134" i="65"/>
  <c r="AK84" i="65"/>
  <c r="AK83" i="65" s="1"/>
  <c r="AQ105" i="65"/>
  <c r="AF181" i="37"/>
  <c r="AF212" i="37" s="1"/>
  <c r="AF215" i="37" s="1"/>
  <c r="AR38" i="41"/>
  <c r="AQ38" i="41"/>
  <c r="AH101" i="41"/>
  <c r="W80" i="41"/>
  <c r="AI157" i="41"/>
  <c r="AC210" i="41"/>
  <c r="AR199" i="41"/>
  <c r="AQ199" i="41"/>
  <c r="V65" i="42"/>
  <c r="R40" i="55" s="1"/>
  <c r="Q42" i="48" s="1"/>
  <c r="AS19" i="42"/>
  <c r="AR19" i="42"/>
  <c r="S65" i="42"/>
  <c r="O40" i="55" s="1"/>
  <c r="AH8" i="65"/>
  <c r="AH5" i="65" s="1"/>
  <c r="AP133" i="81"/>
  <c r="K187" i="37"/>
  <c r="K188" i="37" s="1"/>
  <c r="K213" i="37" s="1"/>
  <c r="K57" i="37"/>
  <c r="J92" i="38"/>
  <c r="O13" i="37"/>
  <c r="O70" i="37" s="1"/>
  <c r="O14" i="37"/>
  <c r="O71" i="37" s="1"/>
  <c r="K47" i="37"/>
  <c r="Y7" i="64"/>
  <c r="AK27" i="41"/>
  <c r="Y11" i="64"/>
  <c r="Y17" i="64"/>
  <c r="Y23" i="64"/>
  <c r="AR46" i="41"/>
  <c r="AQ46" i="41"/>
  <c r="AI101" i="41"/>
  <c r="W75" i="41"/>
  <c r="Y89" i="64"/>
  <c r="Y66" i="64"/>
  <c r="AR109" i="41"/>
  <c r="AQ109" i="41"/>
  <c r="Y87" i="64"/>
  <c r="AR140" i="41"/>
  <c r="AQ140" i="41"/>
  <c r="AR153" i="41"/>
  <c r="AQ153" i="41"/>
  <c r="AR166" i="41"/>
  <c r="AQ166" i="41"/>
  <c r="AR180" i="41"/>
  <c r="AD210" i="41"/>
  <c r="AK182" i="41"/>
  <c r="AK210" i="41" s="1"/>
  <c r="AR187" i="41"/>
  <c r="AQ187" i="41"/>
  <c r="K65" i="42"/>
  <c r="G40" i="55" s="1"/>
  <c r="W5" i="42"/>
  <c r="W13" i="42"/>
  <c r="Y125" i="64"/>
  <c r="AR30" i="42"/>
  <c r="AQ30" i="42"/>
  <c r="AS38" i="42"/>
  <c r="AR38" i="42"/>
  <c r="AS50" i="42"/>
  <c r="AR50" i="42"/>
  <c r="AF134" i="65"/>
  <c r="AS24" i="65"/>
  <c r="AR117" i="65"/>
  <c r="AS117" i="65" s="1"/>
  <c r="AR118" i="65"/>
  <c r="AH8" i="81"/>
  <c r="AE133" i="81"/>
  <c r="AB5" i="41"/>
  <c r="AB101" i="41" s="1"/>
  <c r="W12" i="41"/>
  <c r="AK19" i="41"/>
  <c r="W76" i="41"/>
  <c r="Y65" i="64"/>
  <c r="Y88" i="64"/>
  <c r="AR131" i="41"/>
  <c r="AS29" i="42"/>
  <c r="AR29" i="42"/>
  <c r="AR34" i="42"/>
  <c r="AQ34" i="42"/>
  <c r="AS34" i="42"/>
  <c r="AS40" i="42"/>
  <c r="AR40" i="42"/>
  <c r="Y151" i="64"/>
  <c r="AQ55" i="42"/>
  <c r="AS55" i="42"/>
  <c r="AR55" i="42"/>
  <c r="AR60" i="42"/>
  <c r="AQ60" i="42"/>
  <c r="Y168" i="64"/>
  <c r="AF135" i="65"/>
  <c r="AR55" i="65"/>
  <c r="AR135" i="65" s="1"/>
  <c r="AH132" i="65"/>
  <c r="M155" i="41" s="1"/>
  <c r="I31" i="56" s="1"/>
  <c r="I51" i="56" s="1"/>
  <c r="AH105" i="65"/>
  <c r="AQ134" i="81"/>
  <c r="AS8" i="69"/>
  <c r="AC5" i="41"/>
  <c r="AC101" i="41" s="1"/>
  <c r="Y20" i="64"/>
  <c r="AQ61" i="41"/>
  <c r="Y79" i="64"/>
  <c r="AR96" i="41"/>
  <c r="AQ96" i="41"/>
  <c r="T65" i="42"/>
  <c r="P40" i="55" s="1"/>
  <c r="Y135" i="64"/>
  <c r="AQ45" i="42"/>
  <c r="AS48" i="42"/>
  <c r="AR48" i="42"/>
  <c r="P65" i="42"/>
  <c r="L40" i="55" s="1"/>
  <c r="AP8" i="65"/>
  <c r="AP5" i="65" s="1"/>
  <c r="AP134" i="65"/>
  <c r="AM84" i="65"/>
  <c r="AM83" i="65" s="1"/>
  <c r="AJ129" i="81"/>
  <c r="AJ128" i="81"/>
  <c r="AJ135" i="81" s="1"/>
  <c r="AO8" i="81"/>
  <c r="AR24" i="81"/>
  <c r="AS25" i="81"/>
  <c r="AE123" i="81"/>
  <c r="AS123" i="81" s="1"/>
  <c r="AD124" i="81"/>
  <c r="AD9" i="67"/>
  <c r="AR25" i="67"/>
  <c r="AS25" i="67" s="1"/>
  <c r="AT25" i="67" s="1"/>
  <c r="AD5" i="41"/>
  <c r="AD101" i="41" s="1"/>
  <c r="AR39" i="41"/>
  <c r="AQ39" i="41"/>
  <c r="Y99" i="64"/>
  <c r="AQ131" i="41"/>
  <c r="AQ135" i="41"/>
  <c r="AR173" i="41"/>
  <c r="AQ173" i="41"/>
  <c r="AR200" i="41"/>
  <c r="U65" i="42"/>
  <c r="Q40" i="55" s="1"/>
  <c r="P42" i="48" s="1"/>
  <c r="P40" i="48" s="1"/>
  <c r="W8" i="42"/>
  <c r="W11" i="42"/>
  <c r="AS17" i="42"/>
  <c r="AQ29" i="42"/>
  <c r="AQ40" i="42"/>
  <c r="AR45" i="42"/>
  <c r="Y154" i="64"/>
  <c r="AQ58" i="42"/>
  <c r="AS63" i="42"/>
  <c r="AC130" i="65"/>
  <c r="AS27" i="65"/>
  <c r="AE134" i="65"/>
  <c r="AE8" i="65"/>
  <c r="AQ129" i="65"/>
  <c r="AQ136" i="65" s="1"/>
  <c r="AQ8" i="65"/>
  <c r="AQ5" i="65" s="1"/>
  <c r="AQ134" i="65"/>
  <c r="AO132" i="65"/>
  <c r="T155" i="41" s="1"/>
  <c r="P31" i="56" s="1"/>
  <c r="P51" i="56" s="1"/>
  <c r="AS106" i="65"/>
  <c r="AK105" i="65"/>
  <c r="AK129" i="81"/>
  <c r="AC8" i="81"/>
  <c r="AD16" i="81"/>
  <c r="AR30" i="81"/>
  <c r="AS30" i="81" s="1"/>
  <c r="AR61" i="81"/>
  <c r="BB63" i="81"/>
  <c r="BC63" i="81" s="1"/>
  <c r="AR41" i="67"/>
  <c r="Y78" i="64"/>
  <c r="W117" i="41"/>
  <c r="AR150" i="41"/>
  <c r="AQ150" i="41"/>
  <c r="T210" i="41"/>
  <c r="Y122" i="64"/>
  <c r="Y133" i="64"/>
  <c r="Y140" i="64"/>
  <c r="AQ53" i="42"/>
  <c r="Y161" i="64"/>
  <c r="Y167" i="64"/>
  <c r="Y55" i="64"/>
  <c r="AJ130" i="65"/>
  <c r="AJ8" i="65"/>
  <c r="AJ5" i="65" s="1"/>
  <c r="AJ129" i="65"/>
  <c r="AJ136" i="65" s="1"/>
  <c r="AG134" i="65"/>
  <c r="AG8" i="81"/>
  <c r="AG129" i="81"/>
  <c r="AG128" i="81"/>
  <c r="AG135" i="81" s="1"/>
  <c r="BB17" i="81"/>
  <c r="BC17" i="81" s="1"/>
  <c r="AN133" i="81"/>
  <c r="AN8" i="81"/>
  <c r="AQ64" i="41"/>
  <c r="W72" i="41"/>
  <c r="W79" i="41"/>
  <c r="AQ129" i="41"/>
  <c r="AQ198" i="41"/>
  <c r="AQ13" i="62"/>
  <c r="AR32" i="42"/>
  <c r="AQ32" i="42"/>
  <c r="Y143" i="64"/>
  <c r="AS42" i="42"/>
  <c r="Y150" i="64"/>
  <c r="AK8" i="65"/>
  <c r="AK5" i="65" s="1"/>
  <c r="AI132" i="65"/>
  <c r="N155" i="41" s="1"/>
  <c r="J31" i="56" s="1"/>
  <c r="J51" i="56" s="1"/>
  <c r="AS120" i="65"/>
  <c r="AF105" i="65"/>
  <c r="AF132" i="65"/>
  <c r="AH129" i="81"/>
  <c r="AH128" i="81"/>
  <c r="AH135" i="81" s="1"/>
  <c r="AQ60" i="41"/>
  <c r="Y75" i="64"/>
  <c r="AK71" i="41"/>
  <c r="Y82" i="64"/>
  <c r="AR87" i="41"/>
  <c r="AQ94" i="41"/>
  <c r="AR142" i="41"/>
  <c r="AR145" i="41"/>
  <c r="AQ145" i="41"/>
  <c r="AQ184" i="41"/>
  <c r="W6" i="42"/>
  <c r="AQ14" i="42"/>
  <c r="Y129" i="64"/>
  <c r="AQ25" i="42"/>
  <c r="Y138" i="64"/>
  <c r="AQ37" i="42"/>
  <c r="AQ44" i="42"/>
  <c r="AR53" i="42"/>
  <c r="Y59" i="64"/>
  <c r="AJ105" i="65"/>
  <c r="AG105" i="65"/>
  <c r="AG132" i="65"/>
  <c r="L155" i="41" s="1"/>
  <c r="H31" i="56" s="1"/>
  <c r="H51" i="56" s="1"/>
  <c r="AI8" i="81"/>
  <c r="AI129" i="81"/>
  <c r="AI128" i="81"/>
  <c r="AI135" i="81" s="1"/>
  <c r="BB21" i="81"/>
  <c r="BC21" i="81" s="1"/>
  <c r="AR8" i="69"/>
  <c r="AD111" i="67"/>
  <c r="AS111" i="67" s="1"/>
  <c r="AT111" i="67" s="1"/>
  <c r="AD122" i="67"/>
  <c r="AL130" i="65"/>
  <c r="AD124" i="65"/>
  <c r="AD131" i="65" s="1"/>
  <c r="AP8" i="81"/>
  <c r="AR242" i="67"/>
  <c r="AS242" i="67" s="1"/>
  <c r="AT242" i="67" s="1"/>
  <c r="AR30" i="65"/>
  <c r="AR134" i="65" s="1"/>
  <c r="AG84" i="65"/>
  <c r="AG83" i="65" s="1"/>
  <c r="AR87" i="65"/>
  <c r="AR121" i="65"/>
  <c r="BB11" i="81"/>
  <c r="BC11" i="81" s="1"/>
  <c r="AD24" i="81"/>
  <c r="AD133" i="81" s="1"/>
  <c r="AC133" i="81"/>
  <c r="AS73" i="65"/>
  <c r="AR16" i="81"/>
  <c r="AS16" i="81" s="1"/>
  <c r="AR38" i="81"/>
  <c r="AS38" i="81" s="1"/>
  <c r="AF82" i="81"/>
  <c r="AF129" i="81"/>
  <c r="AR83" i="81"/>
  <c r="AR82" i="81" s="1"/>
  <c r="AS82" i="81" s="1"/>
  <c r="AR84" i="81"/>
  <c r="AM8" i="65"/>
  <c r="AM5" i="65" s="1"/>
  <c r="AH134" i="65"/>
  <c r="AL129" i="81"/>
  <c r="AH133" i="81"/>
  <c r="AL133" i="81"/>
  <c r="AF134" i="81"/>
  <c r="AF135" i="81" s="1"/>
  <c r="AR55" i="81"/>
  <c r="AR134" i="81" s="1"/>
  <c r="AD154" i="67"/>
  <c r="AS154" i="67" s="1"/>
  <c r="AT154" i="67" s="1"/>
  <c r="AN129" i="65"/>
  <c r="AN136" i="65" s="1"/>
  <c r="AI134" i="65"/>
  <c r="AS30" i="65"/>
  <c r="AJ135" i="65"/>
  <c r="AK132" i="65"/>
  <c r="P155" i="41" s="1"/>
  <c r="L31" i="56" s="1"/>
  <c r="L51" i="56" s="1"/>
  <c r="AR85" i="65"/>
  <c r="AM102" i="65"/>
  <c r="AN105" i="65"/>
  <c r="BB12" i="81"/>
  <c r="BC12" i="81" s="1"/>
  <c r="AI133" i="81"/>
  <c r="AR47" i="81"/>
  <c r="AS47" i="81" s="1"/>
  <c r="AJ134" i="65"/>
  <c r="AL124" i="65"/>
  <c r="AJ133" i="81"/>
  <c r="AD72" i="81"/>
  <c r="AD131" i="81" s="1"/>
  <c r="AR122" i="67"/>
  <c r="Y126" i="64"/>
  <c r="AE124" i="65"/>
  <c r="AM124" i="65"/>
  <c r="AO129" i="81"/>
  <c r="AK133" i="81"/>
  <c r="AS124" i="67"/>
  <c r="AT124" i="67" s="1"/>
  <c r="AR9" i="65"/>
  <c r="AD16" i="65"/>
  <c r="AD47" i="65"/>
  <c r="AD59" i="65"/>
  <c r="AF102" i="65"/>
  <c r="AR103" i="65"/>
  <c r="AR102" i="65" s="1"/>
  <c r="AD9" i="81"/>
  <c r="AP128" i="81"/>
  <c r="AP135" i="81" s="1"/>
  <c r="AP129" i="81"/>
  <c r="BB33" i="81"/>
  <c r="BC33" i="81" s="1"/>
  <c r="AV39" i="81"/>
  <c r="BB39" i="81" s="1"/>
  <c r="BC39" i="81" s="1"/>
  <c r="BB66" i="81"/>
  <c r="BC66" i="81" s="1"/>
  <c r="AD42" i="65"/>
  <c r="AE91" i="65"/>
  <c r="AE133" i="65" s="1"/>
  <c r="AS133" i="65" s="1"/>
  <c r="AD91" i="65"/>
  <c r="AD133" i="65" s="1"/>
  <c r="AE8" i="81"/>
  <c r="AQ8" i="81"/>
  <c r="AQ128" i="81"/>
  <c r="AQ135" i="81" s="1"/>
  <c r="AG133" i="81"/>
  <c r="BB41" i="81"/>
  <c r="BC41" i="81" s="1"/>
  <c r="AV54" i="81"/>
  <c r="AM134" i="81"/>
  <c r="AR72" i="81"/>
  <c r="AE128" i="81"/>
  <c r="AS108" i="67"/>
  <c r="AT108" i="67" s="1"/>
  <c r="AR136" i="67"/>
  <c r="AS136" i="67" s="1"/>
  <c r="AT136" i="67" s="1"/>
  <c r="AK134" i="65"/>
  <c r="AR61" i="65"/>
  <c r="AR86" i="65"/>
  <c r="AR127" i="65"/>
  <c r="AR124" i="65" s="1"/>
  <c r="AF8" i="81"/>
  <c r="AR9" i="81"/>
  <c r="AV20" i="81"/>
  <c r="BB20" i="81" s="1"/>
  <c r="BC20" i="81" s="1"/>
  <c r="AV31" i="81"/>
  <c r="BB31" i="81" s="1"/>
  <c r="BC31" i="81" s="1"/>
  <c r="AR91" i="81"/>
  <c r="AF132" i="81"/>
  <c r="AS129" i="67"/>
  <c r="AT129" i="67" s="1"/>
  <c r="AS167" i="67"/>
  <c r="AT167" i="67" s="1"/>
  <c r="AS72" i="65"/>
  <c r="AF131" i="65"/>
  <c r="AN128" i="81"/>
  <c r="AN135" i="81" s="1"/>
  <c r="AR29" i="69"/>
  <c r="AJ48" i="69"/>
  <c r="AD23" i="67"/>
  <c r="AS23" i="67" s="1"/>
  <c r="AT23" i="67" s="1"/>
  <c r="AC128" i="81"/>
  <c r="AC135" i="81" s="1"/>
  <c r="AO128" i="81"/>
  <c r="AO135" i="81" s="1"/>
  <c r="AI134" i="81"/>
  <c r="AK48" i="69"/>
  <c r="AS69" i="67"/>
  <c r="AT69" i="67" s="1"/>
  <c r="AS93" i="67"/>
  <c r="AT93" i="67" s="1"/>
  <c r="AS177" i="67"/>
  <c r="AT177" i="67" s="1"/>
  <c r="AS201" i="67"/>
  <c r="AT201" i="67" s="1"/>
  <c r="AD232" i="67"/>
  <c r="AD256" i="67"/>
  <c r="AR232" i="67"/>
  <c r="AR256" i="67"/>
  <c r="AS30" i="67"/>
  <c r="AT30" i="67" s="1"/>
  <c r="AS84" i="67"/>
  <c r="AT84" i="67" s="1"/>
  <c r="AS102" i="67"/>
  <c r="AT102" i="67" s="1"/>
  <c r="AS120" i="67"/>
  <c r="AT120" i="67" s="1"/>
  <c r="AS344" i="67"/>
  <c r="AT344" i="67" s="1"/>
  <c r="AR154" i="67"/>
  <c r="AD359" i="67"/>
  <c r="AR359" i="67"/>
  <c r="AR9" i="67"/>
  <c r="AS24" i="67"/>
  <c r="AT24" i="67" s="1"/>
  <c r="AS78" i="67"/>
  <c r="AT78" i="67" s="1"/>
  <c r="AS96" i="67"/>
  <c r="AT96" i="67" s="1"/>
  <c r="AS114" i="67"/>
  <c r="AT114" i="67" s="1"/>
  <c r="R46" i="37" l="1"/>
  <c r="H40" i="37"/>
  <c r="H59" i="37"/>
  <c r="H77" i="37"/>
  <c r="H96" i="37" s="1"/>
  <c r="H21" i="40" s="1"/>
  <c r="H64" i="37"/>
  <c r="H75" i="37"/>
  <c r="H68" i="37"/>
  <c r="R27" i="37"/>
  <c r="H73" i="37"/>
  <c r="H112" i="37" s="1"/>
  <c r="H92" i="37" s="1"/>
  <c r="H17" i="40" s="1"/>
  <c r="H74" i="37"/>
  <c r="H113" i="37" s="1"/>
  <c r="H93" i="37" s="1"/>
  <c r="H18" i="40" s="1"/>
  <c r="H181" i="37"/>
  <c r="H212" i="37" s="1"/>
  <c r="R55" i="37"/>
  <c r="H66" i="37"/>
  <c r="H105" i="37" s="1"/>
  <c r="H85" i="37" s="1"/>
  <c r="H10" i="40" s="1"/>
  <c r="R45" i="37"/>
  <c r="H70" i="37"/>
  <c r="H109" i="37" s="1"/>
  <c r="H76" i="37"/>
  <c r="AR22" i="41"/>
  <c r="AQ17" i="41"/>
  <c r="Y29" i="64"/>
  <c r="U15" i="56"/>
  <c r="F14" i="56"/>
  <c r="U14" i="56" s="1"/>
  <c r="U51" i="56"/>
  <c r="E53" i="48"/>
  <c r="U53" i="48" s="1"/>
  <c r="E23" i="48"/>
  <c r="U23" i="48" s="1"/>
  <c r="U21" i="55"/>
  <c r="S31" i="48"/>
  <c r="L26" i="39"/>
  <c r="K29" i="39"/>
  <c r="K28" i="39" s="1"/>
  <c r="K39" i="39" s="1"/>
  <c r="K25" i="39"/>
  <c r="K38" i="39" s="1"/>
  <c r="K42" i="39" s="1"/>
  <c r="T40" i="39"/>
  <c r="J42" i="39"/>
  <c r="H222" i="37" s="1"/>
  <c r="I42" i="39"/>
  <c r="I34" i="39" s="1"/>
  <c r="Q116" i="37"/>
  <c r="Q96" i="37"/>
  <c r="Q21" i="40" s="1"/>
  <c r="K107" i="37"/>
  <c r="K87" i="37"/>
  <c r="K12" i="40" s="1"/>
  <c r="J110" i="37"/>
  <c r="J90" i="37"/>
  <c r="J15" i="40" s="1"/>
  <c r="K110" i="37"/>
  <c r="N63" i="82"/>
  <c r="N61" i="82"/>
  <c r="K115" i="37"/>
  <c r="K205" i="37" s="1"/>
  <c r="AR132" i="65"/>
  <c r="AS132" i="65" s="1"/>
  <c r="AR105" i="65"/>
  <c r="L103" i="37"/>
  <c r="L83" i="37"/>
  <c r="L8" i="40" s="1"/>
  <c r="G37" i="40"/>
  <c r="E12" i="84" s="1"/>
  <c r="K36" i="40"/>
  <c r="K33" i="40"/>
  <c r="I11" i="84" s="1"/>
  <c r="O32" i="40"/>
  <c r="M10" i="84" s="1"/>
  <c r="L37" i="40"/>
  <c r="J12" i="84" s="1"/>
  <c r="O36" i="40"/>
  <c r="J33" i="40"/>
  <c r="H11" i="84" s="1"/>
  <c r="M32" i="40"/>
  <c r="K10" i="84" s="1"/>
  <c r="K37" i="40"/>
  <c r="I12" i="84" s="1"/>
  <c r="N36" i="40"/>
  <c r="I33" i="40"/>
  <c r="G11" i="84" s="1"/>
  <c r="L32" i="40"/>
  <c r="J10" i="84" s="1"/>
  <c r="J37" i="40"/>
  <c r="H12" i="84" s="1"/>
  <c r="M36" i="40"/>
  <c r="H33" i="40"/>
  <c r="F11" i="84" s="1"/>
  <c r="K32" i="40"/>
  <c r="I10" i="84" s="1"/>
  <c r="Q37" i="40"/>
  <c r="O12" i="84" s="1"/>
  <c r="Q36" i="40"/>
  <c r="M33" i="40"/>
  <c r="K11" i="84" s="1"/>
  <c r="I32" i="40"/>
  <c r="G10" i="84" s="1"/>
  <c r="P37" i="40"/>
  <c r="N12" i="84" s="1"/>
  <c r="P36" i="40"/>
  <c r="L33" i="40"/>
  <c r="J11" i="84" s="1"/>
  <c r="H32" i="40"/>
  <c r="F10" i="84" s="1"/>
  <c r="F32" i="40"/>
  <c r="O37" i="40"/>
  <c r="M12" i="84" s="1"/>
  <c r="L36" i="40"/>
  <c r="G33" i="40"/>
  <c r="E11" i="84" s="1"/>
  <c r="G32" i="40"/>
  <c r="E10" i="84" s="1"/>
  <c r="N37" i="40"/>
  <c r="L12" i="84" s="1"/>
  <c r="J36" i="40"/>
  <c r="F33" i="40"/>
  <c r="Q33" i="40"/>
  <c r="O11" i="84" s="1"/>
  <c r="AQ105" i="40"/>
  <c r="P33" i="40"/>
  <c r="N11" i="84" s="1"/>
  <c r="N33" i="40"/>
  <c r="L11" i="84" s="1"/>
  <c r="I36" i="40"/>
  <c r="O33" i="40"/>
  <c r="M11" i="84" s="1"/>
  <c r="H36" i="40"/>
  <c r="I37" i="40"/>
  <c r="G12" i="84" s="1"/>
  <c r="G36" i="40"/>
  <c r="Q32" i="40"/>
  <c r="O10" i="84" s="1"/>
  <c r="J32" i="40"/>
  <c r="H10" i="84" s="1"/>
  <c r="F36" i="40"/>
  <c r="P32" i="40"/>
  <c r="N10" i="84" s="1"/>
  <c r="N32" i="40"/>
  <c r="L10" i="84" s="1"/>
  <c r="M37" i="40"/>
  <c r="K12" i="84" s="1"/>
  <c r="H37" i="40"/>
  <c r="F12" i="84" s="1"/>
  <c r="F37" i="40"/>
  <c r="M106" i="37"/>
  <c r="H63" i="82"/>
  <c r="H61" i="82"/>
  <c r="Q63" i="82"/>
  <c r="Q61" i="82"/>
  <c r="M114" i="37"/>
  <c r="M94" i="37"/>
  <c r="M19" i="40" s="1"/>
  <c r="L109" i="37"/>
  <c r="L89" i="37"/>
  <c r="L14" i="40" s="1"/>
  <c r="I61" i="82"/>
  <c r="I63" i="82"/>
  <c r="P26" i="82"/>
  <c r="P32" i="82"/>
  <c r="P62" i="82"/>
  <c r="P58" i="82"/>
  <c r="N115" i="37"/>
  <c r="N205" i="37" s="1"/>
  <c r="Q111" i="37"/>
  <c r="Q91" i="37"/>
  <c r="Q16" i="40" s="1"/>
  <c r="O106" i="37"/>
  <c r="O86" i="37"/>
  <c r="O11" i="40" s="1"/>
  <c r="P116" i="37"/>
  <c r="M59" i="82"/>
  <c r="M57" i="82"/>
  <c r="AO130" i="65"/>
  <c r="AO83" i="65"/>
  <c r="AO129" i="65"/>
  <c r="AO136" i="65" s="1"/>
  <c r="G115" i="37"/>
  <c r="G95" i="37"/>
  <c r="G20" i="40" s="1"/>
  <c r="N103" i="37"/>
  <c r="N83" i="37"/>
  <c r="N8" i="40" s="1"/>
  <c r="AP130" i="65"/>
  <c r="AP83" i="65"/>
  <c r="AP129" i="65"/>
  <c r="AP136" i="65" s="1"/>
  <c r="J107" i="37"/>
  <c r="J87" i="37" s="1"/>
  <c r="J12" i="40" s="1"/>
  <c r="AF83" i="65"/>
  <c r="AR84" i="65"/>
  <c r="AR83" i="65" s="1"/>
  <c r="AF129" i="65"/>
  <c r="AF136" i="65" s="1"/>
  <c r="AF130" i="65"/>
  <c r="N114" i="37"/>
  <c r="N94" i="37"/>
  <c r="N19" i="40" s="1"/>
  <c r="Q109" i="37"/>
  <c r="R59" i="82"/>
  <c r="R57" i="82"/>
  <c r="Q115" i="37"/>
  <c r="Q205" i="37" s="1"/>
  <c r="M113" i="37"/>
  <c r="M93" i="37"/>
  <c r="M18" i="40" s="1"/>
  <c r="M56" i="40" s="1"/>
  <c r="J104" i="37"/>
  <c r="L115" i="37"/>
  <c r="L205" i="37" s="1"/>
  <c r="O109" i="37"/>
  <c r="I110" i="37"/>
  <c r="I90" i="37" s="1"/>
  <c r="I15" i="40" s="1"/>
  <c r="P112" i="37"/>
  <c r="P92" i="37"/>
  <c r="P17" i="40" s="1"/>
  <c r="L107" i="37"/>
  <c r="L87" i="37"/>
  <c r="L12" i="40" s="1"/>
  <c r="S28" i="55"/>
  <c r="F30" i="48"/>
  <c r="L114" i="37"/>
  <c r="L94" i="37"/>
  <c r="L19" i="40" s="1"/>
  <c r="G31" i="40"/>
  <c r="L29" i="40"/>
  <c r="I28" i="40"/>
  <c r="F27" i="40"/>
  <c r="J26" i="40"/>
  <c r="H7" i="84" s="1"/>
  <c r="P31" i="40"/>
  <c r="M28" i="40"/>
  <c r="H27" i="40"/>
  <c r="F8" i="84" s="1"/>
  <c r="I26" i="40"/>
  <c r="G7" i="84" s="1"/>
  <c r="O31" i="40"/>
  <c r="Q29" i="40"/>
  <c r="L28" i="40"/>
  <c r="G27" i="40"/>
  <c r="E8" i="84" s="1"/>
  <c r="H26" i="40"/>
  <c r="F7" i="84" s="1"/>
  <c r="N31" i="40"/>
  <c r="P29" i="40"/>
  <c r="K28" i="40"/>
  <c r="G26" i="40"/>
  <c r="E7" i="84" s="1"/>
  <c r="I31" i="40"/>
  <c r="O29" i="40"/>
  <c r="I27" i="40"/>
  <c r="G8" i="84" s="1"/>
  <c r="H31" i="40"/>
  <c r="N29" i="40"/>
  <c r="Q26" i="40"/>
  <c r="O7" i="84" s="1"/>
  <c r="O26" i="40"/>
  <c r="M7" i="84" s="1"/>
  <c r="F31" i="40"/>
  <c r="M29" i="40"/>
  <c r="P26" i="40"/>
  <c r="N7" i="84" s="1"/>
  <c r="K29" i="40"/>
  <c r="Q28" i="40"/>
  <c r="J29" i="40"/>
  <c r="H28" i="40"/>
  <c r="K27" i="40"/>
  <c r="I8" i="84" s="1"/>
  <c r="M26" i="40"/>
  <c r="K7" i="84" s="1"/>
  <c r="AQ104" i="40"/>
  <c r="G29" i="40"/>
  <c r="F26" i="40"/>
  <c r="I29" i="40"/>
  <c r="G28" i="40"/>
  <c r="J27" i="40"/>
  <c r="H8" i="84" s="1"/>
  <c r="L26" i="40"/>
  <c r="J7" i="84" s="1"/>
  <c r="M31" i="40"/>
  <c r="H29" i="40"/>
  <c r="F28" i="40"/>
  <c r="K26" i="40"/>
  <c r="I7" i="84" s="1"/>
  <c r="Q31" i="40"/>
  <c r="F29" i="40"/>
  <c r="M27" i="40"/>
  <c r="K8" i="84" s="1"/>
  <c r="L27" i="40"/>
  <c r="J8" i="84" s="1"/>
  <c r="N28" i="40"/>
  <c r="Q27" i="40"/>
  <c r="O8" i="84" s="1"/>
  <c r="P28" i="40"/>
  <c r="O28" i="40"/>
  <c r="J28" i="40"/>
  <c r="L31" i="40"/>
  <c r="P27" i="40"/>
  <c r="N8" i="84" s="1"/>
  <c r="N27" i="40"/>
  <c r="L8" i="84" s="1"/>
  <c r="N26" i="40"/>
  <c r="L7" i="84" s="1"/>
  <c r="O27" i="40"/>
  <c r="M8" i="84" s="1"/>
  <c r="J31" i="40"/>
  <c r="K31" i="40"/>
  <c r="J163" i="40"/>
  <c r="K12" i="56" s="1"/>
  <c r="J13" i="48" s="1"/>
  <c r="K8" i="56"/>
  <c r="J8" i="48" s="1"/>
  <c r="D32" i="82"/>
  <c r="D43" i="82" s="1"/>
  <c r="D47" i="82" s="1"/>
  <c r="D58" i="82"/>
  <c r="J105" i="37"/>
  <c r="J85" i="37" s="1"/>
  <c r="J10" i="40" s="1"/>
  <c r="R15" i="37"/>
  <c r="P163" i="40"/>
  <c r="Q12" i="56" s="1"/>
  <c r="P13" i="48" s="1"/>
  <c r="Q8" i="56"/>
  <c r="P8" i="48" s="1"/>
  <c r="P115" i="37"/>
  <c r="P205" i="37" s="1"/>
  <c r="P59" i="37"/>
  <c r="D57" i="55"/>
  <c r="D59" i="55"/>
  <c r="AQ130" i="65"/>
  <c r="AQ83" i="65"/>
  <c r="F74" i="37"/>
  <c r="R17" i="37"/>
  <c r="F91" i="37"/>
  <c r="F111" i="37"/>
  <c r="O21" i="37"/>
  <c r="J109" i="37"/>
  <c r="J89" i="37"/>
  <c r="J14" i="40" s="1"/>
  <c r="J26" i="82"/>
  <c r="J32" i="82"/>
  <c r="AS232" i="67"/>
  <c r="AT232" i="67" s="1"/>
  <c r="J86" i="37"/>
  <c r="J11" i="40" s="1"/>
  <c r="J106" i="37"/>
  <c r="N85" i="37"/>
  <c r="N10" i="40" s="1"/>
  <c r="N105" i="37"/>
  <c r="R57" i="37"/>
  <c r="G59" i="37"/>
  <c r="N40" i="37"/>
  <c r="M109" i="37"/>
  <c r="M89" i="37" s="1"/>
  <c r="M14" i="40" s="1"/>
  <c r="L74" i="37"/>
  <c r="R172" i="37"/>
  <c r="P174" i="37"/>
  <c r="P211" i="37" s="1"/>
  <c r="G64" i="37"/>
  <c r="R62" i="82"/>
  <c r="O26" i="82"/>
  <c r="O32" i="82"/>
  <c r="K116" i="37"/>
  <c r="K96" i="37" s="1"/>
  <c r="K21" i="40" s="1"/>
  <c r="N70" i="37"/>
  <c r="K102" i="37"/>
  <c r="K78" i="37"/>
  <c r="K82" i="37"/>
  <c r="F52" i="52"/>
  <c r="G52" i="52" s="1"/>
  <c r="H52" i="52" s="1"/>
  <c r="I52" i="52" s="1"/>
  <c r="J52" i="52"/>
  <c r="K52" i="52" s="1"/>
  <c r="L52" i="52" s="1"/>
  <c r="M52" i="52" s="1"/>
  <c r="N52" i="52" s="1"/>
  <c r="O52" i="52" s="1"/>
  <c r="P52" i="52" s="1"/>
  <c r="Q52" i="52" s="1"/>
  <c r="K114" i="37"/>
  <c r="K94" i="37" s="1"/>
  <c r="K19" i="40" s="1"/>
  <c r="O103" i="37"/>
  <c r="F77" i="37"/>
  <c r="R20" i="37"/>
  <c r="R51" i="37"/>
  <c r="E32" i="82"/>
  <c r="E43" i="82" s="1"/>
  <c r="E47" i="82" s="1"/>
  <c r="E58" i="82"/>
  <c r="L21" i="37"/>
  <c r="P74" i="37"/>
  <c r="E98" i="52"/>
  <c r="F97" i="52"/>
  <c r="G68" i="37"/>
  <c r="G104" i="37"/>
  <c r="G84" i="37"/>
  <c r="G9" i="40" s="1"/>
  <c r="D32" i="55"/>
  <c r="D43" i="55" s="1"/>
  <c r="D47" i="55" s="1"/>
  <c r="D62" i="55"/>
  <c r="K42" i="48"/>
  <c r="K40" i="48" s="1"/>
  <c r="L38" i="55"/>
  <c r="AR76" i="41"/>
  <c r="AQ76" i="41"/>
  <c r="AD84" i="65"/>
  <c r="AD129" i="65" s="1"/>
  <c r="AD136" i="65" s="1"/>
  <c r="AC83" i="65"/>
  <c r="AE84" i="65"/>
  <c r="P66" i="37"/>
  <c r="H42" i="39"/>
  <c r="K30" i="48"/>
  <c r="I38" i="55"/>
  <c r="H41" i="48"/>
  <c r="H40" i="48" s="1"/>
  <c r="R185" i="37"/>
  <c r="R188" i="37" s="1"/>
  <c r="R213" i="37" s="1"/>
  <c r="G106" i="37"/>
  <c r="G86" i="37"/>
  <c r="G11" i="40" s="1"/>
  <c r="J56" i="52"/>
  <c r="K56" i="52" s="1"/>
  <c r="L56" i="52" s="1"/>
  <c r="M56" i="52" s="1"/>
  <c r="N56" i="52" s="1"/>
  <c r="O56" i="52" s="1"/>
  <c r="P56" i="52" s="1"/>
  <c r="Q56" i="52" s="1"/>
  <c r="F56" i="52"/>
  <c r="G56" i="52" s="1"/>
  <c r="H56" i="52" s="1"/>
  <c r="I56" i="52" s="1"/>
  <c r="F181" i="37"/>
  <c r="F212" i="37" s="1"/>
  <c r="R178" i="37"/>
  <c r="R28" i="37"/>
  <c r="R28" i="56"/>
  <c r="Q30" i="48" s="1"/>
  <c r="AR6" i="42"/>
  <c r="AQ6" i="42"/>
  <c r="AS6" i="42"/>
  <c r="Y74" i="64"/>
  <c r="AQ117" i="41"/>
  <c r="AR117" i="41"/>
  <c r="Y6" i="64"/>
  <c r="K64" i="37"/>
  <c r="J113" i="37"/>
  <c r="J93" i="37" s="1"/>
  <c r="J18" i="40" s="1"/>
  <c r="I21" i="37"/>
  <c r="I63" i="37"/>
  <c r="Y171" i="64"/>
  <c r="O188" i="37"/>
  <c r="O213" i="37" s="1"/>
  <c r="N59" i="37"/>
  <c r="N90" i="37"/>
  <c r="N15" i="40" s="1"/>
  <c r="N110" i="37"/>
  <c r="AK157" i="41"/>
  <c r="F30" i="56"/>
  <c r="U30" i="56" s="1"/>
  <c r="O59" i="37"/>
  <c r="L59" i="37"/>
  <c r="L72" i="37"/>
  <c r="F30" i="55"/>
  <c r="U30" i="55" s="1"/>
  <c r="F76" i="37"/>
  <c r="R19" i="37"/>
  <c r="K181" i="37"/>
  <c r="K212" i="37" s="1"/>
  <c r="R52" i="37"/>
  <c r="Q66" i="37"/>
  <c r="P67" i="37"/>
  <c r="G72" i="37"/>
  <c r="Q181" i="37"/>
  <c r="Q212" i="37" s="1"/>
  <c r="G40" i="52"/>
  <c r="I40" i="52" s="1"/>
  <c r="H40" i="52"/>
  <c r="J181" i="37"/>
  <c r="J212" i="37" s="1"/>
  <c r="M181" i="37"/>
  <c r="M212" i="37" s="1"/>
  <c r="R34" i="37"/>
  <c r="AR16" i="41"/>
  <c r="M62" i="82"/>
  <c r="AS9" i="65"/>
  <c r="AS8" i="65" s="1"/>
  <c r="AR8" i="65"/>
  <c r="AR5" i="65" s="1"/>
  <c r="AS7" i="42"/>
  <c r="AR7" i="42"/>
  <c r="AQ7" i="42"/>
  <c r="M107" i="37"/>
  <c r="M87" i="37"/>
  <c r="M12" i="40" s="1"/>
  <c r="Q104" i="37"/>
  <c r="F61" i="82"/>
  <c r="F63" i="82"/>
  <c r="P109" i="37"/>
  <c r="E22" i="47"/>
  <c r="F82" i="52"/>
  <c r="E83" i="52"/>
  <c r="F83" i="52" s="1"/>
  <c r="R14" i="37"/>
  <c r="K40" i="37"/>
  <c r="R25" i="37"/>
  <c r="F40" i="37"/>
  <c r="N32" i="82"/>
  <c r="N26" i="82"/>
  <c r="AR130" i="81"/>
  <c r="AS130" i="81" s="1"/>
  <c r="AS61" i="81"/>
  <c r="AR75" i="41"/>
  <c r="AQ75" i="41"/>
  <c r="S9" i="82"/>
  <c r="G25" i="82"/>
  <c r="G58" i="82" s="1"/>
  <c r="G19" i="82"/>
  <c r="M64" i="37"/>
  <c r="G14" i="52"/>
  <c r="I14" i="52" s="1"/>
  <c r="F14" i="52"/>
  <c r="H14" i="52" s="1"/>
  <c r="E15" i="52"/>
  <c r="K25" i="82"/>
  <c r="K19" i="82"/>
  <c r="D27" i="48"/>
  <c r="E32" i="55"/>
  <c r="H103" i="37"/>
  <c r="S34" i="82"/>
  <c r="R38" i="48"/>
  <c r="AK129" i="65"/>
  <c r="AK136" i="65" s="1"/>
  <c r="J115" i="37"/>
  <c r="J205" i="37" s="1"/>
  <c r="J95" i="37"/>
  <c r="J20" i="40" s="1"/>
  <c r="F22" i="55"/>
  <c r="AK5" i="41"/>
  <c r="AK101" i="41" s="1"/>
  <c r="J42" i="48"/>
  <c r="J40" i="48" s="1"/>
  <c r="K38" i="55"/>
  <c r="N21" i="37"/>
  <c r="L73" i="37"/>
  <c r="F73" i="37"/>
  <c r="R16" i="37"/>
  <c r="M198" i="37"/>
  <c r="M127" i="37"/>
  <c r="O35" i="40"/>
  <c r="G34" i="40"/>
  <c r="G53" i="40" s="1"/>
  <c r="O30" i="40"/>
  <c r="M9" i="84" s="1"/>
  <c r="H34" i="40"/>
  <c r="J30" i="40"/>
  <c r="H9" i="84" s="1"/>
  <c r="Q35" i="40"/>
  <c r="F34" i="40"/>
  <c r="I30" i="40"/>
  <c r="G9" i="84" s="1"/>
  <c r="P35" i="40"/>
  <c r="H30" i="40"/>
  <c r="F9" i="84" s="1"/>
  <c r="M35" i="40"/>
  <c r="M34" i="40"/>
  <c r="M53" i="40" s="1"/>
  <c r="M30" i="40"/>
  <c r="K9" i="84" s="1"/>
  <c r="L35" i="40"/>
  <c r="L34" i="40"/>
  <c r="L30" i="40"/>
  <c r="J9" i="84" s="1"/>
  <c r="J35" i="40"/>
  <c r="J34" i="40"/>
  <c r="G30" i="40"/>
  <c r="E9" i="84" s="1"/>
  <c r="K35" i="40"/>
  <c r="K34" i="40"/>
  <c r="K30" i="40"/>
  <c r="I9" i="84" s="1"/>
  <c r="I35" i="40"/>
  <c r="H35" i="40"/>
  <c r="Q30" i="40"/>
  <c r="O9" i="84" s="1"/>
  <c r="N30" i="40"/>
  <c r="L9" i="84" s="1"/>
  <c r="Q34" i="40"/>
  <c r="F30" i="40"/>
  <c r="G35" i="40"/>
  <c r="P30" i="40"/>
  <c r="N9" i="84" s="1"/>
  <c r="F35" i="40"/>
  <c r="N34" i="40"/>
  <c r="N35" i="40"/>
  <c r="P34" i="40"/>
  <c r="O34" i="40"/>
  <c r="AQ106" i="40"/>
  <c r="I34" i="40"/>
  <c r="G116" i="37"/>
  <c r="G96" i="37"/>
  <c r="G21" i="40" s="1"/>
  <c r="J38" i="55"/>
  <c r="I41" i="48"/>
  <c r="I40" i="48" s="1"/>
  <c r="O72" i="37"/>
  <c r="S14" i="82"/>
  <c r="N69" i="37"/>
  <c r="N88" i="37" s="1"/>
  <c r="N13" i="40" s="1"/>
  <c r="N51" i="40" s="1"/>
  <c r="I181" i="37"/>
  <c r="I212" i="37" s="1"/>
  <c r="P111" i="37"/>
  <c r="P91" i="37" s="1"/>
  <c r="P16" i="40" s="1"/>
  <c r="G42" i="52"/>
  <c r="I42" i="52" s="1"/>
  <c r="F42" i="52"/>
  <c r="H42" i="52" s="1"/>
  <c r="L40" i="37"/>
  <c r="S15" i="82"/>
  <c r="O42" i="48"/>
  <c r="O40" i="48" s="1"/>
  <c r="P38" i="55"/>
  <c r="F20" i="55"/>
  <c r="U20" i="55" s="1"/>
  <c r="AF118" i="40"/>
  <c r="F11" i="55"/>
  <c r="E12" i="48" s="1"/>
  <c r="AF225" i="37"/>
  <c r="F70" i="37"/>
  <c r="R13" i="37"/>
  <c r="L63" i="37"/>
  <c r="I106" i="37"/>
  <c r="I86" i="37" s="1"/>
  <c r="I11" i="40" s="1"/>
  <c r="E62" i="55"/>
  <c r="H71" i="37"/>
  <c r="R71" i="37" s="1"/>
  <c r="G129" i="37"/>
  <c r="G200" i="37"/>
  <c r="E43" i="52"/>
  <c r="E29" i="52"/>
  <c r="F27" i="52"/>
  <c r="Q62" i="52"/>
  <c r="Q65" i="52" s="1"/>
  <c r="S48" i="39" s="1"/>
  <c r="O62" i="52"/>
  <c r="O65" i="52" s="1"/>
  <c r="Q48" i="39" s="1"/>
  <c r="N62" i="52"/>
  <c r="N65" i="52" s="1"/>
  <c r="P48" i="39" s="1"/>
  <c r="M62" i="52"/>
  <c r="M65" i="52" s="1"/>
  <c r="O48" i="39" s="1"/>
  <c r="P62" i="52"/>
  <c r="P65" i="52" s="1"/>
  <c r="R48" i="39" s="1"/>
  <c r="I62" i="52"/>
  <c r="I65" i="52" s="1"/>
  <c r="K48" i="39" s="1"/>
  <c r="G62" i="52"/>
  <c r="G65" i="52" s="1"/>
  <c r="I48" i="39" s="1"/>
  <c r="F62" i="52"/>
  <c r="F65" i="52" s="1"/>
  <c r="H48" i="39" s="1"/>
  <c r="E28" i="52"/>
  <c r="F28" i="52" s="1"/>
  <c r="AS55" i="81"/>
  <c r="AH129" i="65"/>
  <c r="AH136" i="65" s="1"/>
  <c r="P127" i="37"/>
  <c r="P198" i="37"/>
  <c r="Q74" i="37"/>
  <c r="I109" i="37"/>
  <c r="I89" i="37"/>
  <c r="I14" i="40" s="1"/>
  <c r="O115" i="37"/>
  <c r="O205" i="37" s="1"/>
  <c r="M111" i="37"/>
  <c r="M91" i="37" s="1"/>
  <c r="M16" i="40" s="1"/>
  <c r="G26" i="52"/>
  <c r="I26" i="52" s="1"/>
  <c r="H26" i="52"/>
  <c r="AL129" i="65"/>
  <c r="AL136" i="65" s="1"/>
  <c r="K174" i="37"/>
  <c r="K211" i="37" s="1"/>
  <c r="I111" i="37"/>
  <c r="I91" i="37"/>
  <c r="I16" i="40" s="1"/>
  <c r="N65" i="37"/>
  <c r="I112" i="37"/>
  <c r="M104" i="37"/>
  <c r="M84" i="37" s="1"/>
  <c r="M9" i="40" s="1"/>
  <c r="M112" i="37"/>
  <c r="M92" i="37"/>
  <c r="M17" i="40" s="1"/>
  <c r="M200" i="37"/>
  <c r="M129" i="37"/>
  <c r="AS122" i="67"/>
  <c r="AT122" i="67" s="1"/>
  <c r="N42" i="48"/>
  <c r="N40" i="48" s="1"/>
  <c r="O38" i="55"/>
  <c r="K59" i="37"/>
  <c r="AS10" i="42"/>
  <c r="AR10" i="42"/>
  <c r="AQ10" i="42"/>
  <c r="K105" i="37"/>
  <c r="K85" i="37"/>
  <c r="K10" i="40" s="1"/>
  <c r="I77" i="37"/>
  <c r="F40" i="55"/>
  <c r="E42" i="48" s="1"/>
  <c r="O116" i="37"/>
  <c r="H167" i="40"/>
  <c r="H169" i="40" s="1"/>
  <c r="H161" i="40"/>
  <c r="N77" i="37"/>
  <c r="O73" i="37"/>
  <c r="AQ50" i="41"/>
  <c r="AR50" i="41"/>
  <c r="R7" i="37"/>
  <c r="F64" i="37"/>
  <c r="R58" i="37"/>
  <c r="Q67" i="37"/>
  <c r="M115" i="37"/>
  <c r="M205" i="37" s="1"/>
  <c r="M95" i="37"/>
  <c r="M20" i="40" s="1"/>
  <c r="N198" i="37"/>
  <c r="N127" i="37"/>
  <c r="P107" i="37"/>
  <c r="P87" i="37"/>
  <c r="P12" i="40" s="1"/>
  <c r="J62" i="82"/>
  <c r="H115" i="37"/>
  <c r="H205" i="37" s="1"/>
  <c r="G74" i="37"/>
  <c r="R38" i="37"/>
  <c r="L25" i="82"/>
  <c r="AR13" i="41"/>
  <c r="AQ13" i="41"/>
  <c r="F13" i="48"/>
  <c r="J59" i="37"/>
  <c r="G146" i="37"/>
  <c r="G90" i="40" s="1"/>
  <c r="G71" i="40"/>
  <c r="R35" i="37"/>
  <c r="H71" i="40"/>
  <c r="H146" i="37"/>
  <c r="H90" i="40" s="1"/>
  <c r="H33" i="82"/>
  <c r="H43" i="82"/>
  <c r="H47" i="82" s="1"/>
  <c r="H49" i="82" s="1"/>
  <c r="N38" i="55"/>
  <c r="AQ16" i="41"/>
  <c r="K109" i="37"/>
  <c r="K89" i="37"/>
  <c r="K14" i="40" s="1"/>
  <c r="H116" i="37"/>
  <c r="P102" i="37"/>
  <c r="G12" i="52"/>
  <c r="I12" i="52" s="1"/>
  <c r="H12" i="52"/>
  <c r="AS13" i="42"/>
  <c r="AR13" i="42"/>
  <c r="AQ13" i="42"/>
  <c r="K111" i="37"/>
  <c r="K91" i="37"/>
  <c r="K16" i="40" s="1"/>
  <c r="M105" i="37"/>
  <c r="AR161" i="41"/>
  <c r="AQ161" i="41"/>
  <c r="I222" i="37"/>
  <c r="K34" i="39"/>
  <c r="H81" i="52"/>
  <c r="G81" i="52"/>
  <c r="I81" i="52" s="1"/>
  <c r="AI83" i="65"/>
  <c r="AI130" i="65"/>
  <c r="K104" i="37"/>
  <c r="J78" i="37"/>
  <c r="J102" i="37"/>
  <c r="J82" i="37" s="1"/>
  <c r="R33" i="37"/>
  <c r="S5" i="82"/>
  <c r="AS256" i="67"/>
  <c r="AT256" i="67" s="1"/>
  <c r="AS134" i="65"/>
  <c r="AR80" i="41"/>
  <c r="AQ80" i="41"/>
  <c r="AR10" i="41"/>
  <c r="AQ10" i="41"/>
  <c r="N112" i="37"/>
  <c r="G161" i="40"/>
  <c r="G167" i="40"/>
  <c r="F59" i="37"/>
  <c r="R44" i="37"/>
  <c r="M163" i="40"/>
  <c r="N12" i="56" s="1"/>
  <c r="M13" i="48" s="1"/>
  <c r="N8" i="56"/>
  <c r="M8" i="48" s="1"/>
  <c r="H106" i="37"/>
  <c r="H86" i="37"/>
  <c r="H11" i="40" s="1"/>
  <c r="AQ11" i="42"/>
  <c r="AR11" i="42"/>
  <c r="AS11" i="42"/>
  <c r="J127" i="37"/>
  <c r="J198" i="37"/>
  <c r="R10" i="37"/>
  <c r="F107" i="37"/>
  <c r="F87" i="37" s="1"/>
  <c r="Q163" i="63"/>
  <c r="R161" i="63"/>
  <c r="O102" i="37"/>
  <c r="O82" i="37"/>
  <c r="AS61" i="65"/>
  <c r="AR131" i="65"/>
  <c r="AK130" i="65"/>
  <c r="F198" i="37"/>
  <c r="F127" i="37"/>
  <c r="J46" i="39"/>
  <c r="J53" i="39"/>
  <c r="R187" i="37"/>
  <c r="O163" i="40"/>
  <c r="P12" i="56" s="1"/>
  <c r="O13" i="48" s="1"/>
  <c r="P8" i="56"/>
  <c r="O8" i="48" s="1"/>
  <c r="I105" i="37"/>
  <c r="R31" i="37"/>
  <c r="AS359" i="67"/>
  <c r="AT359" i="67" s="1"/>
  <c r="AR79" i="41"/>
  <c r="AQ79" i="41"/>
  <c r="AN83" i="65"/>
  <c r="AN130" i="65"/>
  <c r="J21" i="37"/>
  <c r="AR172" i="41"/>
  <c r="AQ172" i="41"/>
  <c r="Q112" i="37"/>
  <c r="W225" i="37"/>
  <c r="W226" i="37" s="1"/>
  <c r="W227" i="37" s="1"/>
  <c r="W229" i="37" s="1"/>
  <c r="W118" i="40"/>
  <c r="R50" i="37"/>
  <c r="I107" i="37"/>
  <c r="E63" i="82"/>
  <c r="E61" i="82"/>
  <c r="K106" i="37"/>
  <c r="G94" i="37"/>
  <c r="G19" i="40" s="1"/>
  <c r="G114" i="37"/>
  <c r="I58" i="82"/>
  <c r="R39" i="37"/>
  <c r="Q99" i="41"/>
  <c r="M51" i="55"/>
  <c r="AR12" i="41"/>
  <c r="AQ12" i="41"/>
  <c r="W65" i="42"/>
  <c r="AS5" i="42"/>
  <c r="AR5" i="42"/>
  <c r="AQ5" i="42"/>
  <c r="R251" i="63"/>
  <c r="AR14" i="41"/>
  <c r="AQ14" i="41"/>
  <c r="I75" i="37"/>
  <c r="Q102" i="37"/>
  <c r="Q82" i="37"/>
  <c r="R29" i="37"/>
  <c r="L181" i="37"/>
  <c r="L212" i="37" s="1"/>
  <c r="F42" i="48"/>
  <c r="I76" i="37"/>
  <c r="T224" i="37"/>
  <c r="T226" i="37" s="1"/>
  <c r="T227" i="37" s="1"/>
  <c r="T229" i="37" s="1"/>
  <c r="AF60" i="40"/>
  <c r="Q167" i="40"/>
  <c r="Q169" i="40" s="1"/>
  <c r="Q161" i="40"/>
  <c r="E41" i="47"/>
  <c r="E41" i="85"/>
  <c r="F25" i="56"/>
  <c r="U25" i="56" s="1"/>
  <c r="AE135" i="81"/>
  <c r="AS72" i="81"/>
  <c r="AR131" i="81"/>
  <c r="AS131" i="81" s="1"/>
  <c r="AG129" i="65"/>
  <c r="AG136" i="65" s="1"/>
  <c r="AM130" i="65"/>
  <c r="AF138" i="65"/>
  <c r="K155" i="41"/>
  <c r="O107" i="37"/>
  <c r="AR74" i="41"/>
  <c r="AQ74" i="41"/>
  <c r="J116" i="37"/>
  <c r="AS12" i="42"/>
  <c r="AR12" i="42"/>
  <c r="AQ12" i="42"/>
  <c r="L106" i="37"/>
  <c r="L77" i="37"/>
  <c r="AR11" i="41"/>
  <c r="AQ11" i="41"/>
  <c r="R8" i="37"/>
  <c r="F65" i="37"/>
  <c r="N30" i="48"/>
  <c r="R47" i="37"/>
  <c r="Q68" i="37"/>
  <c r="R36" i="48"/>
  <c r="P69" i="37"/>
  <c r="P88" i="37" s="1"/>
  <c r="P13" i="40" s="1"/>
  <c r="P51" i="40" s="1"/>
  <c r="P188" i="37"/>
  <c r="P213" i="37" s="1"/>
  <c r="J58" i="82"/>
  <c r="AR9" i="41"/>
  <c r="AQ9" i="41"/>
  <c r="E114" i="52"/>
  <c r="I26" i="82"/>
  <c r="I32" i="82"/>
  <c r="H65" i="37"/>
  <c r="H174" i="37"/>
  <c r="H211" i="37" s="1"/>
  <c r="G66" i="37"/>
  <c r="Q40" i="37"/>
  <c r="R32" i="37"/>
  <c r="F8" i="48"/>
  <c r="R36" i="37"/>
  <c r="AH157" i="40"/>
  <c r="AJ157" i="40" s="1"/>
  <c r="M40" i="48"/>
  <c r="O58" i="82"/>
  <c r="AR128" i="81"/>
  <c r="AR135" i="81" s="1"/>
  <c r="AR8" i="81"/>
  <c r="AS9" i="81"/>
  <c r="AR129" i="81"/>
  <c r="AS129" i="81" s="1"/>
  <c r="L84" i="37"/>
  <c r="L9" i="40" s="1"/>
  <c r="L104" i="37"/>
  <c r="R6" i="37"/>
  <c r="F21" i="37"/>
  <c r="F63" i="37"/>
  <c r="AQ28" i="41"/>
  <c r="AR28" i="41"/>
  <c r="M32" i="82"/>
  <c r="M26" i="82"/>
  <c r="P84" i="37"/>
  <c r="P9" i="40" s="1"/>
  <c r="P104" i="37"/>
  <c r="O84" i="37"/>
  <c r="O9" i="40" s="1"/>
  <c r="O104" i="37"/>
  <c r="G109" i="37"/>
  <c r="G89" i="37"/>
  <c r="G14" i="40" s="1"/>
  <c r="M116" i="37"/>
  <c r="N106" i="37"/>
  <c r="N86" i="37"/>
  <c r="N11" i="40" s="1"/>
  <c r="R12" i="37"/>
  <c r="F69" i="37"/>
  <c r="Q110" i="37"/>
  <c r="Q32" i="82"/>
  <c r="Q26" i="82"/>
  <c r="P110" i="37"/>
  <c r="P90" i="37" s="1"/>
  <c r="P15" i="40" s="1"/>
  <c r="F110" i="37"/>
  <c r="F90" i="37"/>
  <c r="H111" i="37"/>
  <c r="R37" i="37"/>
  <c r="R43" i="82"/>
  <c r="R47" i="82" s="1"/>
  <c r="R49" i="82" s="1"/>
  <c r="R33" i="82"/>
  <c r="Q58" i="82"/>
  <c r="AM65" i="40"/>
  <c r="AL65" i="40"/>
  <c r="K112" i="37"/>
  <c r="K92" i="37" s="1"/>
  <c r="K17" i="40" s="1"/>
  <c r="J103" i="37"/>
  <c r="J83" i="37"/>
  <c r="J8" i="40" s="1"/>
  <c r="L110" i="37"/>
  <c r="R18" i="37"/>
  <c r="F75" i="37"/>
  <c r="Q64" i="37"/>
  <c r="R11" i="37"/>
  <c r="AR128" i="41"/>
  <c r="AQ128" i="41"/>
  <c r="G21" i="37"/>
  <c r="G63" i="37"/>
  <c r="N113" i="37"/>
  <c r="N93" i="37"/>
  <c r="N18" i="40" s="1"/>
  <c r="R179" i="37"/>
  <c r="O99" i="41"/>
  <c r="K51" i="55"/>
  <c r="J53" i="48" s="1"/>
  <c r="AR89" i="65"/>
  <c r="K113" i="37"/>
  <c r="K93" i="37"/>
  <c r="K18" i="40" s="1"/>
  <c r="I93" i="37"/>
  <c r="I18" i="40" s="1"/>
  <c r="I113" i="37"/>
  <c r="R171" i="37"/>
  <c r="F174" i="37"/>
  <c r="F211" i="37" s="1"/>
  <c r="Q174" i="37"/>
  <c r="Q211" i="37" s="1"/>
  <c r="AS30" i="40"/>
  <c r="P114" i="37"/>
  <c r="P94" i="37"/>
  <c r="P19" i="40" s="1"/>
  <c r="H58" i="82"/>
  <c r="R180" i="37"/>
  <c r="M19" i="82"/>
  <c r="D62" i="82"/>
  <c r="AM105" i="65"/>
  <c r="AM132" i="65"/>
  <c r="R155" i="41" s="1"/>
  <c r="N31" i="56" s="1"/>
  <c r="N51" i="56" s="1"/>
  <c r="AS8" i="42"/>
  <c r="AR8" i="42"/>
  <c r="AQ8" i="42"/>
  <c r="J73" i="37"/>
  <c r="AR73" i="41"/>
  <c r="AQ73" i="41"/>
  <c r="N87" i="37"/>
  <c r="N12" i="40" s="1"/>
  <c r="N107" i="37"/>
  <c r="F67" i="37"/>
  <c r="Q114" i="37"/>
  <c r="Q94" i="37"/>
  <c r="Q19" i="40" s="1"/>
  <c r="G41" i="48"/>
  <c r="Q19" i="63"/>
  <c r="R17" i="63"/>
  <c r="AD8" i="81"/>
  <c r="AD128" i="81"/>
  <c r="AD135" i="81" s="1"/>
  <c r="AD129" i="81"/>
  <c r="AS124" i="65"/>
  <c r="AE131" i="65"/>
  <c r="K161" i="40"/>
  <c r="K167" i="40"/>
  <c r="K169" i="40" s="1"/>
  <c r="I104" i="37"/>
  <c r="I84" i="37" s="1"/>
  <c r="I9" i="40" s="1"/>
  <c r="AM93" i="40"/>
  <c r="AL93" i="40"/>
  <c r="F38" i="55"/>
  <c r="E40" i="48" s="1"/>
  <c r="E41" i="48"/>
  <c r="AR182" i="41"/>
  <c r="W210" i="41"/>
  <c r="AQ182" i="41"/>
  <c r="E25" i="48"/>
  <c r="N111" i="37"/>
  <c r="N63" i="37"/>
  <c r="O113" i="37"/>
  <c r="O93" i="37"/>
  <c r="O18" i="40" s="1"/>
  <c r="M78" i="37"/>
  <c r="M102" i="37"/>
  <c r="M82" i="37" s="1"/>
  <c r="AJ138" i="40"/>
  <c r="N58" i="82"/>
  <c r="AQ72" i="41"/>
  <c r="AR72" i="41"/>
  <c r="R250" i="63"/>
  <c r="AE105" i="65"/>
  <c r="AS9" i="67"/>
  <c r="AT9" i="67" s="1"/>
  <c r="AH130" i="65"/>
  <c r="AA224" i="37"/>
  <c r="AA226" i="37" s="1"/>
  <c r="AA227" i="37" s="1"/>
  <c r="AA229" i="37" s="1"/>
  <c r="L66" i="37"/>
  <c r="R186" i="37"/>
  <c r="X229" i="37"/>
  <c r="D64" i="48"/>
  <c r="D60" i="48"/>
  <c r="AG130" i="65"/>
  <c r="AD8" i="65"/>
  <c r="AD130" i="65"/>
  <c r="AL132" i="65"/>
  <c r="Q155" i="41" s="1"/>
  <c r="M31" i="56" s="1"/>
  <c r="M51" i="56" s="1"/>
  <c r="AL105" i="65"/>
  <c r="AS24" i="81"/>
  <c r="AR133" i="81"/>
  <c r="AS133" i="81" s="1"/>
  <c r="O110" i="37"/>
  <c r="Y52" i="64"/>
  <c r="J72" i="37"/>
  <c r="J114" i="37"/>
  <c r="J94" i="37"/>
  <c r="J19" i="40" s="1"/>
  <c r="H40" i="55"/>
  <c r="G42" i="48" s="1"/>
  <c r="I64" i="37"/>
  <c r="K21" i="37"/>
  <c r="AQ77" i="41"/>
  <c r="AR77" i="41"/>
  <c r="N188" i="37"/>
  <c r="N213" i="37" s="1"/>
  <c r="N181" i="37"/>
  <c r="N212" i="37" s="1"/>
  <c r="O114" i="37"/>
  <c r="M59" i="37"/>
  <c r="O66" i="37"/>
  <c r="G62" i="82"/>
  <c r="S27" i="82"/>
  <c r="R9" i="37"/>
  <c r="F66" i="37"/>
  <c r="J62" i="52"/>
  <c r="J65" i="52" s="1"/>
  <c r="L48" i="39" s="1"/>
  <c r="AR78" i="41"/>
  <c r="AQ78" i="41"/>
  <c r="R160" i="37"/>
  <c r="R49" i="37"/>
  <c r="R53" i="37"/>
  <c r="AR7" i="41"/>
  <c r="AQ7" i="41"/>
  <c r="Q59" i="37"/>
  <c r="P64" i="37"/>
  <c r="H112" i="52"/>
  <c r="G112" i="52"/>
  <c r="I112" i="52" s="1"/>
  <c r="H113" i="52"/>
  <c r="G113" i="52"/>
  <c r="I113" i="52" s="1"/>
  <c r="E58" i="55"/>
  <c r="H114" i="37"/>
  <c r="H94" i="37" s="1"/>
  <c r="H19" i="40" s="1"/>
  <c r="H63" i="37"/>
  <c r="H21" i="37"/>
  <c r="G73" i="37"/>
  <c r="P21" i="37"/>
  <c r="I127" i="37"/>
  <c r="I198" i="37"/>
  <c r="R30" i="37"/>
  <c r="M40" i="37"/>
  <c r="H41" i="52"/>
  <c r="G41" i="52"/>
  <c r="I41" i="52" s="1"/>
  <c r="F48" i="52"/>
  <c r="G48" i="52" s="1"/>
  <c r="H48" i="52" s="1"/>
  <c r="I48" i="52" s="1"/>
  <c r="J48" i="52"/>
  <c r="K48" i="52" s="1"/>
  <c r="L48" i="52" s="1"/>
  <c r="M48" i="52" s="1"/>
  <c r="N48" i="52" s="1"/>
  <c r="O48" i="52" s="1"/>
  <c r="P48" i="52" s="1"/>
  <c r="Q48" i="52" s="1"/>
  <c r="L69" i="37"/>
  <c r="L88" i="37" s="1"/>
  <c r="L13" i="40" s="1"/>
  <c r="O62" i="82"/>
  <c r="H83" i="37" l="1"/>
  <c r="H8" i="40" s="1"/>
  <c r="H107" i="37"/>
  <c r="H87" i="37" s="1"/>
  <c r="H12" i="40" s="1"/>
  <c r="H50" i="40" s="1"/>
  <c r="H89" i="37"/>
  <c r="H14" i="40" s="1"/>
  <c r="H95" i="37"/>
  <c r="H20" i="40" s="1"/>
  <c r="E24" i="48"/>
  <c r="U24" i="48" s="1"/>
  <c r="U22" i="55"/>
  <c r="L53" i="48"/>
  <c r="M26" i="39"/>
  <c r="L29" i="39"/>
  <c r="L28" i="39" s="1"/>
  <c r="L39" i="39" s="1"/>
  <c r="L25" i="39"/>
  <c r="L38" i="39" s="1"/>
  <c r="L42" i="39" s="1"/>
  <c r="I53" i="40"/>
  <c r="N48" i="40"/>
  <c r="L47" i="40"/>
  <c r="P55" i="40"/>
  <c r="G222" i="37"/>
  <c r="J34" i="39"/>
  <c r="I17" i="55" s="1"/>
  <c r="H55" i="40"/>
  <c r="O56" i="40"/>
  <c r="K55" i="40"/>
  <c r="K56" i="40"/>
  <c r="H56" i="40"/>
  <c r="L52" i="40"/>
  <c r="J46" i="40"/>
  <c r="G52" i="40"/>
  <c r="N46" i="40"/>
  <c r="J51" i="40"/>
  <c r="J48" i="40"/>
  <c r="M54" i="40"/>
  <c r="I47" i="40"/>
  <c r="O51" i="40"/>
  <c r="P53" i="40"/>
  <c r="H49" i="40"/>
  <c r="M47" i="40"/>
  <c r="I56" i="40"/>
  <c r="H48" i="40"/>
  <c r="I54" i="40"/>
  <c r="J50" i="40"/>
  <c r="M51" i="40"/>
  <c r="K50" i="40"/>
  <c r="P47" i="40"/>
  <c r="M50" i="40"/>
  <c r="J56" i="40"/>
  <c r="J52" i="40"/>
  <c r="L46" i="40"/>
  <c r="M52" i="40"/>
  <c r="O49" i="40"/>
  <c r="Q51" i="40"/>
  <c r="I49" i="40"/>
  <c r="J53" i="40"/>
  <c r="K51" i="40"/>
  <c r="N56" i="40"/>
  <c r="N49" i="40"/>
  <c r="R28" i="40"/>
  <c r="AL28" i="40" s="1"/>
  <c r="J49" i="40"/>
  <c r="G51" i="40"/>
  <c r="P54" i="40"/>
  <c r="G49" i="40"/>
  <c r="Q54" i="40"/>
  <c r="F12" i="40"/>
  <c r="J7" i="40"/>
  <c r="G40" i="40"/>
  <c r="G59" i="40" s="1"/>
  <c r="K39" i="40"/>
  <c r="I14" i="84" s="1"/>
  <c r="O38" i="40"/>
  <c r="M13" i="84" s="1"/>
  <c r="P40" i="40"/>
  <c r="F39" i="40"/>
  <c r="I38" i="40"/>
  <c r="G13" i="84" s="1"/>
  <c r="O40" i="40"/>
  <c r="H38" i="40"/>
  <c r="F13" i="84" s="1"/>
  <c r="N40" i="40"/>
  <c r="Q39" i="40"/>
  <c r="O14" i="84" s="1"/>
  <c r="G38" i="40"/>
  <c r="E13" i="84" s="1"/>
  <c r="Q38" i="40"/>
  <c r="O13" i="84" s="1"/>
  <c r="O39" i="40"/>
  <c r="M14" i="84" s="1"/>
  <c r="P39" i="40"/>
  <c r="N14" i="84" s="1"/>
  <c r="P38" i="40"/>
  <c r="N13" i="84" s="1"/>
  <c r="N38" i="40"/>
  <c r="L13" i="84" s="1"/>
  <c r="J40" i="40"/>
  <c r="M38" i="40"/>
  <c r="K13" i="84" s="1"/>
  <c r="F40" i="40"/>
  <c r="F38" i="40"/>
  <c r="I40" i="40"/>
  <c r="L38" i="40"/>
  <c r="J13" i="84" s="1"/>
  <c r="J38" i="40"/>
  <c r="H13" i="84" s="1"/>
  <c r="H40" i="40"/>
  <c r="H59" i="40" s="1"/>
  <c r="K38" i="40"/>
  <c r="I13" i="84" s="1"/>
  <c r="N39" i="40"/>
  <c r="L14" i="84" s="1"/>
  <c r="J39" i="40"/>
  <c r="H14" i="84" s="1"/>
  <c r="I39" i="40"/>
  <c r="G14" i="84" s="1"/>
  <c r="H39" i="40"/>
  <c r="F14" i="84" s="1"/>
  <c r="G39" i="40"/>
  <c r="E14" i="84" s="1"/>
  <c r="AQ107" i="40"/>
  <c r="Q40" i="40"/>
  <c r="Q59" i="40" s="1"/>
  <c r="L40" i="40"/>
  <c r="K40" i="40"/>
  <c r="K59" i="40" s="1"/>
  <c r="M40" i="40"/>
  <c r="M39" i="40"/>
  <c r="K14" i="84" s="1"/>
  <c r="L39" i="40"/>
  <c r="J14" i="84" s="1"/>
  <c r="M7" i="40"/>
  <c r="G59" i="82"/>
  <c r="G57" i="82"/>
  <c r="H78" i="37"/>
  <c r="H102" i="37"/>
  <c r="R27" i="64"/>
  <c r="R24" i="64"/>
  <c r="R13" i="64"/>
  <c r="R16" i="64"/>
  <c r="R7" i="64"/>
  <c r="R22" i="64"/>
  <c r="R10" i="64"/>
  <c r="R21" i="64"/>
  <c r="R9" i="64"/>
  <c r="R15" i="64"/>
  <c r="R17" i="64"/>
  <c r="O50" i="39"/>
  <c r="R12" i="64"/>
  <c r="R47" i="41"/>
  <c r="R45" i="41"/>
  <c r="R14" i="64"/>
  <c r="R42" i="41"/>
  <c r="R11" i="64"/>
  <c r="R8" i="64"/>
  <c r="R41" i="41"/>
  <c r="Q194" i="37"/>
  <c r="Q123" i="37"/>
  <c r="M61" i="82"/>
  <c r="M63" i="82"/>
  <c r="F98" i="52"/>
  <c r="E22" i="85"/>
  <c r="E99" i="52"/>
  <c r="F99" i="52" s="1"/>
  <c r="R74" i="37"/>
  <c r="F113" i="37"/>
  <c r="F93" i="37" s="1"/>
  <c r="R30" i="48"/>
  <c r="M196" i="37"/>
  <c r="M125" i="37"/>
  <c r="O105" i="37"/>
  <c r="O85" i="37"/>
  <c r="O10" i="40" s="1"/>
  <c r="O48" i="40" s="1"/>
  <c r="O197" i="37"/>
  <c r="O126" i="37"/>
  <c r="O206" i="37"/>
  <c r="O135" i="37"/>
  <c r="K35" i="52"/>
  <c r="E57" i="52"/>
  <c r="E44" i="52"/>
  <c r="F44" i="52" s="1"/>
  <c r="F43" i="52"/>
  <c r="L112" i="37"/>
  <c r="M103" i="37"/>
  <c r="M83" i="37"/>
  <c r="M8" i="40" s="1"/>
  <c r="M46" i="40" s="1"/>
  <c r="J123" i="37"/>
  <c r="J194" i="37"/>
  <c r="N133" i="37"/>
  <c r="N204" i="37"/>
  <c r="O125" i="37"/>
  <c r="O196" i="37"/>
  <c r="J112" i="37"/>
  <c r="J193" i="37"/>
  <c r="J122" i="37"/>
  <c r="M43" i="82"/>
  <c r="M47" i="82" s="1"/>
  <c r="M49" i="82" s="1"/>
  <c r="M33" i="82"/>
  <c r="O87" i="37"/>
  <c r="O12" i="40" s="1"/>
  <c r="O50" i="40" s="1"/>
  <c r="M195" i="37"/>
  <c r="M124" i="37"/>
  <c r="O96" i="37"/>
  <c r="O21" i="40" s="1"/>
  <c r="O59" i="40" s="1"/>
  <c r="J33" i="82"/>
  <c r="J43" i="82"/>
  <c r="J47" i="82" s="1"/>
  <c r="J49" i="82" s="1"/>
  <c r="J84" i="37"/>
  <c r="J9" i="40" s="1"/>
  <c r="J47" i="40" s="1"/>
  <c r="AF137" i="65"/>
  <c r="K99" i="41"/>
  <c r="G51" i="55"/>
  <c r="L199" i="37"/>
  <c r="L128" i="37"/>
  <c r="D12" i="84"/>
  <c r="P12" i="84" s="1"/>
  <c r="R12" i="84" s="1"/>
  <c r="R37" i="40"/>
  <c r="D10" i="84"/>
  <c r="P10" i="84" s="1"/>
  <c r="R10" i="84" s="1"/>
  <c r="R32" i="40"/>
  <c r="O133" i="37"/>
  <c r="O204" i="37"/>
  <c r="AS8" i="81"/>
  <c r="H122" i="37"/>
  <c r="H193" i="37"/>
  <c r="F95" i="37"/>
  <c r="R76" i="37"/>
  <c r="P22" i="64"/>
  <c r="P8" i="64"/>
  <c r="P27" i="64"/>
  <c r="P16" i="64"/>
  <c r="M50" i="39"/>
  <c r="P24" i="64"/>
  <c r="P11" i="64"/>
  <c r="P21" i="64"/>
  <c r="P17" i="64"/>
  <c r="P41" i="41"/>
  <c r="P45" i="41"/>
  <c r="P7" i="64"/>
  <c r="P14" i="64"/>
  <c r="P13" i="64"/>
  <c r="P15" i="64"/>
  <c r="P47" i="41"/>
  <c r="P9" i="64"/>
  <c r="P12" i="64"/>
  <c r="P42" i="41"/>
  <c r="P10" i="64"/>
  <c r="L113" i="37"/>
  <c r="L93" i="37"/>
  <c r="L18" i="40" s="1"/>
  <c r="L56" i="40" s="1"/>
  <c r="D57" i="82"/>
  <c r="D59" i="82"/>
  <c r="L197" i="37"/>
  <c r="L126" i="37"/>
  <c r="O94" i="37"/>
  <c r="O19" i="40" s="1"/>
  <c r="N201" i="37"/>
  <c r="N134" i="37"/>
  <c r="N78" i="40" s="1"/>
  <c r="N130" i="37"/>
  <c r="N74" i="40" s="1"/>
  <c r="H38" i="55"/>
  <c r="S38" i="55" s="1"/>
  <c r="Q107" i="37"/>
  <c r="Q87" i="37"/>
  <c r="Q12" i="40" s="1"/>
  <c r="Q50" i="40" s="1"/>
  <c r="AQ65" i="42"/>
  <c r="AR65" i="42"/>
  <c r="T43" i="82"/>
  <c r="H83" i="52"/>
  <c r="G83" i="52"/>
  <c r="I83" i="52" s="1"/>
  <c r="K153" i="37"/>
  <c r="K97" i="40" s="1"/>
  <c r="K140" i="37"/>
  <c r="K192" i="37"/>
  <c r="O200" i="37"/>
  <c r="O129" i="37"/>
  <c r="N91" i="37"/>
  <c r="N16" i="40" s="1"/>
  <c r="N54" i="40" s="1"/>
  <c r="S19" i="82"/>
  <c r="P133" i="37"/>
  <c r="P204" i="37"/>
  <c r="K31" i="55"/>
  <c r="O71" i="41"/>
  <c r="M135" i="37"/>
  <c r="M206" i="37"/>
  <c r="R99" i="41"/>
  <c r="N51" i="55"/>
  <c r="M53" i="48" s="1"/>
  <c r="K130" i="37"/>
  <c r="K74" i="40" s="1"/>
  <c r="K201" i="37"/>
  <c r="K134" i="37"/>
  <c r="K78" i="40" s="1"/>
  <c r="K48" i="40"/>
  <c r="N104" i="37"/>
  <c r="N84" i="37" s="1"/>
  <c r="N9" i="40" s="1"/>
  <c r="N47" i="40" s="1"/>
  <c r="D9" i="84"/>
  <c r="P9" i="84" s="1"/>
  <c r="R9" i="84" s="1"/>
  <c r="R30" i="40"/>
  <c r="G82" i="52"/>
  <c r="I82" i="52" s="1"/>
  <c r="H82" i="52"/>
  <c r="L111" i="37"/>
  <c r="J128" i="37"/>
  <c r="J199" i="37"/>
  <c r="L46" i="39"/>
  <c r="L53" i="39"/>
  <c r="AF224" i="37"/>
  <c r="AF226" i="37" s="1"/>
  <c r="AF227" i="37" s="1"/>
  <c r="AF229" i="37" s="1"/>
  <c r="F10" i="55"/>
  <c r="AH60" i="40"/>
  <c r="N71" i="40"/>
  <c r="N146" i="37"/>
  <c r="N90" i="40" s="1"/>
  <c r="M131" i="37"/>
  <c r="M202" i="37"/>
  <c r="I52" i="40"/>
  <c r="G34" i="47"/>
  <c r="G33" i="47"/>
  <c r="G35" i="47"/>
  <c r="G26" i="47"/>
  <c r="G27" i="47"/>
  <c r="Q95" i="37"/>
  <c r="Q20" i="40" s="1"/>
  <c r="T99" i="41"/>
  <c r="P51" i="55"/>
  <c r="O53" i="48" s="1"/>
  <c r="Q57" i="82"/>
  <c r="Q59" i="82"/>
  <c r="Q78" i="37"/>
  <c r="F146" i="37"/>
  <c r="F71" i="40"/>
  <c r="R127" i="37"/>
  <c r="K128" i="37"/>
  <c r="K199" i="37"/>
  <c r="I201" i="37"/>
  <c r="I130" i="37"/>
  <c r="I74" i="40" s="1"/>
  <c r="I134" i="37"/>
  <c r="I78" i="40" s="1"/>
  <c r="I199" i="37"/>
  <c r="I128" i="37"/>
  <c r="O53" i="39"/>
  <c r="O46" i="39"/>
  <c r="H110" i="37"/>
  <c r="H90" i="37" s="1"/>
  <c r="H15" i="40" s="1"/>
  <c r="H53" i="40" s="1"/>
  <c r="G206" i="37"/>
  <c r="G135" i="37"/>
  <c r="P199" i="37"/>
  <c r="P128" i="37"/>
  <c r="K103" i="37"/>
  <c r="D49" i="55"/>
  <c r="D52" i="55" s="1"/>
  <c r="F116" i="37"/>
  <c r="F96" i="37"/>
  <c r="R77" i="37"/>
  <c r="P95" i="37"/>
  <c r="P20" i="40" s="1"/>
  <c r="D7" i="84"/>
  <c r="P7" i="84" s="1"/>
  <c r="R7" i="84" s="1"/>
  <c r="R26" i="40"/>
  <c r="P63" i="82"/>
  <c r="P61" i="82"/>
  <c r="H51" i="40"/>
  <c r="R36" i="40"/>
  <c r="D11" i="84"/>
  <c r="P11" i="84" s="1"/>
  <c r="R11" i="84" s="1"/>
  <c r="R33" i="40"/>
  <c r="Q206" i="37"/>
  <c r="Q135" i="37"/>
  <c r="I146" i="37"/>
  <c r="I90" i="40" s="1"/>
  <c r="I71" i="40"/>
  <c r="P103" i="37"/>
  <c r="P83" i="37" s="1"/>
  <c r="P8" i="40" s="1"/>
  <c r="P46" i="40" s="1"/>
  <c r="F105" i="37"/>
  <c r="R66" i="37"/>
  <c r="F85" i="37"/>
  <c r="AJ60" i="40"/>
  <c r="AS131" i="65"/>
  <c r="R67" i="37"/>
  <c r="F106" i="37"/>
  <c r="F86" i="37"/>
  <c r="N132" i="37"/>
  <c r="N203" i="37"/>
  <c r="Q103" i="37"/>
  <c r="G128" i="37"/>
  <c r="G199" i="37"/>
  <c r="R63" i="37"/>
  <c r="F78" i="37"/>
  <c r="F104" i="37"/>
  <c r="F84" i="37"/>
  <c r="R65" i="37"/>
  <c r="J206" i="37"/>
  <c r="J135" i="37"/>
  <c r="I115" i="37"/>
  <c r="I205" i="37" s="1"/>
  <c r="I95" i="37"/>
  <c r="I20" i="40" s="1"/>
  <c r="I114" i="37"/>
  <c r="I94" i="37"/>
  <c r="I19" i="40" s="1"/>
  <c r="M31" i="55"/>
  <c r="Q71" i="41"/>
  <c r="R198" i="37"/>
  <c r="H52" i="40"/>
  <c r="Q113" i="37"/>
  <c r="Q93" i="37"/>
  <c r="Q18" i="40" s="1"/>
  <c r="Q56" i="40" s="1"/>
  <c r="P53" i="39"/>
  <c r="P46" i="39"/>
  <c r="E63" i="55"/>
  <c r="E61" i="55"/>
  <c r="P89" i="37"/>
  <c r="P14" i="40" s="1"/>
  <c r="P52" i="40" s="1"/>
  <c r="G111" i="37"/>
  <c r="G91" i="37"/>
  <c r="G16" i="40" s="1"/>
  <c r="G54" i="40" s="1"/>
  <c r="P30" i="56"/>
  <c r="P27" i="56" s="1"/>
  <c r="N30" i="56"/>
  <c r="N27" i="56" s="1"/>
  <c r="M30" i="56"/>
  <c r="M27" i="56" s="1"/>
  <c r="L30" i="56"/>
  <c r="L27" i="56" s="1"/>
  <c r="O30" i="56"/>
  <c r="O27" i="56" s="1"/>
  <c r="I30" i="56"/>
  <c r="I27" i="56" s="1"/>
  <c r="H30" i="56"/>
  <c r="H27" i="56" s="1"/>
  <c r="K30" i="56"/>
  <c r="K27" i="56" s="1"/>
  <c r="J30" i="56"/>
  <c r="J27" i="56" s="1"/>
  <c r="R30" i="56"/>
  <c r="R27" i="56" s="1"/>
  <c r="Q30" i="56"/>
  <c r="Q27" i="56" s="1"/>
  <c r="G30" i="56"/>
  <c r="F27" i="56"/>
  <c r="U27" i="56" s="1"/>
  <c r="Y104" i="64"/>
  <c r="Y172" i="64" s="1"/>
  <c r="F222" i="37"/>
  <c r="G47" i="40"/>
  <c r="O193" i="37"/>
  <c r="O122" i="37"/>
  <c r="O33" i="82"/>
  <c r="O43" i="82"/>
  <c r="O47" i="82" s="1"/>
  <c r="O49" i="82" s="1"/>
  <c r="F130" i="37"/>
  <c r="F134" i="37"/>
  <c r="F201" i="37"/>
  <c r="O199" i="37"/>
  <c r="O128" i="37"/>
  <c r="P43" i="82"/>
  <c r="P47" i="82" s="1"/>
  <c r="P49" i="82" s="1"/>
  <c r="P33" i="82"/>
  <c r="K95" i="37"/>
  <c r="K20" i="40" s="1"/>
  <c r="AR210" i="41"/>
  <c r="AQ210" i="41"/>
  <c r="N197" i="37"/>
  <c r="N126" i="37"/>
  <c r="D63" i="82"/>
  <c r="D61" i="82"/>
  <c r="G102" i="37"/>
  <c r="G78" i="37"/>
  <c r="F94" i="37"/>
  <c r="R75" i="37"/>
  <c r="F114" i="37"/>
  <c r="R52" i="82"/>
  <c r="R53" i="82" s="1"/>
  <c r="R50" i="82"/>
  <c r="O194" i="37"/>
  <c r="O123" i="37"/>
  <c r="F114" i="52"/>
  <c r="E115" i="52"/>
  <c r="F115" i="52" s="1"/>
  <c r="J96" i="37"/>
  <c r="J21" i="40" s="1"/>
  <c r="AS128" i="81"/>
  <c r="AS135" i="81" s="1"/>
  <c r="R42" i="48"/>
  <c r="F40" i="48"/>
  <c r="R40" i="48" s="1"/>
  <c r="P99" i="41"/>
  <c r="L51" i="55"/>
  <c r="K53" i="48" s="1"/>
  <c r="G169" i="40"/>
  <c r="R167" i="40"/>
  <c r="J17" i="55"/>
  <c r="I19" i="48" s="1"/>
  <c r="O112" i="37"/>
  <c r="O92" i="37"/>
  <c r="O17" i="40" s="1"/>
  <c r="O55" i="40" s="1"/>
  <c r="H128" i="37"/>
  <c r="H199" i="37"/>
  <c r="Q53" i="39"/>
  <c r="Q46" i="39"/>
  <c r="AS106" i="40"/>
  <c r="M146" i="37"/>
  <c r="M90" i="40" s="1"/>
  <c r="M71" i="40"/>
  <c r="K32" i="82"/>
  <c r="K26" i="82"/>
  <c r="K58" i="82"/>
  <c r="K62" i="82"/>
  <c r="AR130" i="65"/>
  <c r="P106" i="37"/>
  <c r="P86" i="37"/>
  <c r="P11" i="40" s="1"/>
  <c r="P49" i="40" s="1"/>
  <c r="R181" i="37"/>
  <c r="R212" i="37" s="1"/>
  <c r="P105" i="37"/>
  <c r="P85" i="37" s="1"/>
  <c r="P10" i="40" s="1"/>
  <c r="P48" i="40" s="1"/>
  <c r="G194" i="37"/>
  <c r="G123" i="37"/>
  <c r="O83" i="37"/>
  <c r="O8" i="40" s="1"/>
  <c r="O46" i="40" s="1"/>
  <c r="N195" i="37"/>
  <c r="N124" i="37"/>
  <c r="R72" i="37"/>
  <c r="R29" i="40"/>
  <c r="AS104" i="40"/>
  <c r="L204" i="37"/>
  <c r="L133" i="37"/>
  <c r="O89" i="37"/>
  <c r="O14" i="40" s="1"/>
  <c r="O52" i="40" s="1"/>
  <c r="I51" i="40"/>
  <c r="G63" i="82"/>
  <c r="G61" i="82"/>
  <c r="AS105" i="65"/>
  <c r="AD105" i="65"/>
  <c r="H134" i="37"/>
  <c r="H78" i="40" s="1"/>
  <c r="H201" i="37"/>
  <c r="H130" i="37"/>
  <c r="H74" i="40" s="1"/>
  <c r="J57" i="82"/>
  <c r="J59" i="82"/>
  <c r="I195" i="37"/>
  <c r="I124" i="37"/>
  <c r="O7" i="40"/>
  <c r="N131" i="37"/>
  <c r="N202" i="37"/>
  <c r="G113" i="37"/>
  <c r="E53" i="52"/>
  <c r="F29" i="52"/>
  <c r="E6" i="85"/>
  <c r="E30" i="52"/>
  <c r="F30" i="52" s="1"/>
  <c r="E6" i="47"/>
  <c r="K21" i="52"/>
  <c r="R73" i="37"/>
  <c r="F112" i="37"/>
  <c r="K129" i="37"/>
  <c r="K200" i="37"/>
  <c r="H204" i="37"/>
  <c r="H133" i="37"/>
  <c r="L196" i="37"/>
  <c r="L125" i="37"/>
  <c r="K196" i="37"/>
  <c r="K125" i="37"/>
  <c r="I85" i="37"/>
  <c r="I10" i="40" s="1"/>
  <c r="I48" i="40" s="1"/>
  <c r="K123" i="37"/>
  <c r="K194" i="37"/>
  <c r="P140" i="37"/>
  <c r="P153" i="37"/>
  <c r="P97" i="40" s="1"/>
  <c r="P192" i="37"/>
  <c r="R40" i="37"/>
  <c r="P113" i="37"/>
  <c r="P93" i="37"/>
  <c r="P18" i="40" s="1"/>
  <c r="P56" i="40" s="1"/>
  <c r="N122" i="37"/>
  <c r="N193" i="37"/>
  <c r="L99" i="41"/>
  <c r="H51" i="55"/>
  <c r="G53" i="48" s="1"/>
  <c r="K203" i="37"/>
  <c r="K132" i="37"/>
  <c r="O78" i="37"/>
  <c r="K84" i="37"/>
  <c r="K9" i="40" s="1"/>
  <c r="K47" i="40" s="1"/>
  <c r="E22" i="48"/>
  <c r="U22" i="48" s="1"/>
  <c r="F15" i="55"/>
  <c r="U15" i="55" s="1"/>
  <c r="H46" i="40"/>
  <c r="G196" i="37"/>
  <c r="G125" i="37"/>
  <c r="K7" i="40"/>
  <c r="L50" i="40"/>
  <c r="J111" i="37"/>
  <c r="J91" i="37"/>
  <c r="J16" i="40" s="1"/>
  <c r="J54" i="40" s="1"/>
  <c r="F129" i="37"/>
  <c r="F200" i="37"/>
  <c r="W155" i="41"/>
  <c r="G31" i="56"/>
  <c r="S99" i="41"/>
  <c r="O51" i="55"/>
  <c r="N53" i="48" s="1"/>
  <c r="M85" i="37"/>
  <c r="M10" i="40" s="1"/>
  <c r="M48" i="40" s="1"/>
  <c r="J61" i="82"/>
  <c r="J63" i="82"/>
  <c r="F103" i="37"/>
  <c r="R64" i="37"/>
  <c r="M148" i="37"/>
  <c r="M92" i="40" s="1"/>
  <c r="M73" i="40"/>
  <c r="I131" i="37"/>
  <c r="I202" i="37"/>
  <c r="G73" i="40"/>
  <c r="G148" i="37"/>
  <c r="G92" i="40" s="1"/>
  <c r="O111" i="37"/>
  <c r="O91" i="37"/>
  <c r="O16" i="40" s="1"/>
  <c r="O54" i="40" s="1"/>
  <c r="E59" i="82"/>
  <c r="E57" i="82"/>
  <c r="J129" i="37"/>
  <c r="J200" i="37"/>
  <c r="P200" i="37"/>
  <c r="P129" i="37"/>
  <c r="N196" i="37"/>
  <c r="N125" i="37"/>
  <c r="G105" i="37"/>
  <c r="G85" i="37"/>
  <c r="G10" i="40" s="1"/>
  <c r="G48" i="40" s="1"/>
  <c r="K54" i="40"/>
  <c r="P50" i="40"/>
  <c r="I116" i="37"/>
  <c r="I96" i="37"/>
  <c r="I21" i="40" s="1"/>
  <c r="I92" i="37"/>
  <c r="I17" i="40" s="1"/>
  <c r="I55" i="40" s="1"/>
  <c r="I53" i="39"/>
  <c r="I46" i="39"/>
  <c r="E32" i="48"/>
  <c r="U32" i="48" s="1"/>
  <c r="F27" i="55"/>
  <c r="U27" i="55" s="1"/>
  <c r="E50" i="82"/>
  <c r="E53" i="82" s="1"/>
  <c r="E49" i="82"/>
  <c r="E52" i="82" s="1"/>
  <c r="D50" i="82"/>
  <c r="D53" i="82" s="1"/>
  <c r="D49" i="82"/>
  <c r="D52" i="82" s="1"/>
  <c r="D8" i="84"/>
  <c r="P8" i="84" s="1"/>
  <c r="R8" i="84" s="1"/>
  <c r="R27" i="40"/>
  <c r="M133" i="37"/>
  <c r="M204" i="37"/>
  <c r="L122" i="37"/>
  <c r="L193" i="37"/>
  <c r="P197" i="37"/>
  <c r="P126" i="37"/>
  <c r="M55" i="40"/>
  <c r="O95" i="37"/>
  <c r="O20" i="40" s="1"/>
  <c r="J203" i="37"/>
  <c r="J132" i="37"/>
  <c r="N95" i="37"/>
  <c r="N20" i="40" s="1"/>
  <c r="K126" i="37"/>
  <c r="K197" i="37"/>
  <c r="O90" i="37"/>
  <c r="O15" i="40" s="1"/>
  <c r="O53" i="40" s="1"/>
  <c r="Q192" i="37"/>
  <c r="Q140" i="37"/>
  <c r="Q153" i="37"/>
  <c r="Q97" i="40" s="1"/>
  <c r="K52" i="40"/>
  <c r="R53" i="39"/>
  <c r="R46" i="39"/>
  <c r="H17" i="55"/>
  <c r="G19" i="48" s="1"/>
  <c r="D34" i="48"/>
  <c r="E43" i="55"/>
  <c r="K206" i="37"/>
  <c r="K135" i="37"/>
  <c r="R31" i="40"/>
  <c r="J197" i="37"/>
  <c r="J126" i="37"/>
  <c r="P57" i="82"/>
  <c r="P59" i="82"/>
  <c r="L105" i="37"/>
  <c r="L85" i="37" s="1"/>
  <c r="L10" i="40" s="1"/>
  <c r="L48" i="40" s="1"/>
  <c r="Q204" i="37"/>
  <c r="Q133" i="37"/>
  <c r="I33" i="82"/>
  <c r="I43" i="82"/>
  <c r="I47" i="82" s="1"/>
  <c r="I49" i="82" s="1"/>
  <c r="R59" i="37"/>
  <c r="O63" i="82"/>
  <c r="O61" i="82"/>
  <c r="G112" i="37"/>
  <c r="G92" i="37" s="1"/>
  <c r="G17" i="40" s="1"/>
  <c r="G55" i="40" s="1"/>
  <c r="M99" i="41"/>
  <c r="I51" i="55"/>
  <c r="H53" i="48" s="1"/>
  <c r="N50" i="40"/>
  <c r="R174" i="37"/>
  <c r="R211" i="37" s="1"/>
  <c r="Q43" i="82"/>
  <c r="Q47" i="82" s="1"/>
  <c r="Q49" i="82" s="1"/>
  <c r="Q33" i="82"/>
  <c r="O47" i="40"/>
  <c r="R21" i="37"/>
  <c r="S40" i="55"/>
  <c r="I59" i="82"/>
  <c r="I57" i="82"/>
  <c r="Q131" i="37"/>
  <c r="Q202" i="37"/>
  <c r="J146" i="37"/>
  <c r="J90" i="40" s="1"/>
  <c r="J71" i="40"/>
  <c r="G163" i="40"/>
  <c r="H12" i="56" s="1"/>
  <c r="H8" i="56"/>
  <c r="R161" i="40"/>
  <c r="H50" i="82"/>
  <c r="H52" i="82"/>
  <c r="H53" i="82" s="1"/>
  <c r="L32" i="82"/>
  <c r="L26" i="82"/>
  <c r="L62" i="82"/>
  <c r="L58" i="82"/>
  <c r="Q106" i="37"/>
  <c r="Q86" i="37"/>
  <c r="Q11" i="40" s="1"/>
  <c r="Q49" i="40" s="1"/>
  <c r="N116" i="37"/>
  <c r="N96" i="37" s="1"/>
  <c r="N21" i="40" s="1"/>
  <c r="S53" i="39"/>
  <c r="S46" i="39"/>
  <c r="I196" i="37"/>
  <c r="I125" i="37"/>
  <c r="E49" i="52"/>
  <c r="E16" i="52"/>
  <c r="F16" i="52" s="1"/>
  <c r="F15" i="52"/>
  <c r="K7" i="52"/>
  <c r="AR129" i="65"/>
  <c r="AR136" i="65" s="1"/>
  <c r="Q105" i="37"/>
  <c r="Q85" i="37"/>
  <c r="Q10" i="40" s="1"/>
  <c r="Q48" i="40" s="1"/>
  <c r="N200" i="37"/>
  <c r="N129" i="37"/>
  <c r="AE83" i="65"/>
  <c r="AS83" i="65" s="1"/>
  <c r="AE129" i="65"/>
  <c r="AE130" i="65"/>
  <c r="G107" i="37"/>
  <c r="R63" i="82"/>
  <c r="R61" i="82"/>
  <c r="F16" i="40"/>
  <c r="Q199" i="37"/>
  <c r="Q128" i="37"/>
  <c r="P206" i="37"/>
  <c r="P135" i="37"/>
  <c r="H203" i="37"/>
  <c r="H132" i="37"/>
  <c r="L129" i="37"/>
  <c r="L200" i="37"/>
  <c r="Q200" i="37"/>
  <c r="Q129" i="37"/>
  <c r="L116" i="37"/>
  <c r="F26" i="56"/>
  <c r="U26" i="56" s="1"/>
  <c r="O27" i="64"/>
  <c r="O21" i="64"/>
  <c r="O12" i="64"/>
  <c r="O17" i="64"/>
  <c r="O16" i="64"/>
  <c r="L50" i="39"/>
  <c r="O22" i="64"/>
  <c r="O10" i="64"/>
  <c r="O24" i="64"/>
  <c r="O13" i="64"/>
  <c r="O7" i="64"/>
  <c r="O15" i="64"/>
  <c r="O41" i="41"/>
  <c r="O11" i="64"/>
  <c r="O45" i="41"/>
  <c r="O8" i="64"/>
  <c r="O42" i="41"/>
  <c r="O14" i="64"/>
  <c r="O9" i="64"/>
  <c r="O47" i="41"/>
  <c r="M201" i="37"/>
  <c r="M130" i="37"/>
  <c r="M74" i="40" s="1"/>
  <c r="M134" i="37"/>
  <c r="M78" i="40" s="1"/>
  <c r="F88" i="37"/>
  <c r="R69" i="37"/>
  <c r="O140" i="37"/>
  <c r="O153" i="37"/>
  <c r="O97" i="40" s="1"/>
  <c r="O192" i="37"/>
  <c r="O117" i="37"/>
  <c r="J124" i="37"/>
  <c r="J195" i="37"/>
  <c r="J204" i="37"/>
  <c r="J133" i="37"/>
  <c r="O132" i="37"/>
  <c r="O203" i="37"/>
  <c r="H59" i="82"/>
  <c r="H57" i="82"/>
  <c r="F15" i="40"/>
  <c r="L86" i="37"/>
  <c r="L11" i="40" s="1"/>
  <c r="L49" i="40" s="1"/>
  <c r="G45" i="85"/>
  <c r="G53" i="85"/>
  <c r="G43" i="85"/>
  <c r="G47" i="85"/>
  <c r="G51" i="85"/>
  <c r="E49" i="85"/>
  <c r="G49" i="85" s="1"/>
  <c r="G46" i="85"/>
  <c r="G52" i="85"/>
  <c r="K86" i="37"/>
  <c r="K11" i="40" s="1"/>
  <c r="K49" i="40" s="1"/>
  <c r="P82" i="37"/>
  <c r="H28" i="52"/>
  <c r="G28" i="52"/>
  <c r="I28" i="52" s="1"/>
  <c r="R35" i="40"/>
  <c r="R34" i="40"/>
  <c r="V99" i="41"/>
  <c r="R51" i="55"/>
  <c r="Q53" i="48" s="1"/>
  <c r="E57" i="55"/>
  <c r="E59" i="55"/>
  <c r="D59" i="48"/>
  <c r="D61" i="48"/>
  <c r="N78" i="37"/>
  <c r="N102" i="37"/>
  <c r="N82" i="37"/>
  <c r="I123" i="37"/>
  <c r="I194" i="37"/>
  <c r="R41" i="48"/>
  <c r="G40" i="48"/>
  <c r="K202" i="37"/>
  <c r="K131" i="37"/>
  <c r="G51" i="47"/>
  <c r="G43" i="47"/>
  <c r="G52" i="47"/>
  <c r="G53" i="47"/>
  <c r="G46" i="47"/>
  <c r="G45" i="47"/>
  <c r="N99" i="41"/>
  <c r="J51" i="55"/>
  <c r="I53" i="48" s="1"/>
  <c r="P78" i="37"/>
  <c r="H53" i="39"/>
  <c r="T48" i="39"/>
  <c r="T46" i="39" s="1"/>
  <c r="H46" i="39"/>
  <c r="G26" i="82"/>
  <c r="S25" i="82"/>
  <c r="S26" i="82" s="1"/>
  <c r="G32" i="82"/>
  <c r="M197" i="37"/>
  <c r="M126" i="37"/>
  <c r="I78" i="37"/>
  <c r="I102" i="37"/>
  <c r="I82" i="37"/>
  <c r="G205" i="37"/>
  <c r="Q134" i="37"/>
  <c r="Q78" i="40" s="1"/>
  <c r="Q130" i="37"/>
  <c r="Q74" i="40" s="1"/>
  <c r="Q201" i="37"/>
  <c r="D63" i="48"/>
  <c r="D65" i="48"/>
  <c r="R8" i="56"/>
  <c r="Q8" i="48" s="1"/>
  <c r="Q163" i="40"/>
  <c r="R12" i="56" s="1"/>
  <c r="Q13" i="48" s="1"/>
  <c r="H196" i="37"/>
  <c r="H125" i="37"/>
  <c r="H131" i="37"/>
  <c r="H202" i="37"/>
  <c r="M199" i="37"/>
  <c r="M128" i="37"/>
  <c r="M203" i="37"/>
  <c r="M132" i="37"/>
  <c r="Q7" i="40"/>
  <c r="I197" i="37"/>
  <c r="I126" i="37"/>
  <c r="F197" i="37"/>
  <c r="F126" i="37"/>
  <c r="H206" i="37"/>
  <c r="H135" i="37"/>
  <c r="K53" i="39"/>
  <c r="K46" i="39"/>
  <c r="N109" i="37"/>
  <c r="P131" i="37"/>
  <c r="P202" i="37"/>
  <c r="AS105" i="40"/>
  <c r="M96" i="37"/>
  <c r="M21" i="40" s="1"/>
  <c r="O57" i="82"/>
  <c r="O59" i="82"/>
  <c r="H104" i="37"/>
  <c r="H84" i="37"/>
  <c r="H9" i="40" s="1"/>
  <c r="H47" i="40" s="1"/>
  <c r="I87" i="37"/>
  <c r="I12" i="40" s="1"/>
  <c r="I50" i="40" s="1"/>
  <c r="K124" i="37"/>
  <c r="K195" i="37"/>
  <c r="D63" i="55"/>
  <c r="D61" i="55"/>
  <c r="I129" i="37"/>
  <c r="I200" i="37"/>
  <c r="N57" i="82"/>
  <c r="N59" i="82"/>
  <c r="K163" i="40"/>
  <c r="L12" i="56" s="1"/>
  <c r="K13" i="48" s="1"/>
  <c r="L8" i="56"/>
  <c r="K8" i="48" s="1"/>
  <c r="R68" i="37"/>
  <c r="F89" i="37"/>
  <c r="R70" i="37"/>
  <c r="F109" i="37"/>
  <c r="L51" i="40"/>
  <c r="I103" i="37"/>
  <c r="I83" i="37"/>
  <c r="I8" i="40" s="1"/>
  <c r="I46" i="40" s="1"/>
  <c r="M153" i="37"/>
  <c r="M97" i="40" s="1"/>
  <c r="M192" i="37"/>
  <c r="M140" i="37"/>
  <c r="I203" i="37"/>
  <c r="I132" i="37"/>
  <c r="H197" i="37"/>
  <c r="L90" i="37"/>
  <c r="L15" i="40" s="1"/>
  <c r="L53" i="40" s="1"/>
  <c r="H91" i="37"/>
  <c r="H16" i="40" s="1"/>
  <c r="H54" i="40" s="1"/>
  <c r="Q90" i="37"/>
  <c r="Q15" i="40" s="1"/>
  <c r="Q53" i="40" s="1"/>
  <c r="P194" i="37"/>
  <c r="P123" i="37"/>
  <c r="L123" i="37"/>
  <c r="L194" i="37"/>
  <c r="G204" i="37"/>
  <c r="G133" i="37"/>
  <c r="Q92" i="37"/>
  <c r="Q17" i="40" s="1"/>
  <c r="Q55" i="40" s="1"/>
  <c r="H195" i="37"/>
  <c r="H124" i="37"/>
  <c r="N92" i="37"/>
  <c r="N17" i="40" s="1"/>
  <c r="N55" i="40" s="1"/>
  <c r="J140" i="37"/>
  <c r="J153" i="37"/>
  <c r="J97" i="40" s="1"/>
  <c r="J192" i="37"/>
  <c r="I8" i="56"/>
  <c r="H8" i="48" s="1"/>
  <c r="H163" i="40"/>
  <c r="I12" i="56" s="1"/>
  <c r="H13" i="48" s="1"/>
  <c r="M123" i="37"/>
  <c r="M194" i="37"/>
  <c r="P146" i="37"/>
  <c r="P90" i="40" s="1"/>
  <c r="P71" i="40"/>
  <c r="H27" i="52"/>
  <c r="G27" i="52"/>
  <c r="I27" i="52" s="1"/>
  <c r="L78" i="37"/>
  <c r="L102" i="37"/>
  <c r="L82" i="37"/>
  <c r="P130" i="37"/>
  <c r="P74" i="40" s="1"/>
  <c r="P134" i="37"/>
  <c r="P78" i="40" s="1"/>
  <c r="P201" i="37"/>
  <c r="N43" i="82"/>
  <c r="N47" i="82" s="1"/>
  <c r="N49" i="82" s="1"/>
  <c r="N33" i="82"/>
  <c r="Q84" i="37"/>
  <c r="Q9" i="40" s="1"/>
  <c r="Q47" i="40" s="1"/>
  <c r="N53" i="40"/>
  <c r="G97" i="52"/>
  <c r="I97" i="52" s="1"/>
  <c r="H97" i="52"/>
  <c r="K204" i="37"/>
  <c r="K133" i="37"/>
  <c r="G103" i="37"/>
  <c r="G83" i="37" s="1"/>
  <c r="G8" i="40" s="1"/>
  <c r="G46" i="40" s="1"/>
  <c r="J196" i="37"/>
  <c r="J125" i="37"/>
  <c r="S28" i="56"/>
  <c r="L95" i="37"/>
  <c r="L20" i="40" s="1"/>
  <c r="Q89" i="37"/>
  <c r="Q14" i="40" s="1"/>
  <c r="Q52" i="40" s="1"/>
  <c r="U99" i="41"/>
  <c r="Q51" i="55"/>
  <c r="P53" i="48" s="1"/>
  <c r="P96" i="37"/>
  <c r="P21" i="40" s="1"/>
  <c r="M86" i="37"/>
  <c r="M11" i="40" s="1"/>
  <c r="M49" i="40" s="1"/>
  <c r="K90" i="37"/>
  <c r="K15" i="40" s="1"/>
  <c r="K53" i="40" s="1"/>
  <c r="H126" i="37" l="1"/>
  <c r="H19" i="48"/>
  <c r="R110" i="37"/>
  <c r="F32" i="56"/>
  <c r="U32" i="56" s="1"/>
  <c r="S30" i="48"/>
  <c r="H58" i="40"/>
  <c r="J222" i="37"/>
  <c r="L34" i="39"/>
  <c r="K18" i="56"/>
  <c r="N26" i="39"/>
  <c r="M29" i="39"/>
  <c r="M28" i="39" s="1"/>
  <c r="M39" i="39" s="1"/>
  <c r="M25" i="39"/>
  <c r="M38" i="39" s="1"/>
  <c r="M42" i="39" s="1"/>
  <c r="P57" i="40"/>
  <c r="O58" i="40"/>
  <c r="M57" i="40"/>
  <c r="G58" i="40"/>
  <c r="AM28" i="40"/>
  <c r="Q58" i="40"/>
  <c r="I59" i="40"/>
  <c r="L57" i="40"/>
  <c r="J59" i="40"/>
  <c r="H57" i="40"/>
  <c r="N59" i="40"/>
  <c r="I57" i="40"/>
  <c r="N108" i="40"/>
  <c r="P106" i="40"/>
  <c r="K105" i="40"/>
  <c r="F104" i="40"/>
  <c r="J103" i="40"/>
  <c r="I108" i="40"/>
  <c r="H106" i="40"/>
  <c r="N105" i="40"/>
  <c r="G104" i="40"/>
  <c r="I103" i="40"/>
  <c r="H108" i="40"/>
  <c r="G106" i="40"/>
  <c r="M105" i="40"/>
  <c r="H103" i="40"/>
  <c r="G108" i="40"/>
  <c r="F106" i="40"/>
  <c r="L105" i="40"/>
  <c r="Q104" i="40"/>
  <c r="G103" i="40"/>
  <c r="K108" i="40"/>
  <c r="M106" i="40"/>
  <c r="P105" i="40"/>
  <c r="O104" i="40"/>
  <c r="O103" i="40"/>
  <c r="J108" i="40"/>
  <c r="L106" i="40"/>
  <c r="O105" i="40"/>
  <c r="N104" i="40"/>
  <c r="N103" i="40"/>
  <c r="J106" i="40"/>
  <c r="I105" i="40"/>
  <c r="L104" i="40"/>
  <c r="F108" i="40"/>
  <c r="K106" i="40"/>
  <c r="J105" i="40"/>
  <c r="M104" i="40"/>
  <c r="M103" i="40"/>
  <c r="L103" i="40"/>
  <c r="O106" i="40"/>
  <c r="F105" i="40"/>
  <c r="Q103" i="40"/>
  <c r="N106" i="40"/>
  <c r="P103" i="40"/>
  <c r="F103" i="40"/>
  <c r="P104" i="40"/>
  <c r="I106" i="40"/>
  <c r="K103" i="40"/>
  <c r="Q108" i="40"/>
  <c r="P108" i="40"/>
  <c r="O108" i="40"/>
  <c r="L108" i="40"/>
  <c r="H105" i="40"/>
  <c r="I104" i="40"/>
  <c r="M108" i="40"/>
  <c r="Q105" i="40"/>
  <c r="G105" i="40"/>
  <c r="K104" i="40"/>
  <c r="J104" i="40"/>
  <c r="H104" i="40"/>
  <c r="Q106" i="40"/>
  <c r="F18" i="40"/>
  <c r="AS129" i="65"/>
  <c r="AS136" i="65" s="1"/>
  <c r="AE136" i="65"/>
  <c r="J148" i="37"/>
  <c r="J92" i="40" s="1"/>
  <c r="J73" i="40"/>
  <c r="F7" i="40"/>
  <c r="F97" i="37"/>
  <c r="I147" i="37"/>
  <c r="I91" i="40" s="1"/>
  <c r="I72" i="40"/>
  <c r="J147" i="37"/>
  <c r="J91" i="40" s="1"/>
  <c r="J72" i="40"/>
  <c r="J70" i="40"/>
  <c r="J145" i="37"/>
  <c r="J89" i="40" s="1"/>
  <c r="P52" i="82"/>
  <c r="P53" i="82" s="1"/>
  <c r="P50" i="82"/>
  <c r="I204" i="37"/>
  <c r="I133" i="37"/>
  <c r="AM36" i="40"/>
  <c r="AL36" i="40"/>
  <c r="K193" i="37"/>
  <c r="K122" i="37"/>
  <c r="L201" i="37"/>
  <c r="L134" i="37"/>
  <c r="L78" i="40" s="1"/>
  <c r="L130" i="37"/>
  <c r="L74" i="40" s="1"/>
  <c r="R163" i="40"/>
  <c r="AL161" i="40"/>
  <c r="AM161" i="40"/>
  <c r="J201" i="37"/>
  <c r="J130" i="37"/>
  <c r="J74" i="40" s="1"/>
  <c r="J134" i="37"/>
  <c r="J78" i="40" s="1"/>
  <c r="P125" i="37"/>
  <c r="P196" i="37"/>
  <c r="G192" i="37"/>
  <c r="G117" i="37"/>
  <c r="H16" i="56"/>
  <c r="G153" i="37"/>
  <c r="G97" i="40" s="1"/>
  <c r="G140" i="37"/>
  <c r="G147" i="37"/>
  <c r="G91" i="40" s="1"/>
  <c r="G72" i="40"/>
  <c r="P31" i="55"/>
  <c r="T71" i="41"/>
  <c r="S51" i="55"/>
  <c r="J141" i="37"/>
  <c r="J85" i="40" s="1"/>
  <c r="J66" i="40"/>
  <c r="L202" i="37"/>
  <c r="L131" i="37"/>
  <c r="O70" i="40"/>
  <c r="O145" i="37"/>
  <c r="O89" i="40" s="1"/>
  <c r="R20" i="41"/>
  <c r="R20" i="64"/>
  <c r="M97" i="37"/>
  <c r="P84" i="40"/>
  <c r="L203" i="37"/>
  <c r="L132" i="37"/>
  <c r="W99" i="41"/>
  <c r="G31" i="55"/>
  <c r="K71" i="41"/>
  <c r="K30" i="55" s="1"/>
  <c r="L92" i="37"/>
  <c r="L17" i="40" s="1"/>
  <c r="L55" i="40" s="1"/>
  <c r="H154" i="37"/>
  <c r="H98" i="40" s="1"/>
  <c r="H79" i="40"/>
  <c r="G13" i="48"/>
  <c r="R13" i="48" s="1"/>
  <c r="S12" i="56"/>
  <c r="E29" i="48"/>
  <c r="U29" i="48" s="1"/>
  <c r="K45" i="40"/>
  <c r="N150" i="37"/>
  <c r="N94" i="40" s="1"/>
  <c r="N75" i="40"/>
  <c r="H115" i="52"/>
  <c r="G115" i="52"/>
  <c r="I115" i="52" s="1"/>
  <c r="Q132" i="37"/>
  <c r="Q203" i="37"/>
  <c r="Q193" i="37"/>
  <c r="Q207" i="37" s="1"/>
  <c r="Q214" i="37" s="1"/>
  <c r="Q122" i="37"/>
  <c r="J84" i="40"/>
  <c r="I193" i="37"/>
  <c r="I122" i="37"/>
  <c r="F54" i="40"/>
  <c r="R16" i="40"/>
  <c r="O130" i="37"/>
  <c r="O74" i="40" s="1"/>
  <c r="O134" i="37"/>
  <c r="O78" i="40" s="1"/>
  <c r="O201" i="37"/>
  <c r="O207" i="37" s="1"/>
  <c r="O214" i="37" s="1"/>
  <c r="O22" i="40"/>
  <c r="P6" i="55" s="1"/>
  <c r="O45" i="40"/>
  <c r="N143" i="37"/>
  <c r="N87" i="40" s="1"/>
  <c r="N68" i="40"/>
  <c r="Q83" i="37"/>
  <c r="AM26" i="40"/>
  <c r="AL26" i="40"/>
  <c r="E11" i="48"/>
  <c r="F9" i="55"/>
  <c r="K207" i="37"/>
  <c r="K214" i="37" s="1"/>
  <c r="S58" i="82"/>
  <c r="F145" i="37"/>
  <c r="F70" i="40"/>
  <c r="Q148" i="37"/>
  <c r="Q92" i="40" s="1"/>
  <c r="Q73" i="40"/>
  <c r="Q125" i="37"/>
  <c r="Q196" i="37"/>
  <c r="K72" i="40"/>
  <c r="K147" i="37"/>
  <c r="K91" i="40" s="1"/>
  <c r="O152" i="37"/>
  <c r="O96" i="40" s="1"/>
  <c r="O77" i="40"/>
  <c r="M69" i="40"/>
  <c r="M144" i="37"/>
  <c r="M88" i="40" s="1"/>
  <c r="H98" i="52"/>
  <c r="G98" i="52"/>
  <c r="I98" i="52" s="1"/>
  <c r="H145" i="37"/>
  <c r="H89" i="40" s="1"/>
  <c r="H70" i="40"/>
  <c r="S62" i="82"/>
  <c r="R205" i="37"/>
  <c r="O151" i="37"/>
  <c r="O95" i="40" s="1"/>
  <c r="O76" i="40"/>
  <c r="L56" i="39"/>
  <c r="F78" i="40"/>
  <c r="M58" i="40"/>
  <c r="F9" i="40"/>
  <c r="R84" i="37"/>
  <c r="N151" i="37"/>
  <c r="N95" i="40" s="1"/>
  <c r="N76" i="40"/>
  <c r="AM32" i="40"/>
  <c r="AL32" i="40"/>
  <c r="O69" i="40"/>
  <c r="O144" i="37"/>
  <c r="O88" i="40" s="1"/>
  <c r="O56" i="39"/>
  <c r="H192" i="37"/>
  <c r="H153" i="37"/>
  <c r="H97" i="40" s="1"/>
  <c r="H117" i="37"/>
  <c r="I16" i="56"/>
  <c r="H140" i="37"/>
  <c r="J144" i="37"/>
  <c r="J88" i="40" s="1"/>
  <c r="J69" i="40"/>
  <c r="H144" i="37"/>
  <c r="H88" i="40" s="1"/>
  <c r="H69" i="40"/>
  <c r="J152" i="37"/>
  <c r="J96" i="40" s="1"/>
  <c r="J77" i="40"/>
  <c r="L61" i="82"/>
  <c r="L63" i="82"/>
  <c r="G51" i="56"/>
  <c r="S51" i="56" s="1"/>
  <c r="S31" i="56"/>
  <c r="G142" i="37"/>
  <c r="G86" i="40" s="1"/>
  <c r="G67" i="40"/>
  <c r="S30" i="56"/>
  <c r="G27" i="56"/>
  <c r="S27" i="56" s="1"/>
  <c r="R71" i="40"/>
  <c r="J33" i="48"/>
  <c r="P26" i="64"/>
  <c r="P25" i="64"/>
  <c r="N57" i="40"/>
  <c r="M27" i="64"/>
  <c r="M22" i="64"/>
  <c r="M17" i="64"/>
  <c r="M21" i="64"/>
  <c r="M14" i="64"/>
  <c r="M16" i="64"/>
  <c r="M24" i="64"/>
  <c r="M8" i="64"/>
  <c r="M42" i="41"/>
  <c r="J50" i="39"/>
  <c r="M15" i="64"/>
  <c r="M7" i="64"/>
  <c r="M13" i="64"/>
  <c r="M47" i="41"/>
  <c r="M45" i="41"/>
  <c r="M10" i="64"/>
  <c r="M41" i="41"/>
  <c r="M9" i="64"/>
  <c r="M11" i="64"/>
  <c r="M12" i="64"/>
  <c r="F50" i="40"/>
  <c r="I151" i="37"/>
  <c r="I95" i="40" s="1"/>
  <c r="I76" i="40"/>
  <c r="U22" i="64"/>
  <c r="U21" i="64"/>
  <c r="U24" i="64"/>
  <c r="U16" i="64"/>
  <c r="U9" i="64"/>
  <c r="U12" i="64"/>
  <c r="U27" i="64"/>
  <c r="R50" i="39"/>
  <c r="U17" i="64"/>
  <c r="U14" i="64"/>
  <c r="U42" i="41"/>
  <c r="U8" i="64"/>
  <c r="U15" i="64"/>
  <c r="U10" i="64"/>
  <c r="U7" i="64"/>
  <c r="U41" i="41"/>
  <c r="U13" i="64"/>
  <c r="U45" i="41"/>
  <c r="U47" i="41"/>
  <c r="U11" i="64"/>
  <c r="AM34" i="40"/>
  <c r="AL34" i="40"/>
  <c r="L148" i="37"/>
  <c r="L92" i="40" s="1"/>
  <c r="L73" i="40"/>
  <c r="G197" i="37"/>
  <c r="R197" i="37" s="1"/>
  <c r="G126" i="37"/>
  <c r="H16" i="52"/>
  <c r="G16" i="52"/>
  <c r="I16" i="52" s="1"/>
  <c r="K145" i="37"/>
  <c r="K89" i="40" s="1"/>
  <c r="K70" i="40"/>
  <c r="M152" i="37"/>
  <c r="M96" i="40" s="1"/>
  <c r="M77" i="40"/>
  <c r="P148" i="37"/>
  <c r="P92" i="40" s="1"/>
  <c r="P73" i="40"/>
  <c r="I150" i="37"/>
  <c r="I94" i="40" s="1"/>
  <c r="I75" i="40"/>
  <c r="AR155" i="41"/>
  <c r="AQ155" i="41"/>
  <c r="E17" i="48"/>
  <c r="U17" i="48" s="1"/>
  <c r="F14" i="55"/>
  <c r="H30" i="52"/>
  <c r="G30" i="52"/>
  <c r="I30" i="52" s="1"/>
  <c r="G57" i="40"/>
  <c r="O52" i="82"/>
  <c r="O53" i="82" s="1"/>
  <c r="O50" i="82"/>
  <c r="G134" i="37"/>
  <c r="G78" i="40" s="1"/>
  <c r="G201" i="37"/>
  <c r="R201" i="37" s="1"/>
  <c r="G130" i="37"/>
  <c r="G74" i="40" s="1"/>
  <c r="K24" i="64"/>
  <c r="K16" i="64"/>
  <c r="K17" i="64"/>
  <c r="K21" i="64"/>
  <c r="K27" i="64"/>
  <c r="K22" i="64"/>
  <c r="K7" i="64"/>
  <c r="K9" i="64"/>
  <c r="H50" i="39"/>
  <c r="K45" i="41"/>
  <c r="K13" i="64"/>
  <c r="K41" i="41"/>
  <c r="K14" i="64"/>
  <c r="K42" i="41"/>
  <c r="K47" i="41"/>
  <c r="K8" i="64"/>
  <c r="K11" i="64"/>
  <c r="K10" i="64"/>
  <c r="K12" i="64"/>
  <c r="K15" i="64"/>
  <c r="F11" i="40"/>
  <c r="R86" i="37"/>
  <c r="Q154" i="37"/>
  <c r="Q98" i="40" s="1"/>
  <c r="Q79" i="40"/>
  <c r="R96" i="37"/>
  <c r="F21" i="40"/>
  <c r="H129" i="37"/>
  <c r="R129" i="37" s="1"/>
  <c r="H200" i="37"/>
  <c r="R200" i="37" s="1"/>
  <c r="R146" i="37"/>
  <c r="F90" i="40"/>
  <c r="O57" i="40"/>
  <c r="AM37" i="40"/>
  <c r="AL37" i="40"/>
  <c r="M143" i="37"/>
  <c r="M87" i="40" s="1"/>
  <c r="M68" i="40"/>
  <c r="N152" i="37"/>
  <c r="N96" i="40" s="1"/>
  <c r="N77" i="40"/>
  <c r="Q142" i="37"/>
  <c r="Q86" i="40" s="1"/>
  <c r="Q67" i="40"/>
  <c r="H82" i="37"/>
  <c r="R82" i="37" s="1"/>
  <c r="AS107" i="40"/>
  <c r="R40" i="40"/>
  <c r="K152" i="37"/>
  <c r="K96" i="40" s="1"/>
  <c r="K77" i="40"/>
  <c r="M207" i="37"/>
  <c r="M214" i="37" s="1"/>
  <c r="Q45" i="40"/>
  <c r="O19" i="64"/>
  <c r="F148" i="37"/>
  <c r="F73" i="40"/>
  <c r="F53" i="52"/>
  <c r="G53" i="52" s="1"/>
  <c r="H53" i="52" s="1"/>
  <c r="I53" i="52" s="1"/>
  <c r="E54" i="52"/>
  <c r="F54" i="52" s="1"/>
  <c r="G54" i="52" s="1"/>
  <c r="H54" i="52" s="1"/>
  <c r="I54" i="52" s="1"/>
  <c r="J53" i="52"/>
  <c r="R94" i="37"/>
  <c r="F19" i="40"/>
  <c r="M151" i="37"/>
  <c r="M95" i="40" s="1"/>
  <c r="M76" i="40"/>
  <c r="F43" i="56"/>
  <c r="F33" i="56"/>
  <c r="U33" i="56" s="1"/>
  <c r="F193" i="37"/>
  <c r="F122" i="37"/>
  <c r="R103" i="37"/>
  <c r="G203" i="37"/>
  <c r="G132" i="37"/>
  <c r="L16" i="64"/>
  <c r="L12" i="64"/>
  <c r="L27" i="64"/>
  <c r="L22" i="64"/>
  <c r="L17" i="64"/>
  <c r="L9" i="64"/>
  <c r="L15" i="64"/>
  <c r="I50" i="39"/>
  <c r="L7" i="64"/>
  <c r="L24" i="64"/>
  <c r="L21" i="64"/>
  <c r="L45" i="41"/>
  <c r="L41" i="41"/>
  <c r="L11" i="64"/>
  <c r="L8" i="64"/>
  <c r="L13" i="64"/>
  <c r="L10" i="64"/>
  <c r="L47" i="41"/>
  <c r="L14" i="64"/>
  <c r="L42" i="41"/>
  <c r="M150" i="37"/>
  <c r="M94" i="40" s="1"/>
  <c r="M75" i="40"/>
  <c r="P23" i="64"/>
  <c r="R95" i="37"/>
  <c r="F20" i="40"/>
  <c r="M122" i="37"/>
  <c r="M193" i="37"/>
  <c r="F203" i="37"/>
  <c r="R113" i="37"/>
  <c r="F132" i="37"/>
  <c r="G93" i="37"/>
  <c r="G18" i="40" s="1"/>
  <c r="G56" i="40" s="1"/>
  <c r="O72" i="40"/>
  <c r="O147" i="37"/>
  <c r="O91" i="40" s="1"/>
  <c r="L153" i="37"/>
  <c r="L97" i="40" s="1"/>
  <c r="L140" i="37"/>
  <c r="L117" i="37"/>
  <c r="L192" i="37"/>
  <c r="J117" i="37"/>
  <c r="M117" i="37"/>
  <c r="H194" i="37"/>
  <c r="H123" i="37"/>
  <c r="M147" i="37"/>
  <c r="M91" i="40" s="1"/>
  <c r="M72" i="40"/>
  <c r="R90" i="37"/>
  <c r="L135" i="37"/>
  <c r="L206" i="37"/>
  <c r="Q52" i="82"/>
  <c r="Q53" i="82" s="1"/>
  <c r="Q50" i="82"/>
  <c r="AM31" i="40"/>
  <c r="AL31" i="40"/>
  <c r="Q84" i="40"/>
  <c r="K151" i="37"/>
  <c r="K95" i="40" s="1"/>
  <c r="K76" i="40"/>
  <c r="AM29" i="40"/>
  <c r="AL29" i="40"/>
  <c r="G17" i="55"/>
  <c r="P147" i="37"/>
  <c r="P91" i="40" s="1"/>
  <c r="P72" i="40"/>
  <c r="Q31" i="55"/>
  <c r="U71" i="41"/>
  <c r="K154" i="37"/>
  <c r="K98" i="40" s="1"/>
  <c r="K79" i="40"/>
  <c r="F202" i="37"/>
  <c r="F131" i="37"/>
  <c r="R112" i="37"/>
  <c r="K61" i="82"/>
  <c r="K63" i="82"/>
  <c r="J154" i="37"/>
  <c r="J98" i="40" s="1"/>
  <c r="J79" i="40"/>
  <c r="F124" i="37"/>
  <c r="F195" i="37"/>
  <c r="R195" i="37" s="1"/>
  <c r="R105" i="37"/>
  <c r="Q197" i="37"/>
  <c r="Q126" i="37"/>
  <c r="R23" i="64"/>
  <c r="K57" i="40"/>
  <c r="F92" i="37"/>
  <c r="K57" i="82"/>
  <c r="K59" i="82"/>
  <c r="O131" i="37"/>
  <c r="O202" i="37"/>
  <c r="AM30" i="40"/>
  <c r="AL30" i="40"/>
  <c r="H44" i="52"/>
  <c r="G44" i="52"/>
  <c r="I44" i="52" s="1"/>
  <c r="G33" i="85"/>
  <c r="E30" i="85"/>
  <c r="G30" i="85" s="1"/>
  <c r="G26" i="85"/>
  <c r="G35" i="85"/>
  <c r="G27" i="85"/>
  <c r="G34" i="85"/>
  <c r="G28" i="85"/>
  <c r="L58" i="40"/>
  <c r="H75" i="40"/>
  <c r="H150" i="37"/>
  <c r="H94" i="40" s="1"/>
  <c r="Q152" i="37"/>
  <c r="Q96" i="40" s="1"/>
  <c r="Q77" i="40"/>
  <c r="Q117" i="37"/>
  <c r="G195" i="37"/>
  <c r="G124" i="37"/>
  <c r="H31" i="55"/>
  <c r="L71" i="41"/>
  <c r="O142" i="37"/>
  <c r="O86" i="40" s="1"/>
  <c r="O67" i="40"/>
  <c r="R111" i="37"/>
  <c r="M79" i="40"/>
  <c r="M154" i="37"/>
  <c r="M98" i="40" s="1"/>
  <c r="K117" i="37"/>
  <c r="H143" i="37"/>
  <c r="H87" i="40" s="1"/>
  <c r="H68" i="40"/>
  <c r="Q57" i="40"/>
  <c r="L59" i="82"/>
  <c r="L57" i="82"/>
  <c r="I31" i="55"/>
  <c r="M71" i="41"/>
  <c r="L66" i="40"/>
  <c r="L141" i="37"/>
  <c r="L85" i="40" s="1"/>
  <c r="S71" i="41"/>
  <c r="O31" i="55"/>
  <c r="I143" i="37"/>
  <c r="I87" i="40" s="1"/>
  <c r="I68" i="40"/>
  <c r="N145" i="37"/>
  <c r="N89" i="40" s="1"/>
  <c r="N70" i="40"/>
  <c r="M56" i="39"/>
  <c r="N52" i="82"/>
  <c r="N53" i="82" s="1"/>
  <c r="N50" i="82"/>
  <c r="R107" i="37"/>
  <c r="R31" i="55"/>
  <c r="V71" i="41"/>
  <c r="J57" i="40"/>
  <c r="H15" i="52"/>
  <c r="G15" i="52"/>
  <c r="I15" i="52" s="1"/>
  <c r="G202" i="37"/>
  <c r="G131" i="37"/>
  <c r="F74" i="40"/>
  <c r="F199" i="37"/>
  <c r="F128" i="37"/>
  <c r="R109" i="37"/>
  <c r="I145" i="37"/>
  <c r="I89" i="40" s="1"/>
  <c r="I70" i="40"/>
  <c r="I97" i="37"/>
  <c r="I7" i="40"/>
  <c r="M142" i="37"/>
  <c r="M86" i="40" s="1"/>
  <c r="M67" i="40"/>
  <c r="G77" i="40"/>
  <c r="G152" i="37"/>
  <c r="G96" i="40" s="1"/>
  <c r="I140" i="37"/>
  <c r="I117" i="37"/>
  <c r="I192" i="37"/>
  <c r="J16" i="56"/>
  <c r="I153" i="37"/>
  <c r="I97" i="40" s="1"/>
  <c r="AM35" i="40"/>
  <c r="AL35" i="40"/>
  <c r="O23" i="64"/>
  <c r="H76" i="40"/>
  <c r="H151" i="37"/>
  <c r="H95" i="40" s="1"/>
  <c r="G87" i="37"/>
  <c r="G63" i="52"/>
  <c r="G66" i="52" s="1"/>
  <c r="G69" i="52" s="1"/>
  <c r="G68" i="52" s="1"/>
  <c r="L63" i="52"/>
  <c r="L66" i="52" s="1"/>
  <c r="F49" i="52"/>
  <c r="G49" i="52" s="1"/>
  <c r="H49" i="52" s="1"/>
  <c r="I49" i="52" s="1"/>
  <c r="K63" i="52"/>
  <c r="K66" i="52" s="1"/>
  <c r="E50" i="52"/>
  <c r="F50" i="52" s="1"/>
  <c r="G50" i="52" s="1"/>
  <c r="H50" i="52" s="1"/>
  <c r="I50" i="52" s="1"/>
  <c r="J63" i="52"/>
  <c r="J66" i="52" s="1"/>
  <c r="I63" i="52"/>
  <c r="I66" i="52" s="1"/>
  <c r="I69" i="52" s="1"/>
  <c r="I68" i="52" s="1"/>
  <c r="E63" i="52"/>
  <c r="E66" i="52" s="1"/>
  <c r="J49" i="52"/>
  <c r="H63" i="52"/>
  <c r="H66" i="52" s="1"/>
  <c r="H69" i="52" s="1"/>
  <c r="H68" i="52" s="1"/>
  <c r="F63" i="52"/>
  <c r="F66" i="52" s="1"/>
  <c r="F69" i="52" s="1"/>
  <c r="F68" i="52" s="1"/>
  <c r="N63" i="52"/>
  <c r="N66" i="52" s="1"/>
  <c r="M63" i="52"/>
  <c r="M66" i="52" s="1"/>
  <c r="O63" i="52"/>
  <c r="O66" i="52" s="1"/>
  <c r="P63" i="52"/>
  <c r="P66" i="52" s="1"/>
  <c r="Q63" i="52"/>
  <c r="Q66" i="52" s="1"/>
  <c r="L43" i="82"/>
  <c r="L47" i="82" s="1"/>
  <c r="L49" i="82" s="1"/>
  <c r="L33" i="82"/>
  <c r="N58" i="40"/>
  <c r="AM27" i="40"/>
  <c r="AL27" i="40"/>
  <c r="P132" i="37"/>
  <c r="P203" i="37"/>
  <c r="L69" i="40"/>
  <c r="L144" i="37"/>
  <c r="L88" i="40" s="1"/>
  <c r="G8" i="85"/>
  <c r="G7" i="85" s="1"/>
  <c r="G11" i="85"/>
  <c r="G12" i="85"/>
  <c r="G9" i="85"/>
  <c r="G10" i="85"/>
  <c r="G16" i="85"/>
  <c r="F204" i="37"/>
  <c r="F133" i="37"/>
  <c r="R114" i="37"/>
  <c r="L33" i="48"/>
  <c r="F192" i="37"/>
  <c r="F117" i="37"/>
  <c r="R102" i="37"/>
  <c r="G16" i="56"/>
  <c r="F140" i="37"/>
  <c r="F153" i="37"/>
  <c r="F196" i="37"/>
  <c r="F125" i="37"/>
  <c r="R106" i="37"/>
  <c r="R116" i="37"/>
  <c r="F206" i="37"/>
  <c r="R206" i="37" s="1"/>
  <c r="F135" i="37"/>
  <c r="V24" i="64"/>
  <c r="V16" i="64"/>
  <c r="V22" i="64"/>
  <c r="V21" i="64"/>
  <c r="V9" i="64"/>
  <c r="S50" i="39"/>
  <c r="V13" i="64"/>
  <c r="V27" i="64"/>
  <c r="V15" i="64"/>
  <c r="V17" i="64"/>
  <c r="V7" i="64"/>
  <c r="V47" i="41"/>
  <c r="V12" i="64"/>
  <c r="V45" i="41"/>
  <c r="V41" i="41"/>
  <c r="V8" i="64"/>
  <c r="V10" i="64"/>
  <c r="V11" i="64"/>
  <c r="V14" i="64"/>
  <c r="V42" i="41"/>
  <c r="L145" i="37"/>
  <c r="L89" i="40" s="1"/>
  <c r="L70" i="40"/>
  <c r="O79" i="40"/>
  <c r="O154" i="37"/>
  <c r="O98" i="40" s="1"/>
  <c r="N199" i="37"/>
  <c r="N128" i="37"/>
  <c r="M145" i="37"/>
  <c r="M89" i="40" s="1"/>
  <c r="M70" i="40"/>
  <c r="N7" i="40"/>
  <c r="T21" i="64"/>
  <c r="T17" i="64"/>
  <c r="T24" i="64"/>
  <c r="T22" i="64"/>
  <c r="T10" i="64"/>
  <c r="T16" i="64"/>
  <c r="T14" i="64"/>
  <c r="T7" i="64"/>
  <c r="T12" i="64"/>
  <c r="Q50" i="39"/>
  <c r="T8" i="64"/>
  <c r="T42" i="41"/>
  <c r="T27" i="64"/>
  <c r="T11" i="64"/>
  <c r="T41" i="41"/>
  <c r="T9" i="64"/>
  <c r="T13" i="64"/>
  <c r="T47" i="41"/>
  <c r="T15" i="64"/>
  <c r="T45" i="41"/>
  <c r="H77" i="40"/>
  <c r="H152" i="37"/>
  <c r="H96" i="40" s="1"/>
  <c r="L142" i="37"/>
  <c r="L86" i="40" s="1"/>
  <c r="L67" i="40"/>
  <c r="N89" i="37"/>
  <c r="N14" i="40" s="1"/>
  <c r="N52" i="40" s="1"/>
  <c r="N153" i="37"/>
  <c r="N97" i="40" s="1"/>
  <c r="N192" i="37"/>
  <c r="N140" i="37"/>
  <c r="N117" i="37"/>
  <c r="P154" i="37"/>
  <c r="P98" i="40" s="1"/>
  <c r="P79" i="40"/>
  <c r="I50" i="82"/>
  <c r="I52" i="82"/>
  <c r="I53" i="82" s="1"/>
  <c r="I206" i="37"/>
  <c r="I135" i="37"/>
  <c r="M50" i="82"/>
  <c r="M52" i="82"/>
  <c r="M53" i="82" s="1"/>
  <c r="M22" i="40"/>
  <c r="N6" i="55" s="1"/>
  <c r="M45" i="40"/>
  <c r="P59" i="40"/>
  <c r="L97" i="37"/>
  <c r="L7" i="40"/>
  <c r="P142" i="37"/>
  <c r="P86" i="40" s="1"/>
  <c r="P67" i="40"/>
  <c r="G33" i="82"/>
  <c r="S32" i="82"/>
  <c r="S33" i="82" s="1"/>
  <c r="G43" i="82"/>
  <c r="S21" i="64"/>
  <c r="S17" i="64"/>
  <c r="S27" i="64"/>
  <c r="S24" i="64"/>
  <c r="S16" i="64"/>
  <c r="S7" i="64"/>
  <c r="S22" i="64"/>
  <c r="P50" i="39"/>
  <c r="S42" i="41"/>
  <c r="S41" i="41"/>
  <c r="S15" i="64"/>
  <c r="S9" i="64"/>
  <c r="S14" i="64"/>
  <c r="S12" i="64"/>
  <c r="S10" i="64"/>
  <c r="S11" i="64"/>
  <c r="S13" i="64"/>
  <c r="S47" i="41"/>
  <c r="S8" i="64"/>
  <c r="S45" i="41"/>
  <c r="F53" i="40"/>
  <c r="R53" i="40" s="1"/>
  <c r="R15" i="40"/>
  <c r="N148" i="37"/>
  <c r="N92" i="40" s="1"/>
  <c r="N73" i="40"/>
  <c r="F83" i="37"/>
  <c r="I58" i="40"/>
  <c r="R85" i="37"/>
  <c r="F10" i="40"/>
  <c r="K83" i="37"/>
  <c r="L91" i="37"/>
  <c r="L16" i="40" s="1"/>
  <c r="L54" i="40" s="1"/>
  <c r="O148" i="37"/>
  <c r="O92" i="40" s="1"/>
  <c r="O73" i="40"/>
  <c r="P19" i="64"/>
  <c r="P97" i="37"/>
  <c r="P7" i="40"/>
  <c r="Q147" i="37"/>
  <c r="Q91" i="40" s="1"/>
  <c r="Q72" i="40"/>
  <c r="N206" i="37"/>
  <c r="N135" i="37"/>
  <c r="G8" i="48"/>
  <c r="R8" i="48" s="1"/>
  <c r="S8" i="56"/>
  <c r="K148" i="37"/>
  <c r="K92" i="40" s="1"/>
  <c r="K73" i="40"/>
  <c r="H147" i="37"/>
  <c r="H91" i="40" s="1"/>
  <c r="H72" i="40"/>
  <c r="G82" i="37"/>
  <c r="N31" i="55"/>
  <c r="R71" i="41"/>
  <c r="H141" i="37"/>
  <c r="H85" i="40" s="1"/>
  <c r="H66" i="40"/>
  <c r="AD83" i="65"/>
  <c r="Q22" i="64"/>
  <c r="Q27" i="64"/>
  <c r="Q24" i="64"/>
  <c r="Q13" i="64"/>
  <c r="Q16" i="64"/>
  <c r="N50" i="39"/>
  <c r="Q21" i="64"/>
  <c r="Q11" i="64"/>
  <c r="Q15" i="64"/>
  <c r="Q17" i="64"/>
  <c r="Q12" i="64"/>
  <c r="Q45" i="41"/>
  <c r="Q7" i="64"/>
  <c r="Q10" i="64"/>
  <c r="Q9" i="64"/>
  <c r="Q8" i="64"/>
  <c r="Q47" i="41"/>
  <c r="Q41" i="41"/>
  <c r="Q42" i="41"/>
  <c r="Q14" i="64"/>
  <c r="L96" i="37"/>
  <c r="L21" i="40" s="1"/>
  <c r="L59" i="40" s="1"/>
  <c r="P70" i="40"/>
  <c r="P145" i="37"/>
  <c r="P89" i="40" s="1"/>
  <c r="P117" i="37"/>
  <c r="J202" i="37"/>
  <c r="J207" i="37" s="1"/>
  <c r="J214" i="37" s="1"/>
  <c r="J131" i="37"/>
  <c r="J136" i="37" s="1"/>
  <c r="G43" i="52"/>
  <c r="I43" i="52" s="1"/>
  <c r="H43" i="52"/>
  <c r="H99" i="52"/>
  <c r="G99" i="52"/>
  <c r="I99" i="52" s="1"/>
  <c r="O84" i="40"/>
  <c r="O25" i="64"/>
  <c r="O26" i="64"/>
  <c r="Q124" i="37"/>
  <c r="Q195" i="37"/>
  <c r="G114" i="52"/>
  <c r="I114" i="52" s="1"/>
  <c r="H114" i="52"/>
  <c r="P193" i="37"/>
  <c r="P207" i="37" s="1"/>
  <c r="P214" i="37" s="1"/>
  <c r="P122" i="37"/>
  <c r="J58" i="40"/>
  <c r="P20" i="64"/>
  <c r="P20" i="41"/>
  <c r="J92" i="37"/>
  <c r="J17" i="40" s="1"/>
  <c r="J55" i="40" s="1"/>
  <c r="O124" i="37"/>
  <c r="O195" i="37"/>
  <c r="R25" i="64"/>
  <c r="R26" i="64"/>
  <c r="J45" i="40"/>
  <c r="J22" i="40"/>
  <c r="K6" i="55" s="1"/>
  <c r="M59" i="40"/>
  <c r="K150" i="37"/>
  <c r="K94" i="40" s="1"/>
  <c r="K75" i="40"/>
  <c r="R91" i="37"/>
  <c r="G144" i="37"/>
  <c r="G88" i="40" s="1"/>
  <c r="G69" i="40"/>
  <c r="K142" i="37"/>
  <c r="K86" i="40" s="1"/>
  <c r="K67" i="40"/>
  <c r="O97" i="37"/>
  <c r="G154" i="37"/>
  <c r="G98" i="40" s="1"/>
  <c r="G79" i="40"/>
  <c r="J52" i="82"/>
  <c r="J53" i="82" s="1"/>
  <c r="J50" i="82"/>
  <c r="J57" i="52"/>
  <c r="E58" i="52"/>
  <c r="F58" i="52" s="1"/>
  <c r="G58" i="52" s="1"/>
  <c r="H58" i="52" s="1"/>
  <c r="I58" i="52" s="1"/>
  <c r="F57" i="52"/>
  <c r="G57" i="52" s="1"/>
  <c r="H57" i="52" s="1"/>
  <c r="I57" i="52" s="1"/>
  <c r="I148" i="37"/>
  <c r="I92" i="40" s="1"/>
  <c r="I73" i="40"/>
  <c r="R88" i="37"/>
  <c r="F13" i="40"/>
  <c r="D45" i="48"/>
  <c r="E47" i="55"/>
  <c r="N144" i="37"/>
  <c r="N88" i="40" s="1"/>
  <c r="N69" i="40"/>
  <c r="K33" i="82"/>
  <c r="K43" i="82"/>
  <c r="K47" i="82" s="1"/>
  <c r="K49" i="82" s="1"/>
  <c r="P58" i="40"/>
  <c r="K84" i="40"/>
  <c r="M114" i="40"/>
  <c r="Q113" i="40"/>
  <c r="Q110" i="40"/>
  <c r="I109" i="40"/>
  <c r="I148" i="40" s="1"/>
  <c r="I107" i="40"/>
  <c r="Q114" i="40"/>
  <c r="G113" i="40"/>
  <c r="O110" i="40"/>
  <c r="O107" i="40"/>
  <c r="P114" i="40"/>
  <c r="F113" i="40"/>
  <c r="N110" i="40"/>
  <c r="Q109" i="40"/>
  <c r="N107" i="40"/>
  <c r="O114" i="40"/>
  <c r="M110" i="40"/>
  <c r="P109" i="40"/>
  <c r="P129" i="40" s="1"/>
  <c r="M107" i="40"/>
  <c r="O113" i="40"/>
  <c r="J110" i="40"/>
  <c r="J109" i="40"/>
  <c r="J148" i="40" s="1"/>
  <c r="K107" i="40"/>
  <c r="N113" i="40"/>
  <c r="I110" i="40"/>
  <c r="H109" i="40"/>
  <c r="J107" i="40"/>
  <c r="L114" i="40"/>
  <c r="L113" i="40"/>
  <c r="G110" i="40"/>
  <c r="N114" i="40"/>
  <c r="M113" i="40"/>
  <c r="H110" i="40"/>
  <c r="G109" i="40"/>
  <c r="H107" i="40"/>
  <c r="F109" i="40"/>
  <c r="G107" i="40"/>
  <c r="J114" i="40"/>
  <c r="L109" i="40"/>
  <c r="P110" i="40"/>
  <c r="L110" i="40"/>
  <c r="K110" i="40"/>
  <c r="L107" i="40"/>
  <c r="I114" i="40"/>
  <c r="K109" i="40"/>
  <c r="G114" i="40"/>
  <c r="Q107" i="40"/>
  <c r="P107" i="40"/>
  <c r="H114" i="40"/>
  <c r="F114" i="40"/>
  <c r="F110" i="40"/>
  <c r="I113" i="40"/>
  <c r="N109" i="40"/>
  <c r="N129" i="40" s="1"/>
  <c r="K114" i="40"/>
  <c r="P113" i="40"/>
  <c r="K113" i="40"/>
  <c r="J113" i="40"/>
  <c r="F107" i="40"/>
  <c r="H113" i="40"/>
  <c r="O109" i="40"/>
  <c r="M109" i="40"/>
  <c r="M148" i="40" s="1"/>
  <c r="R115" i="37"/>
  <c r="O20" i="41"/>
  <c r="O20" i="64"/>
  <c r="Q75" i="40"/>
  <c r="Q150" i="37"/>
  <c r="Q94" i="40" s="1"/>
  <c r="L195" i="37"/>
  <c r="L124" i="37"/>
  <c r="N66" i="40"/>
  <c r="N141" i="37"/>
  <c r="N85" i="40" s="1"/>
  <c r="K144" i="37"/>
  <c r="K88" i="40" s="1"/>
  <c r="K69" i="40"/>
  <c r="G9" i="47"/>
  <c r="G11" i="47"/>
  <c r="G10" i="47"/>
  <c r="G8" i="47"/>
  <c r="R169" i="40"/>
  <c r="AM167" i="40"/>
  <c r="AL167" i="40"/>
  <c r="R104" i="37"/>
  <c r="F194" i="37"/>
  <c r="F123" i="37"/>
  <c r="G32" i="47"/>
  <c r="N194" i="37"/>
  <c r="N123" i="37"/>
  <c r="R38" i="40"/>
  <c r="D13" i="84"/>
  <c r="P13" i="84" s="1"/>
  <c r="R13" i="84" s="1"/>
  <c r="G193" i="37"/>
  <c r="G122" i="37"/>
  <c r="M84" i="40"/>
  <c r="F14" i="40"/>
  <c r="K68" i="40"/>
  <c r="K143" i="37"/>
  <c r="K87" i="40" s="1"/>
  <c r="P75" i="40"/>
  <c r="P150" i="37"/>
  <c r="P94" i="40" s="1"/>
  <c r="N27" i="64"/>
  <c r="N22" i="64"/>
  <c r="N17" i="64"/>
  <c r="N21" i="64"/>
  <c r="N14" i="64"/>
  <c r="N16" i="64"/>
  <c r="N24" i="64"/>
  <c r="K50" i="39"/>
  <c r="N42" i="41"/>
  <c r="N45" i="41"/>
  <c r="N8" i="64"/>
  <c r="N9" i="64"/>
  <c r="N10" i="64"/>
  <c r="N7" i="64"/>
  <c r="N47" i="41"/>
  <c r="N12" i="64"/>
  <c r="N41" i="41"/>
  <c r="N15" i="64"/>
  <c r="N11" i="64"/>
  <c r="N13" i="64"/>
  <c r="J31" i="55"/>
  <c r="N71" i="41"/>
  <c r="I142" i="37"/>
  <c r="I86" i="40" s="1"/>
  <c r="I144" i="40" s="1"/>
  <c r="I67" i="40"/>
  <c r="J68" i="40"/>
  <c r="J143" i="37"/>
  <c r="J87" i="40" s="1"/>
  <c r="AS130" i="65"/>
  <c r="I144" i="37"/>
  <c r="I88" i="40" s="1"/>
  <c r="I69" i="40"/>
  <c r="J151" i="37"/>
  <c r="J95" i="40" s="1"/>
  <c r="J76" i="40"/>
  <c r="H29" i="52"/>
  <c r="G29" i="52"/>
  <c r="I29" i="52" s="1"/>
  <c r="L152" i="37"/>
  <c r="L96" i="40" s="1"/>
  <c r="L77" i="40"/>
  <c r="P124" i="37"/>
  <c r="P195" i="37"/>
  <c r="I112" i="40"/>
  <c r="I132" i="40" s="1"/>
  <c r="M111" i="40"/>
  <c r="M150" i="40" s="1"/>
  <c r="J112" i="40"/>
  <c r="L111" i="40"/>
  <c r="H112" i="40"/>
  <c r="H132" i="40" s="1"/>
  <c r="K111" i="40"/>
  <c r="G112" i="40"/>
  <c r="J111" i="40"/>
  <c r="N112" i="40"/>
  <c r="N132" i="40" s="1"/>
  <c r="N111" i="40"/>
  <c r="M112" i="40"/>
  <c r="M132" i="40" s="1"/>
  <c r="I111" i="40"/>
  <c r="G111" i="40"/>
  <c r="G131" i="40" s="1"/>
  <c r="L112" i="40"/>
  <c r="H111" i="40"/>
  <c r="K112" i="40"/>
  <c r="P112" i="40"/>
  <c r="P132" i="40" s="1"/>
  <c r="O112" i="40"/>
  <c r="F112" i="40"/>
  <c r="P111" i="40"/>
  <c r="O111" i="40"/>
  <c r="F111" i="40"/>
  <c r="Q112" i="40"/>
  <c r="Q132" i="40" s="1"/>
  <c r="Q111" i="40"/>
  <c r="L31" i="55"/>
  <c r="P71" i="41"/>
  <c r="K58" i="40"/>
  <c r="O141" i="37"/>
  <c r="O85" i="40" s="1"/>
  <c r="O66" i="40"/>
  <c r="R78" i="37"/>
  <c r="AM33" i="40"/>
  <c r="AL33" i="40"/>
  <c r="P152" i="37"/>
  <c r="P96" i="40" s="1"/>
  <c r="P77" i="40"/>
  <c r="L147" i="37"/>
  <c r="L91" i="40" s="1"/>
  <c r="L72" i="40"/>
  <c r="J142" i="37"/>
  <c r="J86" i="40" s="1"/>
  <c r="J67" i="40"/>
  <c r="R19" i="64"/>
  <c r="R39" i="40"/>
  <c r="D14" i="84"/>
  <c r="P14" i="84" s="1"/>
  <c r="R14" i="84" s="1"/>
  <c r="H136" i="37" l="1"/>
  <c r="M30" i="55"/>
  <c r="E16" i="48"/>
  <c r="U16" i="48" s="1"/>
  <c r="U14" i="55"/>
  <c r="T51" i="55"/>
  <c r="F47" i="56"/>
  <c r="U43" i="56"/>
  <c r="I125" i="40"/>
  <c r="O147" i="40"/>
  <c r="M34" i="39"/>
  <c r="K222" i="37"/>
  <c r="O26" i="39"/>
  <c r="N29" i="39"/>
  <c r="N28" i="39" s="1"/>
  <c r="N39" i="39" s="1"/>
  <c r="N25" i="39"/>
  <c r="N38" i="39" s="1"/>
  <c r="K17" i="55"/>
  <c r="J19" i="48" s="1"/>
  <c r="K16" i="56"/>
  <c r="K16" i="55" s="1"/>
  <c r="J126" i="40"/>
  <c r="G125" i="40"/>
  <c r="H130" i="40"/>
  <c r="M131" i="40"/>
  <c r="M146" i="40"/>
  <c r="N143" i="40"/>
  <c r="M133" i="40"/>
  <c r="L146" i="40"/>
  <c r="G150" i="40"/>
  <c r="P152" i="40"/>
  <c r="L127" i="40"/>
  <c r="P133" i="40"/>
  <c r="H126" i="40"/>
  <c r="N153" i="40"/>
  <c r="O128" i="40"/>
  <c r="L132" i="40"/>
  <c r="R111" i="40"/>
  <c r="AL111" i="40" s="1"/>
  <c r="Q133" i="40"/>
  <c r="J128" i="40"/>
  <c r="M126" i="40"/>
  <c r="I131" i="40"/>
  <c r="I147" i="40"/>
  <c r="J127" i="40"/>
  <c r="J147" i="40"/>
  <c r="H149" i="40"/>
  <c r="K133" i="40"/>
  <c r="M152" i="40"/>
  <c r="K152" i="40"/>
  <c r="M127" i="40"/>
  <c r="K146" i="40"/>
  <c r="O132" i="40"/>
  <c r="N128" i="40"/>
  <c r="K153" i="40"/>
  <c r="L147" i="40"/>
  <c r="M125" i="40"/>
  <c r="L131" i="40"/>
  <c r="I134" i="40"/>
  <c r="I127" i="40"/>
  <c r="I153" i="40"/>
  <c r="K149" i="40"/>
  <c r="R54" i="40"/>
  <c r="AL54" i="40" s="1"/>
  <c r="I146" i="40"/>
  <c r="P147" i="40"/>
  <c r="K130" i="40"/>
  <c r="K125" i="40"/>
  <c r="P128" i="40"/>
  <c r="Q130" i="40"/>
  <c r="P148" i="40"/>
  <c r="I150" i="40"/>
  <c r="K144" i="40"/>
  <c r="L128" i="40"/>
  <c r="J129" i="40"/>
  <c r="N147" i="40"/>
  <c r="G132" i="40"/>
  <c r="M144" i="40"/>
  <c r="L150" i="40"/>
  <c r="K127" i="40"/>
  <c r="H146" i="40"/>
  <c r="Q131" i="40"/>
  <c r="N134" i="40"/>
  <c r="G149" i="40"/>
  <c r="O73" i="64"/>
  <c r="O34" i="64"/>
  <c r="O31" i="64"/>
  <c r="O67" i="41"/>
  <c r="O37" i="64"/>
  <c r="J137" i="37"/>
  <c r="O50" i="64"/>
  <c r="O40" i="64"/>
  <c r="O48" i="64"/>
  <c r="O46" i="64"/>
  <c r="O35" i="64"/>
  <c r="O41" i="64"/>
  <c r="O39" i="64"/>
  <c r="O44" i="64"/>
  <c r="O63" i="41"/>
  <c r="O38" i="64"/>
  <c r="O33" i="64"/>
  <c r="O30" i="64"/>
  <c r="O6" i="62"/>
  <c r="O107" i="64" s="1"/>
  <c r="O36" i="64"/>
  <c r="O65" i="41"/>
  <c r="O69" i="41"/>
  <c r="O32" i="64"/>
  <c r="O62" i="41"/>
  <c r="I118" i="40"/>
  <c r="M117" i="40"/>
  <c r="M137" i="40" s="1"/>
  <c r="Q116" i="40"/>
  <c r="I115" i="40"/>
  <c r="H117" i="40"/>
  <c r="H156" i="40" s="1"/>
  <c r="K116" i="40"/>
  <c r="N115" i="40"/>
  <c r="N135" i="40" s="1"/>
  <c r="Q118" i="40"/>
  <c r="G117" i="40"/>
  <c r="G137" i="40" s="1"/>
  <c r="J116" i="40"/>
  <c r="M115" i="40"/>
  <c r="M154" i="40" s="1"/>
  <c r="P118" i="40"/>
  <c r="F117" i="40"/>
  <c r="I116" i="40"/>
  <c r="I155" i="40" s="1"/>
  <c r="L115" i="40"/>
  <c r="L135" i="40" s="1"/>
  <c r="F118" i="40"/>
  <c r="P116" i="40"/>
  <c r="P115" i="40"/>
  <c r="P154" i="40" s="1"/>
  <c r="Q115" i="40"/>
  <c r="Q135" i="40" s="1"/>
  <c r="Q117" i="40"/>
  <c r="Q156" i="40" s="1"/>
  <c r="O117" i="40"/>
  <c r="O156" i="40" s="1"/>
  <c r="G116" i="40"/>
  <c r="E17" i="84" s="1"/>
  <c r="K115" i="40"/>
  <c r="K154" i="40" s="1"/>
  <c r="L118" i="40"/>
  <c r="I117" i="40"/>
  <c r="J115" i="40"/>
  <c r="J154" i="40" s="1"/>
  <c r="N117" i="40"/>
  <c r="F116" i="40"/>
  <c r="F136" i="40" s="1"/>
  <c r="N118" i="40"/>
  <c r="K117" i="40"/>
  <c r="K156" i="40" s="1"/>
  <c r="O115" i="40"/>
  <c r="O135" i="40" s="1"/>
  <c r="M118" i="40"/>
  <c r="O118" i="40"/>
  <c r="L117" i="40"/>
  <c r="J117" i="40"/>
  <c r="J156" i="40" s="1"/>
  <c r="G118" i="40"/>
  <c r="M116" i="40"/>
  <c r="H116" i="40"/>
  <c r="H155" i="40" s="1"/>
  <c r="P117" i="40"/>
  <c r="P137" i="40" s="1"/>
  <c r="O116" i="40"/>
  <c r="O136" i="40" s="1"/>
  <c r="N116" i="40"/>
  <c r="L116" i="40"/>
  <c r="J17" i="84" s="1"/>
  <c r="K118" i="40"/>
  <c r="H115" i="40"/>
  <c r="H135" i="40" s="1"/>
  <c r="G115" i="40"/>
  <c r="G135" i="40" s="1"/>
  <c r="F115" i="40"/>
  <c r="J118" i="40"/>
  <c r="H118" i="40"/>
  <c r="Q215" i="37"/>
  <c r="O215" i="37"/>
  <c r="P215" i="37"/>
  <c r="K18" i="55"/>
  <c r="J20" i="48" s="1"/>
  <c r="J215" i="37"/>
  <c r="J220" i="37" s="1"/>
  <c r="M48" i="64"/>
  <c r="M44" i="64"/>
  <c r="M40" i="64"/>
  <c r="M67" i="41"/>
  <c r="M47" i="64" s="1"/>
  <c r="M46" i="64"/>
  <c r="M41" i="64"/>
  <c r="M50" i="64"/>
  <c r="H137" i="37"/>
  <c r="M73" i="64"/>
  <c r="M39" i="64"/>
  <c r="M30" i="64"/>
  <c r="M36" i="64"/>
  <c r="M35" i="64"/>
  <c r="M34" i="64"/>
  <c r="M6" i="62"/>
  <c r="M107" i="64" s="1"/>
  <c r="M37" i="64"/>
  <c r="M33" i="64"/>
  <c r="M32" i="64"/>
  <c r="M65" i="41"/>
  <c r="M38" i="64"/>
  <c r="M69" i="41"/>
  <c r="M49" i="64" s="1"/>
  <c r="M63" i="41"/>
  <c r="M43" i="64" s="1"/>
  <c r="M31" i="64"/>
  <c r="M62" i="41"/>
  <c r="E49" i="55"/>
  <c r="E50" i="55"/>
  <c r="D49" i="48"/>
  <c r="F48" i="40"/>
  <c r="R48" i="40" s="1"/>
  <c r="R10" i="40"/>
  <c r="S51" i="39"/>
  <c r="S49" i="39" s="1"/>
  <c r="Q69" i="52"/>
  <c r="AM71" i="40"/>
  <c r="AL71" i="40"/>
  <c r="F89" i="40"/>
  <c r="F98" i="37"/>
  <c r="K5" i="62"/>
  <c r="I15" i="84"/>
  <c r="K123" i="40"/>
  <c r="P136" i="37"/>
  <c r="P66" i="40"/>
  <c r="P141" i="37"/>
  <c r="Q20" i="41"/>
  <c r="Q20" i="64"/>
  <c r="I207" i="37"/>
  <c r="I214" i="37" s="1"/>
  <c r="J18" i="56"/>
  <c r="L23" i="64"/>
  <c r="G145" i="37"/>
  <c r="G89" i="40" s="1"/>
  <c r="G147" i="40" s="1"/>
  <c r="G70" i="40"/>
  <c r="G128" i="40" s="1"/>
  <c r="S59" i="82"/>
  <c r="S57" i="82"/>
  <c r="L150" i="37"/>
  <c r="L94" i="40" s="1"/>
  <c r="L152" i="40" s="1"/>
  <c r="L75" i="40"/>
  <c r="L133" i="40" s="1"/>
  <c r="G84" i="40"/>
  <c r="F45" i="40"/>
  <c r="L40" i="41"/>
  <c r="K40" i="41"/>
  <c r="V40" i="41"/>
  <c r="U40" i="41"/>
  <c r="T40" i="41"/>
  <c r="N40" i="41"/>
  <c r="M40" i="41"/>
  <c r="S40" i="41"/>
  <c r="Q40" i="41"/>
  <c r="P40" i="41"/>
  <c r="O40" i="41"/>
  <c r="R40" i="41"/>
  <c r="Q19" i="64"/>
  <c r="V25" i="64"/>
  <c r="V26" i="64"/>
  <c r="R108" i="40"/>
  <c r="H129" i="40"/>
  <c r="H148" i="40"/>
  <c r="G7" i="40"/>
  <c r="G97" i="37"/>
  <c r="N207" i="37"/>
  <c r="N214" i="37" s="1"/>
  <c r="I145" i="40"/>
  <c r="O153" i="40"/>
  <c r="F25" i="55"/>
  <c r="U25" i="55" s="1"/>
  <c r="E33" i="55"/>
  <c r="D35" i="48" s="1"/>
  <c r="D33" i="55"/>
  <c r="D19" i="55"/>
  <c r="E19" i="55"/>
  <c r="D21" i="48" s="1"/>
  <c r="E26" i="55"/>
  <c r="D28" i="48" s="1"/>
  <c r="E10" i="48"/>
  <c r="E21" i="48" s="1"/>
  <c r="F19" i="55"/>
  <c r="D26" i="55"/>
  <c r="F26" i="55"/>
  <c r="D50" i="55"/>
  <c r="D53" i="55" s="1"/>
  <c r="F33" i="55"/>
  <c r="U33" i="55" s="1"/>
  <c r="J124" i="40"/>
  <c r="J80" i="40"/>
  <c r="H16" i="55"/>
  <c r="D15" i="84"/>
  <c r="R103" i="40"/>
  <c r="F123" i="40"/>
  <c r="M16" i="84"/>
  <c r="O151" i="40"/>
  <c r="N23" i="64"/>
  <c r="N155" i="40"/>
  <c r="G12" i="40"/>
  <c r="R87" i="37"/>
  <c r="J18" i="48"/>
  <c r="F49" i="40"/>
  <c r="R49" i="40" s="1"/>
  <c r="R11" i="40"/>
  <c r="I16" i="55"/>
  <c r="J134" i="40"/>
  <c r="R109" i="40"/>
  <c r="R133" i="37"/>
  <c r="F77" i="40"/>
  <c r="F152" i="37"/>
  <c r="F132" i="40"/>
  <c r="R74" i="40"/>
  <c r="P130" i="40"/>
  <c r="F141" i="37"/>
  <c r="R122" i="37"/>
  <c r="F66" i="40"/>
  <c r="F136" i="37"/>
  <c r="P131" i="40"/>
  <c r="J56" i="39"/>
  <c r="J143" i="40"/>
  <c r="G207" i="37"/>
  <c r="G214" i="37" s="1"/>
  <c r="H18" i="56"/>
  <c r="J150" i="40"/>
  <c r="I16" i="84"/>
  <c r="K151" i="40"/>
  <c r="K56" i="39"/>
  <c r="Q143" i="37"/>
  <c r="Q87" i="40" s="1"/>
  <c r="Q145" i="40" s="1"/>
  <c r="Q68" i="40"/>
  <c r="Q126" i="40" s="1"/>
  <c r="V20" i="64"/>
  <c r="V20" i="41"/>
  <c r="R204" i="37"/>
  <c r="R130" i="37"/>
  <c r="P150" i="40"/>
  <c r="M20" i="41"/>
  <c r="M20" i="64"/>
  <c r="S63" i="82"/>
  <c r="S61" i="82"/>
  <c r="F53" i="48"/>
  <c r="R53" i="48" s="1"/>
  <c r="L15" i="84"/>
  <c r="N123" i="40"/>
  <c r="R194" i="37"/>
  <c r="N124" i="40"/>
  <c r="G148" i="40"/>
  <c r="G129" i="40"/>
  <c r="G146" i="40"/>
  <c r="K150" i="40"/>
  <c r="R196" i="37"/>
  <c r="L84" i="40"/>
  <c r="R56" i="39"/>
  <c r="F47" i="40"/>
  <c r="R47" i="40" s="1"/>
  <c r="R9" i="40"/>
  <c r="Q144" i="37"/>
  <c r="Q88" i="40" s="1"/>
  <c r="Q146" i="40" s="1"/>
  <c r="Q69" i="40"/>
  <c r="Q127" i="40" s="1"/>
  <c r="M98" i="37"/>
  <c r="R5" i="62"/>
  <c r="K148" i="40"/>
  <c r="K129" i="40"/>
  <c r="K50" i="82"/>
  <c r="K52" i="82"/>
  <c r="K53" i="82" s="1"/>
  <c r="O143" i="37"/>
  <c r="O87" i="40" s="1"/>
  <c r="O145" i="40" s="1"/>
  <c r="O68" i="40"/>
  <c r="O126" i="40" s="1"/>
  <c r="Q23" i="64"/>
  <c r="AM15" i="40"/>
  <c r="AL15" i="40"/>
  <c r="S19" i="64"/>
  <c r="L144" i="40"/>
  <c r="T20" i="64"/>
  <c r="T20" i="41"/>
  <c r="N22" i="40"/>
  <c r="O6" i="55" s="1"/>
  <c r="N45" i="40"/>
  <c r="N60" i="40" s="1"/>
  <c r="S56" i="39"/>
  <c r="L124" i="40"/>
  <c r="R131" i="37"/>
  <c r="F75" i="40"/>
  <c r="F133" i="40" s="1"/>
  <c r="F150" i="37"/>
  <c r="R203" i="37"/>
  <c r="H147" i="40"/>
  <c r="I141" i="37"/>
  <c r="I85" i="40" s="1"/>
  <c r="I143" i="40" s="1"/>
  <c r="I136" i="37"/>
  <c r="I66" i="40"/>
  <c r="N133" i="40"/>
  <c r="J130" i="40"/>
  <c r="F56" i="40"/>
  <c r="R56" i="40" s="1"/>
  <c r="R18" i="40"/>
  <c r="G16" i="84"/>
  <c r="I151" i="40"/>
  <c r="N19" i="64"/>
  <c r="L68" i="40"/>
  <c r="L126" i="40" s="1"/>
  <c r="L143" i="37"/>
  <c r="L87" i="40" s="1"/>
  <c r="L145" i="40" s="1"/>
  <c r="K57" i="52"/>
  <c r="J58" i="52"/>
  <c r="AM53" i="40"/>
  <c r="AL53" i="40"/>
  <c r="S20" i="41"/>
  <c r="S20" i="64"/>
  <c r="P125" i="40"/>
  <c r="N97" i="37"/>
  <c r="F84" i="40"/>
  <c r="R140" i="37"/>
  <c r="I45" i="40"/>
  <c r="I60" i="40" s="1"/>
  <c r="I22" i="40"/>
  <c r="J6" i="55" s="1"/>
  <c r="G75" i="40"/>
  <c r="G133" i="40" s="1"/>
  <c r="G150" i="37"/>
  <c r="G94" i="40" s="1"/>
  <c r="G152" i="40" s="1"/>
  <c r="L136" i="37"/>
  <c r="H152" i="40"/>
  <c r="Q145" i="37"/>
  <c r="Q89" i="40" s="1"/>
  <c r="Q147" i="40" s="1"/>
  <c r="Q70" i="40"/>
  <c r="Q128" i="40" s="1"/>
  <c r="R202" i="37"/>
  <c r="M134" i="40"/>
  <c r="F92" i="40"/>
  <c r="H97" i="37"/>
  <c r="H7" i="40"/>
  <c r="K128" i="40"/>
  <c r="U23" i="64"/>
  <c r="K27" i="55"/>
  <c r="J32" i="48"/>
  <c r="J29" i="48" s="1"/>
  <c r="R78" i="40"/>
  <c r="J97" i="37"/>
  <c r="Q150" i="40"/>
  <c r="N126" i="40"/>
  <c r="N152" i="40"/>
  <c r="O33" i="48"/>
  <c r="P30" i="55"/>
  <c r="J149" i="40"/>
  <c r="R93" i="37"/>
  <c r="J15" i="84"/>
  <c r="L123" i="40"/>
  <c r="H123" i="40"/>
  <c r="F15" i="84"/>
  <c r="S25" i="64"/>
  <c r="S26" i="64"/>
  <c r="T23" i="64"/>
  <c r="N72" i="40"/>
  <c r="N130" i="40" s="1"/>
  <c r="N147" i="37"/>
  <c r="N91" i="40" s="1"/>
  <c r="N149" i="40" s="1"/>
  <c r="L16" i="84"/>
  <c r="N151" i="40"/>
  <c r="Q149" i="40"/>
  <c r="R192" i="37"/>
  <c r="F207" i="37"/>
  <c r="F214" i="37" s="1"/>
  <c r="R51" i="39"/>
  <c r="R49" i="39" s="1"/>
  <c r="P69" i="52"/>
  <c r="M26" i="64"/>
  <c r="M25" i="64"/>
  <c r="AR99" i="41"/>
  <c r="AQ99" i="41"/>
  <c r="W71" i="41"/>
  <c r="AM39" i="40"/>
  <c r="AL39" i="40"/>
  <c r="AM38" i="40"/>
  <c r="AL38" i="40"/>
  <c r="R110" i="40"/>
  <c r="F51" i="40"/>
  <c r="R51" i="40" s="1"/>
  <c r="R13" i="40"/>
  <c r="J6" i="48"/>
  <c r="N56" i="39"/>
  <c r="N51" i="39"/>
  <c r="N49" i="39" s="1"/>
  <c r="L69" i="52"/>
  <c r="F147" i="37"/>
  <c r="R128" i="37"/>
  <c r="F72" i="40"/>
  <c r="P33" i="48"/>
  <c r="Q30" i="55"/>
  <c r="J54" i="52"/>
  <c r="K53" i="52"/>
  <c r="J146" i="40"/>
  <c r="O134" i="40"/>
  <c r="L18" i="55"/>
  <c r="K215" i="37"/>
  <c r="K220" i="37" s="1"/>
  <c r="O124" i="40"/>
  <c r="D16" i="84"/>
  <c r="F151" i="40"/>
  <c r="R112" i="40"/>
  <c r="J60" i="40"/>
  <c r="Q26" i="64"/>
  <c r="Q25" i="64"/>
  <c r="P22" i="40"/>
  <c r="Q6" i="55" s="1"/>
  <c r="P45" i="40"/>
  <c r="P60" i="40" s="1"/>
  <c r="R199" i="37"/>
  <c r="G143" i="37"/>
  <c r="G87" i="40" s="1"/>
  <c r="G145" i="40" s="1"/>
  <c r="G68" i="40"/>
  <c r="G126" i="40" s="1"/>
  <c r="M145" i="40"/>
  <c r="I129" i="40"/>
  <c r="O143" i="40"/>
  <c r="I33" i="48"/>
  <c r="J30" i="55"/>
  <c r="R83" i="37"/>
  <c r="R97" i="37" s="1"/>
  <c r="F8" i="40"/>
  <c r="R92" i="37"/>
  <c r="F17" i="40"/>
  <c r="J131" i="40"/>
  <c r="O136" i="37"/>
  <c r="H151" i="40"/>
  <c r="F16" i="84"/>
  <c r="K126" i="40"/>
  <c r="N131" i="40"/>
  <c r="H145" i="40"/>
  <c r="L20" i="41"/>
  <c r="L20" i="64"/>
  <c r="G127" i="40"/>
  <c r="K131" i="40"/>
  <c r="N150" i="40"/>
  <c r="S43" i="82"/>
  <c r="G47" i="82"/>
  <c r="F144" i="37"/>
  <c r="R125" i="37"/>
  <c r="F69" i="40"/>
  <c r="H134" i="40"/>
  <c r="R132" i="37"/>
  <c r="F151" i="37"/>
  <c r="F76" i="40"/>
  <c r="R193" i="37"/>
  <c r="AM40" i="40"/>
  <c r="AL40" i="40"/>
  <c r="O15" i="84"/>
  <c r="Q123" i="40"/>
  <c r="H15" i="84"/>
  <c r="J123" i="40"/>
  <c r="L130" i="40"/>
  <c r="R89" i="37"/>
  <c r="O131" i="40"/>
  <c r="L125" i="40"/>
  <c r="M129" i="40"/>
  <c r="H207" i="37"/>
  <c r="H214" i="37" s="1"/>
  <c r="I18" i="56"/>
  <c r="Q8" i="40"/>
  <c r="Q97" i="37"/>
  <c r="P144" i="37"/>
  <c r="P88" i="40" s="1"/>
  <c r="P146" i="40" s="1"/>
  <c r="P69" i="40"/>
  <c r="P127" i="40" s="1"/>
  <c r="R105" i="40"/>
  <c r="R106" i="40"/>
  <c r="L149" i="40"/>
  <c r="K33" i="48"/>
  <c r="L30" i="55"/>
  <c r="L151" i="40"/>
  <c r="J16" i="84"/>
  <c r="O150" i="40"/>
  <c r="F97" i="40"/>
  <c r="R153" i="37"/>
  <c r="H51" i="39"/>
  <c r="K51" i="39"/>
  <c r="K49" i="39" s="1"/>
  <c r="E69" i="52"/>
  <c r="J51" i="39"/>
  <c r="J49" i="39" s="1"/>
  <c r="I51" i="39"/>
  <c r="G18" i="56"/>
  <c r="L154" i="37"/>
  <c r="L98" i="40" s="1"/>
  <c r="L79" i="40"/>
  <c r="K141" i="37"/>
  <c r="K136" i="37"/>
  <c r="K66" i="40"/>
  <c r="N127" i="40"/>
  <c r="O142" i="40"/>
  <c r="H124" i="40"/>
  <c r="N79" i="40"/>
  <c r="N154" i="37"/>
  <c r="N98" i="40" s="1"/>
  <c r="N148" i="40"/>
  <c r="S23" i="64"/>
  <c r="P56" i="39"/>
  <c r="P144" i="40"/>
  <c r="Q56" i="39"/>
  <c r="M128" i="40"/>
  <c r="G16" i="55"/>
  <c r="J69" i="52"/>
  <c r="L51" i="39"/>
  <c r="L49" i="39" s="1"/>
  <c r="I98" i="37"/>
  <c r="I219" i="37"/>
  <c r="N5" i="62"/>
  <c r="O125" i="40"/>
  <c r="H133" i="40"/>
  <c r="M130" i="40"/>
  <c r="O149" i="40"/>
  <c r="M136" i="37"/>
  <c r="M66" i="40"/>
  <c r="M141" i="37"/>
  <c r="M153" i="40"/>
  <c r="Q125" i="40"/>
  <c r="H73" i="40"/>
  <c r="H131" i="40" s="1"/>
  <c r="H148" i="37"/>
  <c r="H92" i="40" s="1"/>
  <c r="H150" i="40" s="1"/>
  <c r="K26" i="64"/>
  <c r="W47" i="41"/>
  <c r="K25" i="64"/>
  <c r="K147" i="40"/>
  <c r="M19" i="64"/>
  <c r="O146" i="40"/>
  <c r="R134" i="37"/>
  <c r="F128" i="40"/>
  <c r="N145" i="40"/>
  <c r="J142" i="40"/>
  <c r="J99" i="40"/>
  <c r="J132" i="40"/>
  <c r="I130" i="40"/>
  <c r="K15" i="84"/>
  <c r="M123" i="40"/>
  <c r="L98" i="37"/>
  <c r="Q5" i="62"/>
  <c r="V23" i="64"/>
  <c r="M51" i="39"/>
  <c r="M49" i="39" s="1"/>
  <c r="K69" i="52"/>
  <c r="J16" i="55"/>
  <c r="H142" i="37"/>
  <c r="H86" i="40" s="1"/>
  <c r="H144" i="40" s="1"/>
  <c r="H67" i="40"/>
  <c r="H125" i="40" s="1"/>
  <c r="L19" i="64"/>
  <c r="F57" i="40"/>
  <c r="R57" i="40" s="1"/>
  <c r="R19" i="40"/>
  <c r="M23" i="64"/>
  <c r="O6" i="48"/>
  <c r="I77" i="40"/>
  <c r="I152" i="37"/>
  <c r="I96" i="40" s="1"/>
  <c r="M33" i="48"/>
  <c r="N30" i="55"/>
  <c r="G33" i="48"/>
  <c r="H30" i="55"/>
  <c r="O150" i="37"/>
  <c r="O94" i="40" s="1"/>
  <c r="O152" i="40" s="1"/>
  <c r="O75" i="40"/>
  <c r="O133" i="40" s="1"/>
  <c r="F143" i="37"/>
  <c r="R124" i="37"/>
  <c r="F68" i="40"/>
  <c r="Q142" i="40"/>
  <c r="G151" i="37"/>
  <c r="G95" i="40" s="1"/>
  <c r="G153" i="40" s="1"/>
  <c r="G76" i="40"/>
  <c r="G134" i="40" s="1"/>
  <c r="W41" i="41"/>
  <c r="K19" i="64"/>
  <c r="G15" i="84"/>
  <c r="I123" i="40"/>
  <c r="W27" i="64"/>
  <c r="Z27" i="64" s="1"/>
  <c r="W22" i="64"/>
  <c r="Z22" i="64" s="1"/>
  <c r="W13" i="64"/>
  <c r="Z13" i="64" s="1"/>
  <c r="W12" i="64"/>
  <c r="Z12" i="64" s="1"/>
  <c r="W15" i="64"/>
  <c r="Z15" i="64" s="1"/>
  <c r="W11" i="64"/>
  <c r="Z11" i="64" s="1"/>
  <c r="W8" i="64"/>
  <c r="Z8" i="64" s="1"/>
  <c r="W9" i="64"/>
  <c r="Z9" i="64" s="1"/>
  <c r="W17" i="64"/>
  <c r="Z17" i="64" s="1"/>
  <c r="W16" i="64"/>
  <c r="Z16" i="64" s="1"/>
  <c r="W21" i="64"/>
  <c r="Z21" i="64" s="1"/>
  <c r="W24" i="64"/>
  <c r="Z24" i="64" s="1"/>
  <c r="W10" i="64"/>
  <c r="Z10" i="64" s="1"/>
  <c r="W14" i="64"/>
  <c r="Z14" i="64" s="1"/>
  <c r="W7" i="64"/>
  <c r="L148" i="40"/>
  <c r="L129" i="40"/>
  <c r="M60" i="40"/>
  <c r="N84" i="40"/>
  <c r="T25" i="64"/>
  <c r="T26" i="64"/>
  <c r="F154" i="37"/>
  <c r="F79" i="40"/>
  <c r="R135" i="37"/>
  <c r="O69" i="52"/>
  <c r="Q51" i="39"/>
  <c r="Q49" i="39" s="1"/>
  <c r="I126" i="40"/>
  <c r="Q66" i="40"/>
  <c r="Q136" i="37"/>
  <c r="Q141" i="37"/>
  <c r="L151" i="37"/>
  <c r="L95" i="40" s="1"/>
  <c r="L153" i="40" s="1"/>
  <c r="L76" i="40"/>
  <c r="L134" i="40" s="1"/>
  <c r="AM163" i="40"/>
  <c r="AL163" i="40"/>
  <c r="G151" i="40"/>
  <c r="E16" i="84"/>
  <c r="N67" i="40"/>
  <c r="N125" i="40" s="1"/>
  <c r="N142" i="37"/>
  <c r="N86" i="40" s="1"/>
  <c r="N144" i="40" s="1"/>
  <c r="R114" i="40"/>
  <c r="Q148" i="40"/>
  <c r="Q129" i="40"/>
  <c r="O98" i="37"/>
  <c r="T5" i="62"/>
  <c r="M6" i="48"/>
  <c r="M27" i="55"/>
  <c r="L32" i="48"/>
  <c r="L29" i="48" s="1"/>
  <c r="O51" i="39"/>
  <c r="O49" i="39" s="1"/>
  <c r="M69" i="52"/>
  <c r="I84" i="40"/>
  <c r="Q33" i="48"/>
  <c r="R30" i="55"/>
  <c r="M215" i="37"/>
  <c r="K23" i="64"/>
  <c r="W45" i="41"/>
  <c r="I133" i="40"/>
  <c r="H84" i="40"/>
  <c r="K145" i="40"/>
  <c r="J150" i="37"/>
  <c r="J94" i="40" s="1"/>
  <c r="J152" i="40" s="1"/>
  <c r="J75" i="40"/>
  <c r="J133" i="40" s="1"/>
  <c r="P98" i="37"/>
  <c r="U5" i="62"/>
  <c r="P151" i="37"/>
  <c r="P95" i="40" s="1"/>
  <c r="P153" i="40" s="1"/>
  <c r="P76" i="40"/>
  <c r="P134" i="40" s="1"/>
  <c r="P51" i="39"/>
  <c r="P49" i="39" s="1"/>
  <c r="N69" i="52"/>
  <c r="N33" i="48"/>
  <c r="O30" i="55"/>
  <c r="L207" i="37"/>
  <c r="L214" i="37" s="1"/>
  <c r="H49" i="39"/>
  <c r="H56" i="39"/>
  <c r="T50" i="39"/>
  <c r="I152" i="40"/>
  <c r="U20" i="64"/>
  <c r="U20" i="41"/>
  <c r="G144" i="40"/>
  <c r="N15" i="84"/>
  <c r="P123" i="40"/>
  <c r="E15" i="84"/>
  <c r="G123" i="40"/>
  <c r="J125" i="40"/>
  <c r="N16" i="84"/>
  <c r="P151" i="40"/>
  <c r="N20" i="64"/>
  <c r="N20" i="41"/>
  <c r="O148" i="40"/>
  <c r="O129" i="40"/>
  <c r="R113" i="40"/>
  <c r="T19" i="64"/>
  <c r="H153" i="40"/>
  <c r="I49" i="39"/>
  <c r="I56" i="39"/>
  <c r="Q151" i="37"/>
  <c r="Q95" i="40" s="1"/>
  <c r="Q153" i="40" s="1"/>
  <c r="Q76" i="40"/>
  <c r="Q134" i="40" s="1"/>
  <c r="P142" i="40"/>
  <c r="J144" i="40"/>
  <c r="J153" i="40"/>
  <c r="F52" i="40"/>
  <c r="R52" i="40" s="1"/>
  <c r="R14" i="40"/>
  <c r="F142" i="37"/>
  <c r="F67" i="40"/>
  <c r="R123" i="37"/>
  <c r="K132" i="40"/>
  <c r="G32" i="85"/>
  <c r="P149" i="40"/>
  <c r="AL16" i="40"/>
  <c r="AM16" i="40"/>
  <c r="H16" i="84"/>
  <c r="J151" i="40"/>
  <c r="R107" i="40"/>
  <c r="I154" i="37"/>
  <c r="I98" i="40" s="1"/>
  <c r="I79" i="40"/>
  <c r="K49" i="52"/>
  <c r="J50" i="52"/>
  <c r="L143" i="40"/>
  <c r="F19" i="48"/>
  <c r="L26" i="64"/>
  <c r="L25" i="64"/>
  <c r="F131" i="40"/>
  <c r="F148" i="40"/>
  <c r="R90" i="40"/>
  <c r="H128" i="40"/>
  <c r="R104" i="40"/>
  <c r="M142" i="40"/>
  <c r="N136" i="37"/>
  <c r="U25" i="64"/>
  <c r="U26" i="64"/>
  <c r="O16" i="84"/>
  <c r="Q151" i="40"/>
  <c r="K16" i="84"/>
  <c r="M151" i="40"/>
  <c r="P143" i="37"/>
  <c r="P87" i="40" s="1"/>
  <c r="P145" i="40" s="1"/>
  <c r="P68" i="40"/>
  <c r="P126" i="40" s="1"/>
  <c r="J145" i="40"/>
  <c r="N25" i="64"/>
  <c r="N26" i="64"/>
  <c r="G141" i="37"/>
  <c r="G85" i="40" s="1"/>
  <c r="G143" i="40" s="1"/>
  <c r="G66" i="40"/>
  <c r="G136" i="37"/>
  <c r="AL169" i="40"/>
  <c r="AM169" i="40"/>
  <c r="Q152" i="40"/>
  <c r="N146" i="40"/>
  <c r="H143" i="40"/>
  <c r="K8" i="40"/>
  <c r="K97" i="37"/>
  <c r="L45" i="40"/>
  <c r="L60" i="40" s="1"/>
  <c r="L22" i="40"/>
  <c r="M6" i="55" s="1"/>
  <c r="M147" i="40"/>
  <c r="V19" i="64"/>
  <c r="R117" i="37"/>
  <c r="L50" i="82"/>
  <c r="L52" i="82"/>
  <c r="L53" i="82" s="1"/>
  <c r="I128" i="40"/>
  <c r="H33" i="48"/>
  <c r="I30" i="55"/>
  <c r="O144" i="40"/>
  <c r="K134" i="40"/>
  <c r="M149" i="40"/>
  <c r="O130" i="40"/>
  <c r="F58" i="40"/>
  <c r="R58" i="40" s="1"/>
  <c r="R20" i="40"/>
  <c r="Q144" i="40"/>
  <c r="R21" i="40"/>
  <c r="F59" i="40"/>
  <c r="R59" i="40" s="1"/>
  <c r="K20" i="64"/>
  <c r="W42" i="41"/>
  <c r="K20" i="41"/>
  <c r="U19" i="64"/>
  <c r="F129" i="40"/>
  <c r="H127" i="40"/>
  <c r="O127" i="40"/>
  <c r="R126" i="37"/>
  <c r="O60" i="40"/>
  <c r="J155" i="37"/>
  <c r="F33" i="48"/>
  <c r="S31" i="55"/>
  <c r="G30" i="55"/>
  <c r="G130" i="40"/>
  <c r="I149" i="40"/>
  <c r="M15" i="84"/>
  <c r="O123" i="40"/>
  <c r="M23" i="41" l="1"/>
  <c r="R33" i="48"/>
  <c r="M25" i="41"/>
  <c r="S33" i="48"/>
  <c r="S53" i="48"/>
  <c r="F49" i="56"/>
  <c r="U47" i="56"/>
  <c r="N42" i="39"/>
  <c r="P26" i="39"/>
  <c r="O29" i="39"/>
  <c r="O28" i="39" s="1"/>
  <c r="O39" i="39" s="1"/>
  <c r="O25" i="39"/>
  <c r="O38" i="39" s="1"/>
  <c r="O42" i="39" s="1"/>
  <c r="L16" i="56"/>
  <c r="L18" i="56"/>
  <c r="K20" i="48" s="1"/>
  <c r="Q154" i="40"/>
  <c r="I137" i="40"/>
  <c r="Q137" i="40"/>
  <c r="M156" i="40"/>
  <c r="H137" i="40"/>
  <c r="AM54" i="40"/>
  <c r="AM111" i="40"/>
  <c r="J135" i="40"/>
  <c r="I156" i="40"/>
  <c r="K137" i="40"/>
  <c r="L155" i="40"/>
  <c r="L136" i="40"/>
  <c r="N156" i="40"/>
  <c r="N137" i="40"/>
  <c r="P156" i="40"/>
  <c r="N154" i="40"/>
  <c r="G154" i="40"/>
  <c r="P135" i="40"/>
  <c r="I154" i="40"/>
  <c r="I135" i="40"/>
  <c r="G156" i="40"/>
  <c r="L154" i="40"/>
  <c r="R150" i="64"/>
  <c r="AM52" i="40"/>
  <c r="AL52" i="40"/>
  <c r="M224" i="37"/>
  <c r="M41" i="40"/>
  <c r="N10" i="55"/>
  <c r="F55" i="40"/>
  <c r="R55" i="40" s="1"/>
  <c r="R17" i="40"/>
  <c r="R155" i="64"/>
  <c r="R158" i="64"/>
  <c r="N215" i="37"/>
  <c r="F147" i="40"/>
  <c r="R147" i="40" s="1"/>
  <c r="R89" i="40"/>
  <c r="D52" i="48"/>
  <c r="E53" i="55"/>
  <c r="D55" i="48" s="1"/>
  <c r="AL59" i="40"/>
  <c r="AM59" i="40"/>
  <c r="R145" i="37"/>
  <c r="H17" i="84"/>
  <c r="J155" i="40"/>
  <c r="J157" i="40" s="1"/>
  <c r="K11" i="56" s="1"/>
  <c r="K9" i="56" s="1"/>
  <c r="Q32" i="48"/>
  <c r="Q29" i="48" s="1"/>
  <c r="R27" i="55"/>
  <c r="N106" i="64"/>
  <c r="F85" i="40"/>
  <c r="R141" i="37"/>
  <c r="G45" i="40"/>
  <c r="G22" i="40"/>
  <c r="H6" i="55" s="1"/>
  <c r="O27" i="55"/>
  <c r="N32" i="48"/>
  <c r="N29" i="48" s="1"/>
  <c r="W25" i="64"/>
  <c r="Z25" i="64" s="1"/>
  <c r="AR47" i="41"/>
  <c r="AQ47" i="41"/>
  <c r="W26" i="64"/>
  <c r="Z26" i="64" s="1"/>
  <c r="F46" i="40"/>
  <c r="R8" i="40"/>
  <c r="R126" i="64"/>
  <c r="G136" i="40"/>
  <c r="R18" i="64"/>
  <c r="R6" i="64" s="1"/>
  <c r="R18" i="41"/>
  <c r="N21" i="55" s="1"/>
  <c r="R27" i="41"/>
  <c r="F22" i="40"/>
  <c r="M42" i="64"/>
  <c r="M49" i="41"/>
  <c r="AM20" i="40"/>
  <c r="AL20" i="40"/>
  <c r="I142" i="40"/>
  <c r="I99" i="40"/>
  <c r="Q98" i="64"/>
  <c r="Q156" i="64"/>
  <c r="Q164" i="64"/>
  <c r="S47" i="82"/>
  <c r="G49" i="82"/>
  <c r="R75" i="64"/>
  <c r="AL74" i="40"/>
  <c r="AM74" i="40"/>
  <c r="AM11" i="40"/>
  <c r="AL11" i="40"/>
  <c r="O18" i="41"/>
  <c r="K21" i="55" s="1"/>
  <c r="O18" i="64"/>
  <c r="O6" i="64" s="1"/>
  <c r="O27" i="41"/>
  <c r="AL104" i="40"/>
  <c r="AM104" i="40"/>
  <c r="P57" i="39"/>
  <c r="N68" i="52"/>
  <c r="F137" i="40"/>
  <c r="R79" i="40"/>
  <c r="I18" i="48"/>
  <c r="Q166" i="64"/>
  <c r="I18" i="55"/>
  <c r="H215" i="37"/>
  <c r="H220" i="37" s="1"/>
  <c r="AL49" i="40"/>
  <c r="AM49" i="40"/>
  <c r="I17" i="84"/>
  <c r="K136" i="40"/>
  <c r="K155" i="40"/>
  <c r="Q138" i="64"/>
  <c r="AR71" i="41"/>
  <c r="AQ71" i="41"/>
  <c r="I6" i="48"/>
  <c r="R163" i="64"/>
  <c r="AL47" i="40"/>
  <c r="AM47" i="40"/>
  <c r="H18" i="55"/>
  <c r="G20" i="48" s="1"/>
  <c r="G215" i="37"/>
  <c r="G220" i="37" s="1"/>
  <c r="R152" i="37"/>
  <c r="F96" i="40"/>
  <c r="K135" i="40"/>
  <c r="AM108" i="40"/>
  <c r="AL108" i="40"/>
  <c r="G99" i="40"/>
  <c r="G142" i="40"/>
  <c r="L17" i="84"/>
  <c r="N136" i="40"/>
  <c r="N17" i="84"/>
  <c r="P155" i="40"/>
  <c r="P136" i="40"/>
  <c r="R129" i="40"/>
  <c r="AM90" i="40"/>
  <c r="AL90" i="40"/>
  <c r="Q124" i="40"/>
  <c r="Q80" i="40"/>
  <c r="R77" i="64"/>
  <c r="R77" i="40"/>
  <c r="F135" i="40"/>
  <c r="O154" i="40"/>
  <c r="G155" i="37"/>
  <c r="I55" i="39"/>
  <c r="Q99" i="64"/>
  <c r="R92" i="40"/>
  <c r="F150" i="40"/>
  <c r="R150" i="40" s="1"/>
  <c r="I124" i="40"/>
  <c r="I80" i="40"/>
  <c r="L80" i="40"/>
  <c r="R76" i="64"/>
  <c r="R135" i="64"/>
  <c r="R99" i="64"/>
  <c r="R141" i="64"/>
  <c r="R91" i="64"/>
  <c r="R166" i="64"/>
  <c r="R143" i="64"/>
  <c r="N80" i="40"/>
  <c r="P15" i="84"/>
  <c r="R15" i="84" s="1"/>
  <c r="M18" i="64"/>
  <c r="M6" i="64" s="1"/>
  <c r="M18" i="41"/>
  <c r="I21" i="55" s="1"/>
  <c r="M27" i="41"/>
  <c r="M21" i="41"/>
  <c r="M45" i="64"/>
  <c r="O17" i="84"/>
  <c r="Q155" i="40"/>
  <c r="Q136" i="40"/>
  <c r="O47" i="64"/>
  <c r="O23" i="41"/>
  <c r="R73" i="40"/>
  <c r="AM107" i="40"/>
  <c r="AL107" i="40"/>
  <c r="F125" i="40"/>
  <c r="R125" i="40" s="1"/>
  <c r="R67" i="40"/>
  <c r="W23" i="64"/>
  <c r="Z23" i="64" s="1"/>
  <c r="AR45" i="41"/>
  <c r="AQ45" i="41"/>
  <c r="Q115" i="64"/>
  <c r="Q97" i="64"/>
  <c r="Q155" i="64"/>
  <c r="Q125" i="64"/>
  <c r="H154" i="40"/>
  <c r="O99" i="40"/>
  <c r="F95" i="40"/>
  <c r="R151" i="37"/>
  <c r="T50" i="64"/>
  <c r="T46" i="64"/>
  <c r="T48" i="64"/>
  <c r="T73" i="64"/>
  <c r="T44" i="64"/>
  <c r="T39" i="64"/>
  <c r="T41" i="64"/>
  <c r="T31" i="64"/>
  <c r="T67" i="41"/>
  <c r="O137" i="37"/>
  <c r="T40" i="64"/>
  <c r="T37" i="64"/>
  <c r="T65" i="41"/>
  <c r="T69" i="41"/>
  <c r="T33" i="64"/>
  <c r="T35" i="64"/>
  <c r="T38" i="64"/>
  <c r="T6" i="62"/>
  <c r="T107" i="64" s="1"/>
  <c r="T32" i="64"/>
  <c r="T36" i="64"/>
  <c r="T63" i="41"/>
  <c r="T30" i="64"/>
  <c r="T34" i="64"/>
  <c r="T62" i="41"/>
  <c r="T18" i="41" s="1"/>
  <c r="P21" i="55" s="1"/>
  <c r="J224" i="37"/>
  <c r="J41" i="40"/>
  <c r="K10" i="55"/>
  <c r="K54" i="52"/>
  <c r="L53" i="52"/>
  <c r="O103" i="64"/>
  <c r="O99" i="64"/>
  <c r="O95" i="64"/>
  <c r="O168" i="64"/>
  <c r="O167" i="64"/>
  <c r="O166" i="64"/>
  <c r="O165" i="64"/>
  <c r="O138" i="64"/>
  <c r="O131" i="64"/>
  <c r="O124" i="64"/>
  <c r="O101" i="64"/>
  <c r="O155" i="64"/>
  <c r="O135" i="64"/>
  <c r="O115" i="64"/>
  <c r="O87" i="64"/>
  <c r="O154" i="64"/>
  <c r="O153" i="64"/>
  <c r="O134" i="64"/>
  <c r="O133" i="64"/>
  <c r="O93" i="64"/>
  <c r="O86" i="64"/>
  <c r="O152" i="64"/>
  <c r="O151" i="64"/>
  <c r="O161" i="64"/>
  <c r="O156" i="64"/>
  <c r="O147" i="64"/>
  <c r="O142" i="64"/>
  <c r="O85" i="64"/>
  <c r="O84" i="64"/>
  <c r="O125" i="64"/>
  <c r="O169" i="64"/>
  <c r="O157" i="64"/>
  <c r="O148" i="64"/>
  <c r="O143" i="64"/>
  <c r="O100" i="64"/>
  <c r="O130" i="64"/>
  <c r="O82" i="64"/>
  <c r="O96" i="64"/>
  <c r="O90" i="64"/>
  <c r="O79" i="64"/>
  <c r="O160" i="64"/>
  <c r="J219" i="37"/>
  <c r="J221" i="37" s="1"/>
  <c r="J223" i="37" s="1"/>
  <c r="O163" i="64"/>
  <c r="O159" i="64"/>
  <c r="O132" i="64"/>
  <c r="O136" i="64"/>
  <c r="J98" i="37"/>
  <c r="O149" i="64"/>
  <c r="O145" i="64"/>
  <c r="O111" i="64"/>
  <c r="O97" i="64"/>
  <c r="O91" i="64"/>
  <c r="O158" i="64"/>
  <c r="O77" i="64"/>
  <c r="O126" i="64"/>
  <c r="O94" i="64"/>
  <c r="O89" i="64"/>
  <c r="O164" i="64"/>
  <c r="O146" i="64"/>
  <c r="O140" i="64"/>
  <c r="O123" i="64"/>
  <c r="O121" i="64"/>
  <c r="O139" i="64"/>
  <c r="O76" i="64"/>
  <c r="O120" i="64"/>
  <c r="O127" i="64"/>
  <c r="O119" i="64"/>
  <c r="O162" i="64"/>
  <c r="O141" i="64"/>
  <c r="O81" i="64"/>
  <c r="O150" i="64"/>
  <c r="O92" i="64"/>
  <c r="O144" i="64"/>
  <c r="O122" i="64"/>
  <c r="O78" i="64"/>
  <c r="O170" i="64"/>
  <c r="O98" i="64"/>
  <c r="O137" i="64"/>
  <c r="O129" i="64"/>
  <c r="O128" i="64"/>
  <c r="O5" i="62"/>
  <c r="O113" i="64"/>
  <c r="O116" i="64"/>
  <c r="O117" i="64"/>
  <c r="O114" i="64"/>
  <c r="O112" i="64"/>
  <c r="O83" i="64"/>
  <c r="O75" i="64"/>
  <c r="O80" i="64"/>
  <c r="O118" i="64"/>
  <c r="O102" i="64"/>
  <c r="R148" i="37"/>
  <c r="F155" i="37"/>
  <c r="K141" i="64" s="1"/>
  <c r="N48" i="64"/>
  <c r="N44" i="64"/>
  <c r="N40" i="64"/>
  <c r="N73" i="64"/>
  <c r="N67" i="41"/>
  <c r="N50" i="64"/>
  <c r="I137" i="37"/>
  <c r="N41" i="64"/>
  <c r="N46" i="64"/>
  <c r="N39" i="64"/>
  <c r="N30" i="64"/>
  <c r="N65" i="41"/>
  <c r="N33" i="64"/>
  <c r="N63" i="41"/>
  <c r="N31" i="64"/>
  <c r="N6" i="62"/>
  <c r="N107" i="64" s="1"/>
  <c r="N34" i="64"/>
  <c r="N37" i="64"/>
  <c r="N38" i="64"/>
  <c r="N35" i="64"/>
  <c r="N32" i="64"/>
  <c r="N69" i="41"/>
  <c r="N36" i="64"/>
  <c r="N62" i="41"/>
  <c r="R114" i="64"/>
  <c r="R168" i="64"/>
  <c r="R140" i="64"/>
  <c r="R146" i="64"/>
  <c r="R101" i="64"/>
  <c r="R147" i="64"/>
  <c r="M135" i="40"/>
  <c r="J137" i="40"/>
  <c r="N18" i="64"/>
  <c r="N6" i="64" s="1"/>
  <c r="N18" i="41"/>
  <c r="J21" i="55" s="1"/>
  <c r="N27" i="41"/>
  <c r="P85" i="40"/>
  <c r="P155" i="37"/>
  <c r="K106" i="64"/>
  <c r="K93" i="64"/>
  <c r="K152" i="64"/>
  <c r="K164" i="64"/>
  <c r="K137" i="64"/>
  <c r="K121" i="64"/>
  <c r="AL10" i="40"/>
  <c r="AM10" i="40"/>
  <c r="F17" i="84"/>
  <c r="H136" i="40"/>
  <c r="G17" i="84"/>
  <c r="I136" i="40"/>
  <c r="O43" i="64"/>
  <c r="O19" i="41"/>
  <c r="AM57" i="40"/>
  <c r="AL57" i="40"/>
  <c r="R50" i="64"/>
  <c r="R48" i="64"/>
  <c r="R73" i="64"/>
  <c r="R67" i="41"/>
  <c r="R46" i="64"/>
  <c r="R41" i="64"/>
  <c r="R44" i="64"/>
  <c r="R35" i="64"/>
  <c r="R40" i="64"/>
  <c r="R30" i="64"/>
  <c r="R36" i="64"/>
  <c r="M137" i="37"/>
  <c r="R39" i="64"/>
  <c r="R34" i="64"/>
  <c r="R69" i="41"/>
  <c r="R6" i="62"/>
  <c r="R107" i="64" s="1"/>
  <c r="R31" i="64"/>
  <c r="R32" i="64"/>
  <c r="R33" i="64"/>
  <c r="R38" i="64"/>
  <c r="R63" i="41"/>
  <c r="R37" i="64"/>
  <c r="R65" i="41"/>
  <c r="R62" i="41"/>
  <c r="R102" i="64"/>
  <c r="K124" i="40"/>
  <c r="K80" i="40"/>
  <c r="R87" i="64"/>
  <c r="F124" i="40"/>
  <c r="R66" i="40"/>
  <c r="F80" i="40"/>
  <c r="G18" i="48"/>
  <c r="O42" i="64"/>
  <c r="O49" i="41"/>
  <c r="U106" i="64"/>
  <c r="Q24" i="55"/>
  <c r="T51" i="39"/>
  <c r="T49" i="39" s="1"/>
  <c r="R69" i="40"/>
  <c r="F127" i="40"/>
  <c r="R127" i="40" s="1"/>
  <c r="F130" i="40"/>
  <c r="R130" i="40" s="1"/>
  <c r="R72" i="40"/>
  <c r="N224" i="37"/>
  <c r="N41" i="40"/>
  <c r="O10" i="55"/>
  <c r="R125" i="64"/>
  <c r="R95" i="64"/>
  <c r="R165" i="64"/>
  <c r="R148" i="64"/>
  <c r="H18" i="48"/>
  <c r="O61" i="64"/>
  <c r="O59" i="64"/>
  <c r="O56" i="64"/>
  <c r="O57" i="64"/>
  <c r="O55" i="64"/>
  <c r="O67" i="64"/>
  <c r="O63" i="64"/>
  <c r="O71" i="64"/>
  <c r="O54" i="64"/>
  <c r="O123" i="41"/>
  <c r="O70" i="64" s="1"/>
  <c r="O60" i="64"/>
  <c r="O62" i="64"/>
  <c r="O69" i="64"/>
  <c r="O64" i="64"/>
  <c r="J156" i="37"/>
  <c r="O7" i="62"/>
  <c r="O121" i="41"/>
  <c r="O119" i="41"/>
  <c r="O125" i="41"/>
  <c r="O72" i="64" s="1"/>
  <c r="O118" i="41"/>
  <c r="O141" i="41"/>
  <c r="O106" i="41"/>
  <c r="S73" i="64"/>
  <c r="S50" i="64"/>
  <c r="S46" i="64"/>
  <c r="S48" i="64"/>
  <c r="S44" i="64"/>
  <c r="S33" i="64"/>
  <c r="S67" i="41"/>
  <c r="S41" i="64"/>
  <c r="S36" i="64"/>
  <c r="S31" i="64"/>
  <c r="S35" i="64"/>
  <c r="S40" i="64"/>
  <c r="S39" i="64"/>
  <c r="N137" i="37"/>
  <c r="S32" i="64"/>
  <c r="S30" i="64"/>
  <c r="S34" i="64"/>
  <c r="S37" i="64"/>
  <c r="S65" i="41"/>
  <c r="S69" i="41"/>
  <c r="S38" i="64"/>
  <c r="S6" i="62"/>
  <c r="S107" i="64" s="1"/>
  <c r="S63" i="41"/>
  <c r="S62" i="41"/>
  <c r="L57" i="39"/>
  <c r="L55" i="39" s="1"/>
  <c r="J68" i="52"/>
  <c r="K85" i="40"/>
  <c r="K155" i="37"/>
  <c r="V147" i="64"/>
  <c r="V143" i="64"/>
  <c r="V84" i="64"/>
  <c r="V145" i="64"/>
  <c r="V168" i="64"/>
  <c r="V162" i="64"/>
  <c r="V121" i="64"/>
  <c r="V103" i="64"/>
  <c r="V129" i="64"/>
  <c r="V89" i="64"/>
  <c r="V82" i="64"/>
  <c r="V157" i="64"/>
  <c r="Q98" i="37"/>
  <c r="V81" i="64"/>
  <c r="V5" i="62"/>
  <c r="V117" i="64"/>
  <c r="V102" i="64"/>
  <c r="N6" i="48"/>
  <c r="L18" i="64"/>
  <c r="L6" i="64" s="1"/>
  <c r="L27" i="41"/>
  <c r="Q57" i="39"/>
  <c r="Q55" i="39" s="1"/>
  <c r="O68" i="52"/>
  <c r="K7" i="56"/>
  <c r="K5" i="56" s="1"/>
  <c r="O111" i="41"/>
  <c r="O58" i="64" s="1"/>
  <c r="F18" i="48"/>
  <c r="Q46" i="40"/>
  <c r="Q60" i="40" s="1"/>
  <c r="Q22" i="40"/>
  <c r="R6" i="55" s="1"/>
  <c r="R144" i="37"/>
  <c r="F88" i="40"/>
  <c r="O137" i="40"/>
  <c r="O138" i="40" s="1"/>
  <c r="R147" i="37"/>
  <c r="F91" i="40"/>
  <c r="J136" i="40"/>
  <c r="Q39" i="64"/>
  <c r="Q50" i="64"/>
  <c r="Q48" i="64"/>
  <c r="Q67" i="41"/>
  <c r="Q40" i="64"/>
  <c r="Q44" i="64"/>
  <c r="Q46" i="64"/>
  <c r="Q73" i="64"/>
  <c r="Q37" i="64"/>
  <c r="Q41" i="64"/>
  <c r="L137" i="37"/>
  <c r="Q36" i="64"/>
  <c r="Q6" i="62"/>
  <c r="Q107" i="64" s="1"/>
  <c r="Q65" i="41"/>
  <c r="Q63" i="41"/>
  <c r="Q30" i="64"/>
  <c r="Q38" i="64"/>
  <c r="Q33" i="64"/>
  <c r="Q35" i="64"/>
  <c r="Q32" i="64"/>
  <c r="Q69" i="41"/>
  <c r="Q31" i="64"/>
  <c r="Q34" i="64"/>
  <c r="Q62" i="41"/>
  <c r="Q18" i="41" s="1"/>
  <c r="M21" i="55" s="1"/>
  <c r="O45" i="64"/>
  <c r="O21" i="41"/>
  <c r="Q117" i="64"/>
  <c r="Q89" i="64"/>
  <c r="P224" i="37"/>
  <c r="Q10" i="55"/>
  <c r="P41" i="40"/>
  <c r="O32" i="48"/>
  <c r="O29" i="48" s="1"/>
  <c r="P27" i="55"/>
  <c r="O155" i="37"/>
  <c r="Q85" i="40"/>
  <c r="Q155" i="37"/>
  <c r="Q129" i="64"/>
  <c r="Q80" i="64"/>
  <c r="L156" i="40"/>
  <c r="I32" i="48"/>
  <c r="I29" i="48" s="1"/>
  <c r="J27" i="55"/>
  <c r="P6" i="48"/>
  <c r="F94" i="40"/>
  <c r="F152" i="40" s="1"/>
  <c r="R152" i="40" s="1"/>
  <c r="R150" i="37"/>
  <c r="R119" i="64"/>
  <c r="R115" i="64"/>
  <c r="R7" i="40"/>
  <c r="K50" i="52"/>
  <c r="L49" i="52"/>
  <c r="AL113" i="40"/>
  <c r="AM113" i="40"/>
  <c r="H142" i="40"/>
  <c r="H99" i="40"/>
  <c r="V41" i="64"/>
  <c r="V73" i="64"/>
  <c r="V46" i="64"/>
  <c r="V44" i="64"/>
  <c r="V48" i="64"/>
  <c r="V39" i="64"/>
  <c r="V40" i="64"/>
  <c r="Q137" i="37"/>
  <c r="V38" i="64"/>
  <c r="V67" i="41"/>
  <c r="V50" i="64"/>
  <c r="V32" i="64"/>
  <c r="V63" i="41"/>
  <c r="V37" i="64"/>
  <c r="V31" i="64"/>
  <c r="V65" i="41"/>
  <c r="V21" i="41" s="1"/>
  <c r="V34" i="64"/>
  <c r="V36" i="64"/>
  <c r="V6" i="62"/>
  <c r="V107" i="64" s="1"/>
  <c r="V30" i="64"/>
  <c r="V35" i="64"/>
  <c r="V69" i="41"/>
  <c r="V33" i="64"/>
  <c r="V62" i="41"/>
  <c r="Q75" i="64"/>
  <c r="R128" i="40"/>
  <c r="H80" i="40"/>
  <c r="R133" i="40"/>
  <c r="R159" i="64"/>
  <c r="R152" i="64"/>
  <c r="E27" i="48"/>
  <c r="U27" i="48" s="1"/>
  <c r="F32" i="55"/>
  <c r="U32" i="55" s="1"/>
  <c r="F62" i="55"/>
  <c r="F58" i="55"/>
  <c r="J18" i="55"/>
  <c r="I20" i="48" s="1"/>
  <c r="I215" i="37"/>
  <c r="I220" i="37" s="1"/>
  <c r="I221" i="37" s="1"/>
  <c r="I223" i="37" s="1"/>
  <c r="F87" i="40"/>
  <c r="R143" i="37"/>
  <c r="K68" i="52"/>
  <c r="M57" i="39"/>
  <c r="M55" i="39" s="1"/>
  <c r="Q120" i="64"/>
  <c r="Q86" i="64"/>
  <c r="R70" i="40"/>
  <c r="L27" i="55"/>
  <c r="K32" i="48"/>
  <c r="K29" i="48" s="1"/>
  <c r="H219" i="37"/>
  <c r="H98" i="37"/>
  <c r="M5" i="62"/>
  <c r="R132" i="64"/>
  <c r="R116" i="64"/>
  <c r="R162" i="64"/>
  <c r="AM103" i="40"/>
  <c r="AL103" i="40"/>
  <c r="S57" i="39"/>
  <c r="S55" i="39" s="1"/>
  <c r="Q68" i="52"/>
  <c r="R118" i="40"/>
  <c r="R148" i="40"/>
  <c r="AM114" i="40"/>
  <c r="AL114" i="40"/>
  <c r="Q113" i="64"/>
  <c r="Q167" i="64"/>
  <c r="Q162" i="64"/>
  <c r="F32" i="48"/>
  <c r="S30" i="55"/>
  <c r="G27" i="55"/>
  <c r="W20" i="41"/>
  <c r="L41" i="64"/>
  <c r="L39" i="64"/>
  <c r="L46" i="64"/>
  <c r="L67" i="41"/>
  <c r="L73" i="64"/>
  <c r="L40" i="64"/>
  <c r="L33" i="64"/>
  <c r="L50" i="64"/>
  <c r="L30" i="64"/>
  <c r="L32" i="64"/>
  <c r="G137" i="37"/>
  <c r="L34" i="64"/>
  <c r="L48" i="64"/>
  <c r="L44" i="64"/>
  <c r="L69" i="41"/>
  <c r="L63" i="41"/>
  <c r="L36" i="64"/>
  <c r="L31" i="64"/>
  <c r="L37" i="64"/>
  <c r="L6" i="62"/>
  <c r="L107" i="64" s="1"/>
  <c r="L35" i="64"/>
  <c r="L65" i="41"/>
  <c r="L38" i="64"/>
  <c r="L62" i="41"/>
  <c r="L18" i="41" s="1"/>
  <c r="R131" i="40"/>
  <c r="R142" i="37"/>
  <c r="F86" i="40"/>
  <c r="N99" i="40"/>
  <c r="N142" i="40"/>
  <c r="W19" i="64"/>
  <c r="Z19" i="64" s="1"/>
  <c r="AQ41" i="41"/>
  <c r="AR41" i="41"/>
  <c r="G32" i="48"/>
  <c r="G29" i="48" s="1"/>
  <c r="H27" i="55"/>
  <c r="Q111" i="64"/>
  <c r="Q114" i="64"/>
  <c r="Q134" i="64"/>
  <c r="Q103" i="64"/>
  <c r="Q160" i="64"/>
  <c r="M85" i="40"/>
  <c r="M155" i="37"/>
  <c r="AM106" i="40"/>
  <c r="AL106" i="40"/>
  <c r="AM112" i="40"/>
  <c r="AL112" i="40"/>
  <c r="R84" i="40"/>
  <c r="F99" i="40"/>
  <c r="F142" i="40"/>
  <c r="R122" i="64"/>
  <c r="R127" i="64"/>
  <c r="R128" i="64"/>
  <c r="R157" i="64"/>
  <c r="L142" i="40"/>
  <c r="L99" i="40"/>
  <c r="T18" i="64"/>
  <c r="T6" i="64" s="1"/>
  <c r="T27" i="41"/>
  <c r="P80" i="40"/>
  <c r="P124" i="40"/>
  <c r="K112" i="64"/>
  <c r="K111" i="64"/>
  <c r="K155" i="64"/>
  <c r="K130" i="64"/>
  <c r="K123" i="64"/>
  <c r="K157" i="64"/>
  <c r="AM48" i="40"/>
  <c r="AL48" i="40"/>
  <c r="K17" i="84"/>
  <c r="M136" i="40"/>
  <c r="M155" i="40"/>
  <c r="R117" i="40"/>
  <c r="L6" i="48"/>
  <c r="M32" i="48"/>
  <c r="M29" i="48" s="1"/>
  <c r="N27" i="55"/>
  <c r="P55" i="39"/>
  <c r="P16" i="84"/>
  <c r="R16" i="84" s="1"/>
  <c r="AM51" i="40"/>
  <c r="AL51" i="40"/>
  <c r="R80" i="64"/>
  <c r="R130" i="64"/>
  <c r="K55" i="39"/>
  <c r="G50" i="40"/>
  <c r="R50" i="40" s="1"/>
  <c r="R12" i="40"/>
  <c r="V18" i="64"/>
  <c r="V6" i="64" s="1"/>
  <c r="V18" i="41"/>
  <c r="R21" i="55" s="1"/>
  <c r="V27" i="41"/>
  <c r="L224" i="37"/>
  <c r="L41" i="40"/>
  <c r="M10" i="55"/>
  <c r="P39" i="64"/>
  <c r="K137" i="37"/>
  <c r="P48" i="64"/>
  <c r="P40" i="64"/>
  <c r="P67" i="41"/>
  <c r="P44" i="64"/>
  <c r="P46" i="64"/>
  <c r="P73" i="64"/>
  <c r="P41" i="64"/>
  <c r="P50" i="64"/>
  <c r="P36" i="64"/>
  <c r="P65" i="41"/>
  <c r="P37" i="64"/>
  <c r="P38" i="64"/>
  <c r="P35" i="64"/>
  <c r="P30" i="64"/>
  <c r="P31" i="64"/>
  <c r="P6" i="62"/>
  <c r="P107" i="64" s="1"/>
  <c r="P69" i="41"/>
  <c r="P34" i="64"/>
  <c r="P33" i="64"/>
  <c r="P63" i="41"/>
  <c r="P32" i="64"/>
  <c r="P62" i="41"/>
  <c r="P18" i="41" s="1"/>
  <c r="L21" i="55" s="1"/>
  <c r="AL110" i="40"/>
  <c r="AM110" i="40"/>
  <c r="R117" i="64"/>
  <c r="R161" i="64"/>
  <c r="R89" i="64"/>
  <c r="L167" i="64"/>
  <c r="L100" i="64"/>
  <c r="L96" i="64"/>
  <c r="L120" i="64"/>
  <c r="L97" i="64"/>
  <c r="L95" i="64"/>
  <c r="L132" i="64"/>
  <c r="L123" i="64"/>
  <c r="L152" i="64"/>
  <c r="L89" i="64"/>
  <c r="L86" i="64"/>
  <c r="L155" i="64"/>
  <c r="G219" i="37"/>
  <c r="L161" i="64"/>
  <c r="L84" i="64"/>
  <c r="L154" i="64"/>
  <c r="L147" i="64"/>
  <c r="L90" i="64"/>
  <c r="L135" i="64"/>
  <c r="G98" i="37"/>
  <c r="L91" i="64"/>
  <c r="L87" i="64"/>
  <c r="L85" i="64"/>
  <c r="L5" i="62"/>
  <c r="L77" i="64"/>
  <c r="L75" i="64"/>
  <c r="L116" i="64"/>
  <c r="W40" i="41"/>
  <c r="K18" i="64"/>
  <c r="K6" i="64" s="1"/>
  <c r="K27" i="41"/>
  <c r="E52" i="55"/>
  <c r="D54" i="48" s="1"/>
  <c r="D51" i="48"/>
  <c r="R115" i="40"/>
  <c r="AM21" i="40"/>
  <c r="AL21" i="40"/>
  <c r="P157" i="64"/>
  <c r="P153" i="64"/>
  <c r="P149" i="64"/>
  <c r="P145" i="64"/>
  <c r="P141" i="64"/>
  <c r="P137" i="64"/>
  <c r="P133" i="64"/>
  <c r="P129" i="64"/>
  <c r="P144" i="64"/>
  <c r="P94" i="64"/>
  <c r="P90" i="64"/>
  <c r="P86" i="64"/>
  <c r="P154" i="64"/>
  <c r="P134" i="64"/>
  <c r="P93" i="64"/>
  <c r="P152" i="64"/>
  <c r="P166" i="64"/>
  <c r="P148" i="64"/>
  <c r="P143" i="64"/>
  <c r="P100" i="64"/>
  <c r="P162" i="64"/>
  <c r="P138" i="64"/>
  <c r="P126" i="64"/>
  <c r="P89" i="64"/>
  <c r="P160" i="64"/>
  <c r="P155" i="64"/>
  <c r="K219" i="37"/>
  <c r="K221" i="37" s="1"/>
  <c r="K223" i="37" s="1"/>
  <c r="P163" i="64"/>
  <c r="P128" i="64"/>
  <c r="P136" i="64"/>
  <c r="P84" i="64"/>
  <c r="K98" i="37"/>
  <c r="P97" i="64"/>
  <c r="P91" i="64"/>
  <c r="P95" i="64"/>
  <c r="P164" i="64"/>
  <c r="P146" i="64"/>
  <c r="P140" i="64"/>
  <c r="P131" i="64"/>
  <c r="P123" i="64"/>
  <c r="P120" i="64"/>
  <c r="P135" i="64"/>
  <c r="P127" i="64"/>
  <c r="P159" i="64"/>
  <c r="P142" i="64"/>
  <c r="P116" i="64"/>
  <c r="P92" i="64"/>
  <c r="P81" i="64"/>
  <c r="P98" i="64"/>
  <c r="P79" i="64"/>
  <c r="P78" i="64"/>
  <c r="P119" i="64"/>
  <c r="P118" i="64"/>
  <c r="P83" i="64"/>
  <c r="P117" i="64"/>
  <c r="P114" i="64"/>
  <c r="P5" i="62"/>
  <c r="P113" i="64"/>
  <c r="P112" i="64"/>
  <c r="P102" i="64"/>
  <c r="L215" i="37"/>
  <c r="O80" i="40"/>
  <c r="AM18" i="40"/>
  <c r="AL18" i="40"/>
  <c r="R118" i="64"/>
  <c r="R145" i="64"/>
  <c r="R149" i="64"/>
  <c r="J228" i="37"/>
  <c r="K7" i="55"/>
  <c r="O49" i="64"/>
  <c r="O29" i="64" s="1"/>
  <c r="O25" i="41"/>
  <c r="O41" i="40"/>
  <c r="P10" i="55"/>
  <c r="O224" i="37"/>
  <c r="K46" i="40"/>
  <c r="K60" i="40" s="1"/>
  <c r="K22" i="40"/>
  <c r="L6" i="55" s="1"/>
  <c r="R97" i="40"/>
  <c r="F155" i="40"/>
  <c r="G155" i="40"/>
  <c r="P68" i="52"/>
  <c r="R57" i="39"/>
  <c r="R55" i="39" s="1"/>
  <c r="AM56" i="40"/>
  <c r="AL56" i="40"/>
  <c r="Z7" i="64"/>
  <c r="Q159" i="64"/>
  <c r="Q128" i="64"/>
  <c r="Q131" i="64"/>
  <c r="L137" i="40"/>
  <c r="L68" i="52"/>
  <c r="N57" i="39"/>
  <c r="N55" i="39" s="1"/>
  <c r="AL58" i="40"/>
  <c r="AM58" i="40"/>
  <c r="I155" i="37"/>
  <c r="R68" i="40"/>
  <c r="F126" i="40"/>
  <c r="R126" i="40" s="1"/>
  <c r="Q106" i="64"/>
  <c r="M24" i="55"/>
  <c r="Q135" i="64"/>
  <c r="Q150" i="64"/>
  <c r="G18" i="55"/>
  <c r="F215" i="37"/>
  <c r="F220" i="37" s="1"/>
  <c r="AM9" i="40"/>
  <c r="AL9" i="40"/>
  <c r="R132" i="40"/>
  <c r="P18" i="64"/>
  <c r="P6" i="64" s="1"/>
  <c r="P27" i="41"/>
  <c r="O57" i="39"/>
  <c r="O55" i="39" s="1"/>
  <c r="M68" i="52"/>
  <c r="R154" i="37"/>
  <c r="F98" i="40"/>
  <c r="R207" i="37"/>
  <c r="R214" i="37" s="1"/>
  <c r="R215" i="37" s="1"/>
  <c r="H22" i="40"/>
  <c r="I6" i="55" s="1"/>
  <c r="H45" i="40"/>
  <c r="H60" i="40" s="1"/>
  <c r="L57" i="52"/>
  <c r="K58" i="52"/>
  <c r="R106" i="64"/>
  <c r="R123" i="40"/>
  <c r="Q18" i="64"/>
  <c r="Q6" i="64" s="1"/>
  <c r="Q27" i="41"/>
  <c r="H155" i="37"/>
  <c r="M162" i="64" s="1"/>
  <c r="Q77" i="64"/>
  <c r="I224" i="37"/>
  <c r="J10" i="55"/>
  <c r="I41" i="40"/>
  <c r="R113" i="64"/>
  <c r="R164" i="64"/>
  <c r="R90" i="64"/>
  <c r="R136" i="64"/>
  <c r="S18" i="64"/>
  <c r="S6" i="64" s="1"/>
  <c r="S27" i="41"/>
  <c r="M17" i="84"/>
  <c r="O155" i="40"/>
  <c r="R116" i="40"/>
  <c r="D17" i="84"/>
  <c r="T106" i="64"/>
  <c r="P24" i="55"/>
  <c r="Q121" i="64"/>
  <c r="Q154" i="64"/>
  <c r="Q132" i="64"/>
  <c r="R76" i="40"/>
  <c r="F134" i="40"/>
  <c r="R134" i="40" s="1"/>
  <c r="W20" i="64"/>
  <c r="Z20" i="64" s="1"/>
  <c r="AQ42" i="41"/>
  <c r="AR42" i="41"/>
  <c r="H32" i="48"/>
  <c r="H29" i="48" s="1"/>
  <c r="I27" i="55"/>
  <c r="G124" i="40"/>
  <c r="G80" i="40"/>
  <c r="AM14" i="40"/>
  <c r="AL14" i="40"/>
  <c r="T56" i="39"/>
  <c r="N155" i="37"/>
  <c r="AM19" i="40"/>
  <c r="AL19" i="40"/>
  <c r="Q116" i="64"/>
  <c r="Q81" i="64"/>
  <c r="Q94" i="64"/>
  <c r="Q161" i="64"/>
  <c r="Q90" i="64"/>
  <c r="Q169" i="64"/>
  <c r="M19" i="41"/>
  <c r="M124" i="40"/>
  <c r="M80" i="40"/>
  <c r="H57" i="39"/>
  <c r="H55" i="39" s="1"/>
  <c r="K57" i="39"/>
  <c r="I57" i="39"/>
  <c r="J57" i="39"/>
  <c r="J55" i="39" s="1"/>
  <c r="E68" i="52"/>
  <c r="AM105" i="40"/>
  <c r="AL105" i="40"/>
  <c r="R151" i="40"/>
  <c r="P32" i="48"/>
  <c r="P29" i="48" s="1"/>
  <c r="Q27" i="55"/>
  <c r="AM13" i="40"/>
  <c r="AL13" i="40"/>
  <c r="AM78" i="40"/>
  <c r="AL78" i="40"/>
  <c r="S164" i="64"/>
  <c r="S160" i="64"/>
  <c r="S156" i="64"/>
  <c r="S152" i="64"/>
  <c r="S148" i="64"/>
  <c r="S140" i="64"/>
  <c r="S136" i="64"/>
  <c r="S132" i="64"/>
  <c r="S128" i="64"/>
  <c r="S124" i="64"/>
  <c r="S120" i="64"/>
  <c r="S163" i="64"/>
  <c r="S129" i="64"/>
  <c r="S122" i="64"/>
  <c r="S115" i="64"/>
  <c r="S99" i="64"/>
  <c r="S89" i="64"/>
  <c r="S85" i="64"/>
  <c r="S150" i="64"/>
  <c r="S149" i="64"/>
  <c r="S130" i="64"/>
  <c r="S147" i="64"/>
  <c r="S127" i="64"/>
  <c r="S91" i="64"/>
  <c r="S84" i="64"/>
  <c r="S146" i="64"/>
  <c r="S157" i="64"/>
  <c r="S101" i="64"/>
  <c r="S90" i="64"/>
  <c r="S139" i="64"/>
  <c r="S134" i="64"/>
  <c r="S167" i="64"/>
  <c r="S158" i="64"/>
  <c r="S153" i="64"/>
  <c r="S111" i="64"/>
  <c r="S92" i="64"/>
  <c r="S143" i="64"/>
  <c r="S138" i="64"/>
  <c r="S86" i="64"/>
  <c r="S141" i="64"/>
  <c r="S103" i="64"/>
  <c r="S97" i="64"/>
  <c r="S94" i="64"/>
  <c r="S125" i="64"/>
  <c r="S165" i="64"/>
  <c r="S123" i="64"/>
  <c r="S121" i="64"/>
  <c r="S76" i="64"/>
  <c r="S131" i="64"/>
  <c r="S161" i="64"/>
  <c r="S155" i="64"/>
  <c r="S137" i="64"/>
  <c r="N98" i="37"/>
  <c r="S159" i="64"/>
  <c r="S142" i="64"/>
  <c r="S100" i="64"/>
  <c r="S96" i="64"/>
  <c r="S154" i="64"/>
  <c r="S170" i="64"/>
  <c r="S162" i="64"/>
  <c r="S117" i="64"/>
  <c r="S87" i="64"/>
  <c r="S135" i="64"/>
  <c r="S114" i="64"/>
  <c r="S169" i="64"/>
  <c r="S98" i="64"/>
  <c r="S145" i="64"/>
  <c r="S75" i="64"/>
  <c r="S95" i="64"/>
  <c r="S168" i="64"/>
  <c r="S82" i="64"/>
  <c r="S5" i="62"/>
  <c r="S83" i="64"/>
  <c r="S79" i="64"/>
  <c r="S119" i="64"/>
  <c r="S113" i="64"/>
  <c r="S80" i="64"/>
  <c r="S116" i="64"/>
  <c r="S81" i="64"/>
  <c r="S77" i="64"/>
  <c r="S112" i="64"/>
  <c r="S102" i="64"/>
  <c r="R82" i="64"/>
  <c r="R137" i="64"/>
  <c r="R156" i="64"/>
  <c r="R153" i="64"/>
  <c r="R86" i="64"/>
  <c r="R129" i="64"/>
  <c r="R98" i="64"/>
  <c r="L155" i="37"/>
  <c r="Q126" i="64" s="1"/>
  <c r="K41" i="64"/>
  <c r="K40" i="64"/>
  <c r="K39" i="64"/>
  <c r="K38" i="64"/>
  <c r="K50" i="64"/>
  <c r="K32" i="64"/>
  <c r="K46" i="64"/>
  <c r="K35" i="64"/>
  <c r="K30" i="64"/>
  <c r="K73" i="64"/>
  <c r="K67" i="41"/>
  <c r="K44" i="64"/>
  <c r="F137" i="37"/>
  <c r="R136" i="37"/>
  <c r="K34" i="64"/>
  <c r="K48" i="64"/>
  <c r="K36" i="64"/>
  <c r="K37" i="64"/>
  <c r="K33" i="64"/>
  <c r="K6" i="62"/>
  <c r="K69" i="41"/>
  <c r="K31" i="64"/>
  <c r="K65" i="41"/>
  <c r="K63" i="41"/>
  <c r="K102" i="64"/>
  <c r="K62" i="41"/>
  <c r="K18" i="41" s="1"/>
  <c r="AM109" i="40"/>
  <c r="AL109" i="40"/>
  <c r="U18" i="64"/>
  <c r="U6" i="64" s="1"/>
  <c r="U27" i="41"/>
  <c r="U50" i="64"/>
  <c r="U48" i="64"/>
  <c r="U73" i="64"/>
  <c r="U46" i="64"/>
  <c r="U44" i="64"/>
  <c r="U39" i="64"/>
  <c r="U40" i="64"/>
  <c r="U33" i="64"/>
  <c r="P137" i="37"/>
  <c r="U37" i="64"/>
  <c r="U67" i="41"/>
  <c r="U41" i="64"/>
  <c r="U30" i="64"/>
  <c r="U34" i="64"/>
  <c r="U69" i="41"/>
  <c r="U31" i="64"/>
  <c r="U32" i="64"/>
  <c r="U38" i="64"/>
  <c r="U36" i="64"/>
  <c r="U35" i="64"/>
  <c r="U63" i="41"/>
  <c r="U6" i="62"/>
  <c r="U107" i="64" s="1"/>
  <c r="U65" i="41"/>
  <c r="U62" i="41"/>
  <c r="K116" i="64"/>
  <c r="K125" i="64"/>
  <c r="K87" i="64"/>
  <c r="K134" i="64"/>
  <c r="K132" i="64"/>
  <c r="K95" i="64"/>
  <c r="K160" i="64"/>
  <c r="T102" i="64"/>
  <c r="M126" i="64" l="1"/>
  <c r="M156" i="64"/>
  <c r="M122" i="64"/>
  <c r="M96" i="64"/>
  <c r="M117" i="64"/>
  <c r="M101" i="64"/>
  <c r="M129" i="64"/>
  <c r="M140" i="64"/>
  <c r="H230" i="37"/>
  <c r="W30" i="64"/>
  <c r="M161" i="64"/>
  <c r="H20" i="48"/>
  <c r="M149" i="64"/>
  <c r="M127" i="64"/>
  <c r="M166" i="64"/>
  <c r="M29" i="64"/>
  <c r="U49" i="56"/>
  <c r="F52" i="56"/>
  <c r="F50" i="56"/>
  <c r="U50" i="56" s="1"/>
  <c r="F221" i="37"/>
  <c r="F223" i="37" s="1"/>
  <c r="F230" i="37"/>
  <c r="K148" i="64"/>
  <c r="Q26" i="39"/>
  <c r="P29" i="39"/>
  <c r="P28" i="39" s="1"/>
  <c r="P39" i="39" s="1"/>
  <c r="P25" i="39"/>
  <c r="P38" i="39" s="1"/>
  <c r="P42" i="39" s="1"/>
  <c r="N34" i="39"/>
  <c r="L220" i="37" s="1"/>
  <c r="L222" i="37"/>
  <c r="M222" i="37"/>
  <c r="O34" i="39"/>
  <c r="K19" i="48"/>
  <c r="L16" i="55"/>
  <c r="H138" i="40"/>
  <c r="I11" i="55" s="1"/>
  <c r="I138" i="40"/>
  <c r="J11" i="55" s="1"/>
  <c r="N138" i="40"/>
  <c r="N225" i="37" s="1"/>
  <c r="N226" i="37" s="1"/>
  <c r="L157" i="40"/>
  <c r="M11" i="56" s="1"/>
  <c r="M9" i="56" s="1"/>
  <c r="G138" i="40"/>
  <c r="H11" i="55" s="1"/>
  <c r="J138" i="40"/>
  <c r="J225" i="37" s="1"/>
  <c r="J226" i="37" s="1"/>
  <c r="J227" i="37" s="1"/>
  <c r="J229" i="37" s="1"/>
  <c r="H221" i="37"/>
  <c r="H223" i="37" s="1"/>
  <c r="N157" i="40"/>
  <c r="O11" i="56" s="1"/>
  <c r="O9" i="56" s="1"/>
  <c r="Q138" i="40"/>
  <c r="Q225" i="37" s="1"/>
  <c r="L138" i="40"/>
  <c r="L225" i="37" s="1"/>
  <c r="L226" i="37" s="1"/>
  <c r="I157" i="40"/>
  <c r="J11" i="56" s="1"/>
  <c r="J9" i="56" s="1"/>
  <c r="F60" i="40"/>
  <c r="F224" i="37" s="1"/>
  <c r="F226" i="37" s="1"/>
  <c r="H157" i="40"/>
  <c r="I11" i="56" s="1"/>
  <c r="I9" i="56" s="1"/>
  <c r="R136" i="40"/>
  <c r="AL136" i="40" s="1"/>
  <c r="M138" i="40"/>
  <c r="M225" i="37" s="1"/>
  <c r="M226" i="37" s="1"/>
  <c r="O157" i="40"/>
  <c r="P11" i="56" s="1"/>
  <c r="P9" i="56" s="1"/>
  <c r="P138" i="40"/>
  <c r="P225" i="37" s="1"/>
  <c r="P226" i="37" s="1"/>
  <c r="K138" i="40"/>
  <c r="L11" i="55" s="1"/>
  <c r="G225" i="37"/>
  <c r="U49" i="64"/>
  <c r="U25" i="41"/>
  <c r="O228" i="37"/>
  <c r="P7" i="55"/>
  <c r="F57" i="55"/>
  <c r="F59" i="55"/>
  <c r="F154" i="40"/>
  <c r="R154" i="40" s="1"/>
  <c r="R96" i="40"/>
  <c r="M106" i="64"/>
  <c r="I24" i="55"/>
  <c r="AM70" i="40"/>
  <c r="AL70" i="40"/>
  <c r="V43" i="64"/>
  <c r="V19" i="41"/>
  <c r="Q23" i="55"/>
  <c r="R47" i="64"/>
  <c r="R23" i="41"/>
  <c r="AM129" i="40"/>
  <c r="AL129" i="40"/>
  <c r="R22" i="40"/>
  <c r="G6" i="55"/>
  <c r="AM89" i="40"/>
  <c r="AL89" i="40"/>
  <c r="M119" i="64"/>
  <c r="M167" i="64"/>
  <c r="M137" i="64"/>
  <c r="V62" i="64"/>
  <c r="V54" i="64"/>
  <c r="V71" i="64"/>
  <c r="V69" i="64"/>
  <c r="V63" i="64"/>
  <c r="V59" i="64"/>
  <c r="V123" i="41"/>
  <c r="V70" i="64" s="1"/>
  <c r="V61" i="64"/>
  <c r="V67" i="64"/>
  <c r="V56" i="64"/>
  <c r="V55" i="64"/>
  <c r="V57" i="64"/>
  <c r="V60" i="64"/>
  <c r="Q156" i="37"/>
  <c r="V7" i="62"/>
  <c r="V64" i="64"/>
  <c r="V121" i="41"/>
  <c r="V68" i="64" s="1"/>
  <c r="V119" i="41"/>
  <c r="V125" i="41"/>
  <c r="V72" i="64" s="1"/>
  <c r="V141" i="41"/>
  <c r="V118" i="41"/>
  <c r="V106" i="41"/>
  <c r="V76" i="64"/>
  <c r="V92" i="64"/>
  <c r="P143" i="40"/>
  <c r="P157" i="40" s="1"/>
  <c r="Q11" i="56" s="1"/>
  <c r="Q9" i="56" s="1"/>
  <c r="P99" i="40"/>
  <c r="L63" i="64"/>
  <c r="L61" i="64"/>
  <c r="L62" i="64"/>
  <c r="L60" i="64"/>
  <c r="L71" i="64"/>
  <c r="L57" i="64"/>
  <c r="G156" i="37"/>
  <c r="L55" i="64"/>
  <c r="L123" i="41"/>
  <c r="L70" i="64" s="1"/>
  <c r="L59" i="64"/>
  <c r="L56" i="64"/>
  <c r="L67" i="64"/>
  <c r="L54" i="64"/>
  <c r="L69" i="64"/>
  <c r="L64" i="64"/>
  <c r="L121" i="41"/>
  <c r="L68" i="64" s="1"/>
  <c r="L125" i="41"/>
  <c r="L72" i="64" s="1"/>
  <c r="L7" i="62"/>
  <c r="L119" i="41"/>
  <c r="L106" i="41"/>
  <c r="L141" i="41"/>
  <c r="L118" i="41"/>
  <c r="AM147" i="40"/>
  <c r="AL147" i="40"/>
  <c r="K107" i="64"/>
  <c r="W6" i="62"/>
  <c r="P23" i="55"/>
  <c r="L58" i="52"/>
  <c r="M57" i="52"/>
  <c r="J7" i="48"/>
  <c r="J5" i="48" s="1"/>
  <c r="K5" i="55"/>
  <c r="J91" i="72" s="1"/>
  <c r="L106" i="64"/>
  <c r="H24" i="55"/>
  <c r="L8" i="62"/>
  <c r="L109" i="64" s="1"/>
  <c r="AM12" i="40"/>
  <c r="AL12" i="40"/>
  <c r="M81" i="64"/>
  <c r="M157" i="64"/>
  <c r="V114" i="64"/>
  <c r="V133" i="64"/>
  <c r="V149" i="64"/>
  <c r="V134" i="64"/>
  <c r="T47" i="64"/>
  <c r="T23" i="41"/>
  <c r="U21" i="41"/>
  <c r="U45" i="64"/>
  <c r="L148" i="64"/>
  <c r="L144" i="64"/>
  <c r="L133" i="64"/>
  <c r="L131" i="64"/>
  <c r="L47" i="64"/>
  <c r="L23" i="41"/>
  <c r="M82" i="64"/>
  <c r="M159" i="64"/>
  <c r="M138" i="64"/>
  <c r="V49" i="64"/>
  <c r="V25" i="41"/>
  <c r="V47" i="64"/>
  <c r="V23" i="41"/>
  <c r="T71" i="64"/>
  <c r="T67" i="64"/>
  <c r="T63" i="64"/>
  <c r="T59" i="64"/>
  <c r="T55" i="64"/>
  <c r="T69" i="64"/>
  <c r="T54" i="64"/>
  <c r="T61" i="64"/>
  <c r="T56" i="64"/>
  <c r="O156" i="37"/>
  <c r="T62" i="64"/>
  <c r="T60" i="64"/>
  <c r="T57" i="64"/>
  <c r="T123" i="41"/>
  <c r="T70" i="64" s="1"/>
  <c r="T121" i="41"/>
  <c r="T68" i="64" s="1"/>
  <c r="T125" i="41"/>
  <c r="T72" i="64" s="1"/>
  <c r="T7" i="62"/>
  <c r="T119" i="41"/>
  <c r="T64" i="64"/>
  <c r="T106" i="41"/>
  <c r="T141" i="41"/>
  <c r="T118" i="41"/>
  <c r="T148" i="64"/>
  <c r="T134" i="64"/>
  <c r="T97" i="64"/>
  <c r="T99" i="64"/>
  <c r="T95" i="64"/>
  <c r="T111" i="64"/>
  <c r="T128" i="64"/>
  <c r="T127" i="64"/>
  <c r="T153" i="64"/>
  <c r="T131" i="64"/>
  <c r="T115" i="64"/>
  <c r="T83" i="64"/>
  <c r="T81" i="64"/>
  <c r="T91" i="64"/>
  <c r="T113" i="64"/>
  <c r="T159" i="64"/>
  <c r="T169" i="64"/>
  <c r="T92" i="64"/>
  <c r="T154" i="64"/>
  <c r="T152" i="64"/>
  <c r="T166" i="64"/>
  <c r="T77" i="64"/>
  <c r="T156" i="64"/>
  <c r="T151" i="64"/>
  <c r="T140" i="64"/>
  <c r="T145" i="64"/>
  <c r="T150" i="64"/>
  <c r="T139" i="64"/>
  <c r="T122" i="64"/>
  <c r="T79" i="64"/>
  <c r="T130" i="64"/>
  <c r="T75" i="64"/>
  <c r="T147" i="64"/>
  <c r="T167" i="64"/>
  <c r="T90" i="64"/>
  <c r="T76" i="64"/>
  <c r="T157" i="64"/>
  <c r="T116" i="64"/>
  <c r="T125" i="64"/>
  <c r="T138" i="64"/>
  <c r="T160" i="64"/>
  <c r="T144" i="64"/>
  <c r="T124" i="64"/>
  <c r="T119" i="64"/>
  <c r="T87" i="64"/>
  <c r="T133" i="64"/>
  <c r="T165" i="64"/>
  <c r="T120" i="64"/>
  <c r="T155" i="64"/>
  <c r="T98" i="64"/>
  <c r="T126" i="64"/>
  <c r="T101" i="64"/>
  <c r="T162" i="64"/>
  <c r="T103" i="64"/>
  <c r="T118" i="64"/>
  <c r="T82" i="64"/>
  <c r="T141" i="64"/>
  <c r="T129" i="64"/>
  <c r="T163" i="64"/>
  <c r="T136" i="64"/>
  <c r="T170" i="64"/>
  <c r="T143" i="64"/>
  <c r="T164" i="64"/>
  <c r="T112" i="64"/>
  <c r="T158" i="64"/>
  <c r="T96" i="64"/>
  <c r="T114" i="64"/>
  <c r="T100" i="64"/>
  <c r="T84" i="64"/>
  <c r="T161" i="64"/>
  <c r="T80" i="64"/>
  <c r="T146" i="64"/>
  <c r="T94" i="64"/>
  <c r="T137" i="64"/>
  <c r="T117" i="64"/>
  <c r="T149" i="64"/>
  <c r="T93" i="64"/>
  <c r="T86" i="64"/>
  <c r="T168" i="64"/>
  <c r="T142" i="64"/>
  <c r="T123" i="64"/>
  <c r="T89" i="64"/>
  <c r="T132" i="64"/>
  <c r="T78" i="64"/>
  <c r="T135" i="64"/>
  <c r="T121" i="64"/>
  <c r="T85" i="64"/>
  <c r="F146" i="40"/>
  <c r="R146" i="40" s="1"/>
  <c r="R88" i="40"/>
  <c r="V79" i="64"/>
  <c r="V138" i="64"/>
  <c r="V95" i="64"/>
  <c r="V159" i="64"/>
  <c r="S49" i="64"/>
  <c r="S25" i="41"/>
  <c r="O66" i="64"/>
  <c r="K20" i="56"/>
  <c r="N47" i="64"/>
  <c r="N23" i="41"/>
  <c r="O171" i="64"/>
  <c r="R155" i="40"/>
  <c r="L81" i="64"/>
  <c r="L164" i="64"/>
  <c r="L145" i="64"/>
  <c r="L140" i="64"/>
  <c r="L49" i="64"/>
  <c r="L25" i="41"/>
  <c r="M76" i="64"/>
  <c r="V130" i="64"/>
  <c r="V140" i="64"/>
  <c r="V148" i="64"/>
  <c r="S45" i="64"/>
  <c r="S21" i="41"/>
  <c r="O68" i="64"/>
  <c r="N3" i="41"/>
  <c r="N11" i="48"/>
  <c r="G60" i="40"/>
  <c r="U43" i="64"/>
  <c r="U19" i="41"/>
  <c r="I11" i="48"/>
  <c r="AL97" i="40"/>
  <c r="AM97" i="40"/>
  <c r="G21" i="55"/>
  <c r="W18" i="41"/>
  <c r="L158" i="64"/>
  <c r="P228" i="37"/>
  <c r="Q7" i="55"/>
  <c r="M141" i="64"/>
  <c r="V113" i="64"/>
  <c r="V164" i="64"/>
  <c r="R21" i="41"/>
  <c r="R45" i="64"/>
  <c r="AM125" i="40"/>
  <c r="AL125" i="40"/>
  <c r="AM79" i="40"/>
  <c r="AL79" i="40"/>
  <c r="L118" i="64"/>
  <c r="R56" i="64"/>
  <c r="R54" i="64"/>
  <c r="R62" i="64"/>
  <c r="R57" i="64"/>
  <c r="M156" i="37"/>
  <c r="R63" i="64"/>
  <c r="R69" i="64"/>
  <c r="R123" i="41"/>
  <c r="R70" i="64" s="1"/>
  <c r="R61" i="64"/>
  <c r="R59" i="64"/>
  <c r="R67" i="64"/>
  <c r="R64" i="64"/>
  <c r="R60" i="64"/>
  <c r="R71" i="64"/>
  <c r="R55" i="64"/>
  <c r="R119" i="41"/>
  <c r="R121" i="41"/>
  <c r="R68" i="64" s="1"/>
  <c r="R125" i="41"/>
  <c r="R72" i="64" s="1"/>
  <c r="R7" i="62"/>
  <c r="R118" i="41"/>
  <c r="R106" i="41"/>
  <c r="R141" i="41"/>
  <c r="M160" i="64"/>
  <c r="M49" i="52"/>
  <c r="L50" i="52"/>
  <c r="Q224" i="37"/>
  <c r="R10" i="55"/>
  <c r="Q41" i="40"/>
  <c r="H21" i="55"/>
  <c r="V80" i="64"/>
  <c r="V78" i="64"/>
  <c r="V86" i="64"/>
  <c r="V146" i="64"/>
  <c r="V93" i="64"/>
  <c r="V165" i="64"/>
  <c r="V123" i="64"/>
  <c r="P60" i="64"/>
  <c r="P56" i="64"/>
  <c r="P123" i="41"/>
  <c r="P70" i="64" s="1"/>
  <c r="P57" i="64"/>
  <c r="P55" i="64"/>
  <c r="P54" i="64"/>
  <c r="P61" i="64"/>
  <c r="P67" i="64"/>
  <c r="P62" i="64"/>
  <c r="P71" i="64"/>
  <c r="P59" i="64"/>
  <c r="P69" i="64"/>
  <c r="P63" i="64"/>
  <c r="K156" i="37"/>
  <c r="P125" i="41"/>
  <c r="P72" i="64" s="1"/>
  <c r="P121" i="41"/>
  <c r="P68" i="64" s="1"/>
  <c r="P7" i="62"/>
  <c r="P119" i="41"/>
  <c r="P64" i="64"/>
  <c r="P106" i="41"/>
  <c r="P141" i="41"/>
  <c r="P118" i="41"/>
  <c r="K20" i="55"/>
  <c r="R111" i="64"/>
  <c r="N43" i="64"/>
  <c r="N19" i="41"/>
  <c r="M53" i="52"/>
  <c r="L54" i="52"/>
  <c r="L228" i="37"/>
  <c r="M7" i="55"/>
  <c r="G157" i="40"/>
  <c r="H11" i="56" s="1"/>
  <c r="H9" i="56" s="1"/>
  <c r="R123" i="64"/>
  <c r="R137" i="40"/>
  <c r="R92" i="64"/>
  <c r="J7" i="56"/>
  <c r="J5" i="56" s="1"/>
  <c r="N111" i="41"/>
  <c r="N58" i="64" s="1"/>
  <c r="R120" i="64"/>
  <c r="R85" i="40"/>
  <c r="F143" i="40"/>
  <c r="R79" i="64"/>
  <c r="N7" i="55"/>
  <c r="M228" i="37"/>
  <c r="S71" i="64"/>
  <c r="S67" i="64"/>
  <c r="S63" i="64"/>
  <c r="S59" i="64"/>
  <c r="S55" i="64"/>
  <c r="S69" i="64"/>
  <c r="S123" i="41"/>
  <c r="S70" i="64" s="1"/>
  <c r="S61" i="64"/>
  <c r="S56" i="64"/>
  <c r="S54" i="64"/>
  <c r="N156" i="37"/>
  <c r="S62" i="64"/>
  <c r="S64" i="64"/>
  <c r="S60" i="64"/>
  <c r="S57" i="64"/>
  <c r="S125" i="41"/>
  <c r="S72" i="64" s="1"/>
  <c r="S119" i="41"/>
  <c r="S121" i="41"/>
  <c r="S68" i="64" s="1"/>
  <c r="S7" i="62"/>
  <c r="S141" i="41"/>
  <c r="S106" i="41"/>
  <c r="S118" i="41"/>
  <c r="AM123" i="40"/>
  <c r="AL123" i="40"/>
  <c r="N69" i="64"/>
  <c r="N61" i="64"/>
  <c r="N57" i="64"/>
  <c r="N62" i="64"/>
  <c r="N60" i="64"/>
  <c r="N59" i="64"/>
  <c r="N56" i="64"/>
  <c r="N63" i="64"/>
  <c r="N71" i="64"/>
  <c r="N54" i="64"/>
  <c r="N67" i="64"/>
  <c r="I156" i="37"/>
  <c r="N55" i="64"/>
  <c r="N123" i="41"/>
  <c r="N70" i="64" s="1"/>
  <c r="N125" i="41"/>
  <c r="N72" i="64" s="1"/>
  <c r="N121" i="41"/>
  <c r="N68" i="64" s="1"/>
  <c r="N119" i="41"/>
  <c r="N64" i="64"/>
  <c r="N7" i="62"/>
  <c r="N118" i="41"/>
  <c r="N106" i="41"/>
  <c r="N141" i="41"/>
  <c r="N166" i="64"/>
  <c r="N115" i="64"/>
  <c r="N142" i="64"/>
  <c r="N148" i="64"/>
  <c r="N149" i="64"/>
  <c r="N146" i="64"/>
  <c r="N160" i="64"/>
  <c r="N111" i="64"/>
  <c r="N153" i="64"/>
  <c r="N130" i="64"/>
  <c r="N158" i="64"/>
  <c r="N112" i="64"/>
  <c r="N144" i="64"/>
  <c r="N118" i="64"/>
  <c r="N85" i="64"/>
  <c r="N95" i="64"/>
  <c r="N117" i="64"/>
  <c r="N84" i="64"/>
  <c r="N96" i="64"/>
  <c r="N126" i="64"/>
  <c r="N157" i="64"/>
  <c r="N162" i="64"/>
  <c r="N125" i="64"/>
  <c r="N113" i="64"/>
  <c r="N124" i="64"/>
  <c r="N164" i="64"/>
  <c r="N98" i="64"/>
  <c r="N80" i="64"/>
  <c r="N82" i="64"/>
  <c r="N155" i="64"/>
  <c r="N121" i="64"/>
  <c r="N76" i="64"/>
  <c r="N75" i="64"/>
  <c r="N114" i="64"/>
  <c r="N169" i="64"/>
  <c r="N87" i="64"/>
  <c r="N133" i="64"/>
  <c r="N143" i="64"/>
  <c r="N97" i="64"/>
  <c r="N123" i="64"/>
  <c r="N78" i="64"/>
  <c r="N116" i="64"/>
  <c r="N86" i="64"/>
  <c r="N152" i="64"/>
  <c r="N165" i="64"/>
  <c r="N131" i="64"/>
  <c r="N122" i="64"/>
  <c r="N137" i="64"/>
  <c r="N170" i="64"/>
  <c r="N90" i="64"/>
  <c r="N156" i="64"/>
  <c r="N79" i="64"/>
  <c r="N151" i="64"/>
  <c r="N81" i="64"/>
  <c r="N140" i="64"/>
  <c r="N141" i="64"/>
  <c r="N103" i="64"/>
  <c r="N161" i="64"/>
  <c r="N101" i="64"/>
  <c r="N91" i="64"/>
  <c r="N167" i="64"/>
  <c r="N135" i="64"/>
  <c r="N147" i="64"/>
  <c r="N93" i="64"/>
  <c r="N120" i="64"/>
  <c r="N83" i="64"/>
  <c r="N168" i="64"/>
  <c r="N154" i="64"/>
  <c r="N99" i="64"/>
  <c r="N138" i="64"/>
  <c r="N92" i="64"/>
  <c r="N119" i="64"/>
  <c r="N129" i="64"/>
  <c r="N77" i="64"/>
  <c r="N159" i="64"/>
  <c r="N134" i="64"/>
  <c r="N145" i="64"/>
  <c r="N132" i="64"/>
  <c r="N89" i="64"/>
  <c r="N150" i="64"/>
  <c r="N136" i="64"/>
  <c r="N163" i="64"/>
  <c r="N139" i="64"/>
  <c r="N94" i="64"/>
  <c r="N127" i="64"/>
  <c r="N100" i="64"/>
  <c r="N128" i="64"/>
  <c r="K6" i="48"/>
  <c r="P75" i="64"/>
  <c r="P85" i="64"/>
  <c r="P147" i="64"/>
  <c r="P101" i="64"/>
  <c r="P96" i="64"/>
  <c r="P169" i="64"/>
  <c r="P151" i="64"/>
  <c r="P161" i="64"/>
  <c r="L102" i="64"/>
  <c r="L80" i="64"/>
  <c r="L103" i="64"/>
  <c r="L134" i="64"/>
  <c r="L93" i="64"/>
  <c r="L162" i="64"/>
  <c r="L136" i="64"/>
  <c r="L146" i="64"/>
  <c r="P42" i="64"/>
  <c r="P49" i="41"/>
  <c r="P21" i="41"/>
  <c r="P45" i="64"/>
  <c r="R81" i="64"/>
  <c r="R112" i="64"/>
  <c r="M143" i="40"/>
  <c r="M157" i="40" s="1"/>
  <c r="N11" i="56" s="1"/>
  <c r="N9" i="56" s="1"/>
  <c r="M99" i="40"/>
  <c r="L42" i="64"/>
  <c r="L49" i="41"/>
  <c r="AQ20" i="41"/>
  <c r="AR20" i="41"/>
  <c r="AM118" i="40"/>
  <c r="AL118" i="40"/>
  <c r="M75" i="64"/>
  <c r="M144" i="64"/>
  <c r="M131" i="64"/>
  <c r="M148" i="64"/>
  <c r="M86" i="64"/>
  <c r="M135" i="64"/>
  <c r="M132" i="64"/>
  <c r="M154" i="64"/>
  <c r="AL128" i="40"/>
  <c r="AM128" i="40"/>
  <c r="Q47" i="64"/>
  <c r="Q23" i="41"/>
  <c r="R100" i="64"/>
  <c r="V83" i="64"/>
  <c r="V132" i="64"/>
  <c r="V97" i="64"/>
  <c r="V87" i="64"/>
  <c r="V94" i="64"/>
  <c r="V166" i="64"/>
  <c r="V127" i="64"/>
  <c r="K143" i="40"/>
  <c r="K157" i="40" s="1"/>
  <c r="L11" i="56" s="1"/>
  <c r="L9" i="56" s="1"/>
  <c r="K99" i="40"/>
  <c r="AL72" i="40"/>
  <c r="AM72" i="40"/>
  <c r="R43" i="64"/>
  <c r="R19" i="41"/>
  <c r="N102" i="64"/>
  <c r="Q144" i="64"/>
  <c r="I228" i="37"/>
  <c r="J7" i="55"/>
  <c r="Q112" i="64"/>
  <c r="H7" i="56"/>
  <c r="H5" i="56" s="1"/>
  <c r="L111" i="41"/>
  <c r="L58" i="64" s="1"/>
  <c r="R121" i="64"/>
  <c r="R133" i="64"/>
  <c r="AM8" i="40"/>
  <c r="AL8" i="40"/>
  <c r="R169" i="64"/>
  <c r="K42" i="64"/>
  <c r="W62" i="41"/>
  <c r="W2" i="41" s="1"/>
  <c r="K49" i="41"/>
  <c r="W73" i="64"/>
  <c r="Z73" i="64" s="1"/>
  <c r="W48" i="64"/>
  <c r="Z48" i="64" s="1"/>
  <c r="W39" i="64"/>
  <c r="Z39" i="64" s="1"/>
  <c r="W32" i="64"/>
  <c r="Z32" i="64" s="1"/>
  <c r="W50" i="64"/>
  <c r="Z50" i="64" s="1"/>
  <c r="W38" i="64"/>
  <c r="Z38" i="64" s="1"/>
  <c r="W34" i="64"/>
  <c r="Z34" i="64" s="1"/>
  <c r="W33" i="64"/>
  <c r="Z33" i="64" s="1"/>
  <c r="W44" i="64"/>
  <c r="Z44" i="64" s="1"/>
  <c r="W35" i="64"/>
  <c r="Z35" i="64" s="1"/>
  <c r="W41" i="64"/>
  <c r="Z41" i="64" s="1"/>
  <c r="W36" i="64"/>
  <c r="Z36" i="64" s="1"/>
  <c r="W46" i="64"/>
  <c r="Z46" i="64" s="1"/>
  <c r="W31" i="64"/>
  <c r="Z31" i="64" s="1"/>
  <c r="W37" i="64"/>
  <c r="Z37" i="64" s="1"/>
  <c r="W40" i="64"/>
  <c r="Z40" i="64" s="1"/>
  <c r="S78" i="64"/>
  <c r="S151" i="64"/>
  <c r="S166" i="64"/>
  <c r="S126" i="64"/>
  <c r="S133" i="64"/>
  <c r="S118" i="64"/>
  <c r="S93" i="64"/>
  <c r="S144" i="64"/>
  <c r="AM134" i="40"/>
  <c r="AL134" i="40"/>
  <c r="R151" i="64"/>
  <c r="Q170" i="64"/>
  <c r="R85" i="64"/>
  <c r="K41" i="40"/>
  <c r="K224" i="37"/>
  <c r="L10" i="55"/>
  <c r="P80" i="64"/>
  <c r="P130" i="64"/>
  <c r="P77" i="64"/>
  <c r="P103" i="64"/>
  <c r="P124" i="64"/>
  <c r="P99" i="64"/>
  <c r="P158" i="64"/>
  <c r="P165" i="64"/>
  <c r="L112" i="64"/>
  <c r="L117" i="64"/>
  <c r="L166" i="64"/>
  <c r="L149" i="64"/>
  <c r="L121" i="64"/>
  <c r="L98" i="64"/>
  <c r="L156" i="64"/>
  <c r="L153" i="64"/>
  <c r="L11" i="48"/>
  <c r="R160" i="64"/>
  <c r="S27" i="55"/>
  <c r="M118" i="64"/>
  <c r="M151" i="64"/>
  <c r="M153" i="64"/>
  <c r="M99" i="64"/>
  <c r="M155" i="64"/>
  <c r="M139" i="64"/>
  <c r="M158" i="64"/>
  <c r="Q151" i="64"/>
  <c r="AL7" i="40"/>
  <c r="AM7" i="40"/>
  <c r="Q43" i="64"/>
  <c r="Q19" i="41"/>
  <c r="R84" i="64"/>
  <c r="V112" i="64"/>
  <c r="V98" i="64"/>
  <c r="V99" i="64"/>
  <c r="V153" i="64"/>
  <c r="V120" i="64"/>
  <c r="V167" i="64"/>
  <c r="V131" i="64"/>
  <c r="AM130" i="40"/>
  <c r="AL130" i="40"/>
  <c r="F228" i="37"/>
  <c r="R80" i="40"/>
  <c r="G7" i="55"/>
  <c r="G24" i="55"/>
  <c r="N42" i="64"/>
  <c r="N49" i="41"/>
  <c r="N21" i="41"/>
  <c r="N45" i="64"/>
  <c r="K62" i="64"/>
  <c r="K54" i="64"/>
  <c r="K67" i="64"/>
  <c r="K63" i="64"/>
  <c r="K61" i="64"/>
  <c r="K56" i="64"/>
  <c r="K71" i="64"/>
  <c r="K57" i="64"/>
  <c r="F156" i="37"/>
  <c r="K55" i="64"/>
  <c r="K123" i="41"/>
  <c r="K59" i="64"/>
  <c r="K60" i="64"/>
  <c r="K69" i="64"/>
  <c r="R155" i="37"/>
  <c r="K119" i="41"/>
  <c r="K125" i="41"/>
  <c r="K64" i="64"/>
  <c r="K121" i="41"/>
  <c r="K7" i="62"/>
  <c r="K118" i="41"/>
  <c r="K141" i="41"/>
  <c r="K106" i="41"/>
  <c r="K147" i="64"/>
  <c r="K122" i="64"/>
  <c r="K128" i="64"/>
  <c r="K119" i="64"/>
  <c r="K140" i="64"/>
  <c r="K162" i="64"/>
  <c r="K166" i="64"/>
  <c r="K79" i="64"/>
  <c r="K154" i="64"/>
  <c r="K167" i="64"/>
  <c r="K96" i="64"/>
  <c r="K131" i="64"/>
  <c r="K100" i="64"/>
  <c r="K78" i="64"/>
  <c r="K115" i="64"/>
  <c r="K81" i="64"/>
  <c r="K170" i="64"/>
  <c r="K77" i="64"/>
  <c r="K124" i="64"/>
  <c r="K126" i="64"/>
  <c r="K156" i="64"/>
  <c r="K84" i="64"/>
  <c r="K127" i="64"/>
  <c r="K82" i="64"/>
  <c r="K114" i="64"/>
  <c r="K138" i="64"/>
  <c r="K145" i="64"/>
  <c r="K149" i="64"/>
  <c r="K169" i="64"/>
  <c r="K129" i="64"/>
  <c r="K168" i="64"/>
  <c r="K98" i="64"/>
  <c r="K146" i="64"/>
  <c r="K135" i="64"/>
  <c r="K143" i="64"/>
  <c r="K163" i="64"/>
  <c r="K91" i="64"/>
  <c r="K76" i="64"/>
  <c r="K89" i="64"/>
  <c r="K92" i="64"/>
  <c r="K83" i="64"/>
  <c r="K153" i="64"/>
  <c r="K90" i="64"/>
  <c r="K133" i="64"/>
  <c r="K159" i="64"/>
  <c r="K165" i="64"/>
  <c r="K136" i="64"/>
  <c r="K117" i="64"/>
  <c r="K75" i="64"/>
  <c r="K158" i="64"/>
  <c r="K85" i="64"/>
  <c r="K103" i="64"/>
  <c r="K139" i="64"/>
  <c r="K151" i="64"/>
  <c r="K150" i="64"/>
  <c r="K144" i="64"/>
  <c r="K142" i="64"/>
  <c r="K118" i="64"/>
  <c r="K120" i="64"/>
  <c r="K99" i="64"/>
  <c r="K161" i="64"/>
  <c r="K97" i="64"/>
  <c r="K80" i="64"/>
  <c r="K86" i="64"/>
  <c r="K101" i="64"/>
  <c r="K94" i="64"/>
  <c r="K113" i="64"/>
  <c r="O106" i="64"/>
  <c r="O8" i="62"/>
  <c r="O109" i="64" s="1"/>
  <c r="K24" i="55"/>
  <c r="J11" i="48"/>
  <c r="Q82" i="64"/>
  <c r="AM73" i="40"/>
  <c r="AL73" i="40"/>
  <c r="Q228" i="37"/>
  <c r="R7" i="55"/>
  <c r="R138" i="64"/>
  <c r="R139" i="64"/>
  <c r="R46" i="40"/>
  <c r="R170" i="64"/>
  <c r="AL17" i="40"/>
  <c r="AM17" i="40"/>
  <c r="W149" i="64"/>
  <c r="Z149" i="64" s="1"/>
  <c r="W131" i="64"/>
  <c r="Z131" i="64" s="1"/>
  <c r="W166" i="64"/>
  <c r="Z166" i="64" s="1"/>
  <c r="W157" i="64"/>
  <c r="Z157" i="64" s="1"/>
  <c r="K45" i="64"/>
  <c r="K29" i="64" s="1"/>
  <c r="W65" i="41"/>
  <c r="K21" i="41"/>
  <c r="G7" i="56"/>
  <c r="K111" i="41"/>
  <c r="V8" i="62"/>
  <c r="V109" i="64" s="1"/>
  <c r="V106" i="64"/>
  <c r="R24" i="55"/>
  <c r="O105" i="41"/>
  <c r="O53" i="64"/>
  <c r="K22" i="56"/>
  <c r="O6" i="41"/>
  <c r="AM115" i="40"/>
  <c r="AL115" i="40"/>
  <c r="M7" i="56"/>
  <c r="M5" i="56" s="1"/>
  <c r="Q111" i="41"/>
  <c r="Q58" i="64" s="1"/>
  <c r="F63" i="55"/>
  <c r="F61" i="55"/>
  <c r="R91" i="40"/>
  <c r="F149" i="40"/>
  <c r="R149" i="40" s="1"/>
  <c r="S43" i="64"/>
  <c r="S19" i="41"/>
  <c r="U71" i="64"/>
  <c r="U69" i="64"/>
  <c r="U63" i="64"/>
  <c r="U54" i="64"/>
  <c r="U59" i="64"/>
  <c r="U61" i="64"/>
  <c r="U67" i="64"/>
  <c r="U62" i="64"/>
  <c r="U56" i="64"/>
  <c r="U57" i="64"/>
  <c r="P156" i="37"/>
  <c r="U123" i="41"/>
  <c r="U70" i="64" s="1"/>
  <c r="U60" i="64"/>
  <c r="U55" i="64"/>
  <c r="U119" i="41"/>
  <c r="U121" i="41"/>
  <c r="U68" i="64" s="1"/>
  <c r="U7" i="62"/>
  <c r="U64" i="64"/>
  <c r="U125" i="41"/>
  <c r="U72" i="64" s="1"/>
  <c r="U141" i="41"/>
  <c r="U106" i="41"/>
  <c r="U118" i="41"/>
  <c r="U162" i="64"/>
  <c r="U166" i="64"/>
  <c r="U120" i="64"/>
  <c r="U168" i="64"/>
  <c r="U129" i="64"/>
  <c r="U130" i="64"/>
  <c r="U81" i="64"/>
  <c r="U78" i="64"/>
  <c r="U84" i="64"/>
  <c r="U144" i="64"/>
  <c r="U118" i="64"/>
  <c r="U140" i="64"/>
  <c r="U139" i="64"/>
  <c r="U149" i="64"/>
  <c r="U114" i="64"/>
  <c r="U103" i="64"/>
  <c r="U153" i="64"/>
  <c r="U147" i="64"/>
  <c r="U169" i="64"/>
  <c r="U111" i="64"/>
  <c r="U145" i="64"/>
  <c r="U148" i="64"/>
  <c r="U136" i="64"/>
  <c r="U152" i="64"/>
  <c r="U157" i="64"/>
  <c r="U82" i="64"/>
  <c r="U125" i="64"/>
  <c r="U131" i="64"/>
  <c r="U124" i="64"/>
  <c r="U101" i="64"/>
  <c r="U100" i="64"/>
  <c r="U137" i="64"/>
  <c r="U97" i="64"/>
  <c r="U167" i="64"/>
  <c r="U87" i="64"/>
  <c r="U142" i="64"/>
  <c r="U150" i="64"/>
  <c r="U155" i="64"/>
  <c r="U165" i="64"/>
  <c r="U94" i="64"/>
  <c r="U161" i="64"/>
  <c r="U89" i="64"/>
  <c r="U133" i="64"/>
  <c r="U80" i="64"/>
  <c r="U77" i="64"/>
  <c r="U159" i="64"/>
  <c r="U119" i="64"/>
  <c r="U143" i="64"/>
  <c r="U126" i="64"/>
  <c r="U135" i="64"/>
  <c r="U122" i="64"/>
  <c r="U96" i="64"/>
  <c r="U170" i="64"/>
  <c r="U115" i="64"/>
  <c r="U76" i="64"/>
  <c r="U90" i="64"/>
  <c r="U113" i="64"/>
  <c r="U75" i="64"/>
  <c r="U128" i="64"/>
  <c r="U164" i="64"/>
  <c r="U93" i="64"/>
  <c r="U151" i="64"/>
  <c r="U134" i="64"/>
  <c r="U85" i="64"/>
  <c r="U117" i="64"/>
  <c r="U112" i="64"/>
  <c r="U121" i="64"/>
  <c r="U163" i="64"/>
  <c r="U156" i="64"/>
  <c r="U132" i="64"/>
  <c r="U98" i="64"/>
  <c r="U154" i="64"/>
  <c r="U123" i="64"/>
  <c r="U79" i="64"/>
  <c r="U116" i="64"/>
  <c r="U146" i="64"/>
  <c r="U99" i="64"/>
  <c r="U83" i="64"/>
  <c r="U158" i="64"/>
  <c r="U95" i="64"/>
  <c r="U138" i="64"/>
  <c r="U127" i="64"/>
  <c r="U160" i="64"/>
  <c r="U92" i="64"/>
  <c r="U86" i="64"/>
  <c r="U91" i="64"/>
  <c r="U141" i="64"/>
  <c r="G50" i="82"/>
  <c r="S49" i="82"/>
  <c r="S50" i="82" s="1"/>
  <c r="G52" i="82"/>
  <c r="K49" i="64"/>
  <c r="W69" i="41"/>
  <c r="K25" i="41"/>
  <c r="M163" i="64"/>
  <c r="M130" i="64"/>
  <c r="V42" i="64"/>
  <c r="V29" i="64" s="1"/>
  <c r="V49" i="41"/>
  <c r="V85" i="64"/>
  <c r="V128" i="64"/>
  <c r="R49" i="64"/>
  <c r="R25" i="41"/>
  <c r="P11" i="55"/>
  <c r="O225" i="37"/>
  <c r="O226" i="37" s="1"/>
  <c r="M23" i="55"/>
  <c r="G221" i="37"/>
  <c r="G223" i="37" s="1"/>
  <c r="L115" i="64"/>
  <c r="M168" i="64"/>
  <c r="M89" i="64"/>
  <c r="M124" i="64"/>
  <c r="M134" i="64"/>
  <c r="E28" i="48"/>
  <c r="U28" i="48" s="1"/>
  <c r="E64" i="48"/>
  <c r="E60" i="48"/>
  <c r="Q143" i="40"/>
  <c r="Q157" i="40" s="1"/>
  <c r="R11" i="56" s="1"/>
  <c r="R9" i="56" s="1"/>
  <c r="Q99" i="40"/>
  <c r="Q49" i="64"/>
  <c r="Q25" i="41"/>
  <c r="V91" i="64"/>
  <c r="V155" i="64"/>
  <c r="T43" i="64"/>
  <c r="T19" i="41"/>
  <c r="U47" i="64"/>
  <c r="U23" i="41"/>
  <c r="L122" i="64"/>
  <c r="AL50" i="40"/>
  <c r="AM50" i="40"/>
  <c r="V118" i="64"/>
  <c r="V124" i="64"/>
  <c r="G6" i="48"/>
  <c r="H6" i="48"/>
  <c r="I5" i="55"/>
  <c r="H91" i="72" s="1"/>
  <c r="L111" i="64"/>
  <c r="L141" i="64"/>
  <c r="AM117" i="40"/>
  <c r="AL117" i="40"/>
  <c r="M83" i="64"/>
  <c r="M97" i="64"/>
  <c r="V111" i="64"/>
  <c r="V77" i="64"/>
  <c r="V163" i="64"/>
  <c r="L125" i="64"/>
  <c r="L150" i="64"/>
  <c r="M113" i="64"/>
  <c r="M100" i="64"/>
  <c r="M84" i="64"/>
  <c r="M123" i="64"/>
  <c r="M146" i="64"/>
  <c r="R45" i="40"/>
  <c r="R5" i="55"/>
  <c r="Q91" i="72" s="1"/>
  <c r="Q6" i="48"/>
  <c r="V150" i="64"/>
  <c r="V156" i="64"/>
  <c r="V154" i="64"/>
  <c r="V169" i="64"/>
  <c r="O108" i="64"/>
  <c r="K24" i="56"/>
  <c r="K23" i="56" s="1"/>
  <c r="AL68" i="40"/>
  <c r="AM68" i="40"/>
  <c r="P106" i="64"/>
  <c r="L24" i="55"/>
  <c r="P8" i="62"/>
  <c r="P109" i="64" s="1"/>
  <c r="L143" i="64"/>
  <c r="L165" i="64"/>
  <c r="M80" i="64"/>
  <c r="M90" i="64"/>
  <c r="M143" i="64"/>
  <c r="M125" i="64"/>
  <c r="R87" i="40"/>
  <c r="F145" i="40"/>
  <c r="R145" i="40" s="1"/>
  <c r="H228" i="37"/>
  <c r="I7" i="55"/>
  <c r="AM151" i="40"/>
  <c r="AL151" i="40"/>
  <c r="I20" i="55"/>
  <c r="AM76" i="40"/>
  <c r="AL76" i="40"/>
  <c r="Q157" i="64"/>
  <c r="R103" i="64"/>
  <c r="Q95" i="64"/>
  <c r="R144" i="64"/>
  <c r="R154" i="64"/>
  <c r="P82" i="64"/>
  <c r="P122" i="64"/>
  <c r="P139" i="64"/>
  <c r="P111" i="64"/>
  <c r="P167" i="64"/>
  <c r="P150" i="64"/>
  <c r="P121" i="64"/>
  <c r="P170" i="64"/>
  <c r="L83" i="64"/>
  <c r="L119" i="64"/>
  <c r="L76" i="64"/>
  <c r="L129" i="64"/>
  <c r="L127" i="64"/>
  <c r="L124" i="64"/>
  <c r="L137" i="64"/>
  <c r="L160" i="64"/>
  <c r="P43" i="64"/>
  <c r="P19" i="41"/>
  <c r="R83" i="64"/>
  <c r="Q152" i="64"/>
  <c r="L21" i="41"/>
  <c r="L45" i="64"/>
  <c r="M116" i="64"/>
  <c r="M78" i="64"/>
  <c r="M128" i="64"/>
  <c r="M93" i="64"/>
  <c r="M133" i="64"/>
  <c r="M94" i="64"/>
  <c r="M169" i="64"/>
  <c r="Q165" i="64"/>
  <c r="V45" i="64"/>
  <c r="R167" i="64"/>
  <c r="R134" i="64"/>
  <c r="Q21" i="41"/>
  <c r="Q45" i="64"/>
  <c r="V75" i="64"/>
  <c r="V122" i="64"/>
  <c r="V152" i="64"/>
  <c r="V158" i="64"/>
  <c r="V142" i="64"/>
  <c r="V90" i="64"/>
  <c r="V135" i="64"/>
  <c r="AL127" i="40"/>
  <c r="AM127" i="40"/>
  <c r="AM66" i="40"/>
  <c r="AL66" i="40"/>
  <c r="T49" i="64"/>
  <c r="T25" i="41"/>
  <c r="N228" i="37"/>
  <c r="O7" i="55"/>
  <c r="AM150" i="40"/>
  <c r="AL150" i="40"/>
  <c r="R97" i="64"/>
  <c r="R94" i="64"/>
  <c r="J24" i="55"/>
  <c r="AM55" i="40"/>
  <c r="AL55" i="40"/>
  <c r="K47" i="64"/>
  <c r="W67" i="41"/>
  <c r="K23" i="41"/>
  <c r="F20" i="48"/>
  <c r="Q42" i="64"/>
  <c r="Q49" i="41"/>
  <c r="S42" i="64"/>
  <c r="S49" i="41"/>
  <c r="T42" i="64"/>
  <c r="T49" i="41"/>
  <c r="S171" i="64"/>
  <c r="P49" i="64"/>
  <c r="P25" i="41"/>
  <c r="AM84" i="40"/>
  <c r="AL84" i="40"/>
  <c r="O127" i="41"/>
  <c r="O88" i="64"/>
  <c r="O74" i="64" s="1"/>
  <c r="O104" i="64" s="1"/>
  <c r="O172" i="64" s="1"/>
  <c r="F153" i="40"/>
  <c r="R153" i="40" s="1"/>
  <c r="R95" i="40"/>
  <c r="U42" i="64"/>
  <c r="U49" i="41"/>
  <c r="G228" i="37"/>
  <c r="H7" i="55"/>
  <c r="H5" i="55" s="1"/>
  <c r="G91" i="72" s="1"/>
  <c r="M69" i="64"/>
  <c r="M61" i="64"/>
  <c r="M57" i="64"/>
  <c r="M63" i="64"/>
  <c r="M62" i="64"/>
  <c r="M60" i="64"/>
  <c r="M59" i="64"/>
  <c r="M71" i="64"/>
  <c r="H156" i="37"/>
  <c r="M56" i="64"/>
  <c r="M64" i="64"/>
  <c r="M67" i="64"/>
  <c r="M55" i="64"/>
  <c r="M54" i="64"/>
  <c r="M123" i="41"/>
  <c r="M70" i="64" s="1"/>
  <c r="M125" i="41"/>
  <c r="M72" i="64" s="1"/>
  <c r="M119" i="41"/>
  <c r="M121" i="41"/>
  <c r="M68" i="64" s="1"/>
  <c r="M7" i="62"/>
  <c r="M8" i="62" s="1"/>
  <c r="M109" i="64" s="1"/>
  <c r="M106" i="41"/>
  <c r="M141" i="41"/>
  <c r="M118" i="41"/>
  <c r="M111" i="64"/>
  <c r="M98" i="64"/>
  <c r="F43" i="55"/>
  <c r="U43" i="55" s="1"/>
  <c r="E34" i="48"/>
  <c r="I7" i="56"/>
  <c r="I5" i="56" s="1"/>
  <c r="M111" i="41"/>
  <c r="M58" i="64" s="1"/>
  <c r="P11" i="48"/>
  <c r="V119" i="64"/>
  <c r="V170" i="64"/>
  <c r="V100" i="64"/>
  <c r="V151" i="64"/>
  <c r="O65" i="64"/>
  <c r="K21" i="56"/>
  <c r="J23" i="48" s="1"/>
  <c r="K228" i="37"/>
  <c r="L7" i="55"/>
  <c r="L5" i="55" s="1"/>
  <c r="K91" i="72" s="1"/>
  <c r="P7" i="56"/>
  <c r="P5" i="56" s="1"/>
  <c r="T111" i="41"/>
  <c r="T58" i="64" s="1"/>
  <c r="U102" i="64"/>
  <c r="L101" i="64"/>
  <c r="L163" i="64"/>
  <c r="L99" i="64"/>
  <c r="L138" i="64"/>
  <c r="P47" i="64"/>
  <c r="P23" i="41"/>
  <c r="M165" i="64"/>
  <c r="AL152" i="40"/>
  <c r="AM152" i="40"/>
  <c r="V101" i="64"/>
  <c r="U18" i="41"/>
  <c r="Q21" i="55" s="1"/>
  <c r="H224" i="37"/>
  <c r="H41" i="40"/>
  <c r="I10" i="55"/>
  <c r="L113" i="64"/>
  <c r="L139" i="64"/>
  <c r="L43" i="64"/>
  <c r="L19" i="41"/>
  <c r="L5" i="41" s="1"/>
  <c r="L101" i="41" s="1"/>
  <c r="M102" i="64"/>
  <c r="M103" i="64"/>
  <c r="M115" i="64"/>
  <c r="M152" i="64"/>
  <c r="M87" i="64"/>
  <c r="V126" i="64"/>
  <c r="V141" i="64"/>
  <c r="R135" i="40"/>
  <c r="L126" i="64"/>
  <c r="F144" i="40"/>
  <c r="R144" i="40" s="1"/>
  <c r="R86" i="40"/>
  <c r="M77" i="64"/>
  <c r="M120" i="64"/>
  <c r="M145" i="64"/>
  <c r="M91" i="64"/>
  <c r="M142" i="64"/>
  <c r="V136" i="64"/>
  <c r="V144" i="64"/>
  <c r="S47" i="64"/>
  <c r="S23" i="41"/>
  <c r="R42" i="64"/>
  <c r="R49" i="41"/>
  <c r="AM67" i="40"/>
  <c r="AL67" i="40"/>
  <c r="AM77" i="40"/>
  <c r="AL77" i="40"/>
  <c r="P17" i="84"/>
  <c r="R17" i="84" s="1"/>
  <c r="AL126" i="40"/>
  <c r="AM126" i="40"/>
  <c r="L114" i="64"/>
  <c r="L92" i="64"/>
  <c r="L128" i="64"/>
  <c r="L151" i="64"/>
  <c r="M79" i="64"/>
  <c r="M95" i="64"/>
  <c r="AL133" i="40"/>
  <c r="AM133" i="40"/>
  <c r="V115" i="64"/>
  <c r="S106" i="64"/>
  <c r="O24" i="55"/>
  <c r="T57" i="39"/>
  <c r="T55" i="39" s="1"/>
  <c r="AL116" i="40"/>
  <c r="AM116" i="40"/>
  <c r="F138" i="40"/>
  <c r="AM132" i="40"/>
  <c r="AL132" i="40"/>
  <c r="W18" i="64"/>
  <c r="AQ40" i="41"/>
  <c r="AR40" i="41"/>
  <c r="W27" i="41"/>
  <c r="L94" i="64"/>
  <c r="L169" i="64"/>
  <c r="L159" i="64"/>
  <c r="R93" i="64"/>
  <c r="AM131" i="40"/>
  <c r="AL131" i="40"/>
  <c r="AM148" i="40"/>
  <c r="AL148" i="40"/>
  <c r="M164" i="64"/>
  <c r="M85" i="64"/>
  <c r="M150" i="64"/>
  <c r="W63" i="41"/>
  <c r="K43" i="64"/>
  <c r="K19" i="41"/>
  <c r="K5" i="41" s="1"/>
  <c r="K101" i="41" s="1"/>
  <c r="Q60" i="64"/>
  <c r="Q56" i="64"/>
  <c r="Q123" i="41"/>
  <c r="Q70" i="64" s="1"/>
  <c r="Q57" i="64"/>
  <c r="Q55" i="64"/>
  <c r="Q54" i="64"/>
  <c r="Q67" i="64"/>
  <c r="Q62" i="64"/>
  <c r="Q69" i="64"/>
  <c r="Q61" i="64"/>
  <c r="L156" i="37"/>
  <c r="Q59" i="64"/>
  <c r="Q71" i="64"/>
  <c r="Q63" i="64"/>
  <c r="Q125" i="41"/>
  <c r="Q72" i="64" s="1"/>
  <c r="Q64" i="64"/>
  <c r="Q7" i="62"/>
  <c r="Q119" i="41"/>
  <c r="Q121" i="41"/>
  <c r="Q68" i="64" s="1"/>
  <c r="Q118" i="41"/>
  <c r="Q106" i="41"/>
  <c r="Q141" i="41"/>
  <c r="Q137" i="64"/>
  <c r="Q87" i="64"/>
  <c r="Q142" i="64"/>
  <c r="Q127" i="64"/>
  <c r="Q83" i="64"/>
  <c r="Q149" i="64"/>
  <c r="Q122" i="64"/>
  <c r="Q96" i="64"/>
  <c r="Q91" i="64"/>
  <c r="Q140" i="64"/>
  <c r="Q102" i="64"/>
  <c r="Q158" i="64"/>
  <c r="Q78" i="64"/>
  <c r="Q85" i="64"/>
  <c r="Q124" i="64"/>
  <c r="Q123" i="64"/>
  <c r="Q101" i="64"/>
  <c r="Q146" i="64"/>
  <c r="Q79" i="64"/>
  <c r="Q148" i="64"/>
  <c r="Q168" i="64"/>
  <c r="Q141" i="64"/>
  <c r="Q92" i="64"/>
  <c r="Q147" i="64"/>
  <c r="Q139" i="64"/>
  <c r="Q130" i="64"/>
  <c r="Q136" i="64"/>
  <c r="Q93" i="64"/>
  <c r="Q119" i="64"/>
  <c r="Q118" i="64"/>
  <c r="Q100" i="64"/>
  <c r="Q76" i="64"/>
  <c r="Q153" i="64"/>
  <c r="Q171" i="64" s="1"/>
  <c r="S18" i="41"/>
  <c r="O21" i="55" s="1"/>
  <c r="Q145" i="64"/>
  <c r="N24" i="55"/>
  <c r="F156" i="40"/>
  <c r="R156" i="40" s="1"/>
  <c r="R98" i="40"/>
  <c r="R78" i="64"/>
  <c r="O11" i="48"/>
  <c r="P76" i="64"/>
  <c r="P156" i="64"/>
  <c r="P115" i="64"/>
  <c r="P168" i="64"/>
  <c r="P87" i="64"/>
  <c r="P132" i="64"/>
  <c r="P125" i="64"/>
  <c r="L82" i="64"/>
  <c r="L78" i="64"/>
  <c r="L79" i="64"/>
  <c r="L168" i="64"/>
  <c r="L130" i="64"/>
  <c r="L142" i="64"/>
  <c r="L157" i="64"/>
  <c r="L170" i="64"/>
  <c r="R142" i="40"/>
  <c r="Q143" i="64"/>
  <c r="O7" i="56"/>
  <c r="O5" i="56" s="1"/>
  <c r="S111" i="41"/>
  <c r="S58" i="64" s="1"/>
  <c r="R32" i="48"/>
  <c r="F29" i="48"/>
  <c r="M114" i="64"/>
  <c r="M112" i="64"/>
  <c r="M92" i="64"/>
  <c r="M121" i="64"/>
  <c r="M147" i="64"/>
  <c r="M136" i="64"/>
  <c r="M170" i="64"/>
  <c r="Q84" i="64"/>
  <c r="R131" i="64"/>
  <c r="Q163" i="64"/>
  <c r="R96" i="64"/>
  <c r="V116" i="64"/>
  <c r="V137" i="64"/>
  <c r="V160" i="64"/>
  <c r="V96" i="64"/>
  <c r="V161" i="64"/>
  <c r="V125" i="64"/>
  <c r="V139" i="64"/>
  <c r="AM69" i="40"/>
  <c r="AL69" i="40"/>
  <c r="R124" i="40"/>
  <c r="W5" i="62"/>
  <c r="N49" i="64"/>
  <c r="N25" i="41"/>
  <c r="T45" i="64"/>
  <c r="T21" i="41"/>
  <c r="AM92" i="40"/>
  <c r="AL92" i="40"/>
  <c r="R142" i="64"/>
  <c r="R124" i="64"/>
  <c r="M11" i="48"/>
  <c r="Q133" i="64"/>
  <c r="S153" i="37" l="1"/>
  <c r="W103" i="64"/>
  <c r="Z103" i="64" s="1"/>
  <c r="I19" i="56"/>
  <c r="I56" i="56"/>
  <c r="T29" i="64"/>
  <c r="W25" i="41"/>
  <c r="AR25" i="41" s="1"/>
  <c r="R20" i="55"/>
  <c r="N29" i="64"/>
  <c r="O20" i="55"/>
  <c r="R29" i="64"/>
  <c r="L29" i="64"/>
  <c r="U29" i="64"/>
  <c r="E35" i="48"/>
  <c r="U35" i="48" s="1"/>
  <c r="U34" i="48"/>
  <c r="O52" i="64"/>
  <c r="S29" i="64"/>
  <c r="P29" i="64"/>
  <c r="F53" i="56"/>
  <c r="U52" i="56"/>
  <c r="S32" i="48"/>
  <c r="Q29" i="64"/>
  <c r="S12" i="40"/>
  <c r="S15" i="40"/>
  <c r="S11" i="40"/>
  <c r="S16" i="40"/>
  <c r="S14" i="40"/>
  <c r="S13" i="40"/>
  <c r="S10" i="40"/>
  <c r="S9" i="40"/>
  <c r="S17" i="40"/>
  <c r="S22" i="40"/>
  <c r="S8" i="40"/>
  <c r="S21" i="40"/>
  <c r="S20" i="40"/>
  <c r="S18" i="40"/>
  <c r="S19" i="40"/>
  <c r="K171" i="64"/>
  <c r="S7" i="40"/>
  <c r="W119" i="64"/>
  <c r="Z119" i="64" s="1"/>
  <c r="K11" i="55"/>
  <c r="J12" i="48" s="1"/>
  <c r="J10" i="48" s="1"/>
  <c r="H225" i="37"/>
  <c r="H226" i="37" s="1"/>
  <c r="H227" i="37" s="1"/>
  <c r="H229" i="37" s="1"/>
  <c r="O11" i="55"/>
  <c r="O9" i="55" s="1"/>
  <c r="I225" i="37"/>
  <c r="I226" i="37" s="1"/>
  <c r="I227" i="37" s="1"/>
  <c r="I229" i="37" s="1"/>
  <c r="N17" i="55"/>
  <c r="M19" i="48" s="1"/>
  <c r="N16" i="56"/>
  <c r="N16" i="55" s="1"/>
  <c r="M18" i="48" s="1"/>
  <c r="N18" i="56"/>
  <c r="N18" i="55"/>
  <c r="M220" i="37"/>
  <c r="M219" i="37"/>
  <c r="K18" i="48"/>
  <c r="M17" i="55"/>
  <c r="M16" i="56"/>
  <c r="M18" i="56"/>
  <c r="M18" i="55"/>
  <c r="L219" i="37"/>
  <c r="N222" i="37"/>
  <c r="P34" i="39"/>
  <c r="R26" i="39"/>
  <c r="Q29" i="39"/>
  <c r="Q28" i="39" s="1"/>
  <c r="Q39" i="39" s="1"/>
  <c r="Q25" i="39"/>
  <c r="Q38" i="39" s="1"/>
  <c r="Q11" i="55"/>
  <c r="Q9" i="55" s="1"/>
  <c r="N12" i="48"/>
  <c r="N10" i="48" s="1"/>
  <c r="O12" i="48"/>
  <c r="O10" i="48" s="1"/>
  <c r="N11" i="55"/>
  <c r="N9" i="55" s="1"/>
  <c r="G10" i="55"/>
  <c r="F11" i="48" s="1"/>
  <c r="I12" i="48"/>
  <c r="I10" i="48" s="1"/>
  <c r="I21" i="48" s="1"/>
  <c r="R60" i="40"/>
  <c r="F41" i="40"/>
  <c r="R11" i="55"/>
  <c r="R9" i="55" s="1"/>
  <c r="K12" i="48"/>
  <c r="AM136" i="40"/>
  <c r="K225" i="37"/>
  <c r="K226" i="37" s="1"/>
  <c r="K227" i="37" s="1"/>
  <c r="K229" i="37" s="1"/>
  <c r="M11" i="55"/>
  <c r="L12" i="48" s="1"/>
  <c r="L10" i="48" s="1"/>
  <c r="Q226" i="37"/>
  <c r="J9" i="55"/>
  <c r="J19" i="55" s="1"/>
  <c r="P9" i="55"/>
  <c r="G12" i="48"/>
  <c r="H12" i="48"/>
  <c r="L74" i="64"/>
  <c r="I7" i="48"/>
  <c r="I5" i="48" s="1"/>
  <c r="J5" i="55"/>
  <c r="I91" i="72" s="1"/>
  <c r="N171" i="64"/>
  <c r="S108" i="64"/>
  <c r="O24" i="56"/>
  <c r="O23" i="56" s="1"/>
  <c r="R143" i="40"/>
  <c r="AL88" i="40"/>
  <c r="AM88" i="40"/>
  <c r="V108" i="64"/>
  <c r="R24" i="56"/>
  <c r="R23" i="56" s="1"/>
  <c r="P20" i="55"/>
  <c r="L9" i="55"/>
  <c r="K11" i="48"/>
  <c r="AM85" i="40"/>
  <c r="AL85" i="40"/>
  <c r="P53" i="64"/>
  <c r="P6" i="41"/>
  <c r="L22" i="56"/>
  <c r="AL146" i="40"/>
  <c r="AM146" i="40"/>
  <c r="AM144" i="40"/>
  <c r="AL144" i="40"/>
  <c r="AM87" i="40"/>
  <c r="AL87" i="40"/>
  <c r="U108" i="64"/>
  <c r="Q24" i="56"/>
  <c r="U8" i="62"/>
  <c r="U109" i="64" s="1"/>
  <c r="K58" i="64"/>
  <c r="M20" i="55"/>
  <c r="N7" i="56"/>
  <c r="N5" i="56" s="1"/>
  <c r="R111" i="41"/>
  <c r="R58" i="64" s="1"/>
  <c r="S66" i="64"/>
  <c r="O20" i="56"/>
  <c r="N53" i="52"/>
  <c r="M54" i="52"/>
  <c r="N57" i="52"/>
  <c r="M58" i="52"/>
  <c r="J20" i="55"/>
  <c r="P66" i="64"/>
  <c r="L20" i="56"/>
  <c r="L88" i="64"/>
  <c r="L127" i="41"/>
  <c r="AM22" i="40"/>
  <c r="AL22" i="40"/>
  <c r="AL142" i="40"/>
  <c r="AM142" i="40"/>
  <c r="Q88" i="64"/>
  <c r="Q74" i="64" s="1"/>
  <c r="Q104" i="64" s="1"/>
  <c r="Q172" i="64" s="1"/>
  <c r="Q127" i="41"/>
  <c r="Q157" i="41" s="1"/>
  <c r="W43" i="64"/>
  <c r="Z43" i="64" s="1"/>
  <c r="AR63" i="41"/>
  <c r="AQ63" i="41"/>
  <c r="S8" i="62"/>
  <c r="S109" i="64" s="1"/>
  <c r="M53" i="64"/>
  <c r="M105" i="41"/>
  <c r="M6" i="41"/>
  <c r="I22" i="56"/>
  <c r="N7" i="48"/>
  <c r="N5" i="48" s="1"/>
  <c r="O5" i="55"/>
  <c r="N91" i="72" s="1"/>
  <c r="Q20" i="56"/>
  <c r="U66" i="64"/>
  <c r="G5" i="56"/>
  <c r="W106" i="41"/>
  <c r="K105" i="41"/>
  <c r="K53" i="64"/>
  <c r="G22" i="56"/>
  <c r="K70" i="64"/>
  <c r="W123" i="41"/>
  <c r="N20" i="55"/>
  <c r="P108" i="64"/>
  <c r="L24" i="56"/>
  <c r="L23" i="56" s="1"/>
  <c r="N49" i="52"/>
  <c r="M50" i="52"/>
  <c r="Q20" i="55"/>
  <c r="K15" i="56"/>
  <c r="K14" i="56" s="1"/>
  <c r="K25" i="56" s="1"/>
  <c r="L105" i="41"/>
  <c r="H22" i="56"/>
  <c r="G24" i="48" s="1"/>
  <c r="L53" i="64"/>
  <c r="L171" i="64"/>
  <c r="R7" i="56"/>
  <c r="R5" i="56" s="1"/>
  <c r="V111" i="41"/>
  <c r="V58" i="64" s="1"/>
  <c r="W7" i="62"/>
  <c r="W8" i="62" s="1"/>
  <c r="K108" i="64"/>
  <c r="G24" i="56"/>
  <c r="Z30" i="64"/>
  <c r="Q11" i="48"/>
  <c r="T53" i="64"/>
  <c r="T6" i="41"/>
  <c r="P22" i="56"/>
  <c r="T105" i="41"/>
  <c r="Q66" i="64"/>
  <c r="M20" i="56"/>
  <c r="AL135" i="40"/>
  <c r="AM135" i="40"/>
  <c r="P171" i="64"/>
  <c r="K68" i="64"/>
  <c r="W121" i="41"/>
  <c r="M7" i="48"/>
  <c r="M5" i="48" s="1"/>
  <c r="N5" i="55"/>
  <c r="M91" i="72" s="1"/>
  <c r="R65" i="64"/>
  <c r="N21" i="56"/>
  <c r="M23" i="48" s="1"/>
  <c r="Q108" i="64"/>
  <c r="M24" i="56"/>
  <c r="Q8" i="62"/>
  <c r="Q109" i="64" s="1"/>
  <c r="O157" i="41"/>
  <c r="E59" i="48"/>
  <c r="E61" i="48"/>
  <c r="U65" i="64"/>
  <c r="Q21" i="56"/>
  <c r="P23" i="48" s="1"/>
  <c r="P20" i="56"/>
  <c r="T66" i="64"/>
  <c r="L23" i="55"/>
  <c r="AM91" i="40"/>
  <c r="AL91" i="40"/>
  <c r="W125" i="41"/>
  <c r="K72" i="64"/>
  <c r="L7" i="48"/>
  <c r="L5" i="48" s="1"/>
  <c r="M5" i="55"/>
  <c r="L91" i="72" s="1"/>
  <c r="AQ18" i="41"/>
  <c r="AR18" i="41"/>
  <c r="E45" i="48"/>
  <c r="U45" i="48" s="1"/>
  <c r="F47" i="55"/>
  <c r="U47" i="55" s="1"/>
  <c r="Q7" i="48"/>
  <c r="Q5" i="48" s="1"/>
  <c r="K66" i="64"/>
  <c r="W119" i="41"/>
  <c r="G20" i="56"/>
  <c r="S21" i="55"/>
  <c r="AM155" i="40"/>
  <c r="AL155" i="40"/>
  <c r="T171" i="64"/>
  <c r="P88" i="64"/>
  <c r="P74" i="64" s="1"/>
  <c r="P127" i="41"/>
  <c r="AM98" i="40"/>
  <c r="AL98" i="40"/>
  <c r="AL86" i="40"/>
  <c r="AM86" i="40"/>
  <c r="M171" i="64"/>
  <c r="AM145" i="40"/>
  <c r="AL145" i="40"/>
  <c r="G5" i="48"/>
  <c r="U171" i="64"/>
  <c r="Q7" i="56"/>
  <c r="Q5" i="56" s="1"/>
  <c r="U111" i="41"/>
  <c r="U58" i="64" s="1"/>
  <c r="W19" i="41"/>
  <c r="G20" i="55"/>
  <c r="M65" i="64"/>
  <c r="I21" i="56"/>
  <c r="H23" i="48" s="1"/>
  <c r="I23" i="55"/>
  <c r="M88" i="64"/>
  <c r="M74" i="64" s="1"/>
  <c r="M104" i="64" s="1"/>
  <c r="M127" i="41"/>
  <c r="S52" i="82"/>
  <c r="S53" i="82" s="1"/>
  <c r="G53" i="82"/>
  <c r="O7" i="48"/>
  <c r="O5" i="48" s="1"/>
  <c r="P5" i="55"/>
  <c r="O91" i="72" s="1"/>
  <c r="AR5" i="62"/>
  <c r="AQ5" i="62"/>
  <c r="W106" i="64"/>
  <c r="Z106" i="64" s="1"/>
  <c r="AR27" i="41"/>
  <c r="AQ27" i="41"/>
  <c r="M108" i="64"/>
  <c r="I24" i="56"/>
  <c r="I23" i="56" s="1"/>
  <c r="O5" i="41"/>
  <c r="O101" i="41" s="1"/>
  <c r="K22" i="55"/>
  <c r="J24" i="48" s="1"/>
  <c r="W21" i="41"/>
  <c r="K88" i="64"/>
  <c r="K74" i="64" s="1"/>
  <c r="K104" i="64" s="1"/>
  <c r="W141" i="41"/>
  <c r="K127" i="41"/>
  <c r="K157" i="41" s="1"/>
  <c r="R171" i="64"/>
  <c r="T65" i="64"/>
  <c r="P21" i="56"/>
  <c r="O23" i="48" s="1"/>
  <c r="L66" i="64"/>
  <c r="H20" i="56"/>
  <c r="V6" i="41"/>
  <c r="V53" i="64"/>
  <c r="M66" i="64"/>
  <c r="I20" i="56"/>
  <c r="AM153" i="40"/>
  <c r="AL153" i="40"/>
  <c r="AQ67" i="41"/>
  <c r="AR67" i="41"/>
  <c r="W47" i="64"/>
  <c r="Z47" i="64" s="1"/>
  <c r="AL46" i="40"/>
  <c r="AM46" i="40"/>
  <c r="R53" i="64"/>
  <c r="R6" i="41"/>
  <c r="V88" i="64"/>
  <c r="V74" i="64" s="1"/>
  <c r="V104" i="64" s="1"/>
  <c r="V172" i="64" s="1"/>
  <c r="V127" i="41"/>
  <c r="AM96" i="40"/>
  <c r="AL96" i="40"/>
  <c r="Z18" i="64"/>
  <c r="W6" i="64"/>
  <c r="H22" i="48"/>
  <c r="N127" i="41"/>
  <c r="N88" i="64"/>
  <c r="N74" i="64" s="1"/>
  <c r="N104" i="64" s="1"/>
  <c r="N172" i="64" s="1"/>
  <c r="AL154" i="40"/>
  <c r="AM154" i="40"/>
  <c r="R29" i="48"/>
  <c r="K8" i="62"/>
  <c r="K109" i="64" s="1"/>
  <c r="AL149" i="40"/>
  <c r="AM149" i="40"/>
  <c r="R23" i="55"/>
  <c r="G23" i="55"/>
  <c r="S24" i="55"/>
  <c r="F26" i="48"/>
  <c r="L7" i="56"/>
  <c r="L5" i="56" s="1"/>
  <c r="P111" i="41"/>
  <c r="P58" i="64" s="1"/>
  <c r="N53" i="64"/>
  <c r="N105" i="41"/>
  <c r="N6" i="41"/>
  <c r="J22" i="56"/>
  <c r="S65" i="64"/>
  <c r="O21" i="56"/>
  <c r="N23" i="48" s="1"/>
  <c r="R108" i="64"/>
  <c r="N24" i="56"/>
  <c r="N23" i="56" s="1"/>
  <c r="R8" i="62"/>
  <c r="R109" i="64" s="1"/>
  <c r="V66" i="64"/>
  <c r="R20" i="56"/>
  <c r="I9" i="55"/>
  <c r="H11" i="48"/>
  <c r="AL45" i="40"/>
  <c r="AM45" i="40"/>
  <c r="E63" i="48"/>
  <c r="E65" i="48"/>
  <c r="U6" i="41"/>
  <c r="U53" i="64"/>
  <c r="U105" i="41"/>
  <c r="S7" i="55"/>
  <c r="F7" i="48"/>
  <c r="N65" i="64"/>
  <c r="J21" i="56"/>
  <c r="I23" i="48" s="1"/>
  <c r="S53" i="64"/>
  <c r="S105" i="41"/>
  <c r="S6" i="41"/>
  <c r="O22" i="56"/>
  <c r="T108" i="64"/>
  <c r="P24" i="56"/>
  <c r="T8" i="62"/>
  <c r="T109" i="64" s="1"/>
  <c r="H23" i="55"/>
  <c r="Q22" i="48"/>
  <c r="F225" i="37"/>
  <c r="F227" i="37" s="1"/>
  <c r="F229" i="37" s="1"/>
  <c r="R138" i="40"/>
  <c r="G11" i="55"/>
  <c r="J23" i="55"/>
  <c r="H7" i="48"/>
  <c r="H5" i="48" s="1"/>
  <c r="V171" i="64"/>
  <c r="U88" i="64"/>
  <c r="U74" i="64" s="1"/>
  <c r="U127" i="41"/>
  <c r="R228" i="37"/>
  <c r="AM80" i="40"/>
  <c r="AL80" i="40"/>
  <c r="N108" i="64"/>
  <c r="J24" i="56"/>
  <c r="J23" i="56" s="1"/>
  <c r="N8" i="62"/>
  <c r="N109" i="64" s="1"/>
  <c r="S88" i="64"/>
  <c r="S74" i="64" s="1"/>
  <c r="S104" i="64" s="1"/>
  <c r="S172" i="64" s="1"/>
  <c r="S127" i="41"/>
  <c r="P65" i="64"/>
  <c r="L21" i="56"/>
  <c r="K23" i="48" s="1"/>
  <c r="G7" i="48"/>
  <c r="W49" i="64"/>
  <c r="Z49" i="64" s="1"/>
  <c r="AR69" i="41"/>
  <c r="AQ69" i="41"/>
  <c r="W63" i="64"/>
  <c r="Z63" i="64" s="1"/>
  <c r="W60" i="64"/>
  <c r="Z60" i="64" s="1"/>
  <c r="W56" i="64"/>
  <c r="Z56" i="64" s="1"/>
  <c r="W55" i="64"/>
  <c r="Z55" i="64" s="1"/>
  <c r="W57" i="64"/>
  <c r="Z57" i="64" s="1"/>
  <c r="W61" i="64"/>
  <c r="Z61" i="64" s="1"/>
  <c r="W67" i="64"/>
  <c r="Z67" i="64" s="1"/>
  <c r="W62" i="64"/>
  <c r="Z62" i="64" s="1"/>
  <c r="W69" i="64"/>
  <c r="Z69" i="64" s="1"/>
  <c r="W59" i="64"/>
  <c r="Z59" i="64" s="1"/>
  <c r="W54" i="64"/>
  <c r="Z54" i="64" s="1"/>
  <c r="W71" i="64"/>
  <c r="Z71" i="64" s="1"/>
  <c r="W64" i="64"/>
  <c r="Z64" i="64" s="1"/>
  <c r="W130" i="64"/>
  <c r="Z130" i="64" s="1"/>
  <c r="W162" i="64"/>
  <c r="Z162" i="64" s="1"/>
  <c r="W158" i="64"/>
  <c r="Z158" i="64" s="1"/>
  <c r="W144" i="64"/>
  <c r="Z144" i="64" s="1"/>
  <c r="W86" i="64"/>
  <c r="Z86" i="64" s="1"/>
  <c r="W78" i="64"/>
  <c r="Z78" i="64" s="1"/>
  <c r="W113" i="64"/>
  <c r="Z113" i="64" s="1"/>
  <c r="W126" i="64"/>
  <c r="Z126" i="64" s="1"/>
  <c r="W124" i="64"/>
  <c r="Z124" i="64" s="1"/>
  <c r="W93" i="64"/>
  <c r="Z93" i="64" s="1"/>
  <c r="W147" i="64"/>
  <c r="Z147" i="64" s="1"/>
  <c r="W112" i="64"/>
  <c r="Z112" i="64" s="1"/>
  <c r="W97" i="64"/>
  <c r="Z97" i="64" s="1"/>
  <c r="W153" i="64"/>
  <c r="Z153" i="64" s="1"/>
  <c r="W146" i="64"/>
  <c r="Z146" i="64" s="1"/>
  <c r="W150" i="64"/>
  <c r="Z150" i="64" s="1"/>
  <c r="W145" i="64"/>
  <c r="Z145" i="64" s="1"/>
  <c r="W80" i="64"/>
  <c r="Z80" i="64" s="1"/>
  <c r="W128" i="64"/>
  <c r="Z128" i="64" s="1"/>
  <c r="W138" i="64"/>
  <c r="Z138" i="64" s="1"/>
  <c r="W96" i="64"/>
  <c r="Z96" i="64" s="1"/>
  <c r="W133" i="64"/>
  <c r="Z133" i="64" s="1"/>
  <c r="W161" i="64"/>
  <c r="Z161" i="64" s="1"/>
  <c r="W122" i="64"/>
  <c r="Z122" i="64" s="1"/>
  <c r="W118" i="64"/>
  <c r="Z118" i="64" s="1"/>
  <c r="W116" i="64"/>
  <c r="Z116" i="64" s="1"/>
  <c r="W167" i="64"/>
  <c r="Z167" i="64" s="1"/>
  <c r="W132" i="64"/>
  <c r="Z132" i="64" s="1"/>
  <c r="W136" i="64"/>
  <c r="Z136" i="64" s="1"/>
  <c r="W125" i="64"/>
  <c r="Z125" i="64" s="1"/>
  <c r="W134" i="64"/>
  <c r="Z134" i="64" s="1"/>
  <c r="W169" i="64"/>
  <c r="Z169" i="64" s="1"/>
  <c r="W155" i="64"/>
  <c r="Z155" i="64" s="1"/>
  <c r="W100" i="64"/>
  <c r="Z100" i="64" s="1"/>
  <c r="W148" i="64"/>
  <c r="Z148" i="64" s="1"/>
  <c r="W168" i="64"/>
  <c r="Z168" i="64" s="1"/>
  <c r="W82" i="64"/>
  <c r="Z82" i="64" s="1"/>
  <c r="W170" i="64"/>
  <c r="Z170" i="64" s="1"/>
  <c r="W98" i="64"/>
  <c r="Z98" i="64" s="1"/>
  <c r="W94" i="64"/>
  <c r="Z94" i="64" s="1"/>
  <c r="W140" i="64"/>
  <c r="Z140" i="64" s="1"/>
  <c r="W143" i="64"/>
  <c r="Z143" i="64" s="1"/>
  <c r="W99" i="64"/>
  <c r="Z99" i="64" s="1"/>
  <c r="W111" i="64"/>
  <c r="W81" i="64"/>
  <c r="Z81" i="64" s="1"/>
  <c r="W151" i="64"/>
  <c r="Z151" i="64" s="1"/>
  <c r="W92" i="64"/>
  <c r="Z92" i="64" s="1"/>
  <c r="W95" i="64"/>
  <c r="Z95" i="64" s="1"/>
  <c r="W142" i="64"/>
  <c r="Z142" i="64" s="1"/>
  <c r="W159" i="64"/>
  <c r="Z159" i="64" s="1"/>
  <c r="W164" i="64"/>
  <c r="Z164" i="64" s="1"/>
  <c r="W117" i="64"/>
  <c r="Z117" i="64" s="1"/>
  <c r="W102" i="64"/>
  <c r="Z102" i="64" s="1"/>
  <c r="W84" i="64"/>
  <c r="Z84" i="64" s="1"/>
  <c r="W165" i="64"/>
  <c r="Z165" i="64" s="1"/>
  <c r="W121" i="64"/>
  <c r="Z121" i="64" s="1"/>
  <c r="W152" i="64"/>
  <c r="Z152" i="64" s="1"/>
  <c r="W114" i="64"/>
  <c r="Z114" i="64" s="1"/>
  <c r="W115" i="64"/>
  <c r="Z115" i="64" s="1"/>
  <c r="W89" i="64"/>
  <c r="Z89" i="64" s="1"/>
  <c r="W156" i="64"/>
  <c r="Z156" i="64" s="1"/>
  <c r="W127" i="64"/>
  <c r="Z127" i="64" s="1"/>
  <c r="W75" i="64"/>
  <c r="W154" i="64"/>
  <c r="Z154" i="64" s="1"/>
  <c r="W87" i="64"/>
  <c r="Z87" i="64" s="1"/>
  <c r="W85" i="64"/>
  <c r="Z85" i="64" s="1"/>
  <c r="W137" i="64"/>
  <c r="Z137" i="64" s="1"/>
  <c r="W123" i="64"/>
  <c r="Z123" i="64" s="1"/>
  <c r="W83" i="64"/>
  <c r="Z83" i="64" s="1"/>
  <c r="W129" i="64"/>
  <c r="Z129" i="64" s="1"/>
  <c r="W139" i="64"/>
  <c r="Z139" i="64" s="1"/>
  <c r="W160" i="64"/>
  <c r="Z160" i="64" s="1"/>
  <c r="W120" i="64"/>
  <c r="Z120" i="64" s="1"/>
  <c r="W76" i="64"/>
  <c r="Z76" i="64" s="1"/>
  <c r="W90" i="64"/>
  <c r="Z90" i="64" s="1"/>
  <c r="W163" i="64"/>
  <c r="Z163" i="64" s="1"/>
  <c r="W141" i="64"/>
  <c r="Z141" i="64" s="1"/>
  <c r="W101" i="64"/>
  <c r="Z101" i="64" s="1"/>
  <c r="W77" i="64"/>
  <c r="Z77" i="64" s="1"/>
  <c r="W91" i="64"/>
  <c r="Z91" i="64" s="1"/>
  <c r="R66" i="64"/>
  <c r="N20" i="56"/>
  <c r="W135" i="64"/>
  <c r="Z135" i="64" s="1"/>
  <c r="W42" i="64"/>
  <c r="Z42" i="64" s="1"/>
  <c r="AQ62" i="41"/>
  <c r="AR62" i="41"/>
  <c r="W49" i="41"/>
  <c r="N66" i="64"/>
  <c r="J20" i="56"/>
  <c r="AM156" i="40"/>
  <c r="AL156" i="40"/>
  <c r="W79" i="64"/>
  <c r="Z79" i="64" s="1"/>
  <c r="L65" i="64"/>
  <c r="H21" i="56"/>
  <c r="G23" i="48" s="1"/>
  <c r="F6" i="48"/>
  <c r="S6" i="55"/>
  <c r="G5" i="55"/>
  <c r="F157" i="40"/>
  <c r="N23" i="55"/>
  <c r="O23" i="55"/>
  <c r="R99" i="40"/>
  <c r="R63" i="40" s="1"/>
  <c r="Q53" i="64"/>
  <c r="Q105" i="41"/>
  <c r="Q6" i="41"/>
  <c r="M22" i="56"/>
  <c r="H20" i="55"/>
  <c r="AM124" i="40"/>
  <c r="AL124" i="40"/>
  <c r="Q65" i="64"/>
  <c r="M21" i="56"/>
  <c r="L23" i="48" s="1"/>
  <c r="AM95" i="40"/>
  <c r="AL95" i="40"/>
  <c r="W23" i="41"/>
  <c r="L20" i="55"/>
  <c r="W45" i="64"/>
  <c r="Z45" i="64" s="1"/>
  <c r="AQ65" i="41"/>
  <c r="AR65" i="41"/>
  <c r="K23" i="55"/>
  <c r="J26" i="48"/>
  <c r="J25" i="48" s="1"/>
  <c r="W118" i="41"/>
  <c r="K65" i="64"/>
  <c r="G21" i="56"/>
  <c r="AL137" i="40"/>
  <c r="AM137" i="40"/>
  <c r="J22" i="48"/>
  <c r="J17" i="48" s="1"/>
  <c r="J16" i="48" s="1"/>
  <c r="K15" i="55"/>
  <c r="K14" i="55" s="1"/>
  <c r="R88" i="64"/>
  <c r="R74" i="64" s="1"/>
  <c r="R104" i="64" s="1"/>
  <c r="R172" i="64" s="1"/>
  <c r="R127" i="41"/>
  <c r="Q5" i="55"/>
  <c r="P91" i="72" s="1"/>
  <c r="G224" i="37"/>
  <c r="G226" i="37" s="1"/>
  <c r="G227" i="37" s="1"/>
  <c r="G229" i="37" s="1"/>
  <c r="G41" i="40"/>
  <c r="H10" i="55"/>
  <c r="T88" i="64"/>
  <c r="T74" i="64" s="1"/>
  <c r="T104" i="64" s="1"/>
  <c r="T172" i="64" s="1"/>
  <c r="T127" i="41"/>
  <c r="AR6" i="62"/>
  <c r="W107" i="64"/>
  <c r="Z107" i="64" s="1"/>
  <c r="AQ6" i="62"/>
  <c r="L108" i="64"/>
  <c r="H24" i="56"/>
  <c r="H23" i="56" s="1"/>
  <c r="V65" i="64"/>
  <c r="R21" i="56"/>
  <c r="Q23" i="48" s="1"/>
  <c r="AQ25" i="41" l="1"/>
  <c r="H26" i="48"/>
  <c r="H25" i="48" s="1"/>
  <c r="M172" i="64"/>
  <c r="I66" i="55"/>
  <c r="I67" i="55"/>
  <c r="I65" i="55"/>
  <c r="L104" i="64"/>
  <c r="L172" i="64" s="1"/>
  <c r="P104" i="64"/>
  <c r="P172" i="64" s="1"/>
  <c r="N157" i="41"/>
  <c r="X29" i="64"/>
  <c r="U104" i="64"/>
  <c r="U172" i="64" s="1"/>
  <c r="L15" i="56"/>
  <c r="M157" i="41"/>
  <c r="R22" i="56"/>
  <c r="R52" i="64"/>
  <c r="S29" i="48"/>
  <c r="T52" i="64"/>
  <c r="R224" i="37"/>
  <c r="S60" i="40"/>
  <c r="S46" i="40"/>
  <c r="S59" i="40"/>
  <c r="S58" i="40"/>
  <c r="S51" i="40"/>
  <c r="S57" i="40"/>
  <c r="S52" i="40"/>
  <c r="S47" i="40"/>
  <c r="S56" i="40"/>
  <c r="S55" i="40"/>
  <c r="S50" i="40"/>
  <c r="S54" i="40"/>
  <c r="S53" i="40"/>
  <c r="S49" i="40"/>
  <c r="S48" i="40"/>
  <c r="S45" i="40"/>
  <c r="K172" i="64"/>
  <c r="K9" i="55"/>
  <c r="P12" i="48"/>
  <c r="P10" i="48" s="1"/>
  <c r="M12" i="48"/>
  <c r="M10" i="48" s="1"/>
  <c r="M21" i="48" s="1"/>
  <c r="G9" i="55"/>
  <c r="M15" i="56"/>
  <c r="M221" i="37"/>
  <c r="O17" i="55"/>
  <c r="N19" i="48" s="1"/>
  <c r="O16" i="56"/>
  <c r="O16" i="55" s="1"/>
  <c r="N18" i="48" s="1"/>
  <c r="N21" i="48" s="1"/>
  <c r="O18" i="56"/>
  <c r="O18" i="55"/>
  <c r="N219" i="37"/>
  <c r="N220" i="37"/>
  <c r="L221" i="37"/>
  <c r="L20" i="48"/>
  <c r="M20" i="48"/>
  <c r="M16" i="55"/>
  <c r="Q42" i="39"/>
  <c r="L19" i="48"/>
  <c r="N19" i="55"/>
  <c r="S26" i="39"/>
  <c r="R29" i="39"/>
  <c r="R28" i="39" s="1"/>
  <c r="R39" i="39" s="1"/>
  <c r="R25" i="39"/>
  <c r="R38" i="39" s="1"/>
  <c r="R41" i="40"/>
  <c r="AM41" i="40" s="1"/>
  <c r="AM60" i="40"/>
  <c r="AL60" i="40"/>
  <c r="Q12" i="48"/>
  <c r="Q10" i="48" s="1"/>
  <c r="K10" i="48"/>
  <c r="K21" i="48" s="1"/>
  <c r="H10" i="48"/>
  <c r="H21" i="48" s="1"/>
  <c r="M9" i="55"/>
  <c r="S5" i="56"/>
  <c r="R157" i="40"/>
  <c r="G11" i="56"/>
  <c r="S7" i="56"/>
  <c r="K22" i="48"/>
  <c r="K17" i="48" s="1"/>
  <c r="K16" i="48" s="1"/>
  <c r="Q5" i="41"/>
  <c r="Q101" i="41" s="1"/>
  <c r="M22" i="55"/>
  <c r="L24" i="48" s="1"/>
  <c r="R6" i="48"/>
  <c r="F5" i="48"/>
  <c r="S11" i="55"/>
  <c r="K26" i="48"/>
  <c r="K25" i="48" s="1"/>
  <c r="T157" i="41"/>
  <c r="Q26" i="48"/>
  <c r="Q25" i="48" s="1"/>
  <c r="V105" i="41"/>
  <c r="V157" i="41" s="1"/>
  <c r="AQ121" i="41"/>
  <c r="W68" i="64"/>
  <c r="Z68" i="64" s="1"/>
  <c r="AR121" i="41"/>
  <c r="S21" i="56"/>
  <c r="V52" i="64"/>
  <c r="AM99" i="40"/>
  <c r="AL99" i="40"/>
  <c r="U157" i="41"/>
  <c r="L52" i="64"/>
  <c r="F24" i="48"/>
  <c r="N5" i="41"/>
  <c r="N101" i="41" s="1"/>
  <c r="J22" i="55"/>
  <c r="I24" i="48" s="1"/>
  <c r="M23" i="56"/>
  <c r="L26" i="48"/>
  <c r="L25" i="48" s="1"/>
  <c r="K52" i="64"/>
  <c r="O57" i="52"/>
  <c r="N58" i="52"/>
  <c r="P52" i="64"/>
  <c r="N26" i="48"/>
  <c r="N25" i="48" s="1"/>
  <c r="N22" i="56"/>
  <c r="N15" i="56" s="1"/>
  <c r="N14" i="56" s="1"/>
  <c r="N25" i="56" s="1"/>
  <c r="M52" i="64"/>
  <c r="L157" i="41"/>
  <c r="P105" i="41"/>
  <c r="P157" i="41" s="1"/>
  <c r="Z75" i="64"/>
  <c r="W66" i="64"/>
  <c r="Z66" i="64" s="1"/>
  <c r="AQ119" i="41"/>
  <c r="AR119" i="41"/>
  <c r="G22" i="48"/>
  <c r="G17" i="48" s="1"/>
  <c r="G16" i="48" s="1"/>
  <c r="H15" i="55"/>
  <c r="H14" i="55" s="1"/>
  <c r="W72" i="64"/>
  <c r="Z72" i="64" s="1"/>
  <c r="AR125" i="41"/>
  <c r="AQ125" i="41"/>
  <c r="G23" i="56"/>
  <c r="S23" i="56" s="1"/>
  <c r="S24" i="56"/>
  <c r="F91" i="72"/>
  <c r="S5" i="55"/>
  <c r="U52" i="64"/>
  <c r="O22" i="48"/>
  <c r="O22" i="55"/>
  <c r="S5" i="41"/>
  <c r="S101" i="41" s="1"/>
  <c r="Z6" i="64"/>
  <c r="AQ7" i="62"/>
  <c r="W108" i="64"/>
  <c r="Z108" i="64" s="1"/>
  <c r="AR7" i="62"/>
  <c r="N22" i="48"/>
  <c r="I22" i="48"/>
  <c r="I17" i="48" s="1"/>
  <c r="I16" i="48" s="1"/>
  <c r="I27" i="48" s="1"/>
  <c r="Q52" i="64"/>
  <c r="R225" i="37"/>
  <c r="AM138" i="40"/>
  <c r="AL138" i="40"/>
  <c r="W70" i="64"/>
  <c r="Z70" i="64" s="1"/>
  <c r="AR123" i="41"/>
  <c r="AQ123" i="41"/>
  <c r="L22" i="48"/>
  <c r="W171" i="64"/>
  <c r="Z111" i="64"/>
  <c r="F23" i="48"/>
  <c r="R23" i="48" s="1"/>
  <c r="P5" i="41"/>
  <c r="P101" i="41" s="1"/>
  <c r="L22" i="55"/>
  <c r="K24" i="48" s="1"/>
  <c r="AM143" i="40"/>
  <c r="AL143" i="40"/>
  <c r="K7" i="48"/>
  <c r="K5" i="48" s="1"/>
  <c r="H15" i="56"/>
  <c r="H14" i="56" s="1"/>
  <c r="H25" i="56" s="1"/>
  <c r="J15" i="56"/>
  <c r="J14" i="56" s="1"/>
  <c r="J25" i="56" s="1"/>
  <c r="S157" i="41"/>
  <c r="G26" i="48"/>
  <c r="G25" i="48" s="1"/>
  <c r="I19" i="55"/>
  <c r="N52" i="64"/>
  <c r="R105" i="41"/>
  <c r="R157" i="41" s="1"/>
  <c r="I15" i="56"/>
  <c r="I14" i="56" s="1"/>
  <c r="I25" i="56" s="1"/>
  <c r="S20" i="55"/>
  <c r="F22" i="48"/>
  <c r="G15" i="55"/>
  <c r="K32" i="56"/>
  <c r="K26" i="56"/>
  <c r="AQ106" i="41"/>
  <c r="AR106" i="41"/>
  <c r="W53" i="64"/>
  <c r="Q23" i="56"/>
  <c r="P26" i="48"/>
  <c r="P25" i="48" s="1"/>
  <c r="AR49" i="41"/>
  <c r="AQ49" i="41"/>
  <c r="P23" i="56"/>
  <c r="O26" i="48"/>
  <c r="O25" i="48" s="1"/>
  <c r="Q22" i="56"/>
  <c r="S22" i="56" s="1"/>
  <c r="F25" i="48"/>
  <c r="AR8" i="62"/>
  <c r="AQ8" i="62"/>
  <c r="W109" i="64"/>
  <c r="O49" i="52"/>
  <c r="N50" i="52"/>
  <c r="L19" i="55"/>
  <c r="I26" i="48"/>
  <c r="I25" i="48" s="1"/>
  <c r="L14" i="56"/>
  <c r="L25" i="56" s="1"/>
  <c r="AR23" i="41"/>
  <c r="AQ23" i="41"/>
  <c r="U5" i="41"/>
  <c r="U101" i="41" s="1"/>
  <c r="Q22" i="55"/>
  <c r="S23" i="55"/>
  <c r="AR141" i="41"/>
  <c r="AQ141" i="41"/>
  <c r="W88" i="64"/>
  <c r="Z88" i="64" s="1"/>
  <c r="W127" i="41"/>
  <c r="F49" i="55"/>
  <c r="U49" i="55" s="1"/>
  <c r="F50" i="55"/>
  <c r="E49" i="48"/>
  <c r="U49" i="48" s="1"/>
  <c r="P22" i="55"/>
  <c r="O24" i="48" s="1"/>
  <c r="T5" i="41"/>
  <c r="T101" i="41" s="1"/>
  <c r="M22" i="48"/>
  <c r="S52" i="64"/>
  <c r="K25" i="55"/>
  <c r="K19" i="55"/>
  <c r="AQ21" i="41"/>
  <c r="AR21" i="41"/>
  <c r="G11" i="48"/>
  <c r="G10" i="48" s="1"/>
  <c r="H9" i="55"/>
  <c r="V5" i="41"/>
  <c r="V101" i="41" s="1"/>
  <c r="R22" i="55"/>
  <c r="M5" i="41"/>
  <c r="M101" i="41" s="1"/>
  <c r="I22" i="55"/>
  <c r="W6" i="41"/>
  <c r="W111" i="41"/>
  <c r="W105" i="41" s="1"/>
  <c r="W65" i="64"/>
  <c r="Z65" i="64" s="1"/>
  <c r="AR118" i="41"/>
  <c r="AQ118" i="41"/>
  <c r="P7" i="48"/>
  <c r="P5" i="48" s="1"/>
  <c r="M26" i="48"/>
  <c r="M25" i="48" s="1"/>
  <c r="N22" i="55"/>
  <c r="R5" i="41"/>
  <c r="R101" i="41" s="1"/>
  <c r="AQ19" i="41"/>
  <c r="AR19" i="41"/>
  <c r="S20" i="56"/>
  <c r="G15" i="56"/>
  <c r="S10" i="55"/>
  <c r="W29" i="64"/>
  <c r="P22" i="48"/>
  <c r="J27" i="48"/>
  <c r="J21" i="48"/>
  <c r="O53" i="52"/>
  <c r="N54" i="52"/>
  <c r="S6" i="48" l="1"/>
  <c r="R226" i="37"/>
  <c r="P24" i="48"/>
  <c r="M24" i="48"/>
  <c r="M17" i="48" s="1"/>
  <c r="M16" i="48" s="1"/>
  <c r="M27" i="48" s="1"/>
  <c r="S23" i="48"/>
  <c r="M15" i="55"/>
  <c r="M14" i="55" s="1"/>
  <c r="M25" i="55" s="1"/>
  <c r="M62" i="55" s="1"/>
  <c r="M14" i="56"/>
  <c r="M25" i="56" s="1"/>
  <c r="M32" i="56" s="1"/>
  <c r="F53" i="55"/>
  <c r="U50" i="55"/>
  <c r="Z29" i="64"/>
  <c r="Z171" i="64"/>
  <c r="Z109" i="64"/>
  <c r="G19" i="55"/>
  <c r="G66" i="55"/>
  <c r="G65" i="55"/>
  <c r="G67" i="55"/>
  <c r="W74" i="64"/>
  <c r="AL41" i="40"/>
  <c r="O15" i="56"/>
  <c r="O14" i="56" s="1"/>
  <c r="O25" i="56" s="1"/>
  <c r="O32" i="56" s="1"/>
  <c r="O43" i="56" s="1"/>
  <c r="O47" i="56" s="1"/>
  <c r="O49" i="56" s="1"/>
  <c r="O19" i="55"/>
  <c r="N221" i="37"/>
  <c r="R42" i="39"/>
  <c r="L18" i="48"/>
  <c r="N20" i="48"/>
  <c r="L223" i="37"/>
  <c r="L227" i="37"/>
  <c r="L229" i="37" s="1"/>
  <c r="S29" i="39"/>
  <c r="S28" i="39" s="1"/>
  <c r="S39" i="39" s="1"/>
  <c r="T39" i="39" s="1"/>
  <c r="S25" i="39"/>
  <c r="M19" i="55"/>
  <c r="M223" i="37"/>
  <c r="M227" i="37"/>
  <c r="M229" i="37" s="1"/>
  <c r="Q34" i="39"/>
  <c r="O222" i="37"/>
  <c r="K27" i="48"/>
  <c r="K34" i="48" s="1"/>
  <c r="R11" i="48"/>
  <c r="R22" i="48"/>
  <c r="F17" i="48"/>
  <c r="O54" i="52"/>
  <c r="P53" i="52"/>
  <c r="Q24" i="48"/>
  <c r="Q17" i="48" s="1"/>
  <c r="H26" i="56"/>
  <c r="H32" i="56"/>
  <c r="S11" i="56"/>
  <c r="G9" i="56"/>
  <c r="G56" i="56" s="1"/>
  <c r="I32" i="56"/>
  <c r="I26" i="56"/>
  <c r="AL157" i="40"/>
  <c r="AM157" i="40"/>
  <c r="J34" i="48"/>
  <c r="J28" i="48"/>
  <c r="J64" i="48"/>
  <c r="J60" i="48"/>
  <c r="H25" i="55"/>
  <c r="H19" i="55"/>
  <c r="G27" i="48"/>
  <c r="G21" i="48"/>
  <c r="L32" i="56"/>
  <c r="L26" i="56"/>
  <c r="R26" i="48"/>
  <c r="Z53" i="64"/>
  <c r="O58" i="52"/>
  <c r="P57" i="52"/>
  <c r="R25" i="48"/>
  <c r="AQ105" i="41"/>
  <c r="AR105" i="41"/>
  <c r="F12" i="48"/>
  <c r="F52" i="55"/>
  <c r="E51" i="48"/>
  <c r="R62" i="40"/>
  <c r="R61" i="40" s="1"/>
  <c r="R5" i="48"/>
  <c r="AR127" i="41"/>
  <c r="AQ127" i="41"/>
  <c r="W157" i="41"/>
  <c r="N24" i="48"/>
  <c r="N17" i="48" s="1"/>
  <c r="N16" i="48" s="1"/>
  <c r="N27" i="48" s="1"/>
  <c r="O15" i="55"/>
  <c r="O14" i="55" s="1"/>
  <c r="O25" i="55" s="1"/>
  <c r="G14" i="56"/>
  <c r="K26" i="55"/>
  <c r="K32" i="55"/>
  <c r="K62" i="55"/>
  <c r="K58" i="55"/>
  <c r="S9" i="55"/>
  <c r="V10" i="55" s="1"/>
  <c r="W58" i="64"/>
  <c r="Z58" i="64" s="1"/>
  <c r="AQ111" i="41"/>
  <c r="AR111" i="41"/>
  <c r="K43" i="56"/>
  <c r="K47" i="56" s="1"/>
  <c r="K49" i="56" s="1"/>
  <c r="K33" i="56"/>
  <c r="R7" i="48"/>
  <c r="AR6" i="41"/>
  <c r="AQ6" i="41"/>
  <c r="W5" i="41"/>
  <c r="R249" i="63"/>
  <c r="R252" i="63" s="1"/>
  <c r="R253" i="63" s="1"/>
  <c r="N32" i="56"/>
  <c r="N26" i="56"/>
  <c r="O50" i="52"/>
  <c r="P49" i="52"/>
  <c r="J15" i="55"/>
  <c r="J14" i="55" s="1"/>
  <c r="J25" i="55" s="1"/>
  <c r="L15" i="55"/>
  <c r="L14" i="55" s="1"/>
  <c r="L25" i="55" s="1"/>
  <c r="J32" i="56"/>
  <c r="J26" i="56"/>
  <c r="H24" i="48"/>
  <c r="H17" i="48" s="1"/>
  <c r="H16" i="48" s="1"/>
  <c r="H27" i="48" s="1"/>
  <c r="S22" i="55"/>
  <c r="V22" i="55" s="1"/>
  <c r="I15" i="55"/>
  <c r="I14" i="55" s="1"/>
  <c r="I25" i="55" s="1"/>
  <c r="N15" i="55"/>
  <c r="N14" i="55" s="1"/>
  <c r="N25" i="55" s="1"/>
  <c r="G14" i="55"/>
  <c r="I28" i="48"/>
  <c r="I34" i="48"/>
  <c r="I64" i="48"/>
  <c r="I60" i="48"/>
  <c r="S5" i="48" l="1"/>
  <c r="S7" i="48"/>
  <c r="W104" i="64"/>
  <c r="S26" i="48"/>
  <c r="S11" i="48"/>
  <c r="V23" i="55"/>
  <c r="V51" i="55"/>
  <c r="V12" i="55"/>
  <c r="V48" i="55"/>
  <c r="V39" i="55"/>
  <c r="V46" i="55"/>
  <c r="V38" i="55"/>
  <c r="V45" i="55"/>
  <c r="V37" i="55"/>
  <c r="Y9" i="55"/>
  <c r="Z9" i="55" s="1"/>
  <c r="V44" i="55"/>
  <c r="V36" i="55"/>
  <c r="V9" i="55"/>
  <c r="V42" i="55"/>
  <c r="V35" i="55"/>
  <c r="V41" i="55"/>
  <c r="V34" i="55"/>
  <c r="V13" i="55"/>
  <c r="V40" i="55"/>
  <c r="V29" i="55"/>
  <c r="V28" i="55"/>
  <c r="V31" i="55"/>
  <c r="V30" i="55"/>
  <c r="V27" i="55"/>
  <c r="V24" i="55"/>
  <c r="V21" i="55"/>
  <c r="V20" i="55"/>
  <c r="S25" i="48"/>
  <c r="V11" i="55"/>
  <c r="M28" i="48"/>
  <c r="M64" i="48"/>
  <c r="M63" i="48" s="1"/>
  <c r="E52" i="48"/>
  <c r="U52" i="48" s="1"/>
  <c r="U51" i="48"/>
  <c r="S22" i="48"/>
  <c r="M26" i="56"/>
  <c r="Z74" i="64"/>
  <c r="E54" i="48"/>
  <c r="U52" i="55"/>
  <c r="O33" i="56"/>
  <c r="O26" i="56"/>
  <c r="M32" i="55"/>
  <c r="M43" i="55" s="1"/>
  <c r="M47" i="55" s="1"/>
  <c r="M49" i="55" s="1"/>
  <c r="M26" i="55"/>
  <c r="M58" i="55"/>
  <c r="M57" i="55" s="1"/>
  <c r="M60" i="48"/>
  <c r="M59" i="48" s="1"/>
  <c r="M34" i="48"/>
  <c r="M45" i="48" s="1"/>
  <c r="M49" i="48" s="1"/>
  <c r="M51" i="48" s="1"/>
  <c r="K28" i="48"/>
  <c r="K60" i="48"/>
  <c r="K59" i="48" s="1"/>
  <c r="K64" i="48"/>
  <c r="K63" i="48" s="1"/>
  <c r="R34" i="39"/>
  <c r="P222" i="37"/>
  <c r="S42" i="39"/>
  <c r="T38" i="39"/>
  <c r="P16" i="56"/>
  <c r="P18" i="56"/>
  <c r="P17" i="55"/>
  <c r="P18" i="55"/>
  <c r="O219" i="37"/>
  <c r="O220" i="37"/>
  <c r="L21" i="48"/>
  <c r="L17" i="48"/>
  <c r="L16" i="48" s="1"/>
  <c r="L27" i="48" s="1"/>
  <c r="N223" i="37"/>
  <c r="N227" i="37"/>
  <c r="N229" i="37" s="1"/>
  <c r="N28" i="48"/>
  <c r="N34" i="48"/>
  <c r="N60" i="48"/>
  <c r="N64" i="48"/>
  <c r="I35" i="48"/>
  <c r="I45" i="48"/>
  <c r="I49" i="48" s="1"/>
  <c r="I51" i="48" s="1"/>
  <c r="M61" i="55"/>
  <c r="M63" i="55"/>
  <c r="I43" i="56"/>
  <c r="I47" i="56" s="1"/>
  <c r="I49" i="56" s="1"/>
  <c r="I33" i="56"/>
  <c r="N26" i="55"/>
  <c r="N32" i="55"/>
  <c r="N58" i="55"/>
  <c r="N62" i="55"/>
  <c r="P58" i="52"/>
  <c r="Q57" i="52"/>
  <c r="Q58" i="52" s="1"/>
  <c r="G25" i="56"/>
  <c r="S9" i="56"/>
  <c r="K61" i="48"/>
  <c r="I32" i="55"/>
  <c r="I26" i="55"/>
  <c r="I62" i="55"/>
  <c r="I58" i="55"/>
  <c r="K59" i="55"/>
  <c r="K57" i="55"/>
  <c r="O52" i="56"/>
  <c r="O53" i="56" s="1"/>
  <c r="O50" i="56"/>
  <c r="K63" i="55"/>
  <c r="K61" i="55"/>
  <c r="W52" i="64"/>
  <c r="Z52" i="64" s="1"/>
  <c r="H34" i="48"/>
  <c r="H28" i="48"/>
  <c r="H64" i="48"/>
  <c r="H60" i="48"/>
  <c r="K33" i="55"/>
  <c r="K43" i="55"/>
  <c r="K47" i="55" s="1"/>
  <c r="K49" i="55" s="1"/>
  <c r="J63" i="48"/>
  <c r="J65" i="48"/>
  <c r="K35" i="48"/>
  <c r="K45" i="48"/>
  <c r="K49" i="48" s="1"/>
  <c r="K51" i="48" s="1"/>
  <c r="R24" i="48"/>
  <c r="J45" i="48"/>
  <c r="J49" i="48" s="1"/>
  <c r="J51" i="48" s="1"/>
  <c r="J35" i="48"/>
  <c r="I61" i="48"/>
  <c r="I59" i="48"/>
  <c r="L26" i="55"/>
  <c r="L32" i="55"/>
  <c r="L58" i="55"/>
  <c r="L62" i="55"/>
  <c r="R12" i="48"/>
  <c r="F10" i="48"/>
  <c r="L43" i="56"/>
  <c r="L47" i="56" s="1"/>
  <c r="L49" i="56" s="1"/>
  <c r="L33" i="56"/>
  <c r="P54" i="52"/>
  <c r="Q53" i="52"/>
  <c r="Q54" i="52" s="1"/>
  <c r="G28" i="48"/>
  <c r="G34" i="48"/>
  <c r="G64" i="48"/>
  <c r="G60" i="48"/>
  <c r="F16" i="48"/>
  <c r="Q49" i="52"/>
  <c r="Q50" i="52" s="1"/>
  <c r="P50" i="52"/>
  <c r="AQ157" i="41"/>
  <c r="AR157" i="41"/>
  <c r="G25" i="55"/>
  <c r="M43" i="56"/>
  <c r="M47" i="56" s="1"/>
  <c r="M49" i="56" s="1"/>
  <c r="M33" i="56"/>
  <c r="N43" i="56"/>
  <c r="N47" i="56" s="1"/>
  <c r="N49" i="56" s="1"/>
  <c r="N33" i="56"/>
  <c r="H32" i="55"/>
  <c r="H26" i="55"/>
  <c r="H62" i="55"/>
  <c r="H58" i="55"/>
  <c r="AR5" i="41"/>
  <c r="AQ5" i="41"/>
  <c r="W101" i="41"/>
  <c r="J59" i="48"/>
  <c r="J61" i="48"/>
  <c r="H43" i="56"/>
  <c r="H47" i="56" s="1"/>
  <c r="H49" i="56" s="1"/>
  <c r="H33" i="56"/>
  <c r="J33" i="56"/>
  <c r="J43" i="56"/>
  <c r="J47" i="56" s="1"/>
  <c r="J49" i="56" s="1"/>
  <c r="I65" i="48"/>
  <c r="I63" i="48"/>
  <c r="J32" i="55"/>
  <c r="J26" i="55"/>
  <c r="J62" i="55"/>
  <c r="J58" i="55"/>
  <c r="K50" i="56"/>
  <c r="K52" i="56"/>
  <c r="K53" i="56" s="1"/>
  <c r="O32" i="55"/>
  <c r="O26" i="55"/>
  <c r="O58" i="55"/>
  <c r="O62" i="55"/>
  <c r="W172" i="64"/>
  <c r="Z104" i="64"/>
  <c r="V41" i="56" l="1"/>
  <c r="V13" i="56"/>
  <c r="V40" i="56"/>
  <c r="V12" i="56"/>
  <c r="V39" i="56"/>
  <c r="V38" i="56"/>
  <c r="V10" i="56"/>
  <c r="V37" i="56"/>
  <c r="V9" i="56"/>
  <c r="V36" i="56"/>
  <c r="V35" i="56"/>
  <c r="V34" i="56"/>
  <c r="V48" i="56"/>
  <c r="Y9" i="56"/>
  <c r="Z9" i="56" s="1"/>
  <c r="V46" i="56"/>
  <c r="V45" i="56"/>
  <c r="V44" i="56"/>
  <c r="V17" i="56"/>
  <c r="V42" i="56"/>
  <c r="V29" i="56"/>
  <c r="V28" i="56"/>
  <c r="V51" i="56"/>
  <c r="V30" i="56"/>
  <c r="V31" i="56"/>
  <c r="V27" i="56"/>
  <c r="V23" i="56"/>
  <c r="V20" i="56"/>
  <c r="V24" i="56"/>
  <c r="V22" i="56"/>
  <c r="V21" i="56"/>
  <c r="V11" i="56"/>
  <c r="S12" i="48"/>
  <c r="W158" i="41"/>
  <c r="M65" i="48"/>
  <c r="E55" i="48"/>
  <c r="U55" i="48" s="1"/>
  <c r="U54" i="48"/>
  <c r="M33" i="55"/>
  <c r="Z172" i="64"/>
  <c r="X172" i="64"/>
  <c r="X171" i="64"/>
  <c r="X109" i="64"/>
  <c r="R2" i="48"/>
  <c r="S24" i="48"/>
  <c r="X104" i="64"/>
  <c r="M59" i="55"/>
  <c r="K65" i="48"/>
  <c r="M35" i="48"/>
  <c r="M61" i="48"/>
  <c r="L28" i="48"/>
  <c r="L64" i="48"/>
  <c r="L60" i="48"/>
  <c r="L34" i="48"/>
  <c r="O20" i="48"/>
  <c r="O221" i="37"/>
  <c r="O19" i="48"/>
  <c r="P15" i="56"/>
  <c r="P16" i="55"/>
  <c r="Q222" i="37"/>
  <c r="S34" i="39"/>
  <c r="T42" i="39"/>
  <c r="R222" i="37" s="1"/>
  <c r="Q17" i="55"/>
  <c r="P19" i="48" s="1"/>
  <c r="Q16" i="56"/>
  <c r="Q18" i="56"/>
  <c r="Q18" i="55"/>
  <c r="P219" i="37"/>
  <c r="P220" i="37"/>
  <c r="L59" i="55"/>
  <c r="L57" i="55"/>
  <c r="H65" i="48"/>
  <c r="H63" i="48"/>
  <c r="L33" i="55"/>
  <c r="L43" i="55"/>
  <c r="L47" i="55" s="1"/>
  <c r="L49" i="55" s="1"/>
  <c r="J59" i="55"/>
  <c r="J57" i="55"/>
  <c r="M52" i="48"/>
  <c r="M54" i="48"/>
  <c r="M55" i="48" s="1"/>
  <c r="I59" i="55"/>
  <c r="I57" i="55"/>
  <c r="H50" i="56"/>
  <c r="H52" i="56"/>
  <c r="H53" i="56" s="1"/>
  <c r="H59" i="55"/>
  <c r="H57" i="55"/>
  <c r="I61" i="55"/>
  <c r="I63" i="55"/>
  <c r="H61" i="55"/>
  <c r="H63" i="55"/>
  <c r="J43" i="55"/>
  <c r="J47" i="55" s="1"/>
  <c r="J49" i="55" s="1"/>
  <c r="J33" i="55"/>
  <c r="K54" i="48"/>
  <c r="K55" i="48" s="1"/>
  <c r="K52" i="48"/>
  <c r="I43" i="55"/>
  <c r="I47" i="55" s="1"/>
  <c r="I49" i="55" s="1"/>
  <c r="I33" i="55"/>
  <c r="I54" i="48"/>
  <c r="I55" i="48" s="1"/>
  <c r="I52" i="48"/>
  <c r="O61" i="55"/>
  <c r="O63" i="55"/>
  <c r="N52" i="56"/>
  <c r="N53" i="56" s="1"/>
  <c r="N50" i="56"/>
  <c r="G65" i="48"/>
  <c r="G63" i="48"/>
  <c r="L50" i="56"/>
  <c r="L52" i="56"/>
  <c r="L53" i="56" s="1"/>
  <c r="O59" i="55"/>
  <c r="O57" i="55"/>
  <c r="G35" i="48"/>
  <c r="G45" i="48"/>
  <c r="G49" i="48" s="1"/>
  <c r="G51" i="48" s="1"/>
  <c r="R10" i="48"/>
  <c r="F27" i="48"/>
  <c r="F21" i="48"/>
  <c r="N59" i="48"/>
  <c r="N61" i="48"/>
  <c r="AQ101" i="41"/>
  <c r="AR101" i="41"/>
  <c r="M50" i="55"/>
  <c r="M52" i="55"/>
  <c r="M53" i="55" s="1"/>
  <c r="N45" i="48"/>
  <c r="N49" i="48" s="1"/>
  <c r="N51" i="48" s="1"/>
  <c r="N35" i="48"/>
  <c r="H35" i="48"/>
  <c r="H45" i="48"/>
  <c r="H49" i="48" s="1"/>
  <c r="H51" i="48" s="1"/>
  <c r="J61" i="55"/>
  <c r="J63" i="55"/>
  <c r="I50" i="56"/>
  <c r="I52" i="56"/>
  <c r="I53" i="56" s="1"/>
  <c r="G32" i="55"/>
  <c r="G26" i="55"/>
  <c r="G58" i="55"/>
  <c r="G62" i="55"/>
  <c r="N61" i="55"/>
  <c r="N63" i="55"/>
  <c r="H43" i="55"/>
  <c r="H47" i="55" s="1"/>
  <c r="H49" i="55" s="1"/>
  <c r="H33" i="55"/>
  <c r="N59" i="55"/>
  <c r="N57" i="55"/>
  <c r="G61" i="48"/>
  <c r="G59" i="48"/>
  <c r="N33" i="55"/>
  <c r="N43" i="55"/>
  <c r="N47" i="55" s="1"/>
  <c r="N49" i="55" s="1"/>
  <c r="J50" i="56"/>
  <c r="J52" i="56"/>
  <c r="J53" i="56" s="1"/>
  <c r="J54" i="48"/>
  <c r="J55" i="48" s="1"/>
  <c r="J52" i="48"/>
  <c r="N63" i="48"/>
  <c r="N65" i="48"/>
  <c r="K52" i="55"/>
  <c r="K53" i="55" s="1"/>
  <c r="K50" i="55"/>
  <c r="M52" i="56"/>
  <c r="M53" i="56" s="1"/>
  <c r="M50" i="56"/>
  <c r="G26" i="56"/>
  <c r="G32" i="56"/>
  <c r="O33" i="55"/>
  <c r="O43" i="55"/>
  <c r="O47" i="55" s="1"/>
  <c r="O49" i="55" s="1"/>
  <c r="L63" i="55"/>
  <c r="L61" i="55"/>
  <c r="H61" i="48"/>
  <c r="H59" i="48"/>
  <c r="S10" i="48" l="1"/>
  <c r="V15" i="48"/>
  <c r="V36" i="48"/>
  <c r="V43" i="48"/>
  <c r="V37" i="48"/>
  <c r="V44" i="48"/>
  <c r="V38" i="48"/>
  <c r="V46" i="48"/>
  <c r="Y10" i="48"/>
  <c r="Z10" i="48" s="1"/>
  <c r="V39" i="48"/>
  <c r="V47" i="48"/>
  <c r="V40" i="48"/>
  <c r="V48" i="48"/>
  <c r="V13" i="48"/>
  <c r="V41" i="48"/>
  <c r="V50" i="48"/>
  <c r="V10" i="48"/>
  <c r="V14" i="48"/>
  <c r="V42" i="48"/>
  <c r="V31" i="48"/>
  <c r="V30" i="48"/>
  <c r="V53" i="48"/>
  <c r="V33" i="48"/>
  <c r="V32" i="48"/>
  <c r="V29" i="48"/>
  <c r="V23" i="48"/>
  <c r="V11" i="48"/>
  <c r="V25" i="48"/>
  <c r="V26" i="48"/>
  <c r="V22" i="48"/>
  <c r="V12" i="48"/>
  <c r="V24" i="48"/>
  <c r="O223" i="37"/>
  <c r="O227" i="37"/>
  <c r="O229" i="37" s="1"/>
  <c r="Q15" i="56"/>
  <c r="Q14" i="56" s="1"/>
  <c r="Q25" i="56" s="1"/>
  <c r="Q16" i="55"/>
  <c r="R16" i="56"/>
  <c r="R18" i="56"/>
  <c r="R17" i="55"/>
  <c r="Q19" i="48" s="1"/>
  <c r="R19" i="48" s="1"/>
  <c r="R18" i="55"/>
  <c r="Q220" i="37"/>
  <c r="R220" i="37" s="1"/>
  <c r="Q219" i="37"/>
  <c r="L35" i="48"/>
  <c r="L45" i="48"/>
  <c r="L49" i="48" s="1"/>
  <c r="L51" i="48" s="1"/>
  <c r="P14" i="56"/>
  <c r="L61" i="48"/>
  <c r="L59" i="48"/>
  <c r="O18" i="48"/>
  <c r="P19" i="55"/>
  <c r="P15" i="55"/>
  <c r="P221" i="37"/>
  <c r="S16" i="56"/>
  <c r="L65" i="48"/>
  <c r="L63" i="48"/>
  <c r="P20" i="48"/>
  <c r="G63" i="55"/>
  <c r="G61" i="55"/>
  <c r="G57" i="55"/>
  <c r="G59" i="55"/>
  <c r="F28" i="48"/>
  <c r="F34" i="48"/>
  <c r="F64" i="48"/>
  <c r="O50" i="55"/>
  <c r="O52" i="55"/>
  <c r="O53" i="55" s="1"/>
  <c r="G52" i="48"/>
  <c r="G54" i="48"/>
  <c r="G55" i="48" s="1"/>
  <c r="G43" i="56"/>
  <c r="G33" i="56"/>
  <c r="N50" i="55"/>
  <c r="N52" i="55"/>
  <c r="N53" i="55" s="1"/>
  <c r="L50" i="55"/>
  <c r="L52" i="55"/>
  <c r="L53" i="55" s="1"/>
  <c r="J52" i="55"/>
  <c r="J53" i="55" s="1"/>
  <c r="J50" i="55"/>
  <c r="G43" i="55"/>
  <c r="G33" i="55"/>
  <c r="N52" i="48"/>
  <c r="N54" i="48"/>
  <c r="N55" i="48" s="1"/>
  <c r="H54" i="48"/>
  <c r="H55" i="48" s="1"/>
  <c r="H52" i="48"/>
  <c r="H50" i="55"/>
  <c r="H52" i="55"/>
  <c r="H53" i="55" s="1"/>
  <c r="I50" i="55"/>
  <c r="I52" i="55"/>
  <c r="I53" i="55" s="1"/>
  <c r="S19" i="56" l="1"/>
  <c r="V19" i="56" s="1"/>
  <c r="V16" i="56"/>
  <c r="S19" i="48"/>
  <c r="V19" i="48"/>
  <c r="Q20" i="48"/>
  <c r="R20" i="48" s="1"/>
  <c r="S18" i="55"/>
  <c r="O21" i="48"/>
  <c r="O17" i="48"/>
  <c r="R15" i="56"/>
  <c r="R14" i="56" s="1"/>
  <c r="R25" i="56" s="1"/>
  <c r="R16" i="55"/>
  <c r="P223" i="37"/>
  <c r="P227" i="37"/>
  <c r="P229" i="37" s="1"/>
  <c r="P14" i="55"/>
  <c r="S18" i="56"/>
  <c r="V18" i="56" s="1"/>
  <c r="S17" i="55"/>
  <c r="V17" i="55" s="1"/>
  <c r="S15" i="56"/>
  <c r="V15" i="56" s="1"/>
  <c r="P25" i="56"/>
  <c r="Q221" i="37"/>
  <c r="R219" i="37"/>
  <c r="R221" i="37" s="1"/>
  <c r="P18" i="48"/>
  <c r="Q19" i="55"/>
  <c r="Q15" i="55"/>
  <c r="Q14" i="55" s="1"/>
  <c r="Q25" i="55" s="1"/>
  <c r="Q32" i="56"/>
  <c r="Q26" i="56"/>
  <c r="L54" i="48"/>
  <c r="L55" i="48" s="1"/>
  <c r="L52" i="48"/>
  <c r="F65" i="48"/>
  <c r="F63" i="48"/>
  <c r="G47" i="55"/>
  <c r="G47" i="56"/>
  <c r="F61" i="48"/>
  <c r="F59" i="48"/>
  <c r="F45" i="48"/>
  <c r="F35" i="48"/>
  <c r="S20" i="48" l="1"/>
  <c r="V20" i="48"/>
  <c r="S67" i="55"/>
  <c r="V18" i="55"/>
  <c r="S56" i="56"/>
  <c r="R230" i="37"/>
  <c r="S66" i="55"/>
  <c r="S65" i="55"/>
  <c r="S14" i="56"/>
  <c r="V14" i="56" s="1"/>
  <c r="Q33" i="56"/>
  <c r="Q43" i="56"/>
  <c r="Q47" i="56" s="1"/>
  <c r="Q49" i="56" s="1"/>
  <c r="Q58" i="55"/>
  <c r="Q26" i="55"/>
  <c r="Q32" i="55"/>
  <c r="Q62" i="55"/>
  <c r="O16" i="48"/>
  <c r="P21" i="48"/>
  <c r="P17" i="48"/>
  <c r="P16" i="48" s="1"/>
  <c r="P27" i="48" s="1"/>
  <c r="R223" i="37"/>
  <c r="R227" i="37"/>
  <c r="R229" i="37" s="1"/>
  <c r="R32" i="56"/>
  <c r="R26" i="56"/>
  <c r="P25" i="55"/>
  <c r="Q18" i="48"/>
  <c r="R19" i="55"/>
  <c r="R15" i="55"/>
  <c r="Q223" i="37"/>
  <c r="Q227" i="37"/>
  <c r="Q229" i="37" s="1"/>
  <c r="R18" i="48"/>
  <c r="P26" i="56"/>
  <c r="P32" i="56"/>
  <c r="S25" i="56"/>
  <c r="S16" i="55"/>
  <c r="G49" i="55"/>
  <c r="G49" i="56"/>
  <c r="F49" i="48"/>
  <c r="S19" i="55" l="1"/>
  <c r="V19" i="55" s="1"/>
  <c r="V16" i="55"/>
  <c r="V18" i="48"/>
  <c r="S26" i="56"/>
  <c r="V26" i="56" s="1"/>
  <c r="V25" i="56"/>
  <c r="R21" i="48"/>
  <c r="S18" i="48"/>
  <c r="R14" i="55"/>
  <c r="S15" i="55"/>
  <c r="V15" i="55" s="1"/>
  <c r="O27" i="48"/>
  <c r="Q63" i="55"/>
  <c r="Q61" i="55"/>
  <c r="P34" i="48"/>
  <c r="P60" i="48"/>
  <c r="P64" i="48"/>
  <c r="P28" i="48"/>
  <c r="Q33" i="55"/>
  <c r="Q43" i="55"/>
  <c r="Q47" i="55" s="1"/>
  <c r="Q49" i="55" s="1"/>
  <c r="P26" i="55"/>
  <c r="P32" i="55"/>
  <c r="P62" i="55"/>
  <c r="P58" i="55"/>
  <c r="Q50" i="56"/>
  <c r="Q52" i="56"/>
  <c r="Q53" i="56" s="1"/>
  <c r="P33" i="56"/>
  <c r="P43" i="56"/>
  <c r="S32" i="56"/>
  <c r="Q21" i="48"/>
  <c r="Q16" i="48"/>
  <c r="Q27" i="48" s="1"/>
  <c r="Q57" i="55"/>
  <c r="Q59" i="55"/>
  <c r="R33" i="56"/>
  <c r="R43" i="56"/>
  <c r="R47" i="56" s="1"/>
  <c r="R49" i="56" s="1"/>
  <c r="F51" i="48"/>
  <c r="G52" i="56"/>
  <c r="G50" i="56"/>
  <c r="G52" i="55"/>
  <c r="G50" i="55"/>
  <c r="S21" i="48" l="1"/>
  <c r="V21" i="48"/>
  <c r="S33" i="56"/>
  <c r="V33" i="56" s="1"/>
  <c r="V32" i="56"/>
  <c r="R17" i="48"/>
  <c r="R16" i="48"/>
  <c r="P63" i="48"/>
  <c r="P65" i="48"/>
  <c r="P59" i="48"/>
  <c r="P61" i="48"/>
  <c r="P35" i="48"/>
  <c r="P45" i="48"/>
  <c r="P49" i="48" s="1"/>
  <c r="P51" i="48" s="1"/>
  <c r="Q52" i="55"/>
  <c r="Q53" i="55" s="1"/>
  <c r="Q50" i="55"/>
  <c r="P47" i="56"/>
  <c r="S43" i="56"/>
  <c r="V43" i="56" s="1"/>
  <c r="R52" i="56"/>
  <c r="R53" i="56" s="1"/>
  <c r="R50" i="56"/>
  <c r="P59" i="55"/>
  <c r="P57" i="55"/>
  <c r="P61" i="55"/>
  <c r="P63" i="55"/>
  <c r="O34" i="48"/>
  <c r="O28" i="48"/>
  <c r="O60" i="48"/>
  <c r="O64" i="48"/>
  <c r="R27" i="48"/>
  <c r="P43" i="55"/>
  <c r="P33" i="55"/>
  <c r="Q60" i="48"/>
  <c r="Q28" i="48"/>
  <c r="Q64" i="48"/>
  <c r="Q34" i="48"/>
  <c r="R25" i="55"/>
  <c r="S14" i="55"/>
  <c r="V14" i="55" s="1"/>
  <c r="G53" i="56"/>
  <c r="F52" i="48"/>
  <c r="F54" i="48"/>
  <c r="G53" i="55"/>
  <c r="S27" i="48" l="1"/>
  <c r="V27" i="48"/>
  <c r="S16" i="48"/>
  <c r="V16" i="48"/>
  <c r="S17" i="48"/>
  <c r="V17" i="48"/>
  <c r="O65" i="48"/>
  <c r="O63" i="48"/>
  <c r="P49" i="56"/>
  <c r="S47" i="56"/>
  <c r="V47" i="56" s="1"/>
  <c r="O59" i="48"/>
  <c r="O61" i="48"/>
  <c r="P47" i="55"/>
  <c r="R28" i="48"/>
  <c r="R60" i="48"/>
  <c r="R64" i="48"/>
  <c r="P52" i="48"/>
  <c r="P54" i="48"/>
  <c r="P55" i="48" s="1"/>
  <c r="R26" i="55"/>
  <c r="R32" i="55"/>
  <c r="R62" i="55"/>
  <c r="R58" i="55"/>
  <c r="S25" i="55"/>
  <c r="V25" i="55" s="1"/>
  <c r="O45" i="48"/>
  <c r="O35" i="48"/>
  <c r="R34" i="48"/>
  <c r="V34" i="48" s="1"/>
  <c r="Q45" i="48"/>
  <c r="Q49" i="48" s="1"/>
  <c r="Q51" i="48" s="1"/>
  <c r="Q35" i="48"/>
  <c r="Q65" i="48"/>
  <c r="Q63" i="48"/>
  <c r="Q59" i="48"/>
  <c r="Q61" i="48"/>
  <c r="F55" i="48"/>
  <c r="S28" i="48" l="1"/>
  <c r="V28" i="48"/>
  <c r="R35" i="48"/>
  <c r="S34" i="48"/>
  <c r="O49" i="48"/>
  <c r="R45" i="48"/>
  <c r="P49" i="55"/>
  <c r="Q54" i="48"/>
  <c r="Q55" i="48" s="1"/>
  <c r="Q52" i="48"/>
  <c r="S26" i="55"/>
  <c r="V26" i="55" s="1"/>
  <c r="S58" i="55"/>
  <c r="S62" i="55"/>
  <c r="R63" i="48"/>
  <c r="R65" i="48"/>
  <c r="R61" i="48"/>
  <c r="R59" i="48"/>
  <c r="R57" i="55"/>
  <c r="R59" i="55"/>
  <c r="R63" i="55"/>
  <c r="R61" i="55"/>
  <c r="R43" i="55"/>
  <c r="R33" i="55"/>
  <c r="S32" i="55"/>
  <c r="P50" i="56"/>
  <c r="P52" i="56"/>
  <c r="S49" i="56"/>
  <c r="S45" i="48" l="1"/>
  <c r="V45" i="48"/>
  <c r="S33" i="55"/>
  <c r="V33" i="55" s="1"/>
  <c r="V32" i="55"/>
  <c r="S35" i="48"/>
  <c r="V35" i="48"/>
  <c r="S50" i="56"/>
  <c r="V50" i="56" s="1"/>
  <c r="V49" i="56"/>
  <c r="S63" i="55"/>
  <c r="S61" i="55"/>
  <c r="P53" i="56"/>
  <c r="S52" i="56"/>
  <c r="S57" i="55"/>
  <c r="S59" i="55"/>
  <c r="R47" i="55"/>
  <c r="S43" i="55"/>
  <c r="V43" i="55" s="1"/>
  <c r="P52" i="55"/>
  <c r="P50" i="55"/>
  <c r="O51" i="48"/>
  <c r="R49" i="48"/>
  <c r="S49" i="48" l="1"/>
  <c r="V49" i="48"/>
  <c r="S53" i="56"/>
  <c r="V52" i="56"/>
  <c r="P53" i="55"/>
  <c r="R49" i="55"/>
  <c r="S47" i="55"/>
  <c r="O54" i="48"/>
  <c r="O52" i="48"/>
  <c r="R51" i="48"/>
  <c r="V51" i="48" s="1"/>
  <c r="T48" i="55" l="1"/>
  <c r="V47" i="55"/>
  <c r="R52" i="48"/>
  <c r="S51" i="48"/>
  <c r="O55" i="48"/>
  <c r="R54" i="48"/>
  <c r="V54" i="48" s="1"/>
  <c r="R50" i="55"/>
  <c r="R52" i="55"/>
  <c r="S49" i="55"/>
  <c r="S50" i="55" l="1"/>
  <c r="V50" i="55" s="1"/>
  <c r="V49" i="55"/>
  <c r="S52" i="48"/>
  <c r="V52" i="48"/>
  <c r="R55" i="48"/>
  <c r="S54" i="48"/>
  <c r="R53" i="55"/>
  <c r="S52" i="55"/>
  <c r="S55" i="48" l="1"/>
  <c r="V55" i="48"/>
  <c r="S53" i="55"/>
  <c r="V52" i="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tc={696CC617-39B8-481A-BEB3-2943E8B034E6}</author>
  </authors>
  <commentList>
    <comment ref="K82" authorId="0" shapeId="0" xr:uid="{696CC617-39B8-481A-BEB3-2943E8B034E6}">
      <text>
        <t>[Threaded comment]
Your version of Excel allows you to read this threaded comment; however, any edits to it will get removed if the file is opened in a newer version of Excel. Learn more: https://go.microsoft.com/fwlink/?linkid=870924
Comment:
    Chuyển sang băm</t>
      </text>
    </comment>
  </commentList>
</comments>
</file>

<file path=xl/sharedStrings.xml><?xml version="1.0" encoding="utf-8"?>
<sst xmlns="http://schemas.openxmlformats.org/spreadsheetml/2006/main" count="12868" uniqueCount="2254">
  <si>
    <t>DUY TAN GROUP</t>
  </si>
  <si>
    <t>Deadline</t>
  </si>
  <si>
    <t>THÁNG 09</t>
  </si>
  <si>
    <t>THÁNG 10</t>
  </si>
  <si>
    <t>THÁNG 11</t>
  </si>
  <si>
    <t>No.</t>
  </si>
  <si>
    <t>Thời gian</t>
  </si>
  <si>
    <t>(Ngày)</t>
  </si>
  <si>
    <t>M</t>
  </si>
  <si>
    <t>T</t>
  </si>
  <si>
    <t>W</t>
  </si>
  <si>
    <t>TH</t>
  </si>
  <si>
    <t>F</t>
  </si>
  <si>
    <t>Sa</t>
  </si>
  <si>
    <t>Su</t>
  </si>
  <si>
    <t>Khởi động</t>
  </si>
  <si>
    <t>GĐTC holding</t>
  </si>
  <si>
    <t>Kế hoạch Doanh thu / Sản lượng</t>
  </si>
  <si>
    <t>Kế hoạch giá cả nguyên vật liệu</t>
  </si>
  <si>
    <t>Kế hoạch chi phí vận chuyển, cước xuất khẩu,...</t>
  </si>
  <si>
    <t>Kế hoạch sản xuất</t>
  </si>
  <si>
    <t>Kế hoạch biến phí sản xuất</t>
  </si>
  <si>
    <t>Kế hoạch nhân sự (số lượng nhân sự, quỹ lương, chi phí đào tạo,...)</t>
  </si>
  <si>
    <t>Ngân sách đầu tư</t>
  </si>
  <si>
    <t>Ngân sách chi phí sản xuất (không bao gồm lương)</t>
  </si>
  <si>
    <t>Ngân sách chi phí bán hàng &amp; chí phí quản lý (không bao gồm lương)</t>
  </si>
  <si>
    <t>Tổng hợp kết quả ngân sách mỗi công ty</t>
  </si>
  <si>
    <t>Kế toán quản trị</t>
  </si>
  <si>
    <t>KTT/GĐTC</t>
  </si>
  <si>
    <t>Trình bày kết quả ngân sách của mỗi công ty đến TGĐ (Bottom up)</t>
  </si>
  <si>
    <t>TGĐ</t>
  </si>
  <si>
    <t>Trình bày kết quả ngân sách của mỗi công ty đến TGĐ (Top down)</t>
  </si>
  <si>
    <t>Trình bày kết quả ngân sách của mỗi công ty đến TGĐ (Chính thức)</t>
  </si>
  <si>
    <t>Hợp nhất ngân sách cho toàn bộ DT Group</t>
  </si>
  <si>
    <t>KTQT holding</t>
  </si>
  <si>
    <t>Trình bày kết quả ngân sách hợp nhất cho toàn bộ DT Group</t>
  </si>
  <si>
    <t>STT</t>
  </si>
  <si>
    <t>Nội dung</t>
  </si>
  <si>
    <t>Nguồn cung cấp 
dữ liệu</t>
  </si>
  <si>
    <t>Nguồn thông tin liên quan</t>
  </si>
  <si>
    <t>Thời gian cần dữ liệu</t>
  </si>
  <si>
    <t>Màu sheet</t>
  </si>
  <si>
    <t>Thông tin</t>
  </si>
  <si>
    <t>Ban hành Nhóm-Loại NVL Trạm thu mua</t>
  </si>
  <si>
    <t>GĐĐH Trạm - DTR</t>
  </si>
  <si>
    <t>1. BGĐ DTR
2. Phòng cung ứng DTR</t>
  </si>
  <si>
    <t>Kết quả kinh doanh tổng hợp</t>
  </si>
  <si>
    <t>Ban hành Sản lượng Trạm thu mua</t>
  </si>
  <si>
    <t>Kết quả kinh doanh PET và HD</t>
  </si>
  <si>
    <t>Ban hành đơn giá MUA từng loại NVL</t>
  </si>
  <si>
    <t>1. Phòng cung ứng DTR đề xuất KH năm 2026 (Dữ liệu theo từng tháng)
2. KTT các trạm cung cấp đơn giá bình quân thực tế mua theo từng tháng 
( Dữ liệu năm 2023-2024-2025)
3. Đơn giá BGĐ-DTR duyệt mua trong năm 2025 (Dữ liệu theo từng tháng)</t>
  </si>
  <si>
    <t>Ban hành đơn giá BÁN từng loại thành phẩm</t>
  </si>
  <si>
    <t>Ban hành Định mức về Công suất MMTB - Định mức về CP phục vụ sản xuất - Định biên Nhân sự</t>
  </si>
  <si>
    <t>Kế hoạch đầu tư CAPEX tại Trạm 
=&gt; Ảnh hưởng đến Sản phẩm và TCKT Trạm cung cấp đến DTR</t>
  </si>
  <si>
    <t>1. BGĐ DTR
2. Phòng kỹ thuật DTR
3. Phòng mua hàng DTR</t>
  </si>
  <si>
    <t>Ban hành sản lượng - đơn giá - Cơ cấu về: NVL - Thành phẩm - Hao hụt - Bán hàng</t>
  </si>
  <si>
    <t>Nhóm Chi phí:CP Sản xuất - CP Bán hàng - CP Quản lý (Công thức từ: Định mức - Lương - PB_TSCD - PB_CPTT - nhóm NVL - Phát sinh trực tiếp)</t>
  </si>
  <si>
    <t>Cập nhật TSCĐ - CPTT năm trước chuyển sang và Capex 2026</t>
  </si>
  <si>
    <t>…</t>
  </si>
  <si>
    <t>Thông tin khác</t>
  </si>
  <si>
    <t>KẾ HOẠCH KINH DOANH 2026</t>
  </si>
  <si>
    <t>Nguồn yêu cầu: GĐTC-DTR</t>
  </si>
  <si>
    <t>Nhóm công việc</t>
  </si>
  <si>
    <t>Kế hoạch hành động</t>
  </si>
  <si>
    <t>Người thực hiện</t>
  </si>
  <si>
    <t>Thời gian hoàn thành tính toán và xác lập mục tiêu 2026</t>
  </si>
  <si>
    <t>Hiện trạng / vướng mắt / giải pháp (tại thời điểm tháng 10/2025)</t>
  </si>
  <si>
    <t>Mục tiêu 2026 (rolling hàng tháng)</t>
  </si>
  <si>
    <t>KHNS 2026</t>
  </si>
  <si>
    <t>Thực hiện 2025</t>
  </si>
  <si>
    <t>Tăng/giảm vs KHNS 2026</t>
  </si>
  <si>
    <t>Đánh giá KQ đạt được (cập nhật đến thời điểm báo cáo)</t>
  </si>
  <si>
    <t>Mục tiêu T1</t>
  </si>
  <si>
    <t>Mục tiêu T2</t>
  </si>
  <si>
    <t>Mục tiêu T3</t>
  </si>
  <si>
    <t>Mục tiêu T4</t>
  </si>
  <si>
    <t>Mục tiêu T5</t>
  </si>
  <si>
    <t>Mục tiêu T6</t>
  </si>
  <si>
    <t>Mục tiêu T7</t>
  </si>
  <si>
    <t>Mục tiêu T8</t>
  </si>
  <si>
    <t>Mục tiêu T9</t>
  </si>
  <si>
    <t>Mục tiêu T10</t>
  </si>
  <si>
    <t>Mục tiêu T11</t>
  </si>
  <si>
    <t>Mục tiêu T12</t>
  </si>
  <si>
    <t>Dự báo KQ 2026</t>
  </si>
  <si>
    <t>Theo số tiền phát sinh</t>
  </si>
  <si>
    <t>Theo mức độ hoạt động</t>
  </si>
  <si>
    <t>%</t>
  </si>
  <si>
    <t>A</t>
  </si>
  <si>
    <t>HOẠT ĐỘNG MUA HÀNG</t>
  </si>
  <si>
    <t>Đáp ứng sản lượng mua cho Trạm</t>
  </si>
  <si>
    <t>Lập mục tiêu sản lượng mua để Trạm đạt hòa vốn và có lãi.</t>
  </si>
  <si>
    <t>Xây dựng các trạm vệ tinh để tăng lượng chai về Trạm.</t>
  </si>
  <si>
    <t>Phát triển thêm các NCC liên kết ở tỉnh.</t>
  </si>
  <si>
    <t>Đàm phán tăng sản lượng mua từ các NCC đang giao dịch.</t>
  </si>
  <si>
    <t>Cải thiện dịch vụ khách hàng</t>
  </si>
  <si>
    <t>Cải thiện thời gian nhận hàng</t>
  </si>
  <si>
    <t>Thanh toán trong ngày và cuối tuần</t>
  </si>
  <si>
    <t>B</t>
  </si>
  <si>
    <t>HOẠT ĐỘNG BÁN HÀNG</t>
  </si>
  <si>
    <t>Giá bán về DTR</t>
  </si>
  <si>
    <t>Áp dụng cơ cấu giá mới từ Tháng 9/2025</t>
  </si>
  <si>
    <t>Kiểm soát tồn kho thành phẩm</t>
  </si>
  <si>
    <t>Lập KH giao hàng về DTR hàng ngày, ngày cuối tháng không để tồn kho và xuất hóa đơn 100%</t>
  </si>
  <si>
    <t>Chi phí thuê xe vận chuyển</t>
  </si>
  <si>
    <t xml:space="preserve">- Đàm phán giảm giá, đề nghị NCC sử dụng phương tiện vận chuyển hiệu quả.
- Tìm NCC mới cạnh tranh. </t>
  </si>
  <si>
    <t>C</t>
  </si>
  <si>
    <t>HOẠT ĐỘNG CẢI TIẾN CHI PHÍ</t>
  </si>
  <si>
    <t>I</t>
  </si>
  <si>
    <t>Chi phí nguyên vật liệu</t>
  </si>
  <si>
    <t>Kiểm soát lượng mua, giá mua</t>
  </si>
  <si>
    <t>- Lập mục tiêu tồn kho tối thiểu 10 ngày sản xuất và phối hợp P.Cung ứng lập KH mua hàng theo tuần.
- Kiểm soát giá mua tương ứng với từng mức chất lượng chai.</t>
  </si>
  <si>
    <t>Kiểm soát chất lượng NVL, hao hụt</t>
  </si>
  <si>
    <t xml:space="preserve"> Kiểm soát chất lượng chai (tỷ lệ chai nguyên liệu - Chai xá/xô tuyển, thành phần chai sau phân loại, tỷ lệ tạp chất).</t>
  </si>
  <si>
    <t>Kiểm soát định mức vật tư sản xuất (hóa chất, dây đai, vật tư kỹ thuật …)</t>
  </si>
  <si>
    <t>- Thống kê và thực hiện cải tiến tiêu hao.
- Mua tập trung tại P.Mua hàng DTR.</t>
  </si>
  <si>
    <t>Xử lý phế liệu, phó sản thu hồi</t>
  </si>
  <si>
    <t>Phân loại phế liệu thành 2 nhóm:
- Nhóm hàng hóa (nhãn, bao jumbo, kim loại,…): tìm đơn vị thu mua giá cao
- Nhóm rác thải công nghiệp (bùn, hỗn hợp tạp chất): thuê thu gom</t>
  </si>
  <si>
    <t>II</t>
  </si>
  <si>
    <t>Chi phí nhân công</t>
  </si>
  <si>
    <t>Định mức NCTT</t>
  </si>
  <si>
    <t>- Kiểm soát định mức NCTT theo chuyền/công đoạn.
- Thực hiện tiêu chuẩn hóa/tự động hóa MMTB để giảm nhân công, tăng năng suất.
- Tăng số lượng lao động thời vụ.
- Tính toán phương án trả lương/ thưởng theo sản lượng.</t>
  </si>
  <si>
    <t>Năng suất lao động</t>
  </si>
  <si>
    <t>- Lập mục tiêu tăng thời gian sản xuất từ 8 giờ/ngày -&gt; 12 giờ -&gt; 16 giờ -&gt; 24 giờ.</t>
  </si>
  <si>
    <t>III</t>
  </si>
  <si>
    <t>Chi phí sản xuất chung</t>
  </si>
  <si>
    <t>Chi phí điện</t>
  </si>
  <si>
    <t>- Phối hợp kỹ thuật bảo trì MMTB đảm bảo hoạt động liên tục -&gt; tăng hiệu quả sử dụng điện và tăng năng suất lao động.</t>
  </si>
  <si>
    <t>Chi phí xe nâng</t>
  </si>
  <si>
    <t>- Chuyển dần xe nâng dầu từ DTR về các Trạm (các xe của trạm sửa chữa nhiều sẽ thanh lý)</t>
  </si>
  <si>
    <t>Chi phí khấu hao TSCĐ, CCDC, chi phí phân bổ khác</t>
  </si>
  <si>
    <t xml:space="preserve">- Thống kê, đánh giá lại hiệu quả sử dụng tất cả TS.
- Tách chi phí khấu hao/phân bổ không phục vụ trực tiếp hoạt động để đánh giá hiệu quả KD thực của trạm. </t>
  </si>
  <si>
    <t>Chi phí thuê xưởng</t>
  </si>
  <si>
    <t>- Tìm vị trí và đề xuất phương án di dời nhà máy để giảm tiền thu, tăng hiệu quả thu mua.</t>
  </si>
  <si>
    <t>IV</t>
  </si>
  <si>
    <t>Chi phí quản lý</t>
  </si>
  <si>
    <t>Chi phí lương (gồm gián tiếp SX)</t>
  </si>
  <si>
    <t xml:space="preserve">Soát xét định biên và kế hoạch tuyển dụng, lập mục tiêu giảm định biên đến cuối 2026
</t>
  </si>
  <si>
    <t>Chi phí theo mục phí (ngoài chi phí lương)</t>
  </si>
  <si>
    <t>- Lập danh mục chi phí dịch vụ thuê/mua trả tiền định kỳ (nhóm dịch vụ/phòng ban quản lý, tên NCC, hợp đồng mới nhất, tiền trả định kỳ tháng/quý/năm, thời hạn công nợ) -&gt; đàm phán từng NC giảm giá và tìm NCC mới cạnh tranh
- XD định mức chi phí cho các khoản mục có thể xác lập định mức
- Phân tích chi phí, nguyên nhân tăng/giảm và giải pháp cải tiến.</t>
  </si>
  <si>
    <t>V</t>
  </si>
  <si>
    <t>Mục tiêu lợi nhuận</t>
  </si>
  <si>
    <t>Lợi nhuận kế hoạch đến cuối năm 2026</t>
  </si>
  <si>
    <t xml:space="preserve">Sau khi đánh giá, xác lập các mục tiêu bên trên, tính toán lợi nhuận kế hoạch đến cuối năm 2026
</t>
  </si>
  <si>
    <t>MỤC TIÊU KẾT QUẢ KINH DOANH NĂM 2026</t>
  </si>
  <si>
    <t>ĐVT: Triệu đồng</t>
  </si>
  <si>
    <t>Mục phí</t>
  </si>
  <si>
    <t>Thực tế năm 2024</t>
  </si>
  <si>
    <t>KQKD 2025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</si>
  <si>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</si>
  <si>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</si>
  <si>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</si>
  <si>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</si>
  <si>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</si>
  <si>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</si>
  <si>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</si>
  <si>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</si>
  <si>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</si>
  <si>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</si>
  <si>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</si>
  <si>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</si>
  <si>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Mục tiêu 2026</t>
  </si>
  <si>
    <t>1</t>
  </si>
  <si>
    <t>SẢN LƯỢNG BÁN (TẤN)</t>
  </si>
  <si>
    <t>1.1</t>
  </si>
  <si>
    <t>Chai PET</t>
  </si>
  <si>
    <t>1.2</t>
  </si>
  <si>
    <t>Vảy PET</t>
  </si>
  <si>
    <t>1.3</t>
  </si>
  <si>
    <t>Vảy HD</t>
  </si>
  <si>
    <t xml:space="preserve">DOANH THU </t>
  </si>
  <si>
    <t>2.1</t>
  </si>
  <si>
    <t>2.2</t>
  </si>
  <si>
    <t>2.3</t>
  </si>
  <si>
    <t>2.4</t>
  </si>
  <si>
    <t>Khác</t>
  </si>
  <si>
    <t>BIẾN PHÍ</t>
  </si>
  <si>
    <t>BIẾN PHÍ SẢN XUẤT</t>
  </si>
  <si>
    <t>3.1.1</t>
  </si>
  <si>
    <t>Nguyên vật liệu chính (nhựa, gồm hao hụt)</t>
  </si>
  <si>
    <t>3.1.2</t>
  </si>
  <si>
    <t>Trong đó: i/ Hao hụt CĐ phân loại chai</t>
  </si>
  <si>
    <t xml:space="preserve">               ii/ Hao hụt CĐ băm vảy</t>
  </si>
  <si>
    <t>3.1.3</t>
  </si>
  <si>
    <t>% chi phí nguyên liệu/doanh thu</t>
  </si>
  <si>
    <t>3.1.4</t>
  </si>
  <si>
    <t>Nguyên vật liệu phụ</t>
  </si>
  <si>
    <t>3.1.5</t>
  </si>
  <si>
    <t>Điện sản xuất</t>
  </si>
  <si>
    <t>3.1.6</t>
  </si>
  <si>
    <t>Nhân công trực tiếp</t>
  </si>
  <si>
    <t>BIẾN PHÍ BÁN HÀNG</t>
  </si>
  <si>
    <t>Chi phí vận chuyển</t>
  </si>
  <si>
    <t>LÃI SAU BIẾN PHÍ</t>
  </si>
  <si>
    <t>4.1</t>
  </si>
  <si>
    <t>% lãi biến phí/doanh thu</t>
  </si>
  <si>
    <t>CHI PHÍ SẢN XUẤT CHUNG</t>
  </si>
  <si>
    <t>Lương gián tiếp Sản xuất</t>
  </si>
  <si>
    <t>Chi phí sản xuất (Ngoài lương, BOM, thuê xưởng, khấu hao)</t>
  </si>
  <si>
    <t>CHI PHÍ KHẤU HAO, CCDC</t>
  </si>
  <si>
    <t>LỢI NHUẬN GỘP</t>
  </si>
  <si>
    <t>7.1</t>
  </si>
  <si>
    <t>% lãi gộp/doanh thu</t>
  </si>
  <si>
    <t>CHI PHÍ BÁN HÀNG &amp; MKT &amp; R&amp;D</t>
  </si>
  <si>
    <t>Lương</t>
  </si>
  <si>
    <t>Chi phí bán hàng (ngoài lương, khấu hao)</t>
  </si>
  <si>
    <t>Khấu hao tài sản</t>
  </si>
  <si>
    <t>CHI PHÍ QUẢN LÝ</t>
  </si>
  <si>
    <t>Chi phí quản lý (ngoài lương, khấu hao)</t>
  </si>
  <si>
    <t>DOANH THU/CHI PHÍ KHÁC</t>
  </si>
  <si>
    <t>LỢI NHUẬN THUẦN TỪ HOẠT ĐỘNG KINH DOANH</t>
  </si>
  <si>
    <t>DOANH THU TÀI CHÍNH</t>
  </si>
  <si>
    <t>CHI PHÍ TÀI CHÍNH</t>
  </si>
  <si>
    <t xml:space="preserve">Trong đó: chi phí lãi vay </t>
  </si>
  <si>
    <t>LỢI NHUẬN TRƯỚC THUẾ</t>
  </si>
  <si>
    <t>THUẾ TNDN</t>
  </si>
  <si>
    <t>LỢI NHUẬN SAU THUẾ</t>
  </si>
  <si>
    <t>16.1</t>
  </si>
  <si>
    <t>% LNST/doanh thu</t>
  </si>
  <si>
    <t>LỢI NHUẬN KHÔNG BAO GỒM KHẤU HAO, LÃI VAY</t>
  </si>
  <si>
    <t>18.1</t>
  </si>
  <si>
    <t>% LN không gồm khấu hao/doanh thu</t>
  </si>
  <si>
    <t>1. Hòa vốn (Bao gồm khấu hao)</t>
  </si>
  <si>
    <t>Sản lượng NVL hòa vốn (tấn)</t>
  </si>
  <si>
    <t>Sản lượng thành phẩm hòa vốn (tấn)</t>
  </si>
  <si>
    <t>Doanh thu hòa vốn (triệu đồng)</t>
  </si>
  <si>
    <t>2. Hòa vốn (Không bao gồm khấu hao)</t>
  </si>
  <si>
    <t>Thực tế năm 2023</t>
  </si>
  <si>
    <t>Kiểm tra lại các sheet chi phí</t>
  </si>
  <si>
    <t>5.1</t>
  </si>
  <si>
    <t>5.2</t>
  </si>
  <si>
    <t>5.3</t>
  </si>
  <si>
    <t>8.1</t>
  </si>
  <si>
    <t>8.2</t>
  </si>
  <si>
    <t>8.3</t>
  </si>
  <si>
    <t>9.1</t>
  </si>
  <si>
    <t>9.2</t>
  </si>
  <si>
    <t>9.3</t>
  </si>
  <si>
    <t>&lt;= Nhập số liệu</t>
  </si>
  <si>
    <t>13.1</t>
  </si>
  <si>
    <t>CÔNG SUẤT</t>
  </si>
  <si>
    <t>I - CÔNG SUẤT CHUYỀN LỰA CHAI - CHAI XÁ TRÒN</t>
  </si>
  <si>
    <t>Công đoạn sản xuất</t>
  </si>
  <si>
    <t>Cấp liệu</t>
  </si>
  <si>
    <t>Lồng tách tạp chất</t>
  </si>
  <si>
    <t>Lựa phân loại chai</t>
  </si>
  <si>
    <t>Tách nhãn</t>
  </si>
  <si>
    <t>Lựa phân loại chai sau tách nhãn</t>
  </si>
  <si>
    <t>Ép kiện</t>
  </si>
  <si>
    <t>Xử lý phó sản, nắp, cổ chai</t>
  </si>
  <si>
    <t>Công suất thành phẩm cả chuyền</t>
  </si>
  <si>
    <t>Năng suất THIẾT KẾ
(Kg NVL đầu vào / giờ)</t>
  </si>
  <si>
    <t>1.100-1.500</t>
  </si>
  <si>
    <t>Năng suất ĐỊNH MỨC
(Kg NVL đầu vào / giờ)</t>
  </si>
  <si>
    <t>Định mức nhân công
(Số NV / Ca8)</t>
  </si>
  <si>
    <t>Diễn giải</t>
  </si>
  <si>
    <t>Chỉ tiêu định mức</t>
  </si>
  <si>
    <t>ĐVT</t>
  </si>
  <si>
    <t>ĐM 1 giờ</t>
  </si>
  <si>
    <t>ĐM 1 Ca8</t>
  </si>
  <si>
    <t>ĐM 1 Ca12</t>
  </si>
  <si>
    <t>ĐM 2 Ca8</t>
  </si>
  <si>
    <t>ĐM 2 Ca12</t>
  </si>
  <si>
    <t>Tổng nhân sự:</t>
  </si>
  <si>
    <t>Người</t>
  </si>
  <si>
    <t>Định mức NVL đầu vào:</t>
  </si>
  <si>
    <t>kg/giờ</t>
  </si>
  <si>
    <t>Hao hụt:</t>
  </si>
  <si>
    <t>Định mức thành phẩm:</t>
  </si>
  <si>
    <t>Định mức thành phẩm/người:</t>
  </si>
  <si>
    <t>kg/giờ/người</t>
  </si>
  <si>
    <t>II - CÔNG SUẤT CHUYỀN LỰA CHAI - CHAI ÉP KIỆN</t>
  </si>
  <si>
    <t>Phá kiện
(thủ công bằng tay)</t>
  </si>
  <si>
    <t>III - CÔNG SUẤT CHUYỀN LỰA CHAI - CHAI TUYỂN XÔ</t>
  </si>
  <si>
    <t>1.000-1.500</t>
  </si>
  <si>
    <t>VI - CÔNG SUẤT MÁY VÀ NĂNG SUẤT LAO ĐỘNG MỤC TIÊU</t>
  </si>
  <si>
    <t>CHUYỀN LỰA CHAI - CHAI XÁ TRÒN</t>
  </si>
  <si>
    <t>Định mức</t>
  </si>
  <si>
    <t>a</t>
  </si>
  <si>
    <t>Số nhân sự/ chuyền/ ca</t>
  </si>
  <si>
    <t>b</t>
  </si>
  <si>
    <t>Công suất/ chuyền</t>
  </si>
  <si>
    <t>c</t>
  </si>
  <si>
    <t>CHUYỀN LỰA CHAI - CHAI ÉP KIỆN</t>
  </si>
  <si>
    <t>Công suất/chuyền (kg thành phẩm/ giờ)</t>
  </si>
  <si>
    <t>Năng suất lao động (kg thành phẩm/ người/ giờ):</t>
  </si>
  <si>
    <t>CHUYỀN LỰA CHAI - CHAI TUYỂN XÔ (có thể xử lý chạy trên chuyền chai tròn hoặc ép kiện)</t>
  </si>
  <si>
    <t>VII - TỔNG CÔNG SUẤT MÁY PET và NĂNG SUẤT LAO ĐỘNG</t>
  </si>
  <si>
    <t>i</t>
  </si>
  <si>
    <t>Tổng công suất PET/giờ</t>
  </si>
  <si>
    <t>Công suất máy - Tính trên NVL đầu vào</t>
  </si>
  <si>
    <t>Tấn/giờ</t>
  </si>
  <si>
    <t>Công suất máy - Tính trên Thành phẩm SX</t>
  </si>
  <si>
    <t>ii</t>
  </si>
  <si>
    <t>Tổng công suất PET/tháng (8hx4cax30 ngày)</t>
  </si>
  <si>
    <t>kg/tháng</t>
  </si>
  <si>
    <t>Tấn/tháng</t>
  </si>
  <si>
    <t>iii</t>
  </si>
  <si>
    <t>Năng suất lao động (CNTT)</t>
  </si>
  <si>
    <t>Năng suất lao động - Tấn/người/ngày</t>
  </si>
  <si>
    <t>Tấn/người/ngày</t>
  </si>
  <si>
    <t>Năng suất lao động - Tấn/người/tháng</t>
  </si>
  <si>
    <t>Tấn/người/tháng</t>
  </si>
  <si>
    <t>VIII - CÔNG SUẤT CHUYỀN BĂM VẢY PET</t>
  </si>
  <si>
    <t>XXX</t>
  </si>
  <si>
    <t>Đóng gói, cân TP</t>
  </si>
  <si>
    <t>ĐỊNH MỨC CHI PHÍ</t>
  </si>
  <si>
    <t>I - ĐỊNH MỨC TIÊU HAO VẬT TƯ - PHÂN LOẠI CHAI PET</t>
  </si>
  <si>
    <t>Đơn giá</t>
  </si>
  <si>
    <t>Chi phí/1kg thành phẩm</t>
  </si>
  <si>
    <t>Công suất lựa chai</t>
  </si>
  <si>
    <t>Chi phí nhân công trực tiếp (giờ công lao động)</t>
  </si>
  <si>
    <t>LĐ định biên</t>
  </si>
  <si>
    <t>Giờ công/ca 8</t>
  </si>
  <si>
    <t>LĐ thời vụ</t>
  </si>
  <si>
    <t>Tiền ăn giữa Ca</t>
  </si>
  <si>
    <t>Đồng/người/ngày công</t>
  </si>
  <si>
    <t>Kw/1chuyền/1giờ hoạt động</t>
  </si>
  <si>
    <t>Dao tách nhãn chai PET</t>
  </si>
  <si>
    <t>Anh Quân chốt định mức băm: 1500 tấn chai PET-B0</t>
  </si>
  <si>
    <t>Dây đai</t>
  </si>
  <si>
    <t>Bao jumbo</t>
  </si>
  <si>
    <t>Hóa chất</t>
  </si>
  <si>
    <t>Chi phí xử lý nhãn chai PET</t>
  </si>
  <si>
    <t>Kg</t>
  </si>
  <si>
    <t>Dầu xe nâng</t>
  </si>
  <si>
    <t>Lít/giờ hoạt động</t>
  </si>
  <si>
    <t>Chuyến/9 tấn</t>
  </si>
  <si>
    <t>II - ĐỊNH MỨC TIÊU HAO VẬT TƯ - BĂM VẢY PET</t>
  </si>
  <si>
    <t>Công suất băm PET</t>
  </si>
  <si>
    <t>Chi phí nhân công trực tiếp</t>
  </si>
  <si>
    <t>Đồng/người</t>
  </si>
  <si>
    <t>Dao băm vảy PET</t>
  </si>
  <si>
    <t>Công suất thiết kế: 200 tấn</t>
  </si>
  <si>
    <t>Chi phí xử lý bùn, nước thải</t>
  </si>
  <si>
    <t>Xử lý: nhãn, bùn, nước thải, hóa chất xử lý hồ XLNT</t>
  </si>
  <si>
    <t>Chi phí nước sản xuất</t>
  </si>
  <si>
    <t>Chi phí xử lý nước thải</t>
  </si>
  <si>
    <t>Chi phí xử lý bùn</t>
  </si>
  <si>
    <t>Chuyến</t>
  </si>
  <si>
    <t>Công suất băm HD</t>
  </si>
  <si>
    <t>Dao băm vảy HD</t>
  </si>
  <si>
    <t>Chi phí xử lý nước thải, môi trường</t>
  </si>
  <si>
    <t>Ngày …</t>
  </si>
  <si>
    <t>Duyệt</t>
  </si>
  <si>
    <t>Xem xét</t>
  </si>
  <si>
    <t>Người lập</t>
  </si>
  <si>
    <t>GĐĐH DTR</t>
  </si>
  <si>
    <t>GĐTC DTR</t>
  </si>
  <si>
    <t>GĐ các trạm</t>
  </si>
  <si>
    <t>Trưởng Trạm</t>
  </si>
  <si>
    <t>Kế toán trưởng</t>
  </si>
  <si>
    <t>I - ĐINH BIÊN NHÂN SỰ - PET</t>
  </si>
  <si>
    <t>ĐVT: người</t>
  </si>
  <si>
    <t>Phòng ban</t>
  </si>
  <si>
    <t>Tài khoản</t>
  </si>
  <si>
    <t>Ban giám đốc</t>
  </si>
  <si>
    <t>Giám đốc Trạm</t>
  </si>
  <si>
    <t>Trưởng trạm thu mua</t>
  </si>
  <si>
    <t>Phòng Hành chánh nhân sự</t>
  </si>
  <si>
    <t>Trưởng phòng nhân sự</t>
  </si>
  <si>
    <t>Nhân viên hành chính</t>
  </si>
  <si>
    <t>Nhân viên nhân sự</t>
  </si>
  <si>
    <t>Tuyển dụng</t>
  </si>
  <si>
    <t>Nhân viên tạp vụ</t>
  </si>
  <si>
    <t>2.5</t>
  </si>
  <si>
    <t>Bảo vệ</t>
  </si>
  <si>
    <t>2.6</t>
  </si>
  <si>
    <t>Nhân viên chăm sóc cây xanh</t>
  </si>
  <si>
    <t>Phòng Kế toán</t>
  </si>
  <si>
    <t>3.1</t>
  </si>
  <si>
    <t>3.2</t>
  </si>
  <si>
    <t>Kế toán tổng hợp</t>
  </si>
  <si>
    <t>3.3</t>
  </si>
  <si>
    <t>Kế toán kho</t>
  </si>
  <si>
    <t>3.4</t>
  </si>
  <si>
    <t>Kế toán viên</t>
  </si>
  <si>
    <t>Phòng Mua hàng</t>
  </si>
  <si>
    <t>Nhân viên mua hàng</t>
  </si>
  <si>
    <t>Ban dự án XDCB</t>
  </si>
  <si>
    <t>Nhân viên</t>
  </si>
  <si>
    <t>Phòng Quản Trị Hệ Thống</t>
  </si>
  <si>
    <t>6.1</t>
  </si>
  <si>
    <t>Nhân viên quản trị hệ thống</t>
  </si>
  <si>
    <t>Phòng 5S &amp; an toàn</t>
  </si>
  <si>
    <t>Nhân viên 5S &amp; an toàn</t>
  </si>
  <si>
    <t>Nhân viên XLNT</t>
  </si>
  <si>
    <t>Lao động thuê ngoài</t>
  </si>
  <si>
    <t>Phòng Cung ứng</t>
  </si>
  <si>
    <t>Phòng mua XNK</t>
  </si>
  <si>
    <t>Tư Vấn Dịch Vụ</t>
  </si>
  <si>
    <t>10.1</t>
  </si>
  <si>
    <t>Phòng Nghiên Cứu &amp; Phát Triển</t>
  </si>
  <si>
    <t>11.1</t>
  </si>
  <si>
    <t>Phòng Kiểm soát chất lượng</t>
  </si>
  <si>
    <t>12.1</t>
  </si>
  <si>
    <t>Tổ trưởng Kiểm soát chất lượng</t>
  </si>
  <si>
    <t>12.2</t>
  </si>
  <si>
    <t>Kiểm soát NVL</t>
  </si>
  <si>
    <t>12.3</t>
  </si>
  <si>
    <t>Kiểm soát thành phẩm</t>
  </si>
  <si>
    <t>Phòng Kỹ thuật</t>
  </si>
  <si>
    <t>Quản lý kỹ thuật</t>
  </si>
  <si>
    <t>13.2</t>
  </si>
  <si>
    <t>Tổ trưởng vận hành máy</t>
  </si>
  <si>
    <t>13.3</t>
  </si>
  <si>
    <t>Tổ trưởng kỹ thuật nước và môi trường</t>
  </si>
  <si>
    <t>Nhân viên vận hành máy</t>
  </si>
  <si>
    <t>13.4</t>
  </si>
  <si>
    <t xml:space="preserve">Nhân viên bảo trì </t>
  </si>
  <si>
    <t>13.5</t>
  </si>
  <si>
    <t>13.6</t>
  </si>
  <si>
    <t>Nhân viên xử lý nước thải (24/24)</t>
  </si>
  <si>
    <t>Nhân viên thống kê kỹ thuật</t>
  </si>
  <si>
    <t>Phòng Sản xuất</t>
  </si>
  <si>
    <t>14.1</t>
  </si>
  <si>
    <t>Bộ phận quản lý sản xuất</t>
  </si>
  <si>
    <t>627</t>
  </si>
  <si>
    <t>14.1.1</t>
  </si>
  <si>
    <t>Trưởng phòng sản xuất</t>
  </si>
  <si>
    <t>14.1.2</t>
  </si>
  <si>
    <t>Giám sát sản xuất</t>
  </si>
  <si>
    <t>14.1.3</t>
  </si>
  <si>
    <t>Tổ trưởng sản xuất</t>
  </si>
  <si>
    <t>14.1.4</t>
  </si>
  <si>
    <t>Nhân viên thống kê sản xuất</t>
  </si>
  <si>
    <t>Chi tiết phân bổ Công nhân trực tiếp SX</t>
  </si>
  <si>
    <t>14.2</t>
  </si>
  <si>
    <t>Công nhân trực tiếp sản xuất - Phân loại</t>
  </si>
  <si>
    <t>622</t>
  </si>
  <si>
    <t>14.2.1</t>
  </si>
  <si>
    <t>Nhân viên phân loại</t>
  </si>
  <si>
    <t>SX chai PET - Chuyền phân loại</t>
  </si>
  <si>
    <t>14.2.2</t>
  </si>
  <si>
    <t>Nhân viên sản xuất chung</t>
  </si>
  <si>
    <t>Công đoạn 1: Cấp liệu</t>
  </si>
  <si>
    <t>14.2.3</t>
  </si>
  <si>
    <t>Nhân viên ép kiện</t>
  </si>
  <si>
    <t>Công đoạn 2: Phân loại chai</t>
  </si>
  <si>
    <t>14.2.4</t>
  </si>
  <si>
    <t>Nhân viên lái xe nâng</t>
  </si>
  <si>
    <t>Công đoạn 3: Tách nhãn</t>
  </si>
  <si>
    <t>Công đoạn 4: Rework (B6.2+chai còn nhãn)</t>
  </si>
  <si>
    <t>14.3</t>
  </si>
  <si>
    <t>Công nhân trực tiếp sản xuất - Băm vảy PET</t>
  </si>
  <si>
    <t>Công đoạn 5: Ép kiện</t>
  </si>
  <si>
    <t>14.3.1</t>
  </si>
  <si>
    <t>Nhân viên băm vảy</t>
  </si>
  <si>
    <t>Sản xuất chung</t>
  </si>
  <si>
    <t>14.3.2</t>
  </si>
  <si>
    <t>14.3.3</t>
  </si>
  <si>
    <t>Nhân viên kéo bao, bì tạp</t>
  </si>
  <si>
    <t>14.3.4</t>
  </si>
  <si>
    <t>Nhân viên ghi số liệu</t>
  </si>
  <si>
    <t>Phòng Kho vận</t>
  </si>
  <si>
    <t>Xử lý phó sản</t>
  </si>
  <si>
    <t>15.1</t>
  </si>
  <si>
    <t>Thủ kho</t>
  </si>
  <si>
    <t>Nhân viên xử lý nắp, cổ chai,…</t>
  </si>
  <si>
    <t>15.2</t>
  </si>
  <si>
    <t>Tổ Trưởng Kho - Xuất nhập</t>
  </si>
  <si>
    <t>15.3</t>
  </si>
  <si>
    <t>Nhân viên Nhập - Xuất hàng</t>
  </si>
  <si>
    <t>15.4</t>
  </si>
  <si>
    <t>Nhân Viên Lái Xe Nâng</t>
  </si>
  <si>
    <t>15.5</t>
  </si>
  <si>
    <t>Trạm cấp 2 - Kiên Giang</t>
  </si>
  <si>
    <t>Trạm cấp 2 - Cà Mau</t>
  </si>
  <si>
    <t>17.1</t>
  </si>
  <si>
    <t>Trạm cấp 2 - Gia Lai</t>
  </si>
  <si>
    <t>TỔNG NHÂN SỰ</t>
  </si>
  <si>
    <t>Nhân sự thuộc ĐỊNH BIÊN</t>
  </si>
  <si>
    <t>II - ĐỊNH BIÊN - HD</t>
  </si>
  <si>
    <t>XƯỞNG SẢN XUẤT</t>
  </si>
  <si>
    <t>19.1</t>
  </si>
  <si>
    <t>Quản lý sản xuất</t>
  </si>
  <si>
    <t>19.1.1</t>
  </si>
  <si>
    <t>Trưởng ca sản xuất (theo ca sx)</t>
  </si>
  <si>
    <t>19.2</t>
  </si>
  <si>
    <t>Công nhân trực tiếp sản xuất</t>
  </si>
  <si>
    <t>TỔNG:</t>
  </si>
  <si>
    <t>BẢNG LƯƠNG TỪ HCNS - SẢN XUẤT PET</t>
  </si>
  <si>
    <t>Mã tài khoản (Mã Chi phí_L4)</t>
  </si>
  <si>
    <t>Tên tài khoản (Cost elements 2)</t>
  </si>
  <si>
    <t>Chi Phí_L5 (Cost Group 2)</t>
  </si>
  <si>
    <t>Số lượng nhân sự</t>
  </si>
  <si>
    <t>ADM_Lương Khối Quản Lý</t>
  </si>
  <si>
    <t>Chi phí lương TB/1 Người</t>
  </si>
  <si>
    <t>Chi phí lương chính - Gián tiếp</t>
  </si>
  <si>
    <t>Salary and Wages - Direct</t>
  </si>
  <si>
    <t>Chi phí lương T13, phép năm - Gián tiếp</t>
  </si>
  <si>
    <t>Salary and Wages - Support</t>
  </si>
  <si>
    <t>Chi phí khen thưởng - Gián tiếp</t>
  </si>
  <si>
    <t>Employee Welfare</t>
  </si>
  <si>
    <t>Thưởng danh hiệu</t>
  </si>
  <si>
    <t>Chi phí khen thưởng, bồi dưỡng khác</t>
  </si>
  <si>
    <t>Tiền ăn giữa ca - Gián tiếp</t>
  </si>
  <si>
    <t>Phụ cấp ca đêm - Gián tiếp</t>
  </si>
  <si>
    <t>BHXH, BHYT, KPCĐ, BHTN - Gián tiếp</t>
  </si>
  <si>
    <t>Chi phí lương ngoài giờ - Gián tiếp</t>
  </si>
  <si>
    <t>FOH_Lương Gián Tiếp Sản Xuất</t>
  </si>
  <si>
    <t>Thưởng danh hiệu - Gián tiếp</t>
  </si>
  <si>
    <t>Công nhân trực tiếp sản xuất - Phân loại chai PET</t>
  </si>
  <si>
    <t>FOH_Lương Trực Tiếp Sản Xuất</t>
  </si>
  <si>
    <t>Chi phí lương chính - Trực tiếp</t>
  </si>
  <si>
    <t>Chi phí lương T13, phép năm - Trực tiếp</t>
  </si>
  <si>
    <t>Chi phí khen thưởng - Trực tiếp</t>
  </si>
  <si>
    <t>Thưởng danh hiệu - Trực tiếp</t>
  </si>
  <si>
    <t>Tiền ăn giữa ca - Trực tiếp</t>
  </si>
  <si>
    <t>Phụ cấp ca đêm - Trực tiếp</t>
  </si>
  <si>
    <t>BHXH, BHYT, KPCĐ, BHTN - Trực tiếp</t>
  </si>
  <si>
    <t>Chi phí lương ngoài giờ - Trực tiếp</t>
  </si>
  <si>
    <t>Trạm cấp 2</t>
  </si>
  <si>
    <t>BẢNG LƯƠNG TỪ HCNS - SẢN XUẤT HD</t>
  </si>
  <si>
    <t>Quản lý sản xuất - HD</t>
  </si>
  <si>
    <t>Công nhân trực tiếp sản xuất - HD</t>
  </si>
  <si>
    <t>CHECK PET</t>
  </si>
  <si>
    <t>TC</t>
  </si>
  <si>
    <t>CL</t>
  </si>
  <si>
    <t>Ghi chú</t>
  </si>
  <si>
    <t>642</t>
  </si>
  <si>
    <t>DOANH THU</t>
  </si>
  <si>
    <t>I - DOANH THU CHAI PET</t>
  </si>
  <si>
    <t>1. Sản lượng bán chai</t>
  </si>
  <si>
    <t>Thành phẩm (chai sau phân loại)</t>
  </si>
  <si>
    <t>Tỷ lệ</t>
  </si>
  <si>
    <t>KQKD 2024</t>
  </si>
  <si>
    <t>KQKD 2023</t>
  </si>
  <si>
    <t>+/- 2026 sv 2025</t>
  </si>
  <si>
    <t xml:space="preserve">+/- % </t>
  </si>
  <si>
    <t>Chai PET B1</t>
  </si>
  <si>
    <t>Tấn</t>
  </si>
  <si>
    <t>Chai PET B1 Không Phân Loại</t>
  </si>
  <si>
    <t>Chai PET B1.3</t>
  </si>
  <si>
    <t>Chai PET B2.1</t>
  </si>
  <si>
    <t>Chai PET B2.2</t>
  </si>
  <si>
    <t>Chai PET B3</t>
  </si>
  <si>
    <t>Chai PET B4</t>
  </si>
  <si>
    <t>Chai PET B5</t>
  </si>
  <si>
    <t>Chai PET B6.1</t>
  </si>
  <si>
    <t>Chai PET B6.2</t>
  </si>
  <si>
    <t>Chai PET B7.1</t>
  </si>
  <si>
    <t>Chai PET B7.2</t>
  </si>
  <si>
    <t>Cổ Chai PET</t>
  </si>
  <si>
    <t>Nắp HD ép các màu</t>
  </si>
  <si>
    <t>2. Giá bán chai</t>
  </si>
  <si>
    <t>Nhóm chai PET</t>
  </si>
  <si>
    <t>Thành phần chai PET sau phân loại</t>
  </si>
  <si>
    <t>Đơn giá PET-B0</t>
  </si>
  <si>
    <t>Hao hụt</t>
  </si>
  <si>
    <t>GAP (đảm bảo chi phí và lợi nhuận)</t>
  </si>
  <si>
    <t>Đơn giá bán theo công thức</t>
  </si>
  <si>
    <t>Đồng/kg</t>
  </si>
  <si>
    <t>Quy ra tiền</t>
  </si>
  <si>
    <t>Chai PET nhóm 1</t>
  </si>
  <si>
    <t>B1.1 + B1.2 + B1.3 + B2.1 + B3</t>
  </si>
  <si>
    <t>Chai PET nhóm 2</t>
  </si>
  <si>
    <t>B4 + B5</t>
  </si>
  <si>
    <t>Chai PET nhóm 3</t>
  </si>
  <si>
    <t>B2.2 + B6.1 + B6.2</t>
  </si>
  <si>
    <t>Chai PET nhóm 4</t>
  </si>
  <si>
    <t>Nắp HD ép, cổ chai, PP (Quai)</t>
  </si>
  <si>
    <t>Giá bán Trung bình</t>
  </si>
  <si>
    <t>3. Doanh thu chai</t>
  </si>
  <si>
    <t>Triệu đ</t>
  </si>
  <si>
    <t>II - DOANH THU VẢY PET</t>
  </si>
  <si>
    <t>Thành phẩm (Vảy PET sau khi băm)</t>
  </si>
  <si>
    <t>Vảy PET B1</t>
  </si>
  <si>
    <t>Vảy PET B1 Không Phân Loại</t>
  </si>
  <si>
    <t>Vảy PET B1.3</t>
  </si>
  <si>
    <t>Vảy PET B2.1</t>
  </si>
  <si>
    <t>Vảy PET B2.2</t>
  </si>
  <si>
    <t>Vảy PET B3</t>
  </si>
  <si>
    <t>Vảy PET B4</t>
  </si>
  <si>
    <t>Vảy PET B5</t>
  </si>
  <si>
    <t>Vảy PET B6.1</t>
  </si>
  <si>
    <t>Vảy PET B6.2</t>
  </si>
  <si>
    <t>Vảy PET B7.1</t>
  </si>
  <si>
    <t>Vảy PET B7.2</t>
  </si>
  <si>
    <t>Vảy cổ chai PET</t>
  </si>
  <si>
    <t>Vảy Nắp HD ép các màu</t>
  </si>
  <si>
    <t>2. Giá bán vảy</t>
  </si>
  <si>
    <t>Nhóm vảy PET</t>
  </si>
  <si>
    <t>Thành phẩm vảy PET sau khi băm</t>
  </si>
  <si>
    <t>Đơn giá chai PET sau khi phân loại</t>
  </si>
  <si>
    <t>3. Doanh thu vảy PET</t>
  </si>
  <si>
    <t>III - DOANH THU VẢY HD</t>
  </si>
  <si>
    <t>Thành phẩm (Vảy sau khi phân loại)</t>
  </si>
  <si>
    <t>Lượng bán vảy HD</t>
  </si>
  <si>
    <t>Giá bán HD</t>
  </si>
  <si>
    <t>Doanh thu HD</t>
  </si>
  <si>
    <t>Logo CTY</t>
  </si>
  <si>
    <t>NHU CẦU MUA NGUYÊN VẬT LIỆU CHAI</t>
  </si>
  <si>
    <t>1. Số lượng</t>
  </si>
  <si>
    <t>Loại chai nguyên liệu</t>
  </si>
  <si>
    <t>i. Tỷ lệ chai</t>
  </si>
  <si>
    <t>Chai B0 - Xá tròn</t>
  </si>
  <si>
    <t>Chai B0 - Ép kiện</t>
  </si>
  <si>
    <t>Chai B1.4 (xô tuyển -&gt; ép kiện)</t>
  </si>
  <si>
    <t>Tổng:</t>
  </si>
  <si>
    <t>ii Số lượng chai</t>
  </si>
  <si>
    <t>Trạm</t>
  </si>
  <si>
    <t>Tổng mua / Năm</t>
  </si>
  <si>
    <t>Tổng mua / Tháng</t>
  </si>
  <si>
    <t>Đại Lộc</t>
  </si>
  <si>
    <t>Khánh Nga</t>
  </si>
  <si>
    <t>Đồng Lâm</t>
  </si>
  <si>
    <t xml:space="preserve">&lt;= Nhập sản lượng </t>
  </si>
  <si>
    <t>TỔNG CỘNG</t>
  </si>
  <si>
    <t>iii Số lượng và giá trị mua vảy HD</t>
  </si>
  <si>
    <t>Lượng mua NVL vảy HD</t>
  </si>
  <si>
    <t>Giá mua vảy HD</t>
  </si>
  <si>
    <t>Tổng giá trị HD</t>
  </si>
  <si>
    <t>2. Giá mua</t>
  </si>
  <si>
    <t>Giá chai</t>
  </si>
  <si>
    <t>Chi phí mua (các chính sách mua hàng)</t>
  </si>
  <si>
    <t>Chai B1.4 (xô tuyển)</t>
  </si>
  <si>
    <t>Giá mua bình quân</t>
  </si>
  <si>
    <t>3. Tổng giá trị mua</t>
  </si>
  <si>
    <t>4. Hiệu suất máy (1ca 8giờ x 4ca 1 ngày x 30 ngày 1 tháng)</t>
  </si>
  <si>
    <t>Hiệu suất máy - Tính trên NVL đầu vào</t>
  </si>
  <si>
    <t>Tổng sản lượng chai mua vào</t>
  </si>
  <si>
    <t>Tổng công suất máy (NVL)</t>
  </si>
  <si>
    <t>Hiệu suất máy - Tính trên Thành phẩm SX</t>
  </si>
  <si>
    <t>Tổng sản lượng Thành phẩm SX</t>
  </si>
  <si>
    <t>Tổng công suất máy (thành phẩm)</t>
  </si>
  <si>
    <t>5. Năng suất lao động (kg/người/tháng)</t>
  </si>
  <si>
    <t>Năng suất lao động (Thực tế/ Định mức)</t>
  </si>
  <si>
    <t>Năng suất lao động - Thực tế (tấn/người/tháng)</t>
  </si>
  <si>
    <t>Năng suất lao động - Định mức (tấn/người/tháng)</t>
  </si>
  <si>
    <t>I - TỶ LỆ HAO HỤT CHAI PET</t>
  </si>
  <si>
    <t>CHAI B0 - Xá tròn</t>
  </si>
  <si>
    <t>Nhãn</t>
  </si>
  <si>
    <t>Hao hụt vô hình (nước, đất, ..)</t>
  </si>
  <si>
    <t>Tạp chất (ly mũ, ống hút, PET màu, trắng sữa, chai dín nhớt, nylong ….: loại trên chuyền)</t>
  </si>
  <si>
    <t>Tổng</t>
  </si>
  <si>
    <t>CHAI B0 - Ép kiện</t>
  </si>
  <si>
    <t>CHAI B1.4 (XÔ TUYỂN)</t>
  </si>
  <si>
    <t>II - TỶ LỆ HAO HỤT VẢY PET</t>
  </si>
  <si>
    <t>Vảy - Băm B1</t>
  </si>
  <si>
    <t>Nắp tuyển nổi</t>
  </si>
  <si>
    <t>Bụi cám + nhãn</t>
  </si>
  <si>
    <t>Mấy kg</t>
  </si>
  <si>
    <t>Tổng hao hụt</t>
  </si>
  <si>
    <t>Tỷ lệ vảy thành phẩm</t>
  </si>
  <si>
    <t>Vảy - Băm B2/B3/B4/B5</t>
  </si>
  <si>
    <t>Vảy - Băm B6/B7</t>
  </si>
  <si>
    <t>Tỷ lệ vảy thành phẩm _ Vảy PET B6.2</t>
  </si>
  <si>
    <t>Tỷ lệ vảy thành phẩm - Vảy nắp tuyển nỗi</t>
  </si>
  <si>
    <t>Vảy - HD</t>
  </si>
  <si>
    <t>III - TỶ LỆ THÀNH PHẨM SAU KHI PHÂN LOẠI CHAI PET</t>
  </si>
  <si>
    <t/>
  </si>
  <si>
    <t/>
  </si>
  <si>
    <t/>
  </si>
  <si>
    <t>IV - TỶ LỆ CHAI PET CHUYỂN VÀO BĂM VẢY PET</t>
  </si>
  <si>
    <t>Thành phẩm (Vảy sau khi băm)</t>
  </si>
  <si>
    <t>V - TỶ LỆ HAO HỤT KHI BĂM VẢY PET</t>
  </si>
  <si>
    <t>I - THÀNH PHẨM SAU PHÂN LOẠI CHAI PET</t>
  </si>
  <si>
    <t>1.1 Sản xuất từ chai PET B0 - Xá tròn</t>
  </si>
  <si>
    <t>ĐVT: Tấn</t>
  </si>
  <si>
    <t>1.2 Sản xuất từ chai PET B0 - Ép kiện</t>
  </si>
  <si>
    <t>1.3 Sản xuất từ chai PET B1.4 (tuyển xô)</t>
  </si>
  <si>
    <t>1.4 Thành phẩm sau khi phân loại chai PET</t>
  </si>
  <si>
    <t>TỔNG (1+2)</t>
  </si>
  <si>
    <t>1.5 Thành phẩm chai PET bán về DTR</t>
  </si>
  <si>
    <t>TỔNG</t>
  </si>
  <si>
    <t>II - THÀNH PHẨM SAU KHI BĂM VẢY PET</t>
  </si>
  <si>
    <t>2.1 Thành phẩm chai PET đưa vào băm vảy PET</t>
  </si>
  <si>
    <t>2.2 Thành phẩm vảy PET bán về DTR</t>
  </si>
  <si>
    <t>III - THÀNH PHẨM SAU KHI PHÂN LOẠI VẢY HD</t>
  </si>
  <si>
    <t>3.1 Thành phẩm vảy HD</t>
  </si>
  <si>
    <t>IV - HAO HỤT SAU PHÂN LOẠI - BĂM VẢY PET</t>
  </si>
  <si>
    <t>4.1 Hao hụt từ sản xuất chai PET B0 - Xá tròn</t>
  </si>
  <si>
    <t>4.2 Hao hụt từ sản xuất chai PET B0 - Ép kiện</t>
  </si>
  <si>
    <t>4.3 Hao hụt từ Sản xuất từ chai PET B1.4 (tuyển xô)</t>
  </si>
  <si>
    <t>4.4 Hao hụt từ sản xuất Vảy PET</t>
  </si>
  <si>
    <t>4.5 Tổng hao hụt</t>
  </si>
  <si>
    <t>Nhóm hao hụt</t>
  </si>
  <si>
    <t>Hao hụt từ sản xuất Vảy</t>
  </si>
  <si>
    <t>KIỂM TRA</t>
  </si>
  <si>
    <t>Giá vốn NVL</t>
  </si>
  <si>
    <t>3=1+2</t>
  </si>
  <si>
    <t>Tổng giá vốn</t>
  </si>
  <si>
    <t>Giá mua</t>
  </si>
  <si>
    <t>5=4+3</t>
  </si>
  <si>
    <t>Kiểm tra chênh lệch Giá mua - Giá vốn</t>
  </si>
  <si>
    <t>Doanh thu chai PET</t>
  </si>
  <si>
    <t>Doanh thu vảy PET</t>
  </si>
  <si>
    <t>8=6+7</t>
  </si>
  <si>
    <t>Tổng doanh thu</t>
  </si>
  <si>
    <t>9=8-3</t>
  </si>
  <si>
    <t>Lợi nhuận gộp</t>
  </si>
  <si>
    <t>Sản lượng bán</t>
  </si>
  <si>
    <t>11=9:10</t>
  </si>
  <si>
    <t>LNG / kg</t>
  </si>
  <si>
    <t>Đồng/Kg</t>
  </si>
  <si>
    <t>I - CHI PHÍ SẢN XUẤT PET</t>
  </si>
  <si>
    <t>Dự phòng</t>
  </si>
  <si>
    <t>Chi tiết</t>
  </si>
  <si>
    <t>Tham chiếu</t>
  </si>
  <si>
    <t>% CP/DT 2026</t>
  </si>
  <si>
    <t>LUONG</t>
  </si>
  <si>
    <t>Chi phí đồng phục</t>
  </si>
  <si>
    <t>Phan bo</t>
  </si>
  <si>
    <t>???</t>
  </si>
  <si>
    <t>Chi phí y tế, BH sức khỏe</t>
  </si>
  <si>
    <t>Chi Phí Y Tế, BH Sức Khỏe, BH 24/24</t>
  </si>
  <si>
    <t>Chi phí điện sản xuất</t>
  </si>
  <si>
    <t>Direct Cost of Goods sold</t>
  </si>
  <si>
    <t>Dinh muc</t>
  </si>
  <si>
    <t>Chi phí vật liệu phục vụ SX</t>
  </si>
  <si>
    <t>Operating Supplies</t>
  </si>
  <si>
    <t>Dao tách nhãn chai PET, băm vảy PET</t>
  </si>
  <si>
    <t>Xử lý nước thải, bùn, nhãn chai PET</t>
  </si>
  <si>
    <t>Chi phí vật tư phân xưởng</t>
  </si>
  <si>
    <t>Chi phí xăng dầu xe du lịch, xe gắn máy, xe nâng</t>
  </si>
  <si>
    <t>Energy Expenses</t>
  </si>
  <si>
    <t xml:space="preserve">Xăng dầu xe nâng   </t>
  </si>
  <si>
    <t>BIẾN PHÍ_PHÂN LOẠI CHAI PET</t>
  </si>
  <si>
    <t>Trường hợp sản xuất 2 công đoạn: Phân loại chai và băm vảy thì chỉ tính sản lượng chai dùng dây đai</t>
  </si>
  <si>
    <t>Xử lý nhãn chai PET</t>
  </si>
  <si>
    <t>BIẾN PHÍ_BĂM VẢY PET</t>
  </si>
  <si>
    <t>6210000701</t>
  </si>
  <si>
    <t>ĐỊNH PHÍ</t>
  </si>
  <si>
    <t>Chi phí công cụ dụng cụ phục vụ SX</t>
  </si>
  <si>
    <t>Tools and Equipments</t>
  </si>
  <si>
    <t>BP Phat sinh</t>
  </si>
  <si>
    <t>Chi phí nước sinh hoạt</t>
  </si>
  <si>
    <t>Tiền nước uống</t>
  </si>
  <si>
    <t>Miscellaneous Expenses</t>
  </si>
  <si>
    <t>Chi phí dịch vụ môi trường</t>
  </si>
  <si>
    <t>Environmental Expenses</t>
  </si>
  <si>
    <t>Chi phí thuê nhà, văn phòng, xưởng, kho</t>
  </si>
  <si>
    <t>Building and structures rent</t>
  </si>
  <si>
    <t>Chi phí bằng tiền khác</t>
  </si>
  <si>
    <t>6277004902</t>
  </si>
  <si>
    <t>6277003603</t>
  </si>
  <si>
    <t>Chi Phí Bảo Trì</t>
  </si>
  <si>
    <t>Repairs and Maintenance Expenses</t>
  </si>
  <si>
    <t>Chi phí bảo trì - Xuất vật tư</t>
  </si>
  <si>
    <t>6277004904</t>
  </si>
  <si>
    <t>Bảo trì IT</t>
  </si>
  <si>
    <t>Information Technology - IT</t>
  </si>
  <si>
    <t>Chi phí bảo trì - DV bên ngoài</t>
  </si>
  <si>
    <t>6273006601</t>
  </si>
  <si>
    <t>Xây Dựng, Sửa Chữa</t>
  </si>
  <si>
    <t>Chi phí xây dựng, sửa chữa nhà xưởng, văn phòng</t>
  </si>
  <si>
    <t>Chi phi sửa chữa</t>
  </si>
  <si>
    <t>Chi phí sửa chữa, bảo trì phương tiện vận tải</t>
  </si>
  <si>
    <t>Chi phí bảo hiểm tài sản</t>
  </si>
  <si>
    <t>Insurance Expenses</t>
  </si>
  <si>
    <t>Phân bổ công cụ dụng cụ</t>
  </si>
  <si>
    <t>Phân bổ công cụ dụng cụ, trừ dao</t>
  </si>
  <si>
    <t>6273002402</t>
  </si>
  <si>
    <t>Phí kiểm định kỹ thuật</t>
  </si>
  <si>
    <t>Calibration,Testing&amp;Quality Control Exp.</t>
  </si>
  <si>
    <t>Chi phí Khấu hao</t>
  </si>
  <si>
    <t>Depreciation</t>
  </si>
  <si>
    <t>Khau hao</t>
  </si>
  <si>
    <t>I+II</t>
  </si>
  <si>
    <t>Tổng CP_Sản xuất</t>
  </si>
  <si>
    <t>II - CHI PHÍ SẢN XUẤT - HD</t>
  </si>
  <si>
    <t>Chi Phí_L5 (Cost Group 2 file NS2026)</t>
  </si>
  <si>
    <t>6277003101</t>
  </si>
  <si>
    <t>Công Ty TNHH Thu Mua Phế Liệu Đại Lộc</t>
  </si>
  <si>
    <t>KẾ HOẠCH NGÂN SÁCH 2026</t>
  </si>
  <si>
    <t>NGÂN SÁCH CHI PHÍ PHÂN BỔ HÀNG THÁNG</t>
  </si>
  <si>
    <t>Tỷ giá</t>
  </si>
  <si>
    <t>Xem MD</t>
  </si>
  <si>
    <t>Xem DATA Phan bo</t>
  </si>
  <si>
    <t>Phòng ban yêu cầu</t>
  </si>
  <si>
    <t>Bộ phận thực hiện</t>
  </si>
  <si>
    <t>Loại tài sản</t>
  </si>
  <si>
    <t>Mục đích</t>
  </si>
  <si>
    <t>Dự án cấp 1</t>
  </si>
  <si>
    <t>Dự án cấp 2</t>
  </si>
  <si>
    <t>Phân loại
(Nội địa/
Nhập khẩu)</t>
  </si>
  <si>
    <t>Nhà cung cấp</t>
  </si>
  <si>
    <t>Đơn giá ( chưa bao gồm VAT)</t>
  </si>
  <si>
    <t>Số lượng</t>
  </si>
  <si>
    <t>Tổng giá trị
(VND)</t>
  </si>
  <si>
    <t>Tổng giá trị
(USD)</t>
  </si>
  <si>
    <t>Thời điểm đưa vào sử dụng</t>
  </si>
  <si>
    <t>Thời gian khấu hao
(tháng)</t>
  </si>
  <si>
    <t>Phân loại tài sản trong BCĐKT</t>
  </si>
  <si>
    <t>Tài khoản COA chi phí khấu hao</t>
  </si>
  <si>
    <t>Mã Cost Center</t>
  </si>
  <si>
    <t>Tên Cost Center</t>
  </si>
  <si>
    <t>Hiệu máy</t>
  </si>
  <si>
    <t>Lý do đầu tư</t>
  </si>
  <si>
    <t>Khả năng đầu tư (%)</t>
  </si>
  <si>
    <t>Thời điểm ký hợp đồng</t>
  </si>
  <si>
    <t>Tên tài sản</t>
  </si>
  <si>
    <t>Nhóm tài khoản</t>
  </si>
  <si>
    <t>Giá trị nguyên giá</t>
  </si>
  <si>
    <t>Giá trị đã khấu hao</t>
  </si>
  <si>
    <t>Giá trị còn lại</t>
  </si>
  <si>
    <t>Giá trị còn lại cuối năm 2026</t>
  </si>
  <si>
    <t>I - CHI PHÍ TỪ NĂM TRƯỚC CHUYỂN SANG</t>
  </si>
  <si>
    <t>Nội địa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</si>
  <si>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</si>
  <si>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</si>
  <si>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</si>
  <si>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</si>
  <si>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</si>
  <si>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</si>
  <si>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</si>
  <si>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</si>
  <si>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</si>
  <si>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</si>
  <si>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</si>
  <si>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</si>
  <si>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</si>
  <si>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</si>
  <si>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</si>
  <si>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</si>
  <si>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</si>
  <si>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BGD</t>
  </si>
  <si>
    <t>II - CH PHÍ PHÁT SINH NĂM 2026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</si>
  <si>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</si>
  <si>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</si>
  <si>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</si>
  <si>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</si>
  <si>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</si>
  <si>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</si>
  <si>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</si>
  <si>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</si>
  <si>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</si>
  <si>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TỔNG CỘNG PHÂN BỔ CPTT_SX</t>
  </si>
  <si>
    <t>TỔNG CỘNG PHÂN BỔ CPTT_QL</t>
  </si>
  <si>
    <t>TỔNG CỘNG PHÂN BỔ CPTT</t>
  </si>
  <si>
    <t>6272002101</t>
  </si>
  <si>
    <t>6277003803</t>
  </si>
  <si>
    <t>6427003101</t>
  </si>
  <si>
    <t>6423005101</t>
  </si>
  <si>
    <t>6421003001</t>
  </si>
  <si>
    <t>6271003001</t>
  </si>
  <si>
    <t>6427002804</t>
  </si>
  <si>
    <t>6277002804</t>
  </si>
  <si>
    <t>6427001802</t>
  </si>
  <si>
    <t>6427005801</t>
  </si>
  <si>
    <t>6277005001</t>
  </si>
  <si>
    <t>Chi phí thuê xe đưa rước</t>
  </si>
  <si>
    <t>6427003604</t>
  </si>
  <si>
    <t>6427004903</t>
  </si>
  <si>
    <t>6427004902</t>
  </si>
  <si>
    <t>6428007201</t>
  </si>
  <si>
    <t>6427002001</t>
  </si>
  <si>
    <t>6277003702</t>
  </si>
  <si>
    <t>Sàn nhập liệu (inox 304)</t>
  </si>
  <si>
    <t>Chi phi làm máng hứng máng trược inox 304</t>
  </si>
  <si>
    <t>Máy phá kiện</t>
  </si>
  <si>
    <t>Cover an toàn che chắn xích</t>
  </si>
  <si>
    <t>Cost Center</t>
  </si>
  <si>
    <t/>
  </si>
  <si>
    <t>1002601300</t>
  </si>
  <si>
    <t>1002603400</t>
  </si>
  <si>
    <t>1002603100</t>
  </si>
  <si>
    <t>1002603500</t>
  </si>
  <si>
    <t>1002602200</t>
  </si>
  <si>
    <t>1002404000</t>
  </si>
  <si>
    <t>1002602300</t>
  </si>
  <si>
    <t>1002603200</t>
  </si>
  <si>
    <t>6277002204</t>
  </si>
  <si>
    <t>6273006501</t>
  </si>
  <si>
    <t>6273001908</t>
  </si>
  <si>
    <t>6278007201</t>
  </si>
  <si>
    <t>6273002001</t>
  </si>
  <si>
    <t>6273000100</t>
  </si>
  <si>
    <t>6277006501</t>
  </si>
  <si>
    <t>6427004904</t>
  </si>
  <si>
    <t>6273003002</t>
  </si>
  <si>
    <t>Chi phí đồ BHLĐ</t>
  </si>
  <si>
    <t>6423001908</t>
  </si>
  <si>
    <t>6427006501</t>
  </si>
  <si>
    <t>6423002402</t>
  </si>
  <si>
    <t>6427003302</t>
  </si>
  <si>
    <t>Chi phí đào tạo</t>
  </si>
  <si>
    <t>1002203000</t>
  </si>
  <si>
    <t>Chi phí nâng cấp, cải tạo, chế tạo</t>
  </si>
  <si>
    <t>Internet</t>
  </si>
  <si>
    <t>96</t>
  </si>
  <si>
    <t>6220002601</t>
  </si>
  <si>
    <t>6271002604</t>
  </si>
  <si>
    <t>6220002602</t>
  </si>
  <si>
    <t>6220002806</t>
  </si>
  <si>
    <t>6220003001</t>
  </si>
  <si>
    <t>6220003201</t>
  </si>
  <si>
    <t>6220003401</t>
  </si>
  <si>
    <t>6271002605</t>
  </si>
  <si>
    <t>6421002806</t>
  </si>
  <si>
    <t>6271002806</t>
  </si>
  <si>
    <t>6271003202</t>
  </si>
  <si>
    <t>6271003401</t>
  </si>
  <si>
    <t>6272000100</t>
  </si>
  <si>
    <t>6274001903</t>
  </si>
  <si>
    <t>Khấu hao máy móc thiết bị chính</t>
  </si>
  <si>
    <t>6272003502</t>
  </si>
  <si>
    <t>6273005101</t>
  </si>
  <si>
    <t>Chi phí in ấn, VPP</t>
  </si>
  <si>
    <t>6274001901</t>
  </si>
  <si>
    <t>1002603800</t>
  </si>
  <si>
    <t>1002603600</t>
  </si>
  <si>
    <t>6274001904</t>
  </si>
  <si>
    <t>6274001905</t>
  </si>
  <si>
    <t>6274001906</t>
  </si>
  <si>
    <t>6274001909</t>
  </si>
  <si>
    <t>6275001801</t>
  </si>
  <si>
    <t>6275001803</t>
  </si>
  <si>
    <t>84</t>
  </si>
  <si>
    <t>6417003602</t>
  </si>
  <si>
    <t>6421002604</t>
  </si>
  <si>
    <t>6421002605</t>
  </si>
  <si>
    <t>6421003202</t>
  </si>
  <si>
    <t>6421003401</t>
  </si>
  <si>
    <t>6424001907</t>
  </si>
  <si>
    <t>6425006101</t>
  </si>
  <si>
    <t>6427003702</t>
  </si>
  <si>
    <t>6427004804</t>
  </si>
  <si>
    <t>6427004901</t>
  </si>
  <si>
    <t>6427005501</t>
  </si>
  <si>
    <t>6427005601</t>
  </si>
  <si>
    <t>6427005602</t>
  </si>
  <si>
    <t>6427005701</t>
  </si>
  <si>
    <t>6427005702</t>
  </si>
  <si>
    <t>Máy móc, thiết bị</t>
  </si>
  <si>
    <t>6278004805</t>
  </si>
  <si>
    <t>6427005102</t>
  </si>
  <si>
    <t>Chi phí mực in, mực photo</t>
  </si>
  <si>
    <t>6427002301</t>
  </si>
  <si>
    <t>6428002402</t>
  </si>
  <si>
    <t>6278002101</t>
  </si>
  <si>
    <t>6272002201</t>
  </si>
  <si>
    <t>6418004102</t>
  </si>
  <si>
    <t>6417005001</t>
  </si>
  <si>
    <t>6418003901</t>
  </si>
  <si>
    <t>Thuê xe ngoài (taxi, du lịch)</t>
  </si>
  <si>
    <t>6422003502</t>
  </si>
  <si>
    <t>6423006501</t>
  </si>
  <si>
    <t>6427002201</t>
  </si>
  <si>
    <t>Chi phí sửa chữa nhỏ</t>
  </si>
  <si>
    <t>Vé bay, tàu, xe, taxi</t>
  </si>
  <si>
    <t>6427003801</t>
  </si>
  <si>
    <t>6428004302</t>
  </si>
  <si>
    <t>Chi phí hiếu hỷ, phúc lợi khác NV</t>
  </si>
  <si>
    <t>Khách sạn</t>
  </si>
  <si>
    <t>BHXH, BHYT, KPCĐ, BHTN</t>
  </si>
  <si>
    <t>6272002503</t>
  </si>
  <si>
    <t>6277005102</t>
  </si>
  <si>
    <t>CTY NGUYÊN TRƯỜNG</t>
  </si>
  <si>
    <t>6278005101</t>
  </si>
  <si>
    <t>Thuê xe giao hàng</t>
  </si>
  <si>
    <t>6417003701</t>
  </si>
  <si>
    <t>6427005001</t>
  </si>
  <si>
    <t>6418003701</t>
  </si>
  <si>
    <t>6421002901</t>
  </si>
  <si>
    <t>6422004805</t>
  </si>
  <si>
    <t>6423003002</t>
  </si>
  <si>
    <t>6428005101</t>
  </si>
  <si>
    <t>6424001904</t>
  </si>
  <si>
    <t>6427004603</t>
  </si>
  <si>
    <t>Chi phí ngân hàng</t>
  </si>
  <si>
    <t>6427005803</t>
  </si>
  <si>
    <t>6427006101</t>
  </si>
  <si>
    <t>6428004601</t>
  </si>
  <si>
    <t>6428005601</t>
  </si>
  <si>
    <t>6428005703</t>
  </si>
  <si>
    <t>CTY HOÀNG GIA LÂM</t>
  </si>
  <si>
    <t>CTY TRÍ VIỆT</t>
  </si>
  <si>
    <t>I - CHI PHÍ BÁN HÀNG PET</t>
  </si>
  <si>
    <t>Domestic Freight</t>
  </si>
  <si>
    <t>Thuê xe vận chuyển bán Chai PET</t>
  </si>
  <si>
    <t>Thuê xe vận chuyển bán Vảy PET</t>
  </si>
  <si>
    <t>Tổng CP_Bán hàng</t>
  </si>
  <si>
    <t>II - CHI PHÍ BÁN HÀNG HD</t>
  </si>
  <si>
    <t>Thuê xe vận chuyển bán vảy HD</t>
  </si>
  <si>
    <t>III CHI PHÍ QUẢN LÝ</t>
  </si>
  <si>
    <t>Gasoline</t>
  </si>
  <si>
    <t>Chi phí CCDC, thiết bị - Phục vụ quản lý</t>
  </si>
  <si>
    <t>Chi phí bảo trì</t>
  </si>
  <si>
    <t>Chi phí xây dựng sửa chữa VP</t>
  </si>
  <si>
    <t>Chi phí công chứng, sao y, thuế khác</t>
  </si>
  <si>
    <t>Government Taxes, Licenses and Other Fee</t>
  </si>
  <si>
    <t>Dự phòng nợ khó đòi</t>
  </si>
  <si>
    <t>Doubtful Debts and Bad Debts Expenses</t>
  </si>
  <si>
    <t>Chi phí điện quản lý</t>
  </si>
  <si>
    <t>Chi phí điện văn phòng</t>
  </si>
  <si>
    <t>Employees Development Expenses</t>
  </si>
  <si>
    <t>Chi phí tuyển dụng</t>
  </si>
  <si>
    <t>HR management fee</t>
  </si>
  <si>
    <t>Chi phí gởi xe du lịch, xe gắn máy</t>
  </si>
  <si>
    <t>Phí cầu đường xe</t>
  </si>
  <si>
    <t>Toll way fee</t>
  </si>
  <si>
    <t>Phí đăng kiểm, kiểm định xe</t>
  </si>
  <si>
    <t>Chi phí ấn phẩm: Catalogue, tờ rơi</t>
  </si>
  <si>
    <t>Advertising Expenses</t>
  </si>
  <si>
    <t>Chi phí nghỉ mát, du lịch</t>
  </si>
  <si>
    <t>Chi phí hội nghị, hội thảo, hội họp</t>
  </si>
  <si>
    <t>Chi phí hội nghị, hội thảo</t>
  </si>
  <si>
    <t>Chi phí hội nghị khách hàng</t>
  </si>
  <si>
    <t>Tài trợ thương hiệu Duy Tân</t>
  </si>
  <si>
    <t>Chi phí bưu phẩm</t>
  </si>
  <si>
    <t>Communication and Mailing Expenses</t>
  </si>
  <si>
    <t>Điện thoại bàn</t>
  </si>
  <si>
    <t>Điện thoại di động</t>
  </si>
  <si>
    <t>Chi phí internet, điện thoại, CPN</t>
  </si>
  <si>
    <t>Bank Charges</t>
  </si>
  <si>
    <t>Chi phí tiếp khách</t>
  </si>
  <si>
    <t>Representation &amp; Entertainment</t>
  </si>
  <si>
    <t>Chi phí tiệc, phúc lợi</t>
  </si>
  <si>
    <t>Per Diem, Traveling and Others Expense-Local</t>
  </si>
  <si>
    <t>Lodging-Local</t>
  </si>
  <si>
    <t>Chi phí công tác</t>
  </si>
  <si>
    <t>Chi phí dịch vụ, tư vấn</t>
  </si>
  <si>
    <t>Other professional fee</t>
  </si>
  <si>
    <t>Chi phí bảo vệ</t>
  </si>
  <si>
    <t>Chi phí kiểm toán</t>
  </si>
  <si>
    <t>Audit fee</t>
  </si>
  <si>
    <t>Chi phí trang trí văn phòng</t>
  </si>
  <si>
    <t>Tiền cà phê, bánh phòng họp</t>
  </si>
  <si>
    <t>Chi phí phát triển sản phẩm, thị trường</t>
  </si>
  <si>
    <t>Research and Development expenses</t>
  </si>
  <si>
    <t>Chi phí bồi thường, nộp phạt</t>
  </si>
  <si>
    <t>Chi phí ủng hộ, hỗ trợ, tài trợ</t>
  </si>
  <si>
    <t>Donation</t>
  </si>
  <si>
    <t>Chi phí mua mẫu</t>
  </si>
  <si>
    <t>Chi phí ăn uống</t>
  </si>
  <si>
    <t>Chi phí trợ cấp thôi việc - Gián tiếp</t>
  </si>
  <si>
    <t>Tổng CP_Quản lý</t>
  </si>
  <si>
    <t>PHÂN TÍCH CHI PHÍ PHỤC VỤ SXKD / THÀNH PHẨM SẢN XUẤT</t>
  </si>
  <si>
    <t>ĐVT: Đồng/Kg</t>
  </si>
  <si>
    <t>II - CHI PHÍ BÁN HÀNG</t>
  </si>
  <si>
    <t>Thuê xe vận chuyển bán Vảy HD</t>
  </si>
  <si>
    <t>IV=I+II+III</t>
  </si>
  <si>
    <t>TỔNG CHI PHÍ</t>
  </si>
  <si>
    <t>NGÂN SÁCH CAPEX VÀ XÂY DỰNG CƠ BẢN</t>
  </si>
  <si>
    <t>I - TÀI SẢN CỐ ĐỊNH TỪ NĂM TRƯỚC CHUYỂN SANG</t>
  </si>
  <si>
    <t>Chuyền phân loại chai PET số 01</t>
  </si>
  <si>
    <t>Depreciation-PPE-Machinery and equipment</t>
  </si>
  <si>
    <t>CTY JAIHO</t>
  </si>
  <si>
    <t>60</t>
  </si>
  <si>
    <t>TSCĐ hữu hình</t>
  </si>
  <si>
    <t xml:space="preserve"> Chuyền xử lý PET 1</t>
  </si>
  <si>
    <t>MÁY ÉP KIỆN NGANG (1)-CTY JAIHO</t>
  </si>
  <si>
    <t>CTY PULIAN LA</t>
  </si>
  <si>
    <t>DÀN PHÂN LOẠI (1)-PULIAN LA</t>
  </si>
  <si>
    <t>MÁY TÁCH NHÃN CHAI ÉP KIỆN (2)-PULIAN LA</t>
  </si>
  <si>
    <t>CTY BA KHÍA</t>
  </si>
  <si>
    <t>MÁY TÁCH NHÃN CHAI PET EK-BA KHÍA</t>
  </si>
  <si>
    <t>Chuyền phân loại chai PET số 02</t>
  </si>
  <si>
    <t xml:space="preserve"> Chuyền xử lý PET 2</t>
  </si>
  <si>
    <t>MÁY TÁCH NHÃN CHAI PHỒNG (1)-PULIAN LA</t>
  </si>
  <si>
    <t>104000001</t>
  </si>
  <si>
    <t>CTY KHÁNH NGA</t>
  </si>
  <si>
    <t>DÀN PHÂN LOẠI (2)-KHÁNH NGA</t>
  </si>
  <si>
    <t>104000005</t>
  </si>
  <si>
    <t>NMTC DUY TÂN</t>
  </si>
  <si>
    <t>MÁY ÉP KIỆN NGANG (2)-NMTC DUY TÂN</t>
  </si>
  <si>
    <t>104000006</t>
  </si>
  <si>
    <t>49</t>
  </si>
  <si>
    <t>Máy tách nhãn PVN-600,B.Tải nạp liệu,BTải PL-DTR</t>
  </si>
  <si>
    <t>104000023</t>
  </si>
  <si>
    <t>CTY PLENMA</t>
  </si>
  <si>
    <t xml:space="preserve"> Khối SX - Xưởng 2</t>
  </si>
  <si>
    <t>HỆ THỐNG LỒNG CHỨA CHAI B0</t>
  </si>
  <si>
    <t>104000026</t>
  </si>
  <si>
    <t>CHUYỀN CAMERA NHẬN DIỆN VÀ THỐNG KÊ CHAI</t>
  </si>
  <si>
    <t>104000025</t>
  </si>
  <si>
    <t>Hệ thống điện</t>
  </si>
  <si>
    <t>Hệ thống PCCC</t>
  </si>
  <si>
    <t>MMTB - Khác</t>
  </si>
  <si>
    <t>Khấu hao máy móc thiết bị phụ</t>
  </si>
  <si>
    <t xml:space="preserve"> Khối SX - Xưởng 3</t>
  </si>
  <si>
    <t>MÁY NÉN KHÍ-CTY NGUYÊN TRƯỜNG</t>
  </si>
  <si>
    <t>CTY ĐỒNG LÂM</t>
  </si>
  <si>
    <t>22</t>
  </si>
  <si>
    <t>Máy nghiền nhựa HGD-800 (máy băm dao phiến)</t>
  </si>
  <si>
    <t>CTY KỸ NGHỆ XANH VN</t>
  </si>
  <si>
    <t>MÁY MÀI DAO TỰ ĐỘNG MODEL:GM-HT2000-GREENMECH</t>
  </si>
  <si>
    <t>HỆ THỐNG THIẾT BỊ ĐIỆN DI DỜI CHUYỀN FS GIAI ĐOẠN2</t>
  </si>
  <si>
    <t>CTY LÊ ÁNH VIỆT</t>
  </si>
  <si>
    <t>48</t>
  </si>
  <si>
    <t>TANK INOX, LỌC CÁM CHO DÀN FS</t>
  </si>
  <si>
    <t>Khấu hao TSCĐ khác</t>
  </si>
  <si>
    <t>CTY CARNO VN</t>
  </si>
  <si>
    <t>Khối SX - Kỹ thuật</t>
  </si>
  <si>
    <t>MÁY MÀI DAO BĂM ZMB1-700/380-CTY CARNO VN</t>
  </si>
  <si>
    <t>Máy móc, thiết bị - SX 627</t>
  </si>
  <si>
    <t>CÔNG TY VIỆT MỸ</t>
  </si>
  <si>
    <t>Logistics Kho</t>
  </si>
  <si>
    <t>THIẾT BỊ CÂN XE-HĐMB 19/2022/HĐMB-DLO</t>
  </si>
  <si>
    <t>Thiết bị, dụng cụ quản lý - SX 627</t>
  </si>
  <si>
    <t>Khấu hao thiết bị văn phòng</t>
  </si>
  <si>
    <t>Xưởng sản xuất PET</t>
  </si>
  <si>
    <t>XDCB - Xưởng 1</t>
  </si>
  <si>
    <t>Khấu hao nhà xưởng</t>
  </si>
  <si>
    <t>Depreciation-PPE-Building and structures</t>
  </si>
  <si>
    <t>CTY TOÀN PHÁT</t>
  </si>
  <si>
    <t>HỆ THỐNG PCCC XƯỞNG 2-CTY TOÀN PHÁT</t>
  </si>
  <si>
    <t>HỆ THỐNG PCCC XƯỞNG 3-CTY TOÀN PHÁT</t>
  </si>
  <si>
    <t>CTY DUY TRẦN, LỌC PHƯƠNG TÂY</t>
  </si>
  <si>
    <t>HỆ THỐNG XỬ LÝ NƯỚC THẢI XƯỞNG 3</t>
  </si>
  <si>
    <t>XDCB - Xưởng 3</t>
  </si>
  <si>
    <t>XDCB - Xưởng 4</t>
  </si>
  <si>
    <t>XDCB - Hệ thống thoát nước</t>
  </si>
  <si>
    <t>Xe nâng - NXH</t>
  </si>
  <si>
    <t>Khấu hao phương tiện đi lại, vận tải</t>
  </si>
  <si>
    <t>Depreciation-PPE-Transportation and equipment</t>
  </si>
  <si>
    <t>Xe nâng dầu 2.5 Tấn Komatsu (Xe số 20) - DTR</t>
  </si>
  <si>
    <t>107000006</t>
  </si>
  <si>
    <t>72</t>
  </si>
  <si>
    <t>XE NÂNG TOYOTA MODEL 52-8FD30.SN:37419-HGL</t>
  </si>
  <si>
    <t>107000004</t>
  </si>
  <si>
    <t>Xe nâng - Sản xuất</t>
  </si>
  <si>
    <t>24</t>
  </si>
  <si>
    <t>Xe nâng dầu 2.5 Tấn TCM FD25T3 (Xe số 6)-DTR</t>
  </si>
  <si>
    <t>107000005</t>
  </si>
  <si>
    <t>CTY VIỆT THÀNH</t>
  </si>
  <si>
    <t>Cầu dẫn xe nâng Model : Vramp-10T-S</t>
  </si>
  <si>
    <t>107000001</t>
  </si>
  <si>
    <t>CTY MANOVAT</t>
  </si>
  <si>
    <t>TSCĐ-P.TIỆN VẬN TẢI-XE NÂNG TOYOTA 62-8FD25</t>
  </si>
  <si>
    <t>107000003</t>
  </si>
  <si>
    <t xml:space="preserve">CTY XE NÂNG VIỆT    </t>
  </si>
  <si>
    <t>Xe nâng đã qua sử dụng hiệu TCM (UNI Cariess) Mode</t>
  </si>
  <si>
    <t>107000000</t>
  </si>
  <si>
    <t>XDCB - Quản lý</t>
  </si>
  <si>
    <t>HỆ THỐNG CAMERA XƯỞNG 2-CTY TRÍ VIỆT</t>
  </si>
  <si>
    <t>HỆ THỐNG CAMERA XƯỞNG 3-CTY TRÍ VIỆT</t>
  </si>
  <si>
    <t>Phần mềm kế toán</t>
  </si>
  <si>
    <t>Khấu hao TSCĐ vô hình (Phần mềm)</t>
  </si>
  <si>
    <t>Amortization of Software licenses</t>
  </si>
  <si>
    <t>CTY TNHH STAND DATA</t>
  </si>
  <si>
    <t>TSCĐ vô hình</t>
  </si>
  <si>
    <t>Tài chính Kế toán</t>
  </si>
  <si>
    <t>TSCĐ VÔ HÌNH : CHI PHÍ TRIỂN KHAI SAP</t>
  </si>
  <si>
    <t>Chuyền Băm PET số 01</t>
  </si>
  <si>
    <t>Chuyền Băm PET</t>
  </si>
  <si>
    <t xml:space="preserve"> RỬA-BĂM-TÁCH MÀU FS</t>
  </si>
  <si>
    <t>DÀN BĂM RỬA FS HDPE-MÁY TÁCH MÀU-ĐỒNG LÂM</t>
  </si>
  <si>
    <t>104000007</t>
  </si>
  <si>
    <t>MÁY BĂM TỐC ĐỘ NHANH A500SP-PULIAN LA</t>
  </si>
  <si>
    <t>104000009</t>
  </si>
  <si>
    <t>CTY HOÀNG THIÊN LONG</t>
  </si>
  <si>
    <t>Máy phát hiện kim loại Rapid Vario FS-70-CHUYỀN FS</t>
  </si>
  <si>
    <t>104000011</t>
  </si>
  <si>
    <t>Máy phát hiện kim loại băng tải DLS -CHUYỀN FS</t>
  </si>
  <si>
    <t>104000012</t>
  </si>
  <si>
    <t>SÀNG RUNG P-SRT-1000-PULIAN LA</t>
  </si>
  <si>
    <t>104000015</t>
  </si>
  <si>
    <t>CTY IMAG</t>
  </si>
  <si>
    <t>THIẾT BỊ NAM CHÂM LỌC SẮT MÁY BĂM FS (BĂM PET)</t>
  </si>
  <si>
    <t>104600000</t>
  </si>
  <si>
    <t>CTY THÀNH CÔNG</t>
  </si>
  <si>
    <t>VÍT TẢI LẤY LIỆU (DI DỜI CHUYỀN FS GĐ 2-X3 VỀ X2)</t>
  </si>
  <si>
    <t>104600001</t>
  </si>
  <si>
    <t>CTY  NAM CHÂM MAGTA</t>
  </si>
  <si>
    <t>NAM CHÂM LỌC SẮT CHUYỀN FS - CTY MAGTA</t>
  </si>
  <si>
    <t>104600003</t>
  </si>
  <si>
    <t>VẬT TƯ DI DỜI, LẮP ĐẶT CHUYỀN FS-GĐ1</t>
  </si>
  <si>
    <t>104600004</t>
  </si>
  <si>
    <t>Chuyên Băm HDPE 01</t>
  </si>
  <si>
    <t>Chuyền Băm HDPE</t>
  </si>
  <si>
    <t>CTY PULIAN INTERNATIONAL</t>
  </si>
  <si>
    <t xml:space="preserve"> Tạo vảy HDPE PULIAN</t>
  </si>
  <si>
    <t>DÀN TẠO VẢY HDPE-PULIAN INTERNATIONAL</t>
  </si>
  <si>
    <t xml:space="preserve"> TÁCH MÀU PULIAN</t>
  </si>
  <si>
    <t>Máy tách màu Taiho Model: 6SXM-1008FS+(02)-NCC DTR</t>
  </si>
  <si>
    <t xml:space="preserve"> C.Rửa vảy HDPE DEMO</t>
  </si>
  <si>
    <t>CHUYỀN RỬA DEMO HDPE - CTY JAIHO</t>
  </si>
  <si>
    <t>NAM CHÂM PHÂN LOẠI KIM LOẠI CHUYỀN HDPE PULIAN</t>
  </si>
  <si>
    <t>Chuyên Dây Đai PET</t>
  </si>
  <si>
    <t>Nhập Khẩu</t>
  </si>
  <si>
    <t>JWELL</t>
  </si>
  <si>
    <t>JEWLL</t>
  </si>
  <si>
    <t>Tạo dây Dai PET</t>
  </si>
  <si>
    <t>Sesotec</t>
  </si>
  <si>
    <t>SESOTEC</t>
  </si>
  <si>
    <t>Dongguan</t>
  </si>
  <si>
    <t>Nội Địa</t>
  </si>
  <si>
    <t>Hoàng Tiến Phát</t>
  </si>
  <si>
    <t>Hoàng TIến Phát</t>
  </si>
  <si>
    <t>Thịnh Phát, AE</t>
  </si>
  <si>
    <t>Khang Thành, Lê Quốc</t>
  </si>
  <si>
    <t>Hệ thống hơi</t>
  </si>
  <si>
    <t>Hoàng Tấn An</t>
  </si>
  <si>
    <t>III - TÀI SẢN CỐ ĐỊNH ĐẦU TƯ NĂM 2026</t>
  </si>
  <si>
    <t>Kỹ Thuật</t>
  </si>
  <si>
    <t>Chuyền phân loại chai PET số 03</t>
  </si>
  <si>
    <t xml:space="preserve"> Plenma </t>
  </si>
  <si>
    <t>Băng tải đứng cấp liệu máy tách nhãn</t>
  </si>
  <si>
    <t>Sàn phân loai sau tách nhãn</t>
  </si>
  <si>
    <t>Băng tải cấp liệu long chứa</t>
  </si>
  <si>
    <t>Phòng Tiêu Âm , đạt được độ ồn đứng cách phòng ≤85</t>
  </si>
  <si>
    <t>Nhập khẩu</t>
  </si>
  <si>
    <t>Băng tải phụ cấp liệu cho máy ép kiện</t>
  </si>
  <si>
    <t>Giấy Phép môi trường</t>
  </si>
  <si>
    <t>TỔNG CỘNG KHẤU HAO TSCĐ_SX</t>
  </si>
  <si>
    <t>Khấu Hao chuyền Phân loại</t>
  </si>
  <si>
    <t>Khấu hao chuyền Băm PET</t>
  </si>
  <si>
    <t>Khấu hao chuyền Băm HD</t>
  </si>
  <si>
    <t>Khấu hao chuyền Dây Đai</t>
  </si>
  <si>
    <t>Khấu Hao xưởng</t>
  </si>
  <si>
    <t>TỔNG CỘNG KHẤU HAO TSCĐ_QL</t>
  </si>
  <si>
    <t>TỔNG CỘNG KHẤU HAO TSCĐ</t>
  </si>
  <si>
    <t>Công ty CP Nhựa Tái Chế Duy Tân</t>
  </si>
  <si>
    <t>NGÂN SÁCH CHI PHÍ HOẠT ĐỘNG (OPEX,FOH)</t>
  </si>
  <si>
    <t>Phòng ban:</t>
  </si>
  <si>
    <t>ĐVT: đồng</t>
  </si>
  <si>
    <t>THỰC TẾ</t>
  </si>
  <si>
    <t>DỰ BÁO</t>
  </si>
  <si>
    <t>Cost Center 1</t>
  </si>
  <si>
    <t>TK3so</t>
  </si>
  <si>
    <t>Cost Group 1</t>
  </si>
  <si>
    <t>Group</t>
  </si>
  <si>
    <t>Gr KM</t>
  </si>
  <si>
    <t>Cost Group 2</t>
  </si>
  <si>
    <t>Cost Group 3</t>
  </si>
  <si>
    <t>Cost Element</t>
  </si>
  <si>
    <t>Name Cost Element</t>
  </si>
  <si>
    <t>Cost Group_New</t>
  </si>
  <si>
    <t>CP Code</t>
  </si>
  <si>
    <t>Name CP Code</t>
  </si>
  <si>
    <t>NS1.2026</t>
  </si>
  <si>
    <t>NS2.2026</t>
  </si>
  <si>
    <t>NS3.2026</t>
  </si>
  <si>
    <t>NS4.2026</t>
  </si>
  <si>
    <t>NS5.2026</t>
  </si>
  <si>
    <t>NS6.2026</t>
  </si>
  <si>
    <t>NS7.2026</t>
  </si>
  <si>
    <t>NS8.2026</t>
  </si>
  <si>
    <t>NS9.2026</t>
  </si>
  <si>
    <t>NS10.2026</t>
  </si>
  <si>
    <t>NS11.2026</t>
  </si>
  <si>
    <t>NS12.2026</t>
  </si>
  <si>
    <t>CỘNG NS.2026</t>
  </si>
  <si>
    <t>T1.2025</t>
  </si>
  <si>
    <t>T2.2025</t>
  </si>
  <si>
    <t>T3.2025</t>
  </si>
  <si>
    <t>T4.2025</t>
  </si>
  <si>
    <t>T5.2025</t>
  </si>
  <si>
    <t>T6.2025</t>
  </si>
  <si>
    <t>T7.2025</t>
  </si>
  <si>
    <t>T8.2025</t>
  </si>
  <si>
    <t>T9.2025</t>
  </si>
  <si>
    <t>T10.2025</t>
  </si>
  <si>
    <t>T11.2025</t>
  </si>
  <si>
    <t>T12.2025</t>
  </si>
  <si>
    <t>Lũy kế 2025</t>
  </si>
  <si>
    <t>Phân Loại Phí</t>
  </si>
  <si>
    <t>Chi Phí_L1</t>
  </si>
  <si>
    <t>Code_Chi Phí_L2</t>
  </si>
  <si>
    <t>Chi Phí_L2 (Group 1)</t>
  </si>
  <si>
    <t>Chi Phí_L3 (Cost elements 1)</t>
  </si>
  <si>
    <t>Code_Chi Phí_L4</t>
  </si>
  <si>
    <t>Chi Phí_L4 (Cost elements 2)</t>
  </si>
  <si>
    <t>Mã tài khoản_CDPS (3 Trạm)</t>
  </si>
  <si>
    <t>Tên tài khoản (3 Trạm)</t>
  </si>
  <si>
    <t>Ghi chú 3 Trạm</t>
  </si>
  <si>
    <t>KH01.2026</t>
  </si>
  <si>
    <t>KH02.2026</t>
  </si>
  <si>
    <t>KH03.2026</t>
  </si>
  <si>
    <t>KH04.2026</t>
  </si>
  <si>
    <t>KH05.2026</t>
  </si>
  <si>
    <t>KH06.2026</t>
  </si>
  <si>
    <t>KH07.2026</t>
  </si>
  <si>
    <t>KH08.2026</t>
  </si>
  <si>
    <t>KH09.2026</t>
  </si>
  <si>
    <t>KH10.2026</t>
  </si>
  <si>
    <t>KH11.2026</t>
  </si>
  <si>
    <t>KH12.2026</t>
  </si>
  <si>
    <t>TỔNG KẾ HOẠCH 2026</t>
  </si>
  <si>
    <t>TT01.2025</t>
  </si>
  <si>
    <t>TT02.2025</t>
  </si>
  <si>
    <t>TT03.2025</t>
  </si>
  <si>
    <t>TT04.2025</t>
  </si>
  <si>
    <t>TT05.2025</t>
  </si>
  <si>
    <t>TT06.2025</t>
  </si>
  <si>
    <t>TT07.2025</t>
  </si>
  <si>
    <t>TT08.2025</t>
  </si>
  <si>
    <t>DB09.2025</t>
  </si>
  <si>
    <t>TỔNG 2025</t>
  </si>
  <si>
    <t>DTLA</t>
  </si>
  <si>
    <t>DTLA - EP</t>
  </si>
  <si>
    <t>Lương Trực Tiếp Sản Xuất</t>
  </si>
  <si>
    <t>Lương trực tiếp sản xuất</t>
  </si>
  <si>
    <t>Lương NCTT</t>
  </si>
  <si>
    <t>01-LUONGTT_01</t>
  </si>
  <si>
    <t>Lương Chính +T13-TT</t>
  </si>
  <si>
    <t>CP_0026.01</t>
  </si>
  <si>
    <t>Chi Phí Lương Chính - Trực Tiếp</t>
  </si>
  <si>
    <t>CP_0026.02</t>
  </si>
  <si>
    <t>Chi Phí Lương T13, Phép Năm - Trực Tiếp</t>
  </si>
  <si>
    <t>03-LUONGTT_03</t>
  </si>
  <si>
    <t>CP_0034.01</t>
  </si>
  <si>
    <t>02-LUONGTT_02</t>
  </si>
  <si>
    <t>Lương Ngoài giờ-TT</t>
  </si>
  <si>
    <t>6220002701</t>
  </si>
  <si>
    <t>CP_0027.01</t>
  </si>
  <si>
    <t>Chi Phí Lương Ngoài Giờ</t>
  </si>
  <si>
    <t>06-LUONGTT_06</t>
  </si>
  <si>
    <t>Thưởng-TT</t>
  </si>
  <si>
    <t>6220002802</t>
  </si>
  <si>
    <t>CP_0028.02</t>
  </si>
  <si>
    <t>Chi Phí Khen Thưởng</t>
  </si>
  <si>
    <t>CP_0028.06</t>
  </si>
  <si>
    <t>04-LUONGTT_04</t>
  </si>
  <si>
    <t>Phụ Cấp-TT</t>
  </si>
  <si>
    <t>6220002603</t>
  </si>
  <si>
    <t>CP_0026.03</t>
  </si>
  <si>
    <t>Phụ Cấp Ca Đêm</t>
  </si>
  <si>
    <t>6220002901</t>
  </si>
  <si>
    <t>Chi phí trợ cấp thôi việc - Trực tiếp</t>
  </si>
  <si>
    <t>Employee Benefits Expenses</t>
  </si>
  <si>
    <t>CP_0029.01</t>
  </si>
  <si>
    <t>Chi Phí Trợ Cấp Thôi Việc</t>
  </si>
  <si>
    <t>05-LUONGTT_05</t>
  </si>
  <si>
    <t>CP_0032.01</t>
  </si>
  <si>
    <t>Tiền Ăn Giữa Ca - Trực Tiếp</t>
  </si>
  <si>
    <t>Định Phí</t>
  </si>
  <si>
    <t>Chi Phí Hoạt Động</t>
  </si>
  <si>
    <t>41-DINHPHI_20</t>
  </si>
  <si>
    <t>FOH_Sản Xuất</t>
  </si>
  <si>
    <t>Chi phí đồng phục, BHLĐ</t>
  </si>
  <si>
    <t>CP_0030.01</t>
  </si>
  <si>
    <t>Chi Phí Đồng Phục</t>
  </si>
  <si>
    <t>43-DINHPHI_22</t>
  </si>
  <si>
    <t>6220007202</t>
  </si>
  <si>
    <t>CP_0072.02</t>
  </si>
  <si>
    <t>Chi Phí Khen Thưởng, Bồi Dưỡng Khác</t>
  </si>
  <si>
    <t>Chi Phí Điện Sản Xuất</t>
  </si>
  <si>
    <t>Biến Phí</t>
  </si>
  <si>
    <t>Điện Sản Xuất</t>
  </si>
  <si>
    <t>13-BIENPHI_01</t>
  </si>
  <si>
    <t>Chi Phí Điện</t>
  </si>
  <si>
    <t>CP_0018.01</t>
  </si>
  <si>
    <t>Lương Gián Tiếp Sản Xuất</t>
  </si>
  <si>
    <t>Lương gián tiếp sản xuất</t>
  </si>
  <si>
    <t>Lương Gián Tiếp</t>
  </si>
  <si>
    <t>07-LUONGGT_01</t>
  </si>
  <si>
    <t>Lương Chính +T13</t>
  </si>
  <si>
    <t>CP_0026.04</t>
  </si>
  <si>
    <t>Chi Phí Lương Chính - Gián Tiếp</t>
  </si>
  <si>
    <t>CP_0026.05</t>
  </si>
  <si>
    <t>Chi Phí Lương T13, Phép Năm - Gián Tiếp</t>
  </si>
  <si>
    <t>09-LUONGGT_03</t>
  </si>
  <si>
    <t>08-LUONGGT_02</t>
  </si>
  <si>
    <t>Lương Ngoài Giờ</t>
  </si>
  <si>
    <t>6271002703</t>
  </si>
  <si>
    <t>CP_0027.03</t>
  </si>
  <si>
    <t>Chi Phí Lương Ngoài Giờ - Gián Tiếp</t>
  </si>
  <si>
    <t>12-LUONGGT_06</t>
  </si>
  <si>
    <t>Thưởng</t>
  </si>
  <si>
    <t>6271002802</t>
  </si>
  <si>
    <t>10-LUONGGT_04</t>
  </si>
  <si>
    <t>Phụ Cấp</t>
  </si>
  <si>
    <t>6271002603</t>
  </si>
  <si>
    <t>6271002801</t>
  </si>
  <si>
    <t>Chi phí bồi dưỡng</t>
  </si>
  <si>
    <t>CP_0028.01</t>
  </si>
  <si>
    <t>Chi Phí Bồi Dưỡng</t>
  </si>
  <si>
    <t>6271002901</t>
  </si>
  <si>
    <t>11-LUONGGT_05</t>
  </si>
  <si>
    <t>CP_0032.02</t>
  </si>
  <si>
    <t>Tiền Ăn Giữa Ca - Gián Tiếp</t>
  </si>
  <si>
    <t>46-DINHPHI_25</t>
  </si>
  <si>
    <t>Chi Phí Công Tác</t>
  </si>
  <si>
    <t>6271005704</t>
  </si>
  <si>
    <t>Phụ cấp công tác</t>
  </si>
  <si>
    <t>CP_0057.04</t>
  </si>
  <si>
    <t>Phụ Cấp Công Tác</t>
  </si>
  <si>
    <t>Chi Phí Đồng Phục, BHLĐ</t>
  </si>
  <si>
    <t>6271007202</t>
  </si>
  <si>
    <t>Chi Phí Hoạt Động Sản Xuất</t>
  </si>
  <si>
    <t>Chi phí hoạt động sản xuất</t>
  </si>
  <si>
    <t>35-DINHPHI_14</t>
  </si>
  <si>
    <t>6277002805</t>
  </si>
  <si>
    <t>Chi phí nước</t>
  </si>
  <si>
    <t>CP_0028.05</t>
  </si>
  <si>
    <t>Tiền Sữa, Bánh Ca Đêm + Tăng Ca</t>
  </si>
  <si>
    <t>6278002805</t>
  </si>
  <si>
    <t>Tiền sữa, bánh ca đêm + tăng ca</t>
  </si>
  <si>
    <t>14-BIENPHI_02</t>
  </si>
  <si>
    <t>Chi Phí Mực, Nhũ In</t>
  </si>
  <si>
    <t>6272000401</t>
  </si>
  <si>
    <t>Chi phí mực, nhũ in</t>
  </si>
  <si>
    <t>CP_0004.01</t>
  </si>
  <si>
    <t>48-DINHPHI_27</t>
  </si>
  <si>
    <t>CP vật tư phục vụ sản xuất</t>
  </si>
  <si>
    <t>6273001401</t>
  </si>
  <si>
    <t>Chi phí dao cụ CNC</t>
  </si>
  <si>
    <t>CP_0014.01</t>
  </si>
  <si>
    <t>Chi Phí Dao Cụ CNC</t>
  </si>
  <si>
    <t>CP_0001.00</t>
  </si>
  <si>
    <t>Chi Phí Vật Tư Phân Xưởng</t>
  </si>
  <si>
    <t>6273001201</t>
  </si>
  <si>
    <t>Chi phí sắt thép, nhôm, đồng, thau SX khuôn, máy</t>
  </si>
  <si>
    <t>CP_0012.01</t>
  </si>
  <si>
    <t>Chi Phí Sắt Thép, Nhôm, Đồng, Thau SX Khuôn</t>
  </si>
  <si>
    <t>6273001301</t>
  </si>
  <si>
    <t>Chi phí phụ tùng khuôn, máy</t>
  </si>
  <si>
    <t>CP_0013.01</t>
  </si>
  <si>
    <t>Chi Phí Phụ Tùng Khuôn</t>
  </si>
  <si>
    <t>CP_0021.01</t>
  </si>
  <si>
    <t>6273002103</t>
  </si>
  <si>
    <t>Chi phí dây cắt</t>
  </si>
  <si>
    <t>CP_0021.03</t>
  </si>
  <si>
    <t>Chi Phí Dây Cắt</t>
  </si>
  <si>
    <t>6273002104</t>
  </si>
  <si>
    <t>Chi phí vật tư đánh bóng</t>
  </si>
  <si>
    <t>CP_0021.04</t>
  </si>
  <si>
    <t>Chi Phí Vật Tư Đánh Bóng</t>
  </si>
  <si>
    <t>Dầu nhớt bảo trì, sửa chữa máy</t>
  </si>
  <si>
    <t>CP_0025.03</t>
  </si>
  <si>
    <t>Dầu Nhớt Bảo Trì, Sửa Chữa Máy</t>
  </si>
  <si>
    <t>55-DINHPHI_34</t>
  </si>
  <si>
    <t>Chi Phí Băng Keo</t>
  </si>
  <si>
    <t>6272002102</t>
  </si>
  <si>
    <t>Chi phí băng keo</t>
  </si>
  <si>
    <t>Packaging Supplies Used</t>
  </si>
  <si>
    <t>CP_0021.02</t>
  </si>
  <si>
    <t>23-DINHPHI_02</t>
  </si>
  <si>
    <t>Chi Phí Thuê Nhà, Văn Phòng, Xưởng, Kho</t>
  </si>
  <si>
    <t>CP_0050.01</t>
  </si>
  <si>
    <t>25-DINHPHI_04</t>
  </si>
  <si>
    <t>6272006501</t>
  </si>
  <si>
    <t>Chi phí bảo trì - Xuất nhiên liệu</t>
  </si>
  <si>
    <t>CP_0065.01</t>
  </si>
  <si>
    <t>22-DINHPHI_01</t>
  </si>
  <si>
    <t>Dịch vụ tư vấn</t>
  </si>
  <si>
    <t>6277005801</t>
  </si>
  <si>
    <t>CP_0058.01</t>
  </si>
  <si>
    <t>Chi Phí Dịch Vụ, Tư Vấn</t>
  </si>
  <si>
    <t>27-DINHPHI_06</t>
  </si>
  <si>
    <t>Sửa Chữa, Bảo Trì Khuôn</t>
  </si>
  <si>
    <t>6273001501</t>
  </si>
  <si>
    <t>Chi phí xi, khắc khuôn, tôi thép</t>
  </si>
  <si>
    <t>CP_0015.01</t>
  </si>
  <si>
    <t>Chi Phí Xi, Khắc Khuôn</t>
  </si>
  <si>
    <t>6277001501</t>
  </si>
  <si>
    <t>6273001602</t>
  </si>
  <si>
    <t>Chi phí gia công thuê ngoài khuôn nội bộ Duy Tân</t>
  </si>
  <si>
    <t>CP_0016.02</t>
  </si>
  <si>
    <t>Chi Phí Gia Công Thuê Ngoài Khuôn - Nội Bộ Duy Tân</t>
  </si>
  <si>
    <t>6273002202</t>
  </si>
  <si>
    <t>Chi phí sửa chữa bảo trì khuôn, máy - Xuất vật tư</t>
  </si>
  <si>
    <t>CP_0022.02</t>
  </si>
  <si>
    <t>Chi Phí Sửa Chữa Khuôn, Bảo Trì Khuôn</t>
  </si>
  <si>
    <t>6277002202</t>
  </si>
  <si>
    <t>Chi phí sửa chữa khuôn, bảo trì khuôn - DV bên ngoài</t>
  </si>
  <si>
    <t>6277002203</t>
  </si>
  <si>
    <t>Chi phí xi khuôn cũ</t>
  </si>
  <si>
    <t>CP_0022.03</t>
  </si>
  <si>
    <t>Chi Phí Xi Khắc Khuôn Cũ</t>
  </si>
  <si>
    <t>6273006201</t>
  </si>
  <si>
    <t>Chi phí khuôn phân bổ theo sản phẩm</t>
  </si>
  <si>
    <t>CP_0062.01</t>
  </si>
  <si>
    <t>Chi Phí Khuôn Phân Bổ Theo Sản Phẩm</t>
  </si>
  <si>
    <t>49-DINHPHI_28</t>
  </si>
  <si>
    <t>Công Cụ, Dụng Cụ</t>
  </si>
  <si>
    <t>CP_0019.08</t>
  </si>
  <si>
    <t>Phân Bổ Công Cụ Dụng Cụ</t>
  </si>
  <si>
    <t>Chi phí công cụ, dụng cụ, thiết bị - Phục vụ SX</t>
  </si>
  <si>
    <t>CP_0024.01</t>
  </si>
  <si>
    <t>Chi Phí CCDC, Thiết Bị - Phục Vụ SX</t>
  </si>
  <si>
    <t>CP_0024.02</t>
  </si>
  <si>
    <t>Chi Phí CCDC, Thiết Bị - Phục Vụ Quản Lý</t>
  </si>
  <si>
    <t>6278002402</t>
  </si>
  <si>
    <t>34-DINHPHI_13</t>
  </si>
  <si>
    <t>CP tiệc, phúc lợi nhân viên</t>
  </si>
  <si>
    <t>6277005602</t>
  </si>
  <si>
    <t>CP_0056.02</t>
  </si>
  <si>
    <t>Chi Phí Tiệc, Phúc Lợi</t>
  </si>
  <si>
    <t>53-DINHPHI_32</t>
  </si>
  <si>
    <t>CP_0022.01</t>
  </si>
  <si>
    <t>Chi Phí Sửa Chữa Nhỏ</t>
  </si>
  <si>
    <t>6277002201</t>
  </si>
  <si>
    <t>Chi phí sửa chữa nhỏ - DV bên ngoài</t>
  </si>
  <si>
    <t>CP_0022.04</t>
  </si>
  <si>
    <t>Sửa Chữa, Bảo Trì Phương Tiện Vận Tải - Thuê Ngoài</t>
  </si>
  <si>
    <t>6277005701</t>
  </si>
  <si>
    <t>CP_0057.01</t>
  </si>
  <si>
    <t>Vé Bay, Tàu, Xe, Taxi</t>
  </si>
  <si>
    <t>6277005702</t>
  </si>
  <si>
    <t>CP_0057.02</t>
  </si>
  <si>
    <t>Khách Sạn</t>
  </si>
  <si>
    <t>6278005703</t>
  </si>
  <si>
    <t>CP_0057.03</t>
  </si>
  <si>
    <t>Chi Phí Ăn Uống</t>
  </si>
  <si>
    <t>54-DINHPHI_33</t>
  </si>
  <si>
    <t>Chi Phí Tiếp Khách</t>
  </si>
  <si>
    <t>6278005601</t>
  </si>
  <si>
    <t>CP_0056.01</t>
  </si>
  <si>
    <t>Nghỉ mát, phúc lợi</t>
  </si>
  <si>
    <t>CP_0031.01</t>
  </si>
  <si>
    <t>Chi Phí Y Tế, BH Sức Khỏe</t>
  </si>
  <si>
    <t>37-DINHPHI_16</t>
  </si>
  <si>
    <t>Điện Thoại, Internet, Bảo Trì IT</t>
  </si>
  <si>
    <t>6277004901</t>
  </si>
  <si>
    <t>CP_0049.01</t>
  </si>
  <si>
    <t>Điện Thoại Bàn</t>
  </si>
  <si>
    <t>CP_0049.02</t>
  </si>
  <si>
    <t>Điện Thoại Di Động</t>
  </si>
  <si>
    <t>6277004903</t>
  </si>
  <si>
    <t>CP_0049.03</t>
  </si>
  <si>
    <t>CP_0049.04</t>
  </si>
  <si>
    <t>Bảo Trì IT</t>
  </si>
  <si>
    <t>36-DINHPHI_15</t>
  </si>
  <si>
    <t>In Ấn, Văn Phòng Phẩm</t>
  </si>
  <si>
    <t>CP_0051.01</t>
  </si>
  <si>
    <t>Chi Phí In Ấn, VPP</t>
  </si>
  <si>
    <t>CP_0051.02</t>
  </si>
  <si>
    <t>Chi Phí Mực In, Mực Photo</t>
  </si>
  <si>
    <t>45-DINHPHI_24</t>
  </si>
  <si>
    <t>Chi Phí Đào Tạo, Tuyển Dụng</t>
  </si>
  <si>
    <t>6277003302</t>
  </si>
  <si>
    <t>CP_0033.02</t>
  </si>
  <si>
    <t>Chi Phí Đào Tạo</t>
  </si>
  <si>
    <t>40-DINHPHI_19</t>
  </si>
  <si>
    <t>Chi Phí Nâng Cấp Cải Tạo, Chế Tạo</t>
  </si>
  <si>
    <t>CP_0066.01</t>
  </si>
  <si>
    <t>Chi Phí Nâng Cấp, Cải Tạo, Chế Tạo</t>
  </si>
  <si>
    <t>6278006601</t>
  </si>
  <si>
    <t>29-DINHPHI_08</t>
  </si>
  <si>
    <t>CP_0020.01</t>
  </si>
  <si>
    <t>Chi Phí Xây Dựng, Sửa Chữa Nhà Xưởng, Văn Phòng</t>
  </si>
  <si>
    <t>26-DINHPHI_05</t>
  </si>
  <si>
    <t>Phát Triển Sản Phẩm Mới</t>
  </si>
  <si>
    <t>6278004802</t>
  </si>
  <si>
    <t>CP_0048.02</t>
  </si>
  <si>
    <t>Chi Phí Mua Mẫu</t>
  </si>
  <si>
    <t>6272004803</t>
  </si>
  <si>
    <t>Chi phí thử mẫu, xuất mẫu</t>
  </si>
  <si>
    <t>CP_0048.03</t>
  </si>
  <si>
    <t>Chi Phí Thử Mẫu, Xuất Mẫu</t>
  </si>
  <si>
    <t>6278004803</t>
  </si>
  <si>
    <t>6272004805</t>
  </si>
  <si>
    <t>Chi phí thử khuôn</t>
  </si>
  <si>
    <t>CP_0048.05</t>
  </si>
  <si>
    <t>Chi Phí Thử Khuôn</t>
  </si>
  <si>
    <t>6277005201</t>
  </si>
  <si>
    <t>Chi phí nhập khẩu</t>
  </si>
  <si>
    <t>Freight ,Relocation&amp;Transportation Exp.</t>
  </si>
  <si>
    <t>CP_0052.01</t>
  </si>
  <si>
    <t>Chi Phí Nhập Khẩu</t>
  </si>
  <si>
    <t>32-DINHPHI_11</t>
  </si>
  <si>
    <t>Phí Cầu Đường, Kiểm Định</t>
  </si>
  <si>
    <t>CP_0038.03</t>
  </si>
  <si>
    <t>Phí Kiểm Định Kỹ Thuật</t>
  </si>
  <si>
    <t>51-DINHPHI_30</t>
  </si>
  <si>
    <t>Bến Bãi, Dịch Vụ Môi Trường</t>
  </si>
  <si>
    <t>CP_0037.02</t>
  </si>
  <si>
    <t>Chi Phí Dịch Vụ Môi Trường</t>
  </si>
  <si>
    <t>CP_0030.02</t>
  </si>
  <si>
    <t>Chi Phí Đồ BHLĐ</t>
  </si>
  <si>
    <t>24-DINHPHI_03</t>
  </si>
  <si>
    <t>Chi Phí Xăng Dầu Xe Du Lịch, Xe Gắn Máy, Xe Nâng</t>
  </si>
  <si>
    <t>CP_0035.02</t>
  </si>
  <si>
    <t>31-DINHPHI_10</t>
  </si>
  <si>
    <t>Thuê Xe Vận Chuyển Khác</t>
  </si>
  <si>
    <t>Thuê xe vận chuyển khuôn, máy</t>
  </si>
  <si>
    <t>Vehicle rent</t>
  </si>
  <si>
    <t>CP_0036.03</t>
  </si>
  <si>
    <t>Thuê Xe Vận Chuyển Khuôn, Máy</t>
  </si>
  <si>
    <t>Nước uống, nước đá phòng họp</t>
  </si>
  <si>
    <t>CP_0028.04</t>
  </si>
  <si>
    <t>Tiền Nước Uống</t>
  </si>
  <si>
    <t>6278003203</t>
  </si>
  <si>
    <t>Tiền nước đá</t>
  </si>
  <si>
    <t>CP_0032.03</t>
  </si>
  <si>
    <t>Tiền Nước Đá</t>
  </si>
  <si>
    <t>Đăng ký, kiểm định</t>
  </si>
  <si>
    <t>6277005402</t>
  </si>
  <si>
    <t>Chi phí kiểm định mẫu sản phẩm nhựa</t>
  </si>
  <si>
    <t>CP_0054.02</t>
  </si>
  <si>
    <t>Chi Phí Kiểm Định Mẫu Sản Phẩm Nhựa</t>
  </si>
  <si>
    <t>50-DINHPHI_29</t>
  </si>
  <si>
    <t>Bồi Thường, Nộp Phạt, Dự Phòng Nợ Khó Đòi</t>
  </si>
  <si>
    <t>6278004202</t>
  </si>
  <si>
    <t>CP_0042.02</t>
  </si>
  <si>
    <t>Chi Phí Bồi Thường, Nộp Phạt</t>
  </si>
  <si>
    <t>44-DINHPHI_23</t>
  </si>
  <si>
    <t>Chi phí nước và khác</t>
  </si>
  <si>
    <t>6277001802</t>
  </si>
  <si>
    <t>CP_0018.02</t>
  </si>
  <si>
    <t>Chi Phí Điện Quản Lý</t>
  </si>
  <si>
    <t>CP_0018.03</t>
  </si>
  <si>
    <t>Chi Phí Nước Sinh Hoạt</t>
  </si>
  <si>
    <t>CP_0072.01</t>
  </si>
  <si>
    <t>Chi Phí Bằng Tiền Khác</t>
  </si>
  <si>
    <t>Khấu Hao Sản Xuất</t>
  </si>
  <si>
    <t>Khấu hao sản xuất</t>
  </si>
  <si>
    <t>Khấu Hao</t>
  </si>
  <si>
    <t>57-KHAUHAO_01</t>
  </si>
  <si>
    <t>CP_0019.01</t>
  </si>
  <si>
    <t>Khấu Hao Nhà Xưởng</t>
  </si>
  <si>
    <t>6274001902</t>
  </si>
  <si>
    <t>Khấu hao khuôn</t>
  </si>
  <si>
    <t>CP_0019.02</t>
  </si>
  <si>
    <t>Khấu Hao Khuôn</t>
  </si>
  <si>
    <t>CP_0019.03</t>
  </si>
  <si>
    <t>Khấu Hao Máy Móc Thiết Bị Chính</t>
  </si>
  <si>
    <t>Depreciation-PPE-Office furniture and equipment</t>
  </si>
  <si>
    <t>CP_0019.04</t>
  </si>
  <si>
    <t>Khấu Hao Thiết Bị Văn Phòng</t>
  </si>
  <si>
    <t>CP_0019.05</t>
  </si>
  <si>
    <t>Khấu Hao Phương Tiện Đi Lại, Vận Tải</t>
  </si>
  <si>
    <t>CP_0019.06</t>
  </si>
  <si>
    <t>Khấu Hao Máy Móc Thiết Bị Phụ</t>
  </si>
  <si>
    <t>6274001907</t>
  </si>
  <si>
    <t>Khấu hao TSCĐ vô hình</t>
  </si>
  <si>
    <t>CP_0019.07</t>
  </si>
  <si>
    <t>Khấu Hao TSCĐ Vô Hình (Phần Mềm)</t>
  </si>
  <si>
    <t>Depreciation-PPE-Other depreciable assets</t>
  </si>
  <si>
    <t>CP_0019.09</t>
  </si>
  <si>
    <t>Khấu Hao TSCĐ Khác</t>
  </si>
  <si>
    <t>6274001910</t>
  </si>
  <si>
    <t>Khấu hao quyền sử dụng đất</t>
  </si>
  <si>
    <t>Depreciation-Right of use -Land</t>
  </si>
  <si>
    <t>CP_0019.10</t>
  </si>
  <si>
    <t>Khấu Hao Quyền Sử Dụng Đất</t>
  </si>
  <si>
    <t>6274001915</t>
  </si>
  <si>
    <t>Khấu hao tài sản vô hình khác</t>
  </si>
  <si>
    <t>Amortization of Intangible assets - Others</t>
  </si>
  <si>
    <t>CP_0019.15</t>
  </si>
  <si>
    <t>Khấu Hao Tài Sản Vô Hình Khác</t>
  </si>
  <si>
    <t>641</t>
  </si>
  <si>
    <t>Lương Khối Bán Hàng, Kho Vận</t>
  </si>
  <si>
    <t>Lương khối bán hàng, kho vận</t>
  </si>
  <si>
    <t>MKT_Lương Khối Bán Hàng, Kho Vận</t>
  </si>
  <si>
    <t>Lương Chính + T13</t>
  </si>
  <si>
    <t>6411002604</t>
  </si>
  <si>
    <t>6411002605</t>
  </si>
  <si>
    <t>6411003401</t>
  </si>
  <si>
    <t>6411002703</t>
  </si>
  <si>
    <t>Chi phí lương ngoài giờ, hệ số 1 - Gián tiếp</t>
  </si>
  <si>
    <t>6411002802</t>
  </si>
  <si>
    <t>6411002806</t>
  </si>
  <si>
    <t>6411002603</t>
  </si>
  <si>
    <t>6411002801</t>
  </si>
  <si>
    <t>6411002901</t>
  </si>
  <si>
    <t>Phụ cấp</t>
  </si>
  <si>
    <t>6411003202</t>
  </si>
  <si>
    <t>MKT_Bán Hàng, Kho Vận</t>
  </si>
  <si>
    <t>6411005704</t>
  </si>
  <si>
    <t>6411003001</t>
  </si>
  <si>
    <t>6411007202</t>
  </si>
  <si>
    <t>Biến Phí Bán Hàng</t>
  </si>
  <si>
    <t>Biến phí bán hàng</t>
  </si>
  <si>
    <t>16-BIENPHI_04</t>
  </si>
  <si>
    <t>Thuê Xe</t>
  </si>
  <si>
    <t>6417003601</t>
  </si>
  <si>
    <t>Thuê xe vận chuyển Đội xe</t>
  </si>
  <si>
    <t>CP_0036.01</t>
  </si>
  <si>
    <t>Thuê Xe Vận Chuyển Đội Xe</t>
  </si>
  <si>
    <t>CP_0036.02</t>
  </si>
  <si>
    <t>Thuê Xe Giao Hàng</t>
  </si>
  <si>
    <t>15-BIENPHI_03</t>
  </si>
  <si>
    <t>Chi Phí Xuất Khẩu</t>
  </si>
  <si>
    <t>6417005301</t>
  </si>
  <si>
    <t>Chi phí xuất khẩu</t>
  </si>
  <si>
    <t>Export Freight</t>
  </si>
  <si>
    <t>CP_0053.01</t>
  </si>
  <si>
    <t>6418005301</t>
  </si>
  <si>
    <t>18-BIENPHI_06</t>
  </si>
  <si>
    <t>Hoa Hồng, Chiết Khấu</t>
  </si>
  <si>
    <t>Chi phí hoa hồng</t>
  </si>
  <si>
    <t>Commission expenses</t>
  </si>
  <si>
    <t>CP_0039.01</t>
  </si>
  <si>
    <t>Chi Phí Hoa Hồng</t>
  </si>
  <si>
    <t>6418003902</t>
  </si>
  <si>
    <t>Chi phí chiết khấu bán hàng, thanh toán</t>
  </si>
  <si>
    <t>Sales Promotion Expenses</t>
  </si>
  <si>
    <t>CP_0039.02</t>
  </si>
  <si>
    <t>Chi Phí Chiết Khấu Bán Hàng, Thanh Toán</t>
  </si>
  <si>
    <t>6417003903</t>
  </si>
  <si>
    <t>Chi phí hỗ trợ bán hàng siêu thị</t>
  </si>
  <si>
    <t>CP_0039.03</t>
  </si>
  <si>
    <t>Chi Phí Hỗ Trợ Bán Hàng Siêu Thị</t>
  </si>
  <si>
    <t>6418003903</t>
  </si>
  <si>
    <t>6418003904</t>
  </si>
  <si>
    <t>Chi phí hỗ trợ các đơn vị khác</t>
  </si>
  <si>
    <t>CP_0039.04</t>
  </si>
  <si>
    <t>Chi Phí Hỗ Trợ Các Đơn Vị Khác</t>
  </si>
  <si>
    <t>6413004102</t>
  </si>
  <si>
    <t>Chi phí khuyến mãi cho người tiêu dùng</t>
  </si>
  <si>
    <t>CP_0041.02</t>
  </si>
  <si>
    <t>Chi Phí Khuyến Mãi Cho Người Tiêu Dùng</t>
  </si>
  <si>
    <t>17-BIENPHI_05</t>
  </si>
  <si>
    <t>Chi Phí Xăng Dầu Xe Giao Hàng</t>
  </si>
  <si>
    <t>6412003501</t>
  </si>
  <si>
    <t>Chi phí xăng dầu xe giao hàng</t>
  </si>
  <si>
    <t>CP_0035.01</t>
  </si>
  <si>
    <t>19-BIENPHI_07</t>
  </si>
  <si>
    <t>Chi Phí Giao Hàng Tỉnh</t>
  </si>
  <si>
    <t>6418005705</t>
  </si>
  <si>
    <t>Chi phí giao hàng tỉnh</t>
  </si>
  <si>
    <t>CP_0057.05</t>
  </si>
  <si>
    <t>20-BIENPHI_08</t>
  </si>
  <si>
    <t>Chi Phí Vật Liệu Bán Hàng</t>
  </si>
  <si>
    <t>6412000802</t>
  </si>
  <si>
    <t>Chi phí bao tải (bao dệt) - Kho TP</t>
  </si>
  <si>
    <t>CP_0008.02</t>
  </si>
  <si>
    <t>Chi Phí Bao Tải (Bao Dệt) - Kho Tp</t>
  </si>
  <si>
    <t>6412007101</t>
  </si>
  <si>
    <t>Chi phí vật liệu bán hàng</t>
  </si>
  <si>
    <t>CP_0071.01</t>
  </si>
  <si>
    <t>6417007101</t>
  </si>
  <si>
    <t>6418007101</t>
  </si>
  <si>
    <t>Chi Phí Hoạt Động Bán Hàng</t>
  </si>
  <si>
    <t>Chi phí hoạt động bán hàng</t>
  </si>
  <si>
    <t>6418002805</t>
  </si>
  <si>
    <t>6415006501</t>
  </si>
  <si>
    <t>6417006501</t>
  </si>
  <si>
    <t>33-DINHPHI_12</t>
  </si>
  <si>
    <t>Phí Ngân Hàng, Thu Tiền</t>
  </si>
  <si>
    <t>6417004801</t>
  </si>
  <si>
    <t>Chi phí thu tiền</t>
  </si>
  <si>
    <t>CP_0048.01</t>
  </si>
  <si>
    <t>Chi Phí Thu Tiền</t>
  </si>
  <si>
    <t>6417005501</t>
  </si>
  <si>
    <t>CP_0055.01</t>
  </si>
  <si>
    <t>Chi Phí Ngân Hàng</t>
  </si>
  <si>
    <t>Dịch Vụ Tư Vấn</t>
  </si>
  <si>
    <t>6417004804</t>
  </si>
  <si>
    <t>CP_0048.04</t>
  </si>
  <si>
    <t>Chi Phí Bưu Phẩm</t>
  </si>
  <si>
    <t>6417005801</t>
  </si>
  <si>
    <t>6417005803</t>
  </si>
  <si>
    <t>CP_0058.03</t>
  </si>
  <si>
    <t>Chi Phí Trang Trí Văn Phòng</t>
  </si>
  <si>
    <t>39-DINHPHI_18</t>
  </si>
  <si>
    <t>Chi Phí Quảng Cáo</t>
  </si>
  <si>
    <t>6417004101</t>
  </si>
  <si>
    <t>Chi phí bảng hiệu</t>
  </si>
  <si>
    <t>CP_0041.01</t>
  </si>
  <si>
    <t>Chi Phí Bảng Hiệu</t>
  </si>
  <si>
    <t>6417004103</t>
  </si>
  <si>
    <t>Chi phí quảng cáo trên xe</t>
  </si>
  <si>
    <t>CP_0041.03</t>
  </si>
  <si>
    <t>Chi Phí Quảng Cáo Trên Xe</t>
  </si>
  <si>
    <t>6412004104</t>
  </si>
  <si>
    <t>CP_0041.04</t>
  </si>
  <si>
    <t>Chi Phí Ấn Phẩm: Catalogue, Tờ Rơi</t>
  </si>
  <si>
    <t>6417004104</t>
  </si>
  <si>
    <t>6417004105</t>
  </si>
  <si>
    <t>Chi phí quảng cáo trên phương tiện đại chúng</t>
  </si>
  <si>
    <t>CP_0041.05</t>
  </si>
  <si>
    <t>Chi Phí Quảng Cáo Trên Phương Tiện Đại Chúng</t>
  </si>
  <si>
    <t>6417004106</t>
  </si>
  <si>
    <t>Chi phí các hoạt động PR, sự kiện</t>
  </si>
  <si>
    <t>Public Relations Expenses</t>
  </si>
  <si>
    <t>CP_0041.06</t>
  </si>
  <si>
    <t>Chi Phí Các Hoạt Động PR, Sự Kiện</t>
  </si>
  <si>
    <t>6417004109</t>
  </si>
  <si>
    <t>Chi phí trưng bày</t>
  </si>
  <si>
    <t>CP_0041.09</t>
  </si>
  <si>
    <t>Chi Phí Trưng Bày</t>
  </si>
  <si>
    <t>6413002202</t>
  </si>
  <si>
    <t>Chi phí sửa chữa khuôn, bảo trì khuôn</t>
  </si>
  <si>
    <t>6417002202</t>
  </si>
  <si>
    <t>6413001908</t>
  </si>
  <si>
    <t>6413002402</t>
  </si>
  <si>
    <t>6418002402</t>
  </si>
  <si>
    <t>6417005602</t>
  </si>
  <si>
    <t>6413002201</t>
  </si>
  <si>
    <t>6417002201</t>
  </si>
  <si>
    <t>6413002204</t>
  </si>
  <si>
    <t>Sửa chữa, bảo trì phương tiện vận tải - Thuê ngoài</t>
  </si>
  <si>
    <t>6417002204</t>
  </si>
  <si>
    <t>6417002205</t>
  </si>
  <si>
    <t>Sửa chữa phương tiện vận tải thuê ngoài - Điện</t>
  </si>
  <si>
    <t>CP_0022.05</t>
  </si>
  <si>
    <t>Sửa Chữa, Bảo Trì Phương Tiện Vận Tải - Điện</t>
  </si>
  <si>
    <t>6413002206</t>
  </si>
  <si>
    <t>Sửa chữa phương tiện vận tải thuê ngoài - Vá vỏ xe</t>
  </si>
  <si>
    <t>CP_0022.06</t>
  </si>
  <si>
    <t>Sửa Chữa, Bảo Trì Phương Tiện Vận Tải - Vá Vỏ Xe</t>
  </si>
  <si>
    <t>6417002206</t>
  </si>
  <si>
    <t>6413002207</t>
  </si>
  <si>
    <t>Sửa chữa, bảo trì phương tiện vận tải - Tự làm</t>
  </si>
  <si>
    <t>CP_0022.07</t>
  </si>
  <si>
    <t>Sửa Chữa, Bảo Trì Phương Tiện Vận Tải - Tự Làm</t>
  </si>
  <si>
    <t>6418002208</t>
  </si>
  <si>
    <t>Sửa chữa, bảo trì phương tiện vận tải - Khác</t>
  </si>
  <si>
    <t>CP_0022.08</t>
  </si>
  <si>
    <t>Sửa Chữa, Bảo Trì Phương Tiện Vận Tải - Khác</t>
  </si>
  <si>
    <t>28-DINHPHI_07</t>
  </si>
  <si>
    <t>Ủng hộ, tài trợ</t>
  </si>
  <si>
    <t>6418004701</t>
  </si>
  <si>
    <t>CP_0047.01</t>
  </si>
  <si>
    <t>Chi Phí Ủng Hộ, Hỗ Trợ, Tài Trợ</t>
  </si>
  <si>
    <t>6417004702</t>
  </si>
  <si>
    <t>CP_0047.02</t>
  </si>
  <si>
    <t>Tài Trợ Thương Hiệu Duy Tân</t>
  </si>
  <si>
    <t>6417005701</t>
  </si>
  <si>
    <t>6417005702</t>
  </si>
  <si>
    <t>6418005703</t>
  </si>
  <si>
    <t>6417005601</t>
  </si>
  <si>
    <t>6418005601</t>
  </si>
  <si>
    <t>Nghỉ Mát, Phúc Lợi</t>
  </si>
  <si>
    <t>6418004302</t>
  </si>
  <si>
    <t>CP_0043.02</t>
  </si>
  <si>
    <t>Chi Phí Hiếu Hỷ, Phúc Lợi Khác NV</t>
  </si>
  <si>
    <t>6417004901</t>
  </si>
  <si>
    <t>6417004902</t>
  </si>
  <si>
    <t>6417004903</t>
  </si>
  <si>
    <t>6417004904</t>
  </si>
  <si>
    <t>47-DINHPHI_26</t>
  </si>
  <si>
    <t>Hội Viên, Hội Thảo, Hội Chợ</t>
  </si>
  <si>
    <t>6413004501</t>
  </si>
  <si>
    <t>Chi phí hội chợ trong nước</t>
  </si>
  <si>
    <t>CP_0045.01</t>
  </si>
  <si>
    <t>Chi Phí Hội Chợ Trong Nước</t>
  </si>
  <si>
    <t>6417004501</t>
  </si>
  <si>
    <t>6418004501</t>
  </si>
  <si>
    <t>6413004502</t>
  </si>
  <si>
    <t>Chi phí tham gia hội chợ nước ngoài</t>
  </si>
  <si>
    <t>CP_0045.02</t>
  </si>
  <si>
    <t>Chi Phí Tham Gia Hội Chợ Nước Ngoài</t>
  </si>
  <si>
    <t>6417004502</t>
  </si>
  <si>
    <t>6418004502</t>
  </si>
  <si>
    <t>6413005101</t>
  </si>
  <si>
    <t>6418005101</t>
  </si>
  <si>
    <t>6417005102</t>
  </si>
  <si>
    <t>6417003301</t>
  </si>
  <si>
    <t>CP_0033.01</t>
  </si>
  <si>
    <t>Chi Phí Tuyển Dụng</t>
  </si>
  <si>
    <t>6417003302</t>
  </si>
  <si>
    <t>6417002001</t>
  </si>
  <si>
    <t>6417004107</t>
  </si>
  <si>
    <t>Chi phí nghiên cứu thị trường</t>
  </si>
  <si>
    <t>CP_0041.07</t>
  </si>
  <si>
    <t>Chi Phí Nghiên Cứu Thị Trường</t>
  </si>
  <si>
    <t>6418004108</t>
  </si>
  <si>
    <t>CP_0041.08</t>
  </si>
  <si>
    <t>Chi Phí Phát Triển Sản Phẩm, Thị Trường</t>
  </si>
  <si>
    <t>6418004802</t>
  </si>
  <si>
    <t>6412004803</t>
  </si>
  <si>
    <t>6413004803</t>
  </si>
  <si>
    <t>6418004803</t>
  </si>
  <si>
    <t>6412004805</t>
  </si>
  <si>
    <t>6413004805</t>
  </si>
  <si>
    <t>6418004805</t>
  </si>
  <si>
    <t>21-BIENPHI_09</t>
  </si>
  <si>
    <t>6417003801</t>
  </si>
  <si>
    <t>CP_0038.01</t>
  </si>
  <si>
    <t>Phí Cầu Đường Xe</t>
  </si>
  <si>
    <t>6417003802</t>
  </si>
  <si>
    <t>CP_0038.02</t>
  </si>
  <si>
    <t>Phí Đăng Kiểm, Kiểm Định Xe</t>
  </si>
  <si>
    <t>Chi phí bến bãi, bốc xếp xe giao hàng</t>
  </si>
  <si>
    <t>CP_0037.01</t>
  </si>
  <si>
    <t>Chi Phí Bến Bãi, Bốc Xếp Xe Giao Hàng</t>
  </si>
  <si>
    <t>6417003702</t>
  </si>
  <si>
    <t>6417003703</t>
  </si>
  <si>
    <t>CP_0037.03</t>
  </si>
  <si>
    <t>Chi Phí Gởi Xe Du Lịch, Xe Gắn Máy</t>
  </si>
  <si>
    <t>6413003002</t>
  </si>
  <si>
    <t>6412003502</t>
  </si>
  <si>
    <t>30-DINHPHI_09</t>
  </si>
  <si>
    <t>Thuê xe ngoài (taxi, xe du lịch)</t>
  </si>
  <si>
    <t>6417003604</t>
  </si>
  <si>
    <t>CP_0036.04</t>
  </si>
  <si>
    <t>Thuê Xe Ngoài (Taxi, Du Lịch)</t>
  </si>
  <si>
    <t>6417002804</t>
  </si>
  <si>
    <t>6418004202</t>
  </si>
  <si>
    <t>6417001802</t>
  </si>
  <si>
    <t>6418007201</t>
  </si>
  <si>
    <t>Khấu Hao Bán Hàng, Vận Chuyển</t>
  </si>
  <si>
    <t>Khấu hao bán hàng, vận chuyển</t>
  </si>
  <si>
    <t>6414001901</t>
  </si>
  <si>
    <t>6414001903</t>
  </si>
  <si>
    <t>Khấu hao máy móc thiết bị xưởng</t>
  </si>
  <si>
    <t>6414001904</t>
  </si>
  <si>
    <t>6414001905</t>
  </si>
  <si>
    <t>6414001907</t>
  </si>
  <si>
    <t>6414001909</t>
  </si>
  <si>
    <t>6414001910</t>
  </si>
  <si>
    <t>Depreciation-Right of use-Land</t>
  </si>
  <si>
    <t>6414001913</t>
  </si>
  <si>
    <t>Khấu hao nhãn hiệu hàng hóa</t>
  </si>
  <si>
    <t xml:space="preserve">Amortization of Patent, copyright and trade secret </t>
  </si>
  <si>
    <t>CP_0019.13</t>
  </si>
  <si>
    <t>Khấu Hao Nhãn Hiệu Hàng Hóa</t>
  </si>
  <si>
    <t>6414001915</t>
  </si>
  <si>
    <t>Lương Khối Quản Lý</t>
  </si>
  <si>
    <t>Lương khối quản lý</t>
  </si>
  <si>
    <t>6421002703</t>
  </si>
  <si>
    <t>6421002802</t>
  </si>
  <si>
    <t>6421002603</t>
  </si>
  <si>
    <t>6421002801</t>
  </si>
  <si>
    <t>ADM_Khối Quản Lý</t>
  </si>
  <si>
    <t>6421005704</t>
  </si>
  <si>
    <t>6421007202</t>
  </si>
  <si>
    <t>Chi Phí Hoạt Động Quản Lý</t>
  </si>
  <si>
    <t>Chi phí hoạt động quản lý</t>
  </si>
  <si>
    <t>6428002805</t>
  </si>
  <si>
    <t>6422002101</t>
  </si>
  <si>
    <t>6427005802</t>
  </si>
  <si>
    <t>CP_0058.02</t>
  </si>
  <si>
    <t>Chi Phí Kiểm Toán</t>
  </si>
  <si>
    <t>6427004104</t>
  </si>
  <si>
    <t>6427004106</t>
  </si>
  <si>
    <t>6427004109</t>
  </si>
  <si>
    <t>6427004105</t>
  </si>
  <si>
    <t>CP QC P.tiện đ.chúng</t>
  </si>
  <si>
    <t>6423002401</t>
  </si>
  <si>
    <t>Chi phí công cụ dụng cụ phục vụ HĐ</t>
  </si>
  <si>
    <t>42-DINHPHI_21</t>
  </si>
  <si>
    <t>CP_0046.03</t>
  </si>
  <si>
    <t>Chi Phí Hội Nghị Khách Hàng</t>
  </si>
  <si>
    <t>6428004603</t>
  </si>
  <si>
    <t>6423002201</t>
  </si>
  <si>
    <t>6423002204</t>
  </si>
  <si>
    <t>6427002204</t>
  </si>
  <si>
    <t>6427002205</t>
  </si>
  <si>
    <t>6423002206</t>
  </si>
  <si>
    <t>6427002206</t>
  </si>
  <si>
    <t>6423002207</t>
  </si>
  <si>
    <t>6428002208</t>
  </si>
  <si>
    <t>Ủng Hộ, Tài Trợ</t>
  </si>
  <si>
    <t>6428004701</t>
  </si>
  <si>
    <t>6427004702</t>
  </si>
  <si>
    <t>6428005603</t>
  </si>
  <si>
    <t>Chi phí thẻ tín dụng Ban TGĐ</t>
  </si>
  <si>
    <t>CP_0056.03</t>
  </si>
  <si>
    <t>Chi Phí Thẻ Tín Dụng Ban TGĐ</t>
  </si>
  <si>
    <t>6427004301</t>
  </si>
  <si>
    <t>CP_0043.01</t>
  </si>
  <si>
    <t>Chi Phí Nghỉ Mát, Du Lịch</t>
  </si>
  <si>
    <t>6427004503</t>
  </si>
  <si>
    <t>Chi phí tham quan hội chợ nước ngoài</t>
  </si>
  <si>
    <t>CP_0045.03</t>
  </si>
  <si>
    <t>Chi Phí Tham Quan Hội Chợ Nước Ngoài</t>
  </si>
  <si>
    <t>6428004503</t>
  </si>
  <si>
    <t>6427004601</t>
  </si>
  <si>
    <t>CP_0046.01</t>
  </si>
  <si>
    <t>Chi Phí Hội Nghị, Hội Thảo, Hội Họp</t>
  </si>
  <si>
    <t>6427004602</t>
  </si>
  <si>
    <t>Chi phí hội viên tham gia hiệp hội</t>
  </si>
  <si>
    <t>CP_0046.02</t>
  </si>
  <si>
    <t>Chi Phí Hội Viên Tham Gia Hiệp Hội</t>
  </si>
  <si>
    <t>52-DINHPHI_31</t>
  </si>
  <si>
    <t>Bảo Hiểm Tài Sản</t>
  </si>
  <si>
    <t>CP_0023.01</t>
  </si>
  <si>
    <t>Chi Phí Bảo Hiểm Tài Sản</t>
  </si>
  <si>
    <t>6422000100</t>
  </si>
  <si>
    <t>Chi phí vật liệu quản lý</t>
  </si>
  <si>
    <t>6427003301</t>
  </si>
  <si>
    <t>6427004107</t>
  </si>
  <si>
    <t>6428004108</t>
  </si>
  <si>
    <t>6428004110</t>
  </si>
  <si>
    <t>Chi phí dùng thử sản phẩm</t>
  </si>
  <si>
    <t>CP_0041.10</t>
  </si>
  <si>
    <t>Chi Phí Dùng Thử Sản Phẩm</t>
  </si>
  <si>
    <t>6428004802</t>
  </si>
  <si>
    <t>6422004803</t>
  </si>
  <si>
    <t>6423004803</t>
  </si>
  <si>
    <t>6428004803</t>
  </si>
  <si>
    <t>6423004805</t>
  </si>
  <si>
    <t>6428004805</t>
  </si>
  <si>
    <t>6427003802</t>
  </si>
  <si>
    <t>6427003703</t>
  </si>
  <si>
    <t>6428002803</t>
  </si>
  <si>
    <t>CP_0028.03</t>
  </si>
  <si>
    <t>Tiền Cà Phê, Bánh Phòng Họp</t>
  </si>
  <si>
    <t>38-DINHPHI_17</t>
  </si>
  <si>
    <t>Đăng Ký, Kiểm Định</t>
  </si>
  <si>
    <t>6427005401</t>
  </si>
  <si>
    <t>Chi phí đăng ký mẫu mã, kiểu dáng</t>
  </si>
  <si>
    <t>CP_0054.01</t>
  </si>
  <si>
    <t>Chi Phí Đăng Ký Mẫu Mã, Kiểu Dáng</t>
  </si>
  <si>
    <t>6427005402</t>
  </si>
  <si>
    <t>6428004202</t>
  </si>
  <si>
    <t>6426007001</t>
  </si>
  <si>
    <t>CP_0070.01</t>
  </si>
  <si>
    <t>Dự Phòng Nợ Khó Đòi</t>
  </si>
  <si>
    <t>6428007001</t>
  </si>
  <si>
    <t>6425001803</t>
  </si>
  <si>
    <t>C.Phí nước sinh hoạt</t>
  </si>
  <si>
    <t>CP_0061.01</t>
  </si>
  <si>
    <t>Chi Phí Công Chứng, Sao Y, Thuế Khác</t>
  </si>
  <si>
    <t>Khấu Hao Quản Lý</t>
  </si>
  <si>
    <t>Khấu hao quản lý</t>
  </si>
  <si>
    <t>6424001901</t>
  </si>
  <si>
    <t>6424001903</t>
  </si>
  <si>
    <t>6424001905</t>
  </si>
  <si>
    <t>6424001906</t>
  </si>
  <si>
    <t>Khấu hao IT phần cứng</t>
  </si>
  <si>
    <t>6424001909</t>
  </si>
  <si>
    <t>6424001910</t>
  </si>
  <si>
    <t>6424001911</t>
  </si>
  <si>
    <t>Khấu hao quyền phát hành</t>
  </si>
  <si>
    <t>CP_0019.11</t>
  </si>
  <si>
    <t>Khấu Hao Quyền Phát Hành</t>
  </si>
  <si>
    <t>6424001912</t>
  </si>
  <si>
    <t>Khấu hao bản quyền, sáng chế</t>
  </si>
  <si>
    <t>CP_0019.12</t>
  </si>
  <si>
    <t>Khấu Hao Bản Quyền, Sáng Chế</t>
  </si>
  <si>
    <t>6424001913</t>
  </si>
  <si>
    <t>6424001914</t>
  </si>
  <si>
    <t>Khấu hao giấy phép và giấy phép nhượng quyền</t>
  </si>
  <si>
    <t>Amortization of Concession fee</t>
  </si>
  <si>
    <t>CP_0019.14</t>
  </si>
  <si>
    <t>Khấu Hao Giấy Phép Và Giấy Phép Nhượng Quyền</t>
  </si>
  <si>
    <t>6424001915</t>
  </si>
  <si>
    <t>6424001916</t>
  </si>
  <si>
    <t>Bất động sản đầu tư</t>
  </si>
  <si>
    <t>Depreciation-Investment Property</t>
  </si>
  <si>
    <t>CP_0019.16</t>
  </si>
  <si>
    <t>Bất Động Sản Đầu Tư</t>
  </si>
  <si>
    <t>Tổng Chi Phí</t>
  </si>
  <si>
    <t>Nhân Sự Trung Bình</t>
  </si>
  <si>
    <t>Asset Type</t>
  </si>
  <si>
    <t>Purpose</t>
  </si>
  <si>
    <t>XK/NĐ</t>
  </si>
  <si>
    <t>Khả năng đầu tư</t>
  </si>
  <si>
    <t>TSCĐHH/TSCĐVH</t>
  </si>
  <si>
    <t>Nhóm tài sản-Tài khoản</t>
  </si>
  <si>
    <t>Nhóm tài sản</t>
  </si>
  <si>
    <t>Working condition</t>
  </si>
  <si>
    <t>Nhà cửa, vật kiến trúc</t>
  </si>
  <si>
    <t>Add</t>
  </si>
  <si>
    <t>Mới</t>
  </si>
  <si>
    <t>Xuất khẩu</t>
  </si>
  <si>
    <t>Tài sản cố định hữu hình</t>
  </si>
  <si>
    <t>Nhà cửa, vật kiến trúc - SX 627</t>
  </si>
  <si>
    <t xml:space="preserve">Nhà cửa, vật kiến trúc </t>
  </si>
  <si>
    <t>Quality improvement</t>
  </si>
  <si>
    <t>Dụng cụ quản lý</t>
  </si>
  <si>
    <t>Replace</t>
  </si>
  <si>
    <t>Thay thế</t>
  </si>
  <si>
    <t>Nhà cửa, vật kiến trúc - BH 641</t>
  </si>
  <si>
    <t>Main machine and Anciliary Equipment</t>
  </si>
  <si>
    <t>Overhaul</t>
  </si>
  <si>
    <t>Đại tu</t>
  </si>
  <si>
    <t>Nhà cửa, vật kiến trúc - QL 642</t>
  </si>
  <si>
    <t>Maintenance equipment</t>
  </si>
  <si>
    <t>Phương tiện vận tải</t>
  </si>
  <si>
    <t>Máy móc, thiết bị phụ - SX 627</t>
  </si>
  <si>
    <t xml:space="preserve">Máy móc, thiết bị phụ </t>
  </si>
  <si>
    <t>Productivity improvement</t>
  </si>
  <si>
    <t>Phòng Kế hoạch</t>
  </si>
  <si>
    <t>Máy móc, thiết bị chính</t>
  </si>
  <si>
    <t>System IT</t>
  </si>
  <si>
    <t>Máy móc, thiết bị - BH 641</t>
  </si>
  <si>
    <t>Safety/Environment</t>
  </si>
  <si>
    <t>Máy móc, thiết bị - QL 642</t>
  </si>
  <si>
    <t>Cost Improvement</t>
  </si>
  <si>
    <t>Phương tiện vận tải , truyền dẫn - SX 627</t>
  </si>
  <si>
    <t xml:space="preserve">Phương tiện vận tải, truyền dẫn </t>
  </si>
  <si>
    <t>Others</t>
  </si>
  <si>
    <t>Phương tiện vận tải , truyền dẫn - BH 641</t>
  </si>
  <si>
    <t>Phương tiện vận tải , truyền dẫn - QL 642</t>
  </si>
  <si>
    <t xml:space="preserve">Thiết bị, dụng cụ quản lý </t>
  </si>
  <si>
    <t>Thiết bị, dụng cụ quản lý - BH 641</t>
  </si>
  <si>
    <t>Thiết bị, dụng cụ quản lý - QL 642</t>
  </si>
  <si>
    <t>TSCĐ khác - SX 627</t>
  </si>
  <si>
    <t xml:space="preserve">TSCĐ khác </t>
  </si>
  <si>
    <t>TSCĐ khác - BH 641</t>
  </si>
  <si>
    <t>TSCĐ khác - QL 642</t>
  </si>
  <si>
    <t>Chuyền phân loại chai PET số 04</t>
  </si>
  <si>
    <t>Tài sản cố định vô hình</t>
  </si>
  <si>
    <t>Quyền sử dụng đất - SX 627</t>
  </si>
  <si>
    <t xml:space="preserve">Quyền sử dụng đất </t>
  </si>
  <si>
    <t>Chuyền băm chai PET số 01</t>
  </si>
  <si>
    <t>Quyền sử dụng đất - BH 641</t>
  </si>
  <si>
    <t>Chuyền băm chai PET số 02</t>
  </si>
  <si>
    <t>Quyền sử dụng đất - QL 642</t>
  </si>
  <si>
    <t>Chuyền băm chai PET số 03</t>
  </si>
  <si>
    <t>Chuyền băm chai PET số 04</t>
  </si>
  <si>
    <t>Bản quyền, bằng sáng chế - QL 642</t>
  </si>
  <si>
    <t xml:space="preserve">Bản quyền, bằng sáng chế </t>
  </si>
  <si>
    <t>Chuyền rửa vảy PET số 01</t>
  </si>
  <si>
    <t>Chuyền rửa vảy PET số 02</t>
  </si>
  <si>
    <t>Chuyền rửa vảy PET số 03</t>
  </si>
  <si>
    <t>Phần mềm máy vi tính - SX 627</t>
  </si>
  <si>
    <t xml:space="preserve">Phần mềm máy vi tính </t>
  </si>
  <si>
    <t>Chuyền rửa vảy PET số 04</t>
  </si>
  <si>
    <t>Phần mềm máy vi tính - BH 641</t>
  </si>
  <si>
    <t>Xưởng sản xuất HDPE</t>
  </si>
  <si>
    <t>Phần mềm máy vi tính - QL 642</t>
  </si>
  <si>
    <t>Xưởng sản xuất PP</t>
  </si>
  <si>
    <t>Giấy phép và giấy phép nhượng quyền - QL 642</t>
  </si>
  <si>
    <t xml:space="preserve">Giấy phép và giấy phép nhượng quyền </t>
  </si>
  <si>
    <t>Kho thành phẩm</t>
  </si>
  <si>
    <t>TSCĐ vô hình khác - SX 627</t>
  </si>
  <si>
    <t xml:space="preserve">TSCĐ vô hình khác </t>
  </si>
  <si>
    <t>Kho nguyên vật liệu</t>
  </si>
  <si>
    <t>TSCĐ vô hình khác - BH 641</t>
  </si>
  <si>
    <t>TSCĐ vô hình khác - QL 642</t>
  </si>
  <si>
    <t>Nhóm khấu hao</t>
  </si>
  <si>
    <t>Nhóm phân bổ</t>
  </si>
  <si>
    <t>CPTT sản xuất</t>
  </si>
  <si>
    <t>CPTT Quản lý</t>
  </si>
  <si>
    <t>II - TÀI SẢN CỐ ĐỊNH ĐẦU TƯ NĂM 2025 CHUYỂN QUA 2026</t>
  </si>
  <si>
    <t>Chuyên Dây Đai JWELL</t>
  </si>
  <si>
    <t>Máy tách kim loại SESOTEC Vario FS-100-PP</t>
  </si>
  <si>
    <t>Máy kiểm tra chất luongj dây đai thành phẩm</t>
  </si>
  <si>
    <t>Bồn trộn 10m3 (3.5 tấn vảy</t>
  </si>
  <si>
    <t>Hệ thống nước</t>
  </si>
  <si>
    <t>Chi phí lắp đăth</t>
  </si>
  <si>
    <t>Chi Phí chuyên gia</t>
  </si>
  <si>
    <t>Chi phí vận hành</t>
  </si>
  <si>
    <t>III - CHI PHÍ SẢN XUẤT - DÂY ĐAI</t>
  </si>
  <si>
    <t>ư</t>
  </si>
  <si>
    <t>Lao động thuê ngoài: 5S 2 xưởng</t>
  </si>
  <si>
    <t>I - PHÂN LOẠI CHAI PET</t>
  </si>
  <si>
    <t>HỆ THỐNG ĐÈN ĐIỆN MÁNG CÁP XƯỞNG 2-CTY TRÍ VIỆT</t>
  </si>
  <si>
    <t>HỆ THỐNG ĐÈN ĐIỆN MÁNG CÁP XƯỞNG 3-CTY TRÍ VIỆT</t>
  </si>
  <si>
    <t>Mooge</t>
  </si>
  <si>
    <t>Sàn thảo tác và cover Che chắn liệu</t>
  </si>
  <si>
    <t>Cải tạo băng tải sắt</t>
  </si>
  <si>
    <t>Máy Trommel</t>
  </si>
  <si>
    <t>Băng tải PVC cấp liệu Trommel lên sàn phân loại</t>
  </si>
  <si>
    <t>Chi Phí Bảo Trì.</t>
  </si>
  <si>
    <t>Chi phí sửa chữa máy móc giá trị nhỏ</t>
  </si>
  <si>
    <t>Đầu tư  hệ thiết bị cho chuyền phân loại chai tròn Đại Lộc: Máy sort chai, máy phá kiện, Quạt thổi, băng tải, máy tách kim loại, lồng chứa,máy nén khí,điện điều khiển, khung máy và  sàn thao tác</t>
  </si>
  <si>
    <t>Đầu tư  hệ thiết bị cho chuyền phân loại chai ép kiện Đại Lộc: Máy sort chai, máy phá kiện, Quạt thổi, băng tải, máy tách kim loại, điện điều khiển, khung máy và  sàn thao tác</t>
  </si>
  <si>
    <t>Đầu tư  hệ thiết bị mới và tận dụng thiết bị cũ để cải tạo chuyền phân loại chai B6 theo tiêu chuẩn hóa kỹ thuật</t>
  </si>
  <si>
    <t>Đầu tư  hệ thống máy sort chai tự động, máy tách nhãn và máy phá kiện cho 2 chuyền phân loại chai Đại Lộc.</t>
  </si>
  <si>
    <t>Hệ thống Phân loại tự động AI</t>
  </si>
  <si>
    <t>Cải tạo chuyền Băm Pullian</t>
  </si>
  <si>
    <t>Chuyền băm Pullian</t>
  </si>
  <si>
    <t>BGĐ</t>
  </si>
  <si>
    <t>Môi trường</t>
  </si>
  <si>
    <t>Hệ thống xử lý khí thải</t>
  </si>
  <si>
    <t>Cải tạo hệ thống xử lý nước thải 01</t>
  </si>
  <si>
    <t xml:space="preserve">Cải tạo mở rộng bể vi sinh </t>
  </si>
  <si>
    <t>SX Chai B1.1</t>
  </si>
  <si>
    <t>Loại B2.2, B4, B5, B6.2</t>
  </si>
  <si>
    <t>Loại kim loại, chai còn nhãn</t>
  </si>
  <si>
    <t>PS: lương GĐ</t>
  </si>
  <si>
    <t>Bình quân 1 h: 2.5 lít, hiệu suất sử dụng: 60%</t>
  </si>
  <si>
    <t>Bình quân 1 h: 2.5 lít, hiệu suất sử dụng: 85%</t>
  </si>
  <si>
    <t>Chuyển CP lương Bp MH + An toàn: 627 -&gt; 642</t>
  </si>
  <si>
    <t>Time đã khấu hao</t>
  </si>
  <si>
    <t>Time còn lại</t>
  </si>
  <si>
    <t>ĐC time KH</t>
  </si>
  <si>
    <t>YEAR</t>
  </si>
  <si>
    <t>Time KH</t>
  </si>
  <si>
    <t>Khấu hao theo Time còn lại</t>
  </si>
  <si>
    <t>mounth</t>
  </si>
  <si>
    <t>Time KH còn lại đc</t>
  </si>
  <si>
    <t>Báo cáo tác động môi trường - Thiên trường</t>
  </si>
  <si>
    <t>Tăng Dm dao tách nhãn 1500 -&gt; 1700</t>
  </si>
  <si>
    <t>KH 2026</t>
  </si>
  <si>
    <t>Thiên Trường</t>
  </si>
  <si>
    <t>Nội bộ</t>
  </si>
  <si>
    <t>TSCĐ Vô hình</t>
  </si>
  <si>
    <t>Báo cáo tác động môi trường (Giấy phép môi trường)</t>
  </si>
  <si>
    <t>Khu vực chứa rác thải nguy hại</t>
  </si>
  <si>
    <t>VN</t>
  </si>
  <si>
    <t>IX - CÔNG SUẤT CHUYỀN DÂY ĐAI</t>
  </si>
  <si>
    <t>Định mức nhân công
(Số NV / Ca12)</t>
  </si>
  <si>
    <t>Định mức Kỹ thuật vận hành
(Số NV / Ca12)</t>
  </si>
  <si>
    <t>Dây đai PET 10mm</t>
  </si>
  <si>
    <t>III - DOANH THU DÂY ĐAI PET</t>
  </si>
  <si>
    <t>Lượng bán Dây đai</t>
  </si>
  <si>
    <t>III - THÀNH PHẨM SAU KHI SẢN XUẤT DÂY ĐAI</t>
  </si>
  <si>
    <t>3.1 Thành phẩm Dây đai PET</t>
  </si>
  <si>
    <t>VI - TỶ LỆ CHAI PET CHUYỂN VÀO SX DÂY ĐAI PET</t>
  </si>
  <si>
    <t>VII - TỶ LỆ HAO HỤT KHI SẢN XUẤT DÂY ĐAI</t>
  </si>
  <si>
    <t>Dây Đai PET</t>
  </si>
  <si>
    <t>1. Dây đai</t>
  </si>
  <si>
    <t>Sản lượng sản xuất (tấn)</t>
  </si>
  <si>
    <t>Giá bán</t>
  </si>
  <si>
    <t>Giá vốn (bao gồm CP hoa hồng)</t>
  </si>
  <si>
    <t>Phó Sản PET GC Dây Đai</t>
  </si>
  <si>
    <t>Phó Sản PET Đầu Keo</t>
  </si>
  <si>
    <t>Vảy PET B4_A3</t>
  </si>
  <si>
    <t>Phó sản, hao hụt</t>
  </si>
  <si>
    <t>Hóa chất rửa vảy</t>
  </si>
  <si>
    <t>Điện, nước</t>
  </si>
  <si>
    <t>3.5</t>
  </si>
  <si>
    <t>3.6</t>
  </si>
  <si>
    <t>Vật tư phân xưởng</t>
  </si>
  <si>
    <t>3.7</t>
  </si>
  <si>
    <t>Lương gián tiếp sx</t>
  </si>
  <si>
    <t>3.8</t>
  </si>
  <si>
    <t>Khấu hao</t>
  </si>
  <si>
    <t>Tỷ lệ hao hụt nguyên liệu gia công</t>
  </si>
  <si>
    <t>Chi phí gia công</t>
  </si>
  <si>
    <t>Thành Phẩm Bán</t>
  </si>
  <si>
    <t>Doanh thu</t>
  </si>
  <si>
    <t>CP NVL</t>
  </si>
  <si>
    <t>LN</t>
  </si>
  <si>
    <t>Cp vận chuyển</t>
  </si>
  <si>
    <t>Cp NVL</t>
  </si>
  <si>
    <t>Vảy B4_A3</t>
  </si>
  <si>
    <t>Vảy B6.2_A3</t>
  </si>
  <si>
    <t>HH 4%</t>
  </si>
  <si>
    <t>Công suất 400kg/h</t>
  </si>
  <si>
    <t>ĐỊNH PHÍ SẢN XUẤT</t>
  </si>
  <si>
    <t>x</t>
  </si>
  <si>
    <t>IX - CÔNG SUẤT CHUYỀN BĂM HDPE</t>
  </si>
  <si>
    <t>3. Doanh thu vảy PET - SX CHUYEN HD</t>
  </si>
  <si>
    <t>2.2 Thành phẩm vảy PET bán về DTR - SX chuyen HD</t>
  </si>
  <si>
    <t>1. Sản lượng vảy chuyền FS</t>
  </si>
  <si>
    <t>1. Sản lượng vảy chuyền HD</t>
  </si>
  <si>
    <t>III - ĐỊNH MỨC TIÊU HAO VẬT TƯ - BĂM VẢY PET Tu chuyen HD</t>
  </si>
  <si>
    <t>Thuê xe vận chuyển bán Vảy PET - Xưởng HD</t>
  </si>
  <si>
    <t xml:space="preserve"> III - CHI PHÍ SẢN XUẤT BĂM VẢY PET CHUYỀN HD</t>
  </si>
  <si>
    <t xml:space="preserve"> II - CHI PHÍ SẢN XUẤT BĂM VẢY PET</t>
  </si>
  <si>
    <t>Máy băm PET</t>
  </si>
  <si>
    <t>Máy vắt vảy</t>
  </si>
  <si>
    <t>Chi phí lắp đặt</t>
  </si>
  <si>
    <t>Chênh lệch</t>
  </si>
  <si>
    <t>Giả định giá bán KHNS ngày 07/01/2026</t>
  </si>
  <si>
    <t>2025: A Thạch duyệt giá B6 cho Đại Lộc: B0 + 6.500đ/kg</t>
  </si>
  <si>
    <t>Giá bán 2025: 11.250đ/kg</t>
  </si>
  <si>
    <t>Chốt</t>
  </si>
  <si>
    <t>Chuyển Băm 80%, CP dây đai tái sử dụng lại được 2 lần</t>
  </si>
  <si>
    <t>Giả định giá bán chốt ngày 19/01/26</t>
  </si>
  <si>
    <t>Tấn/Bộ</t>
  </si>
  <si>
    <t>Tạm thời chưa Khấu hao chuyền Dây đai, khi nào đưa vào sử dụng, tính toán kèm LN của Dự án</t>
  </si>
  <si>
    <t>Kg/tấn</t>
  </si>
  <si>
    <t>104000000</t>
  </si>
  <si>
    <t>104000002</t>
  </si>
  <si>
    <t>104000003</t>
  </si>
  <si>
    <t>104000016</t>
  </si>
  <si>
    <t>104000008</t>
  </si>
  <si>
    <t>104000019</t>
  </si>
  <si>
    <t>104000021</t>
  </si>
  <si>
    <t>104000022</t>
  </si>
  <si>
    <t>115000000</t>
  </si>
  <si>
    <t>104000014</t>
  </si>
  <si>
    <t>110000000</t>
  </si>
  <si>
    <t>101000000</t>
  </si>
  <si>
    <t>101000003</t>
  </si>
  <si>
    <t>101000004</t>
  </si>
  <si>
    <t>101000002</t>
  </si>
  <si>
    <t>101000001</t>
  </si>
  <si>
    <t>110000001</t>
  </si>
  <si>
    <t>110000002</t>
  </si>
  <si>
    <t>147000000</t>
  </si>
  <si>
    <t>104000004</t>
  </si>
  <si>
    <t>104000013</t>
  </si>
  <si>
    <t>104000017</t>
  </si>
  <si>
    <t>104600002</t>
  </si>
  <si>
    <t>Kw/h</t>
  </si>
  <si>
    <t>Cái/Kg</t>
  </si>
  <si>
    <t>1 cái sử dụng được 2 lần</t>
  </si>
  <si>
    <t>m3/h</t>
  </si>
  <si>
    <t>h</t>
  </si>
  <si>
    <t>IX - CÔNG SUẤT CHUYỀN BĂM PET FS (B6.2)</t>
  </si>
  <si>
    <t>II - ĐỊNH MỨC TIÊU HAO VẬT TƯ - BĂM VẢY PET - CHUYỀN FS (B6.2)</t>
  </si>
  <si>
    <t>Tỷ lệ Hao hụt</t>
  </si>
  <si>
    <t>1.Phân loại</t>
  </si>
  <si>
    <t>2. Băm</t>
  </si>
  <si>
    <t>Mất kg</t>
  </si>
  <si>
    <t>Xá tròn</t>
  </si>
  <si>
    <t>Tuyển xô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</si>
</sst>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#,###,,"/>
    <numFmt numFmtId="168" formatCode="#,###,"/>
    <numFmt numFmtId="169" formatCode="\ \ @"/>
    <numFmt numFmtId="170" formatCode="_-* #,##0.00_-;\-* #,##0.00_-;_-* &quot;-&quot;??_-;_-@_-"/>
    <numFmt numFmtId="171" formatCode="#,###,,;\(#,###,,\)"/>
    <numFmt numFmtId="172" formatCode="_-* #,##0_-;\-* #,##0_-;_-* &quot;-&quot;??_-;_-@_-"/>
    <numFmt numFmtId="173" formatCode="#,###,;\(#,###,\)"/>
    <numFmt numFmtId="174" formatCode="0.0%;\(0.0%\)"/>
    <numFmt numFmtId="175" formatCode="0%;\(0%\)"/>
    <numFmt numFmtId="176" formatCode="[$-1010000]d/m/yy;@"/>
    <numFmt numFmtId="177" formatCode="#,###.0,,"/>
    <numFmt numFmtId="178" formatCode="#,###.0,"/>
    <numFmt numFmtId="179" formatCode="#,0##.00,"/>
    <numFmt numFmtId="180" formatCode="#,###.000,"/>
    <numFmt numFmtId="181" formatCode="#,###.00,,"/>
    <numFmt numFmtId="182" formatCode="_-* #,##0;[Red]\(#,##0\);_-* &quot;-&quot;??_-;_-@_-"/>
    <numFmt numFmtId="183" formatCode="_(* #,##0.000000_);_(* \(#,##0.000000\);_(* &quot;-&quot;??_);_(@_)"/>
    <numFmt numFmtId="184" formatCode="_(* #,##0.000_);_(* \(#,##0.000\);_(* &quot;-&quot;??_);_(@_)"/>
    <numFmt numFmtId="185" formatCode="0.00%;\(0.00%\)"/>
    <numFmt numFmtId="186" formatCode="#,###.000,,"/>
    <numFmt numFmtId="187" formatCode="General_)"/>
    <numFmt numFmtId="188" formatCode="[$-107041E]d\ mmm\ yy;@"/>
    <numFmt numFmtId="189" formatCode="#,##0\ &quot;days&quot;"/>
    <numFmt numFmtId="190" formatCode="[$-101042A]&quot;T&quot;m\.yyyy;@"/>
  </numFmts>
  <fonts count="99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  <font>
      <sz val="10"/>
      <color theme="1"/>
      <name val="segoe UI"/>
      <family val="2"/>
      <charset val="163"/>
    </font>
    <font>
      <b/>
      <sz val="9"/>
      <color theme="3"/>
      <name val="Aptos Narrow"/>
      <family val="2"/>
      <scheme val="minor"/>
    </font>
    <font>
      <i/>
      <sz val="10"/>
      <color rgb="FF0000FF"/>
      <name val="Arial"/>
      <family val="2"/>
    </font>
    <font>
      <b/>
      <i/>
      <sz val="10"/>
      <color rgb="FF0000FF"/>
      <name val="Arial"/>
      <family val="2"/>
    </font>
    <font>
      <b/>
      <sz val="12"/>
      <color rgb="FF00B050"/>
      <name val="Arial"/>
      <family val="2"/>
    </font>
    <font>
      <b/>
      <sz val="10"/>
      <color rgb="FF00B050"/>
      <name val="Arial"/>
      <family val="2"/>
    </font>
    <font>
      <b/>
      <sz val="16"/>
      <color rgb="FF3333FF"/>
      <name val="Times New Roman"/>
      <family val="1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sz val="10"/>
      <color rgb="FFFF0000"/>
      <name val="Arial"/>
      <family val="2"/>
    </font>
    <font>
      <i/>
      <sz val="10"/>
      <color rgb="FF00B050"/>
      <name val="Arial"/>
      <family val="2"/>
    </font>
    <font>
      <sz val="10"/>
      <color rgb="FF00B050"/>
      <name val="Arial"/>
      <family val="2"/>
    </font>
    <font>
      <sz val="12"/>
      <name val="Aptos Narrow"/>
      <family val="2"/>
      <scheme val="minor"/>
    </font>
    <font>
      <sz val="12"/>
      <color rgb="FF0000FF"/>
      <name val="Aptos Display"/>
      <family val="1"/>
      <scheme val="major"/>
    </font>
    <font>
      <b/>
      <sz val="14"/>
      <color rgb="FF00B050"/>
      <name val="Arial"/>
      <family val="2"/>
    </font>
    <font>
      <sz val="11"/>
      <color rgb="FF0000FF"/>
      <name val="Aptos Narrow"/>
      <family val="2"/>
      <scheme val="minor"/>
    </font>
    <font>
      <b/>
      <i/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0"/>
      <color rgb="FFFF0000"/>
      <name val="Arial"/>
      <family val="2"/>
    </font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2"/>
      <charset val="163"/>
    </font>
    <font>
      <sz val="14"/>
      <name val="Cordia New"/>
      <family val="2"/>
    </font>
    <font>
      <b/>
      <sz val="11"/>
      <color theme="1"/>
      <name val="Calibri"/>
      <family val="2"/>
    </font>
    <font>
      <sz val="11"/>
      <color theme="1"/>
      <name val="Aptos Display"/>
      <family val="2"/>
      <scheme val="major"/>
    </font>
    <font>
      <b/>
      <sz val="10"/>
      <color theme="0"/>
      <name val="Arial"/>
      <family val="2"/>
    </font>
    <font>
      <b/>
      <sz val="10"/>
      <color theme="1"/>
      <name val="Calibri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0"/>
      <color rgb="FF119303"/>
      <name val="Arial"/>
      <family val="2"/>
    </font>
    <font>
      <b/>
      <sz val="10"/>
      <color rgb="FF0066FF"/>
      <name val="Arial"/>
      <family val="2"/>
    </font>
    <font>
      <b/>
      <sz val="10"/>
      <color rgb="FFFFC000"/>
      <name val="Arial"/>
      <family val="2"/>
    </font>
    <font>
      <b/>
      <u/>
      <sz val="10"/>
      <color theme="5" tint="-0.249977111117893"/>
      <name val="Arial"/>
      <family val="2"/>
    </font>
    <font>
      <sz val="12"/>
      <name val="Arial"/>
      <family val="2"/>
    </font>
    <font>
      <b/>
      <sz val="12"/>
      <color rgb="FF0000FF"/>
      <name val="Arial"/>
      <family val="2"/>
    </font>
    <font>
      <sz val="16"/>
      <color theme="1"/>
      <name val="Arial"/>
      <family val="2"/>
    </font>
    <font>
      <b/>
      <sz val="16"/>
      <color rgb="FF119303"/>
      <name val="Arial"/>
      <family val="2"/>
    </font>
    <font>
      <b/>
      <sz val="16"/>
      <color rgb="FF0000FF"/>
      <name val="Arial"/>
      <family val="2"/>
    </font>
    <font>
      <b/>
      <sz val="16"/>
      <color rgb="FF0066FF"/>
      <name val="Arial"/>
      <family val="2"/>
    </font>
    <font>
      <b/>
      <sz val="16"/>
      <color rgb="FFFFC000"/>
      <name val="Arial"/>
      <family val="2"/>
    </font>
    <font>
      <sz val="11"/>
      <color theme="1"/>
      <name val="Arial"/>
      <family val="2"/>
    </font>
    <font>
      <i/>
      <sz val="13"/>
      <color theme="1"/>
      <name val="Arial"/>
      <family val="2"/>
    </font>
    <font>
      <i/>
      <sz val="13"/>
      <color rgb="FF0000FF"/>
      <name val="Arial"/>
      <family val="2"/>
    </font>
    <font>
      <b/>
      <i/>
      <sz val="13"/>
      <color rgb="FF0000FF"/>
      <name val="Arial"/>
      <family val="2"/>
    </font>
    <font>
      <b/>
      <i/>
      <sz val="13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1"/>
      <color theme="4" tint="-0.499984740745262"/>
      <name val="Arial"/>
      <family val="2"/>
    </font>
    <font>
      <b/>
      <sz val="11"/>
      <color rgb="FF0033CC"/>
      <name val="Arial"/>
      <family val="2"/>
    </font>
    <font>
      <b/>
      <sz val="10"/>
      <name val="Arial"/>
      <family val="2"/>
    </font>
    <font>
      <sz val="15"/>
      <color theme="1"/>
      <name val="Arial"/>
      <family val="2"/>
    </font>
    <font>
      <b/>
      <sz val="11"/>
      <color theme="0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2"/>
      <color rgb="FF0000FF"/>
      <name val="Arial"/>
      <family val="2"/>
    </font>
    <font>
      <b/>
      <sz val="10"/>
      <color theme="5" tint="-0.249977111117893"/>
      <name val="Arial"/>
      <family val="2"/>
    </font>
    <font>
      <b/>
      <sz val="12"/>
      <color rgb="FF3333FF"/>
      <name val="Times New Roman"/>
      <family val="1"/>
    </font>
    <font>
      <sz val="14"/>
      <name val="CordiaUPC"/>
      <family val="1"/>
      <charset val="222"/>
    </font>
    <font>
      <b/>
      <sz val="12"/>
      <name val="Arial"/>
      <family val="2"/>
    </font>
    <font>
      <b/>
      <sz val="18"/>
      <name val="Arial"/>
      <family val="2"/>
    </font>
    <font>
      <sz val="14"/>
      <name val="CordiaUPC"/>
      <family val="2"/>
    </font>
    <font>
      <sz val="12"/>
      <color rgb="FFFF0000"/>
      <name val="Arial"/>
      <family val="2"/>
    </font>
    <font>
      <sz val="12"/>
      <color rgb="FF009900"/>
      <name val="Arial"/>
      <family val="2"/>
    </font>
    <font>
      <sz val="12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charset val="163"/>
    </font>
    <font>
      <b/>
      <sz val="11"/>
      <color rgb="FF0070C0"/>
      <name val="calibri"/>
      <family val="2"/>
    </font>
    <font>
      <b/>
      <sz val="11"/>
      <color theme="0"/>
      <name val="calibri"/>
      <family val="2"/>
    </font>
    <font>
      <sz val="11"/>
      <color rgb="FF0000FF"/>
      <name val="calibri"/>
      <family val="2"/>
    </font>
    <font>
      <sz val="11"/>
      <color theme="4" tint="0.39997558519241921"/>
      <name val="calibri"/>
      <family val="2"/>
    </font>
    <font>
      <i/>
      <sz val="11"/>
      <color theme="4" tint="0.39997558519241921"/>
      <name val="calibri"/>
      <family val="2"/>
    </font>
    <font>
      <sz val="12"/>
      <color rgb="FFC00000"/>
      <name val="Arial"/>
      <family val="2"/>
    </font>
    <font>
      <sz val="11"/>
      <color rgb="FF0000FF"/>
      <name val="Arial"/>
      <family val="2"/>
    </font>
    <font>
      <b/>
      <sz val="11"/>
      <color rgb="FF00B050"/>
      <name val="Arial"/>
      <family val="2"/>
    </font>
    <font>
      <b/>
      <sz val="10"/>
      <color rgb="FF0000CC"/>
      <name val="Arial"/>
      <family val="2"/>
    </font>
    <font>
      <sz val="11"/>
      <color rgb="FFFF0000"/>
      <name val="Aptos Narrow"/>
      <family val="2"/>
      <scheme val="minor"/>
    </font>
    <font>
      <i/>
      <sz val="10"/>
      <color rgb="FFFF000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rial"/>
      <family val="2"/>
    </font>
    <font>
      <b/>
      <sz val="12"/>
      <color rgb="FFFF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-0.249977111117893"/>
        <bgColor indexed="64"/>
      </patternFill>
    </fill>
  </fills>
  <borders count="9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119503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rgb="FF119503"/>
      </left>
      <right/>
      <top/>
      <bottom style="dotted">
        <color theme="0" tint="-0.24994659260841701"/>
      </bottom>
      <diagonal/>
    </border>
    <border>
      <left style="thin">
        <color rgb="FF119503"/>
      </left>
      <right/>
      <top style="dotted">
        <color theme="0" tint="-0.24994659260841701"/>
      </top>
      <bottom style="thin">
        <color rgb="FF119503"/>
      </bottom>
      <diagonal/>
    </border>
    <border>
      <left style="thin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dotted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dotted">
        <color rgb="FF119503"/>
      </left>
      <right style="thin">
        <color rgb="FF119503"/>
      </right>
      <top/>
      <bottom style="dotted">
        <color theme="0" tint="-0.24994659260841701"/>
      </bottom>
      <diagonal/>
    </border>
    <border>
      <left style="dotted">
        <color rgb="FF119503"/>
      </left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theme="0" tint="-0.24994659260841701"/>
      </top>
      <bottom style="thin">
        <color rgb="FF11950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auto="1"/>
      </bottom>
      <diagonal/>
    </border>
    <border>
      <left style="hair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119503"/>
      </right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rgb="FF119503"/>
      </right>
      <top/>
      <bottom style="dotted">
        <color theme="0" tint="-0.24994659260841701"/>
      </bottom>
      <diagonal/>
    </border>
    <border>
      <left/>
      <right style="thin">
        <color rgb="FF119503"/>
      </right>
      <top style="dotted">
        <color theme="0" tint="-0.24994659260841701"/>
      </top>
      <bottom style="thin">
        <color rgb="FF119503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dotted">
        <color theme="0" tint="-0.24994659260841701"/>
      </bottom>
      <diagonal/>
    </border>
    <border>
      <left style="thin">
        <color theme="9"/>
      </left>
      <right style="thin">
        <color theme="9"/>
      </right>
      <top/>
      <bottom style="dotted">
        <color theme="0" tint="-0.24994659260841701"/>
      </bottom>
      <diagonal/>
    </border>
    <border>
      <left style="thin">
        <color theme="9"/>
      </left>
      <right style="thin">
        <color theme="9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theme="9"/>
      </left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/>
      <right style="thin">
        <color theme="9"/>
      </right>
      <top style="dotted">
        <color theme="0" tint="-0.24994659260841701"/>
      </top>
      <bottom style="thin">
        <color theme="9"/>
      </bottom>
      <diagonal/>
    </border>
    <border>
      <left style="thin">
        <color rgb="FF119503"/>
      </left>
      <right style="thin">
        <color theme="9"/>
      </right>
      <top style="dotted">
        <color theme="0" tint="-0.24994659260841701"/>
      </top>
      <bottom style="thin">
        <color rgb="FF119503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</borders>
  <cellStyleXfs count="3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/>
    <xf numFmtId="43" fontId="7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" fillId="0" borderId="0"/>
    <xf numFmtId="0" fontId="11" fillId="0" borderId="0" applyNumberFormat="0" applyFill="0" applyProtection="0">
      <alignment horizontal="left"/>
    </xf>
    <xf numFmtId="170" fontId="10" fillId="0" borderId="0" applyFont="0" applyFill="0" applyBorder="0" applyAlignment="0" applyProtection="0"/>
    <xf numFmtId="0" fontId="2" fillId="0" borderId="0"/>
    <xf numFmtId="0" fontId="29" fillId="0" borderId="0"/>
    <xf numFmtId="0" fontId="30" fillId="0" borderId="0"/>
    <xf numFmtId="0" fontId="7" fillId="0" borderId="0">
      <alignment vertical="center"/>
    </xf>
    <xf numFmtId="9" fontId="7" fillId="0" borderId="0" applyFont="0" applyFill="0" applyBorder="0" applyAlignment="0" applyProtection="0"/>
    <xf numFmtId="0" fontId="31" fillId="0" borderId="0"/>
    <xf numFmtId="170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3" fillId="0" borderId="0"/>
    <xf numFmtId="0" fontId="29" fillId="0" borderId="0"/>
    <xf numFmtId="43" fontId="33" fillId="0" borderId="0" applyFont="0" applyFill="0" applyBorder="0" applyAlignment="0" applyProtection="0"/>
    <xf numFmtId="0" fontId="29" fillId="0" borderId="0"/>
    <xf numFmtId="170" fontId="29" fillId="0" borderId="0" applyFont="0" applyFill="0" applyBorder="0" applyAlignment="0" applyProtection="0"/>
    <xf numFmtId="0" fontId="10" fillId="0" borderId="0"/>
    <xf numFmtId="170" fontId="4" fillId="0" borderId="0" applyFont="0" applyFill="0" applyBorder="0" applyAlignment="0" applyProtection="0"/>
    <xf numFmtId="170" fontId="10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187" fontId="67" fillId="0" borderId="0"/>
    <xf numFmtId="0" fontId="70" fillId="0" borderId="0"/>
    <xf numFmtId="0" fontId="1" fillId="0" borderId="0"/>
  </cellStyleXfs>
  <cellXfs count="1418">
    <xf numFmtId="0" fontId="0" fillId="0" borderId="0" xfId="0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8" fillId="0" borderId="0" xfId="0" applyFont="1"/>
    <xf numFmtId="0" fontId="9" fillId="0" borderId="0" xfId="0" applyFont="1"/>
    <xf numFmtId="165" fontId="9" fillId="7" borderId="0" xfId="2" applyNumberFormat="1" applyFont="1" applyFill="1"/>
    <xf numFmtId="164" fontId="9" fillId="0" borderId="0" xfId="1" applyNumberFormat="1" applyFont="1" applyAlignment="1">
      <alignment horizontal="right"/>
    </xf>
    <xf numFmtId="0" fontId="9" fillId="7" borderId="0" xfId="0" applyFont="1" applyFill="1"/>
    <xf numFmtId="0" fontId="9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/>
    </xf>
    <xf numFmtId="164" fontId="9" fillId="0" borderId="0" xfId="1" applyNumberFormat="1" applyFont="1"/>
    <xf numFmtId="164" fontId="9" fillId="0" borderId="0" xfId="1" applyNumberFormat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64" fontId="9" fillId="0" borderId="0" xfId="1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164" fontId="9" fillId="0" borderId="0" xfId="1" applyNumberFormat="1" applyFont="1" applyFill="1" applyBorder="1" applyAlignment="1">
      <alignment vertical="center"/>
    </xf>
    <xf numFmtId="164" fontId="9" fillId="0" borderId="0" xfId="1" applyNumberFormat="1" applyFont="1" applyAlignment="1">
      <alignment vertical="center" wrapText="1"/>
    </xf>
    <xf numFmtId="171" fontId="9" fillId="0" borderId="0" xfId="1" applyNumberFormat="1" applyFont="1" applyAlignment="1">
      <alignment vertical="center"/>
    </xf>
    <xf numFmtId="171" fontId="9" fillId="0" borderId="0" xfId="0" applyNumberFormat="1" applyFont="1" applyAlignment="1">
      <alignment vertical="center"/>
    </xf>
    <xf numFmtId="172" fontId="9" fillId="0" borderId="0" xfId="1" applyNumberFormat="1" applyFont="1" applyAlignment="1">
      <alignment vertical="center"/>
    </xf>
    <xf numFmtId="49" fontId="8" fillId="0" borderId="0" xfId="1" applyNumberFormat="1" applyFont="1" applyFill="1" applyBorder="1" applyAlignment="1">
      <alignment vertical="center"/>
    </xf>
    <xf numFmtId="173" fontId="8" fillId="0" borderId="7" xfId="1" applyNumberFormat="1" applyFont="1" applyBorder="1" applyAlignment="1" applyProtection="1">
      <alignment horizontal="left" vertical="center"/>
    </xf>
    <xf numFmtId="173" fontId="8" fillId="0" borderId="7" xfId="1" applyNumberFormat="1" applyFont="1" applyBorder="1" applyAlignment="1" applyProtection="1">
      <alignment horizontal="left" vertical="center" wrapText="1"/>
    </xf>
    <xf numFmtId="168" fontId="8" fillId="0" borderId="12" xfId="1" applyNumberFormat="1" applyFont="1" applyFill="1" applyBorder="1" applyAlignment="1">
      <alignment horizontal="right" vertical="center"/>
    </xf>
    <xf numFmtId="173" fontId="8" fillId="0" borderId="0" xfId="1" applyNumberFormat="1" applyFont="1" applyFill="1" applyBorder="1" applyAlignment="1">
      <alignment horizontal="right" vertical="center"/>
    </xf>
    <xf numFmtId="173" fontId="9" fillId="0" borderId="0" xfId="1" applyNumberFormat="1" applyFont="1" applyFill="1" applyBorder="1" applyAlignment="1">
      <alignment vertical="center"/>
    </xf>
    <xf numFmtId="173" fontId="9" fillId="0" borderId="7" xfId="1" applyNumberFormat="1" applyFont="1" applyBorder="1" applyAlignment="1" applyProtection="1">
      <alignment horizontal="left" vertical="center"/>
    </xf>
    <xf numFmtId="173" fontId="9" fillId="0" borderId="7" xfId="1" applyNumberFormat="1" applyFont="1" applyBorder="1" applyAlignment="1" applyProtection="1">
      <alignment horizontal="left" vertical="center" wrapText="1"/>
    </xf>
    <xf numFmtId="168" fontId="9" fillId="0" borderId="12" xfId="1" applyNumberFormat="1" applyFont="1" applyFill="1" applyBorder="1" applyAlignment="1">
      <alignment horizontal="right" vertical="center"/>
    </xf>
    <xf numFmtId="173" fontId="9" fillId="0" borderId="0" xfId="1" applyNumberFormat="1" applyFont="1" applyFill="1" applyBorder="1" applyAlignment="1">
      <alignment horizontal="right" vertical="center"/>
    </xf>
    <xf numFmtId="164" fontId="8" fillId="0" borderId="0" xfId="1" applyNumberFormat="1" applyFont="1" applyFill="1" applyBorder="1" applyAlignment="1">
      <alignment vertical="center"/>
    </xf>
    <xf numFmtId="0" fontId="8" fillId="0" borderId="6" xfId="1" applyNumberFormat="1" applyFont="1" applyFill="1" applyBorder="1" applyAlignment="1" applyProtection="1">
      <alignment horizontal="left" vertical="center"/>
    </xf>
    <xf numFmtId="0" fontId="8" fillId="0" borderId="6" xfId="1" applyNumberFormat="1" applyFont="1" applyFill="1" applyBorder="1" applyAlignment="1" applyProtection="1">
      <alignment horizontal="left" vertical="center" wrapText="1"/>
    </xf>
    <xf numFmtId="171" fontId="8" fillId="0" borderId="13" xfId="1" applyNumberFormat="1" applyFont="1" applyFill="1" applyBorder="1" applyAlignment="1" applyProtection="1">
      <alignment vertical="center"/>
    </xf>
    <xf numFmtId="169" fontId="9" fillId="0" borderId="6" xfId="9" applyNumberFormat="1" applyFont="1" applyBorder="1" applyAlignment="1">
      <alignment horizontal="left" vertical="center"/>
    </xf>
    <xf numFmtId="171" fontId="9" fillId="0" borderId="13" xfId="1" applyNumberFormat="1" applyFont="1" applyFill="1" applyBorder="1" applyAlignment="1" applyProtection="1">
      <alignment vertical="center"/>
    </xf>
    <xf numFmtId="0" fontId="9" fillId="0" borderId="6" xfId="1" applyNumberFormat="1" applyFont="1" applyFill="1" applyBorder="1" applyAlignment="1" applyProtection="1">
      <alignment horizontal="left" vertical="center" wrapText="1"/>
    </xf>
    <xf numFmtId="0" fontId="8" fillId="0" borderId="6" xfId="1" applyNumberFormat="1" applyFont="1" applyBorder="1" applyAlignment="1" applyProtection="1">
      <alignment horizontal="left" vertical="center"/>
    </xf>
    <xf numFmtId="0" fontId="8" fillId="0" borderId="6" xfId="1" applyNumberFormat="1" applyFont="1" applyBorder="1" applyAlignment="1" applyProtection="1">
      <alignment horizontal="left" vertical="center" wrapText="1"/>
    </xf>
    <xf numFmtId="0" fontId="9" fillId="0" borderId="6" xfId="1" applyNumberFormat="1" applyFont="1" applyBorder="1" applyAlignment="1" applyProtection="1">
      <alignment horizontal="left" vertical="center"/>
    </xf>
    <xf numFmtId="0" fontId="9" fillId="0" borderId="6" xfId="1" applyNumberFormat="1" applyFont="1" applyBorder="1" applyAlignment="1" applyProtection="1">
      <alignment horizontal="left" vertical="center" wrapText="1"/>
    </xf>
    <xf numFmtId="9" fontId="9" fillId="0" borderId="0" xfId="2" applyFont="1" applyFill="1" applyBorder="1" applyAlignment="1">
      <alignment vertical="center"/>
    </xf>
    <xf numFmtId="9" fontId="8" fillId="0" borderId="0" xfId="2" applyFont="1" applyFill="1" applyBorder="1" applyAlignment="1">
      <alignment vertical="center"/>
    </xf>
    <xf numFmtId="164" fontId="12" fillId="0" borderId="0" xfId="1" applyNumberFormat="1" applyFont="1" applyFill="1" applyBorder="1" applyAlignment="1">
      <alignment vertical="center"/>
    </xf>
    <xf numFmtId="0" fontId="12" fillId="0" borderId="6" xfId="1" applyNumberFormat="1" applyFont="1" applyBorder="1" applyAlignment="1" applyProtection="1">
      <alignment horizontal="left" vertical="center"/>
    </xf>
    <xf numFmtId="0" fontId="12" fillId="0" borderId="6" xfId="1" applyNumberFormat="1" applyFont="1" applyBorder="1" applyAlignment="1" applyProtection="1">
      <alignment horizontal="left" vertical="center" wrapText="1"/>
    </xf>
    <xf numFmtId="171" fontId="12" fillId="0" borderId="13" xfId="1" applyNumberFormat="1" applyFont="1" applyFill="1" applyBorder="1" applyAlignment="1" applyProtection="1">
      <alignment vertical="center"/>
    </xf>
    <xf numFmtId="9" fontId="12" fillId="0" borderId="0" xfId="2" applyFont="1" applyFill="1" applyBorder="1" applyAlignment="1">
      <alignment vertical="center"/>
    </xf>
    <xf numFmtId="9" fontId="12" fillId="0" borderId="8" xfId="2" applyFont="1" applyFill="1" applyBorder="1" applyAlignment="1" applyProtection="1">
      <alignment horizontal="left" vertical="center"/>
    </xf>
    <xf numFmtId="9" fontId="12" fillId="0" borderId="8" xfId="2" applyFont="1" applyFill="1" applyBorder="1" applyAlignment="1" applyProtection="1">
      <alignment horizontal="left" vertical="center" wrapText="1"/>
    </xf>
    <xf numFmtId="171" fontId="12" fillId="0" borderId="11" xfId="2" applyNumberFormat="1" applyFont="1" applyFill="1" applyBorder="1" applyAlignment="1" applyProtection="1">
      <alignment vertical="center"/>
    </xf>
    <xf numFmtId="171" fontId="12" fillId="0" borderId="9" xfId="2" applyNumberFormat="1" applyFont="1" applyFill="1" applyBorder="1" applyAlignment="1" applyProtection="1">
      <alignment vertical="center"/>
    </xf>
    <xf numFmtId="171" fontId="12" fillId="0" borderId="10" xfId="2" applyNumberFormat="1" applyFont="1" applyFill="1" applyBorder="1" applyAlignment="1" applyProtection="1">
      <alignment vertical="center"/>
    </xf>
    <xf numFmtId="164" fontId="8" fillId="0" borderId="0" xfId="1" applyNumberFormat="1" applyFont="1" applyAlignment="1">
      <alignment horizontal="centerContinuous" vertical="center" wrapText="1"/>
    </xf>
    <xf numFmtId="164" fontId="8" fillId="0" borderId="0" xfId="1" applyNumberFormat="1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8" fillId="10" borderId="6" xfId="1" applyNumberFormat="1" applyFont="1" applyFill="1" applyBorder="1" applyAlignment="1" applyProtection="1">
      <alignment horizontal="left" vertical="center"/>
    </xf>
    <xf numFmtId="0" fontId="8" fillId="10" borderId="6" xfId="1" applyNumberFormat="1" applyFont="1" applyFill="1" applyBorder="1" applyAlignment="1" applyProtection="1">
      <alignment horizontal="left" vertical="center" wrapText="1"/>
    </xf>
    <xf numFmtId="171" fontId="8" fillId="10" borderId="13" xfId="1" applyNumberFormat="1" applyFont="1" applyFill="1" applyBorder="1" applyAlignment="1" applyProtection="1">
      <alignment vertical="center"/>
    </xf>
    <xf numFmtId="0" fontId="6" fillId="0" borderId="0" xfId="0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 wrapText="1"/>
    </xf>
    <xf numFmtId="174" fontId="20" fillId="0" borderId="6" xfId="2" applyNumberFormat="1" applyFont="1" applyFill="1" applyBorder="1" applyAlignment="1" applyProtection="1">
      <alignment horizontal="left" vertical="center"/>
    </xf>
    <xf numFmtId="175" fontId="20" fillId="0" borderId="6" xfId="2" applyNumberFormat="1" applyFont="1" applyFill="1" applyBorder="1" applyAlignment="1" applyProtection="1">
      <alignment horizontal="left" vertical="center" wrapText="1"/>
    </xf>
    <xf numFmtId="174" fontId="20" fillId="0" borderId="13" xfId="2" applyNumberFormat="1" applyFont="1" applyFill="1" applyBorder="1" applyAlignment="1" applyProtection="1">
      <alignment vertical="center"/>
    </xf>
    <xf numFmtId="174" fontId="20" fillId="0" borderId="0" xfId="2" applyNumberFormat="1" applyFont="1" applyFill="1" applyBorder="1" applyAlignment="1">
      <alignment vertical="center"/>
    </xf>
    <xf numFmtId="0" fontId="20" fillId="0" borderId="6" xfId="1" applyNumberFormat="1" applyFont="1" applyBorder="1" applyAlignment="1" applyProtection="1">
      <alignment horizontal="left" vertical="center"/>
    </xf>
    <xf numFmtId="175" fontId="20" fillId="0" borderId="0" xfId="2" applyNumberFormat="1" applyFont="1" applyFill="1" applyBorder="1" applyAlignment="1">
      <alignment vertical="center"/>
    </xf>
    <xf numFmtId="175" fontId="20" fillId="0" borderId="6" xfId="2" applyNumberFormat="1" applyFont="1" applyFill="1" applyBorder="1" applyAlignment="1" applyProtection="1">
      <alignment horizontal="left" vertical="center"/>
    </xf>
    <xf numFmtId="175" fontId="20" fillId="0" borderId="13" xfId="2" applyNumberFormat="1" applyFont="1" applyFill="1" applyBorder="1" applyAlignment="1" applyProtection="1">
      <alignment vertical="center"/>
    </xf>
    <xf numFmtId="0" fontId="9" fillId="7" borderId="0" xfId="6" applyFont="1" applyFill="1" applyAlignment="1">
      <alignment horizontal="center" vertical="center" wrapText="1"/>
    </xf>
    <xf numFmtId="0" fontId="9" fillId="7" borderId="0" xfId="6" applyFont="1" applyFill="1" applyAlignment="1">
      <alignment horizontal="left" vertical="center" wrapText="1"/>
    </xf>
    <xf numFmtId="165" fontId="9" fillId="7" borderId="0" xfId="6" applyNumberFormat="1" applyFont="1" applyFill="1" applyAlignment="1">
      <alignment horizontal="center" vertical="center" wrapText="1"/>
    </xf>
    <xf numFmtId="164" fontId="9" fillId="7" borderId="0" xfId="1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165" fontId="8" fillId="0" borderId="0" xfId="2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164" fontId="8" fillId="0" borderId="0" xfId="1" applyNumberFormat="1" applyFont="1" applyAlignment="1">
      <alignment horizontal="right"/>
    </xf>
    <xf numFmtId="168" fontId="9" fillId="7" borderId="0" xfId="8" quotePrefix="1" applyNumberFormat="1" applyFont="1" applyFill="1" applyBorder="1" applyAlignment="1">
      <alignment horizontal="center" vertical="center" wrapText="1"/>
    </xf>
    <xf numFmtId="168" fontId="8" fillId="7" borderId="0" xfId="8" quotePrefix="1" applyNumberFormat="1" applyFont="1" applyFill="1" applyBorder="1" applyAlignment="1">
      <alignment horizontal="center" vertical="center" wrapText="1"/>
    </xf>
    <xf numFmtId="164" fontId="22" fillId="0" borderId="0" xfId="1" applyNumberFormat="1" applyFont="1" applyAlignment="1">
      <alignment horizontal="left" vertical="center"/>
    </xf>
    <xf numFmtId="164" fontId="9" fillId="0" borderId="15" xfId="1" applyNumberFormat="1" applyFont="1" applyBorder="1" applyAlignment="1">
      <alignment vertical="center"/>
    </xf>
    <xf numFmtId="164" fontId="9" fillId="0" borderId="15" xfId="1" applyNumberFormat="1" applyFont="1" applyBorder="1" applyAlignment="1">
      <alignment horizontal="right" vertical="center"/>
    </xf>
    <xf numFmtId="164" fontId="9" fillId="0" borderId="15" xfId="1" applyNumberFormat="1" applyFont="1" applyBorder="1" applyAlignment="1">
      <alignment horizontal="left" vertical="center"/>
    </xf>
    <xf numFmtId="164" fontId="9" fillId="0" borderId="15" xfId="1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 wrapText="1"/>
    </xf>
    <xf numFmtId="164" fontId="9" fillId="0" borderId="15" xfId="1" applyNumberFormat="1" applyFont="1" applyBorder="1" applyAlignment="1">
      <alignment vertical="center" wrapText="1"/>
    </xf>
    <xf numFmtId="164" fontId="8" fillId="0" borderId="15" xfId="1" applyNumberFormat="1" applyFont="1" applyBorder="1" applyAlignment="1">
      <alignment horizontal="left" vertical="center"/>
    </xf>
    <xf numFmtId="164" fontId="8" fillId="0" borderId="15" xfId="1" applyNumberFormat="1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165" fontId="9" fillId="0" borderId="0" xfId="2" applyNumberFormat="1" applyFont="1"/>
    <xf numFmtId="10" fontId="9" fillId="0" borderId="0" xfId="2" applyNumberFormat="1" applyFont="1"/>
    <xf numFmtId="164" fontId="9" fillId="0" borderId="15" xfId="1" quotePrefix="1" applyNumberFormat="1" applyFont="1" applyBorder="1" applyAlignment="1">
      <alignment vertical="center" wrapText="1"/>
    </xf>
    <xf numFmtId="164" fontId="8" fillId="0" borderId="0" xfId="0" applyNumberFormat="1" applyFont="1" applyAlignment="1">
      <alignment vertical="center"/>
    </xf>
    <xf numFmtId="164" fontId="9" fillId="0" borderId="0" xfId="1" applyNumberFormat="1" applyFont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9" fillId="0" borderId="0" xfId="0" applyFont="1" applyAlignment="1">
      <alignment horizontal="right" vertical="center"/>
    </xf>
    <xf numFmtId="0" fontId="8" fillId="7" borderId="0" xfId="0" applyFont="1" applyFill="1" applyAlignment="1">
      <alignment vertical="center"/>
    </xf>
    <xf numFmtId="168" fontId="9" fillId="0" borderId="0" xfId="1" applyNumberFormat="1" applyFont="1" applyAlignment="1">
      <alignment horizontal="center" vertical="center"/>
    </xf>
    <xf numFmtId="168" fontId="9" fillId="0" borderId="0" xfId="0" applyNumberFormat="1" applyFont="1" applyAlignment="1">
      <alignment vertical="center"/>
    </xf>
    <xf numFmtId="0" fontId="8" fillId="7" borderId="0" xfId="0" applyFont="1" applyFill="1" applyAlignment="1">
      <alignment vertical="center" wrapText="1"/>
    </xf>
    <xf numFmtId="0" fontId="9" fillId="0" borderId="15" xfId="0" quotePrefix="1" applyFont="1" applyBorder="1" applyAlignment="1">
      <alignment vertical="center" wrapText="1"/>
    </xf>
    <xf numFmtId="165" fontId="12" fillId="0" borderId="0" xfId="2" applyNumberFormat="1" applyFont="1" applyFill="1" applyBorder="1" applyAlignment="1">
      <alignment vertical="center"/>
    </xf>
    <xf numFmtId="165" fontId="9" fillId="0" borderId="0" xfId="2" applyNumberFormat="1" applyFont="1" applyAlignment="1">
      <alignment vertical="center"/>
    </xf>
    <xf numFmtId="0" fontId="8" fillId="11" borderId="15" xfId="0" applyFont="1" applyFill="1" applyBorder="1" applyAlignment="1">
      <alignment horizontal="center" vertical="center" wrapText="1"/>
    </xf>
    <xf numFmtId="43" fontId="8" fillId="0" borderId="0" xfId="0" applyNumberFormat="1" applyFont="1" applyAlignment="1">
      <alignment vertical="center"/>
    </xf>
    <xf numFmtId="0" fontId="8" fillId="11" borderId="15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164" fontId="9" fillId="0" borderId="15" xfId="0" applyNumberFormat="1" applyFont="1" applyBorder="1" applyAlignment="1">
      <alignment vertical="center"/>
    </xf>
    <xf numFmtId="164" fontId="8" fillId="11" borderId="15" xfId="1" applyNumberFormat="1" applyFont="1" applyFill="1" applyBorder="1" applyAlignment="1">
      <alignment vertical="center"/>
    </xf>
    <xf numFmtId="0" fontId="9" fillId="7" borderId="15" xfId="0" applyFont="1" applyFill="1" applyBorder="1" applyAlignment="1">
      <alignment horizontal="left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left" vertical="center" wrapText="1"/>
    </xf>
    <xf numFmtId="165" fontId="8" fillId="7" borderId="15" xfId="2" applyNumberFormat="1" applyFont="1" applyFill="1" applyBorder="1" applyAlignment="1">
      <alignment horizontal="center" vertical="center" wrapText="1"/>
    </xf>
    <xf numFmtId="0" fontId="9" fillId="7" borderId="15" xfId="6" applyFont="1" applyFill="1" applyBorder="1" applyAlignment="1">
      <alignment horizontal="center" vertical="center" wrapText="1"/>
    </xf>
    <xf numFmtId="0" fontId="9" fillId="7" borderId="15" xfId="6" applyFont="1" applyFill="1" applyBorder="1" applyAlignment="1">
      <alignment horizontal="left" vertical="center" wrapText="1"/>
    </xf>
    <xf numFmtId="165" fontId="9" fillId="7" borderId="15" xfId="6" applyNumberFormat="1" applyFont="1" applyFill="1" applyBorder="1" applyAlignment="1">
      <alignment horizontal="center" vertical="center" wrapText="1"/>
    </xf>
    <xf numFmtId="168" fontId="9" fillId="7" borderId="15" xfId="8" quotePrefix="1" applyNumberFormat="1" applyFont="1" applyFill="1" applyBorder="1" applyAlignment="1">
      <alignment horizontal="center" vertical="center" wrapText="1"/>
    </xf>
    <xf numFmtId="168" fontId="8" fillId="7" borderId="15" xfId="8" quotePrefix="1" applyNumberFormat="1" applyFont="1" applyFill="1" applyBorder="1" applyAlignment="1">
      <alignment horizontal="center" vertical="center" wrapText="1"/>
    </xf>
    <xf numFmtId="165" fontId="8" fillId="3" borderId="15" xfId="2" quotePrefix="1" applyNumberFormat="1" applyFont="1" applyFill="1" applyBorder="1" applyAlignment="1">
      <alignment horizontal="right" vertical="center" wrapText="1"/>
    </xf>
    <xf numFmtId="164" fontId="9" fillId="7" borderId="15" xfId="1" quotePrefix="1" applyNumberFormat="1" applyFont="1" applyFill="1" applyBorder="1" applyAlignment="1">
      <alignment horizontal="center" vertical="center" wrapText="1"/>
    </xf>
    <xf numFmtId="9" fontId="12" fillId="0" borderId="16" xfId="2" applyFont="1" applyFill="1" applyBorder="1" applyAlignment="1" applyProtection="1">
      <alignment horizontal="left" vertical="center" wrapText="1"/>
    </xf>
    <xf numFmtId="0" fontId="8" fillId="11" borderId="3" xfId="6" applyFont="1" applyFill="1" applyBorder="1" applyAlignment="1">
      <alignment horizontal="center" vertical="center" wrapText="1"/>
    </xf>
    <xf numFmtId="165" fontId="9" fillId="0" borderId="0" xfId="2" applyNumberFormat="1" applyFont="1" applyAlignment="1">
      <alignment vertical="center" wrapText="1"/>
    </xf>
    <xf numFmtId="164" fontId="8" fillId="0" borderId="0" xfId="1" applyNumberFormat="1" applyFont="1" applyAlignment="1">
      <alignment horizontal="left" vertical="center"/>
    </xf>
    <xf numFmtId="164" fontId="8" fillId="0" borderId="0" xfId="2" applyNumberFormat="1" applyFont="1" applyAlignment="1">
      <alignment horizontal="center" vertical="center"/>
    </xf>
    <xf numFmtId="168" fontId="9" fillId="0" borderId="0" xfId="1" applyNumberFormat="1" applyFont="1" applyAlignment="1">
      <alignment vertical="center"/>
    </xf>
    <xf numFmtId="164" fontId="8" fillId="0" borderId="0" xfId="1" applyNumberFormat="1" applyFont="1" applyFill="1" applyBorder="1" applyAlignment="1">
      <alignment horizontal="center" vertical="center"/>
    </xf>
    <xf numFmtId="164" fontId="8" fillId="7" borderId="15" xfId="1" quotePrefix="1" applyNumberFormat="1" applyFont="1" applyFill="1" applyBorder="1" applyAlignment="1">
      <alignment horizontal="center" vertical="center" wrapText="1"/>
    </xf>
    <xf numFmtId="43" fontId="23" fillId="0" borderId="0" xfId="1" applyFont="1" applyAlignment="1">
      <alignment vertical="center"/>
    </xf>
    <xf numFmtId="165" fontId="8" fillId="7" borderId="15" xfId="2" applyNumberFormat="1" applyFont="1" applyFill="1" applyBorder="1" applyAlignment="1">
      <alignment horizontal="right" vertical="center" wrapText="1"/>
    </xf>
    <xf numFmtId="168" fontId="9" fillId="0" borderId="15" xfId="1" applyNumberFormat="1" applyFont="1" applyBorder="1" applyAlignment="1">
      <alignment vertical="center"/>
    </xf>
    <xf numFmtId="178" fontId="9" fillId="0" borderId="15" xfId="1" applyNumberFormat="1" applyFont="1" applyBorder="1" applyAlignment="1">
      <alignment vertical="center"/>
    </xf>
    <xf numFmtId="178" fontId="9" fillId="0" borderId="15" xfId="0" applyNumberFormat="1" applyFont="1" applyBorder="1" applyAlignment="1">
      <alignment vertical="center"/>
    </xf>
    <xf numFmtId="179" fontId="9" fillId="0" borderId="15" xfId="1" applyNumberFormat="1" applyFont="1" applyBorder="1" applyAlignment="1">
      <alignment vertical="center"/>
    </xf>
    <xf numFmtId="164" fontId="9" fillId="0" borderId="0" xfId="0" applyNumberFormat="1" applyFont="1"/>
    <xf numFmtId="165" fontId="9" fillId="0" borderId="0" xfId="0" applyNumberFormat="1" applyFont="1" applyAlignment="1">
      <alignment vertical="center"/>
    </xf>
    <xf numFmtId="165" fontId="19" fillId="0" borderId="1" xfId="2" applyNumberFormat="1" applyFont="1" applyBorder="1" applyAlignment="1">
      <alignment horizontal="left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10" fontId="9" fillId="0" borderId="0" xfId="0" applyNumberFormat="1" applyFont="1"/>
    <xf numFmtId="168" fontId="8" fillId="7" borderId="15" xfId="8" quotePrefix="1" applyNumberFormat="1" applyFont="1" applyFill="1" applyBorder="1" applyAlignment="1">
      <alignment horizontal="right" vertical="center" wrapText="1"/>
    </xf>
    <xf numFmtId="167" fontId="9" fillId="7" borderId="15" xfId="8" quotePrefix="1" applyNumberFormat="1" applyFont="1" applyFill="1" applyBorder="1" applyAlignment="1">
      <alignment horizontal="right" vertical="center" wrapText="1"/>
    </xf>
    <xf numFmtId="165" fontId="9" fillId="0" borderId="0" xfId="0" applyNumberFormat="1" applyFont="1" applyAlignment="1">
      <alignment horizontal="right"/>
    </xf>
    <xf numFmtId="10" fontId="8" fillId="0" borderId="0" xfId="2" applyNumberFormat="1" applyFont="1" applyBorder="1" applyAlignment="1">
      <alignment vertical="center"/>
    </xf>
    <xf numFmtId="0" fontId="9" fillId="0" borderId="15" xfId="0" applyFont="1" applyBorder="1"/>
    <xf numFmtId="0" fontId="8" fillId="3" borderId="15" xfId="6" applyFont="1" applyFill="1" applyBorder="1" applyAlignment="1">
      <alignment horizontal="center" vertical="center" wrapText="1"/>
    </xf>
    <xf numFmtId="0" fontId="8" fillId="3" borderId="15" xfId="6" applyFont="1" applyFill="1" applyBorder="1" applyAlignment="1">
      <alignment horizontal="left" vertical="center" wrapText="1"/>
    </xf>
    <xf numFmtId="165" fontId="8" fillId="3" borderId="15" xfId="2" quotePrefix="1" applyNumberFormat="1" applyFont="1" applyFill="1" applyBorder="1" applyAlignment="1">
      <alignment horizontal="center" vertical="center" wrapText="1"/>
    </xf>
    <xf numFmtId="168" fontId="8" fillId="3" borderId="15" xfId="8" quotePrefix="1" applyNumberFormat="1" applyFont="1" applyFill="1" applyBorder="1" applyAlignment="1">
      <alignment horizontal="right" vertical="center" wrapText="1"/>
    </xf>
    <xf numFmtId="164" fontId="7" fillId="0" borderId="0" xfId="1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9" fontId="8" fillId="0" borderId="15" xfId="9" applyNumberFormat="1" applyFont="1" applyBorder="1" applyAlignment="1">
      <alignment horizontal="center" vertical="center"/>
    </xf>
    <xf numFmtId="164" fontId="8" fillId="0" borderId="15" xfId="1" applyNumberFormat="1" applyFont="1" applyFill="1" applyBorder="1" applyAlignment="1" applyProtection="1">
      <alignment horizontal="center" vertical="center"/>
    </xf>
    <xf numFmtId="0" fontId="8" fillId="11" borderId="18" xfId="0" applyFont="1" applyFill="1" applyBorder="1" applyAlignment="1">
      <alignment horizontal="center" vertical="center" wrapText="1"/>
    </xf>
    <xf numFmtId="164" fontId="8" fillId="11" borderId="15" xfId="1" applyNumberFormat="1" applyFont="1" applyFill="1" applyBorder="1" applyAlignment="1">
      <alignment horizontal="center" vertical="center" wrapText="1"/>
    </xf>
    <xf numFmtId="0" fontId="32" fillId="2" borderId="15" xfId="14" applyFont="1" applyFill="1" applyBorder="1" applyAlignment="1">
      <alignment horizontal="center" vertical="center" wrapText="1"/>
    </xf>
    <xf numFmtId="0" fontId="5" fillId="2" borderId="15" xfId="14" applyFont="1" applyFill="1" applyBorder="1" applyAlignment="1">
      <alignment horizontal="center" vertical="center"/>
    </xf>
    <xf numFmtId="0" fontId="32" fillId="12" borderId="15" xfId="14" applyFont="1" applyFill="1" applyBorder="1" applyAlignment="1">
      <alignment horizontal="center" vertical="center"/>
    </xf>
    <xf numFmtId="164" fontId="8" fillId="4" borderId="15" xfId="1" applyNumberFormat="1" applyFont="1" applyFill="1" applyBorder="1" applyAlignment="1">
      <alignment horizontal="center" vertical="center" wrapText="1"/>
    </xf>
    <xf numFmtId="0" fontId="8" fillId="13" borderId="2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left" vertical="center"/>
    </xf>
    <xf numFmtId="0" fontId="9" fillId="13" borderId="0" xfId="0" applyFont="1" applyFill="1" applyAlignment="1">
      <alignment vertical="center"/>
    </xf>
    <xf numFmtId="0" fontId="8" fillId="13" borderId="2" xfId="0" applyFont="1" applyFill="1" applyBorder="1" applyAlignment="1">
      <alignment horizontal="left" vertical="center"/>
    </xf>
    <xf numFmtId="167" fontId="8" fillId="13" borderId="2" xfId="1" applyNumberFormat="1" applyFont="1" applyFill="1" applyBorder="1" applyAlignment="1">
      <alignment vertical="center"/>
    </xf>
    <xf numFmtId="0" fontId="8" fillId="13" borderId="15" xfId="0" applyFont="1" applyFill="1" applyBorder="1" applyAlignment="1">
      <alignment horizontal="left" vertical="center"/>
    </xf>
    <xf numFmtId="0" fontId="8" fillId="13" borderId="15" xfId="0" applyFont="1" applyFill="1" applyBorder="1" applyAlignment="1">
      <alignment horizontal="center" vertical="center"/>
    </xf>
    <xf numFmtId="164" fontId="9" fillId="0" borderId="0" xfId="1" applyNumberFormat="1" applyFont="1" applyAlignment="1">
      <alignment horizontal="center"/>
    </xf>
    <xf numFmtId="167" fontId="8" fillId="14" borderId="2" xfId="1" applyNumberFormat="1" applyFont="1" applyFill="1" applyBorder="1" applyAlignment="1">
      <alignment vertical="center"/>
    </xf>
    <xf numFmtId="43" fontId="9" fillId="0" borderId="15" xfId="0" applyNumberFormat="1" applyFont="1" applyBorder="1" applyAlignment="1">
      <alignment vertical="center"/>
    </xf>
    <xf numFmtId="0" fontId="8" fillId="11" borderId="18" xfId="6" applyFont="1" applyFill="1" applyBorder="1" applyAlignment="1">
      <alignment horizontal="center" vertical="center" wrapText="1"/>
    </xf>
    <xf numFmtId="0" fontId="5" fillId="2" borderId="19" xfId="14" applyFont="1" applyFill="1" applyBorder="1" applyAlignment="1">
      <alignment horizontal="center" vertical="center" wrapText="1"/>
    </xf>
    <xf numFmtId="0" fontId="35" fillId="12" borderId="19" xfId="14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 applyProtection="1">
      <alignment horizontal="left" vertical="center"/>
    </xf>
    <xf numFmtId="0" fontId="6" fillId="0" borderId="3" xfId="0" applyFont="1" applyBorder="1" applyAlignment="1">
      <alignment vertical="center"/>
    </xf>
    <xf numFmtId="0" fontId="5" fillId="0" borderId="4" xfId="17" applyFont="1" applyBorder="1"/>
    <xf numFmtId="172" fontId="5" fillId="0" borderId="3" xfId="18" applyNumberFormat="1" applyFont="1" applyFill="1" applyBorder="1"/>
    <xf numFmtId="0" fontId="6" fillId="0" borderId="4" xfId="1" applyNumberFormat="1" applyFont="1" applyFill="1" applyBorder="1" applyAlignment="1" applyProtection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167" fontId="6" fillId="0" borderId="4" xfId="1" applyNumberFormat="1" applyFont="1" applyFill="1" applyBorder="1" applyAlignment="1">
      <alignment vertical="center"/>
    </xf>
    <xf numFmtId="167" fontId="5" fillId="0" borderId="4" xfId="1" applyNumberFormat="1" applyFont="1" applyFill="1" applyBorder="1" applyAlignment="1">
      <alignment vertical="center"/>
    </xf>
    <xf numFmtId="0" fontId="9" fillId="0" borderId="4" xfId="1" applyNumberFormat="1" applyFont="1" applyFill="1" applyBorder="1" applyAlignment="1" applyProtection="1">
      <alignment horizontal="left" vertical="center"/>
    </xf>
    <xf numFmtId="0" fontId="9" fillId="7" borderId="4" xfId="0" applyFont="1" applyFill="1" applyBorder="1" applyAlignment="1">
      <alignment horizontal="left" vertical="center"/>
    </xf>
    <xf numFmtId="0" fontId="9" fillId="7" borderId="4" xfId="0" applyFont="1" applyFill="1" applyBorder="1" applyAlignment="1">
      <alignment vertical="center"/>
    </xf>
    <xf numFmtId="167" fontId="9" fillId="0" borderId="4" xfId="1" applyNumberFormat="1" applyFont="1" applyBorder="1" applyAlignment="1">
      <alignment vertical="center"/>
    </xf>
    <xf numFmtId="0" fontId="9" fillId="0" borderId="5" xfId="1" applyNumberFormat="1" applyFont="1" applyFill="1" applyBorder="1" applyAlignment="1" applyProtection="1">
      <alignment horizontal="left" vertical="center"/>
    </xf>
    <xf numFmtId="0" fontId="9" fillId="7" borderId="5" xfId="0" applyFont="1" applyFill="1" applyBorder="1" applyAlignment="1">
      <alignment horizontal="left" vertical="center"/>
    </xf>
    <xf numFmtId="0" fontId="9" fillId="7" borderId="5" xfId="0" applyFont="1" applyFill="1" applyBorder="1" applyAlignment="1">
      <alignment vertical="center"/>
    </xf>
    <xf numFmtId="167" fontId="9" fillId="0" borderId="5" xfId="1" applyNumberFormat="1" applyFont="1" applyBorder="1" applyAlignment="1">
      <alignment vertical="center"/>
    </xf>
    <xf numFmtId="167" fontId="8" fillId="0" borderId="4" xfId="1" applyNumberFormat="1" applyFont="1" applyBorder="1" applyAlignment="1">
      <alignment vertical="center"/>
    </xf>
    <xf numFmtId="167" fontId="8" fillId="0" borderId="5" xfId="1" applyNumberFormat="1" applyFont="1" applyBorder="1" applyAlignment="1">
      <alignment vertical="center"/>
    </xf>
    <xf numFmtId="172" fontId="6" fillId="0" borderId="0" xfId="0" applyNumberFormat="1" applyFont="1"/>
    <xf numFmtId="0" fontId="6" fillId="0" borderId="15" xfId="0" applyFont="1" applyBorder="1"/>
    <xf numFmtId="167" fontId="6" fillId="0" borderId="15" xfId="0" applyNumberFormat="1" applyFont="1" applyBorder="1"/>
    <xf numFmtId="167" fontId="6" fillId="0" borderId="15" xfId="1" applyNumberFormat="1" applyFont="1" applyFill="1" applyBorder="1" applyAlignment="1">
      <alignment vertical="center"/>
    </xf>
    <xf numFmtId="0" fontId="36" fillId="0" borderId="0" xfId="0" applyFont="1" applyAlignment="1">
      <alignment vertical="center"/>
    </xf>
    <xf numFmtId="164" fontId="9" fillId="0" borderId="0" xfId="1" applyNumberFormat="1" applyFont="1" applyBorder="1" applyAlignment="1">
      <alignment vertical="center"/>
    </xf>
    <xf numFmtId="0" fontId="8" fillId="0" borderId="0" xfId="0" quotePrefix="1" applyFont="1"/>
    <xf numFmtId="2" fontId="8" fillId="7" borderId="0" xfId="2" applyNumberFormat="1" applyFont="1" applyFill="1"/>
    <xf numFmtId="2" fontId="9" fillId="7" borderId="0" xfId="2" applyNumberFormat="1" applyFont="1" applyFill="1"/>
    <xf numFmtId="2" fontId="9" fillId="0" borderId="0" xfId="0" applyNumberFormat="1" applyFont="1"/>
    <xf numFmtId="2" fontId="8" fillId="0" borderId="0" xfId="0" applyNumberFormat="1" applyFont="1"/>
    <xf numFmtId="0" fontId="6" fillId="0" borderId="0" xfId="20" applyFont="1"/>
    <xf numFmtId="0" fontId="38" fillId="0" borderId="0" xfId="20" applyFont="1" applyAlignment="1">
      <alignment vertical="top"/>
    </xf>
    <xf numFmtId="0" fontId="6" fillId="0" borderId="0" xfId="21" applyFont="1" applyAlignment="1">
      <alignment vertical="center"/>
    </xf>
    <xf numFmtId="164" fontId="6" fillId="0" borderId="0" xfId="1" applyNumberFormat="1" applyFont="1"/>
    <xf numFmtId="0" fontId="8" fillId="0" borderId="0" xfId="20" applyFont="1" applyAlignment="1">
      <alignment vertical="top"/>
    </xf>
    <xf numFmtId="0" fontId="39" fillId="0" borderId="0" xfId="20" applyFont="1" applyAlignment="1">
      <alignment horizontal="left" vertical="top"/>
    </xf>
    <xf numFmtId="0" fontId="40" fillId="0" borderId="0" xfId="20" applyFont="1"/>
    <xf numFmtId="0" fontId="41" fillId="0" borderId="20" xfId="20" applyFont="1" applyBorder="1"/>
    <xf numFmtId="164" fontId="41" fillId="0" borderId="21" xfId="22" applyNumberFormat="1" applyFont="1" applyFill="1" applyBorder="1"/>
    <xf numFmtId="0" fontId="28" fillId="0" borderId="0" xfId="20" applyFont="1"/>
    <xf numFmtId="0" fontId="28" fillId="0" borderId="0" xfId="20" applyFont="1" applyAlignment="1">
      <alignment horizontal="center"/>
    </xf>
    <xf numFmtId="2" fontId="28" fillId="0" borderId="0" xfId="20" applyNumberFormat="1" applyFont="1" applyAlignment="1">
      <alignment horizontal="center"/>
    </xf>
    <xf numFmtId="164" fontId="28" fillId="0" borderId="0" xfId="1" applyNumberFormat="1" applyFont="1" applyAlignment="1">
      <alignment horizontal="center"/>
    </xf>
    <xf numFmtId="164" fontId="28" fillId="0" borderId="0" xfId="1" applyNumberFormat="1" applyFont="1"/>
    <xf numFmtId="0" fontId="6" fillId="0" borderId="4" xfId="20" applyFont="1" applyBorder="1"/>
    <xf numFmtId="0" fontId="7" fillId="0" borderId="17" xfId="14" applyFont="1" applyBorder="1" applyAlignment="1">
      <alignment horizontal="center" vertical="center"/>
    </xf>
    <xf numFmtId="0" fontId="7" fillId="0" borderId="17" xfId="14" applyFont="1" applyBorder="1" applyAlignment="1">
      <alignment vertical="center"/>
    </xf>
    <xf numFmtId="0" fontId="6" fillId="0" borderId="4" xfId="20" applyFont="1" applyBorder="1" applyAlignment="1">
      <alignment horizontal="center"/>
    </xf>
    <xf numFmtId="0" fontId="7" fillId="0" borderId="17" xfId="14" applyFont="1" applyBorder="1" applyAlignment="1">
      <alignment horizontal="left" vertical="center"/>
    </xf>
    <xf numFmtId="0" fontId="6" fillId="0" borderId="22" xfId="20" applyFont="1" applyBorder="1" applyAlignment="1">
      <alignment horizontal="center"/>
    </xf>
    <xf numFmtId="0" fontId="6" fillId="0" borderId="22" xfId="20" applyFont="1" applyBorder="1"/>
    <xf numFmtId="0" fontId="7" fillId="0" borderId="19" xfId="14" applyFont="1" applyBorder="1" applyAlignment="1">
      <alignment horizontal="center" vertical="center"/>
    </xf>
    <xf numFmtId="0" fontId="7" fillId="0" borderId="19" xfId="14" applyFont="1" applyBorder="1" applyAlignment="1">
      <alignment horizontal="left" vertical="center"/>
    </xf>
    <xf numFmtId="0" fontId="7" fillId="0" borderId="19" xfId="14" applyFont="1" applyBorder="1" applyAlignment="1">
      <alignment vertical="center"/>
    </xf>
    <xf numFmtId="0" fontId="6" fillId="0" borderId="15" xfId="20" applyFont="1" applyBorder="1"/>
    <xf numFmtId="0" fontId="5" fillId="0" borderId="15" xfId="20" applyFont="1" applyBorder="1"/>
    <xf numFmtId="0" fontId="6" fillId="0" borderId="15" xfId="20" applyFont="1" applyBorder="1" applyAlignment="1">
      <alignment horizontal="left"/>
    </xf>
    <xf numFmtId="171" fontId="8" fillId="0" borderId="0" xfId="1" applyNumberFormat="1" applyFont="1" applyFill="1" applyBorder="1" applyAlignment="1" applyProtection="1">
      <alignment vertical="center"/>
    </xf>
    <xf numFmtId="43" fontId="8" fillId="0" borderId="0" xfId="1" applyFont="1" applyFill="1" applyBorder="1" applyAlignment="1" applyProtection="1">
      <alignment vertical="center"/>
    </xf>
    <xf numFmtId="0" fontId="5" fillId="0" borderId="15" xfId="14" applyFont="1" applyBorder="1" applyAlignment="1">
      <alignment horizontal="center" vertical="center" wrapText="1"/>
    </xf>
    <xf numFmtId="0" fontId="5" fillId="0" borderId="15" xfId="14" applyFont="1" applyBorder="1" applyAlignment="1">
      <alignment horizontal="center" vertical="center"/>
    </xf>
    <xf numFmtId="0" fontId="9" fillId="0" borderId="15" xfId="14" applyFont="1" applyBorder="1" applyAlignment="1">
      <alignment vertical="center"/>
    </xf>
    <xf numFmtId="0" fontId="7" fillId="0" borderId="15" xfId="14" applyFont="1" applyBorder="1" applyAlignment="1">
      <alignment horizontal="left" vertical="center"/>
    </xf>
    <xf numFmtId="0" fontId="7" fillId="0" borderId="15" xfId="14" applyFont="1" applyBorder="1" applyAlignment="1">
      <alignment vertical="center"/>
    </xf>
    <xf numFmtId="0" fontId="8" fillId="0" borderId="15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65" fontId="9" fillId="0" borderId="15" xfId="2" applyNumberFormat="1" applyFont="1" applyBorder="1" applyAlignment="1">
      <alignment horizontal="center" vertical="center"/>
    </xf>
    <xf numFmtId="165" fontId="8" fillId="0" borderId="15" xfId="2" applyNumberFormat="1" applyFont="1" applyBorder="1" applyAlignment="1">
      <alignment horizontal="center" vertical="center"/>
    </xf>
    <xf numFmtId="165" fontId="8" fillId="0" borderId="15" xfId="2" applyNumberFormat="1" applyFont="1" applyFill="1" applyBorder="1" applyAlignment="1">
      <alignment horizontal="center" vertical="center"/>
    </xf>
    <xf numFmtId="0" fontId="9" fillId="7" borderId="18" xfId="6" applyFont="1" applyFill="1" applyBorder="1" applyAlignment="1">
      <alignment horizontal="center" vertical="center" wrapText="1"/>
    </xf>
    <xf numFmtId="164" fontId="42" fillId="0" borderId="0" xfId="1" applyNumberFormat="1" applyFont="1" applyAlignment="1">
      <alignment horizontal="left" vertical="center"/>
    </xf>
    <xf numFmtId="164" fontId="43" fillId="8" borderId="15" xfId="8" quotePrefix="1" applyNumberFormat="1" applyFont="1" applyFill="1" applyBorder="1" applyAlignment="1">
      <alignment horizontal="center" vertical="center" wrapText="1"/>
    </xf>
    <xf numFmtId="0" fontId="8" fillId="13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35" fillId="12" borderId="23" xfId="14" applyFont="1" applyFill="1" applyBorder="1" applyAlignment="1">
      <alignment horizontal="center" vertical="center"/>
    </xf>
    <xf numFmtId="0" fontId="9" fillId="7" borderId="2" xfId="0" applyFont="1" applyFill="1" applyBorder="1" applyAlignment="1">
      <alignment vertical="center"/>
    </xf>
    <xf numFmtId="0" fontId="9" fillId="14" borderId="0" xfId="0" applyFont="1" applyFill="1" applyAlignment="1">
      <alignment horizontal="left" vertical="center"/>
    </xf>
    <xf numFmtId="0" fontId="8" fillId="14" borderId="0" xfId="0" applyFont="1" applyFill="1" applyAlignment="1">
      <alignment horizontal="left" vertical="center"/>
    </xf>
    <xf numFmtId="0" fontId="9" fillId="14" borderId="0" xfId="0" applyFont="1" applyFill="1" applyAlignment="1">
      <alignment vertical="center"/>
    </xf>
    <xf numFmtId="167" fontId="8" fillId="13" borderId="24" xfId="1" applyNumberFormat="1" applyFont="1" applyFill="1" applyBorder="1" applyAlignment="1">
      <alignment vertical="center"/>
    </xf>
    <xf numFmtId="0" fontId="9" fillId="0" borderId="2" xfId="0" applyFont="1" applyBorder="1" applyAlignment="1">
      <alignment horizontal="center" vertical="center"/>
    </xf>
    <xf numFmtId="167" fontId="9" fillId="0" borderId="2" xfId="1" applyNumberFormat="1" applyFont="1" applyBorder="1" applyAlignment="1">
      <alignment vertical="center"/>
    </xf>
    <xf numFmtId="0" fontId="8" fillId="13" borderId="0" xfId="0" applyFont="1" applyFill="1" applyAlignment="1">
      <alignment horizontal="left" vertical="center"/>
    </xf>
    <xf numFmtId="0" fontId="8" fillId="13" borderId="25" xfId="0" applyFont="1" applyFill="1" applyBorder="1" applyAlignment="1">
      <alignment horizontal="center" vertical="center"/>
    </xf>
    <xf numFmtId="0" fontId="44" fillId="0" borderId="0" xfId="23" applyFont="1" applyAlignment="1" applyProtection="1">
      <alignment vertical="center"/>
      <protection locked="0"/>
    </xf>
    <xf numFmtId="0" fontId="44" fillId="0" borderId="0" xfId="23" applyFont="1" applyAlignment="1" applyProtection="1">
      <alignment horizontal="center"/>
      <protection locked="0"/>
    </xf>
    <xf numFmtId="0" fontId="44" fillId="0" borderId="0" xfId="23" applyFont="1" applyProtection="1">
      <protection locked="0"/>
    </xf>
    <xf numFmtId="0" fontId="45" fillId="0" borderId="0" xfId="0" applyFont="1" applyAlignment="1">
      <alignment vertical="top"/>
    </xf>
    <xf numFmtId="172" fontId="44" fillId="0" borderId="0" xfId="24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top"/>
    </xf>
    <xf numFmtId="0" fontId="47" fillId="0" borderId="0" xfId="0" applyFont="1" applyAlignment="1">
      <alignment horizontal="left" vertical="top"/>
    </xf>
    <xf numFmtId="0" fontId="48" fillId="0" borderId="0" xfId="0" applyFont="1"/>
    <xf numFmtId="0" fontId="49" fillId="0" borderId="0" xfId="0" applyFont="1"/>
    <xf numFmtId="0" fontId="46" fillId="0" borderId="0" xfId="23" applyFont="1" applyProtection="1">
      <protection locked="0"/>
    </xf>
    <xf numFmtId="0" fontId="49" fillId="0" borderId="0" xfId="25" applyFont="1"/>
    <xf numFmtId="172" fontId="49" fillId="0" borderId="0" xfId="24" applyNumberFormat="1" applyFont="1" applyAlignment="1" applyProtection="1">
      <alignment vertical="center"/>
      <protection locked="0"/>
    </xf>
    <xf numFmtId="0" fontId="50" fillId="0" borderId="0" xfId="23" applyFont="1" applyAlignment="1" applyProtection="1">
      <alignment vertical="center"/>
      <protection locked="0"/>
    </xf>
    <xf numFmtId="0" fontId="50" fillId="0" borderId="0" xfId="23" applyFont="1" applyAlignment="1" applyProtection="1">
      <alignment horizontal="center"/>
      <protection locked="0"/>
    </xf>
    <xf numFmtId="0" fontId="50" fillId="0" borderId="0" xfId="23" applyFont="1" applyProtection="1">
      <protection locked="0"/>
    </xf>
    <xf numFmtId="0" fontId="51" fillId="0" borderId="0" xfId="23" applyFont="1" applyProtection="1">
      <protection locked="0"/>
    </xf>
    <xf numFmtId="0" fontId="50" fillId="0" borderId="0" xfId="0" applyFont="1"/>
    <xf numFmtId="0" fontId="52" fillId="0" borderId="0" xfId="23" applyFont="1" applyProtection="1">
      <protection locked="0"/>
    </xf>
    <xf numFmtId="172" fontId="50" fillId="0" borderId="0" xfId="24" applyNumberFormat="1" applyFont="1" applyAlignment="1" applyProtection="1">
      <alignment vertical="center"/>
      <protection locked="0"/>
    </xf>
    <xf numFmtId="0" fontId="53" fillId="20" borderId="0" xfId="25" applyFont="1" applyFill="1"/>
    <xf numFmtId="0" fontId="50" fillId="20" borderId="0" xfId="25" applyFont="1" applyFill="1"/>
    <xf numFmtId="0" fontId="53" fillId="21" borderId="0" xfId="25" applyFont="1" applyFill="1"/>
    <xf numFmtId="0" fontId="50" fillId="21" borderId="0" xfId="25" applyFont="1" applyFill="1"/>
    <xf numFmtId="0" fontId="54" fillId="22" borderId="17" xfId="14" applyFont="1" applyFill="1" applyBorder="1" applyAlignment="1">
      <alignment horizontal="center" vertical="center"/>
    </xf>
    <xf numFmtId="49" fontId="54" fillId="22" borderId="17" xfId="14" applyNumberFormat="1" applyFont="1" applyFill="1" applyBorder="1" applyAlignment="1">
      <alignment horizontal="center" vertical="center"/>
    </xf>
    <xf numFmtId="0" fontId="54" fillId="23" borderId="17" xfId="14" applyFont="1" applyFill="1" applyBorder="1" applyAlignment="1">
      <alignment horizontal="center" vertical="center" wrapText="1"/>
    </xf>
    <xf numFmtId="0" fontId="55" fillId="24" borderId="15" xfId="25" applyFont="1" applyFill="1" applyBorder="1" applyAlignment="1">
      <alignment wrapText="1"/>
    </xf>
    <xf numFmtId="0" fontId="55" fillId="6" borderId="15" xfId="25" applyFont="1" applyFill="1" applyBorder="1" applyAlignment="1">
      <alignment wrapText="1"/>
    </xf>
    <xf numFmtId="0" fontId="55" fillId="5" borderId="15" xfId="25" quotePrefix="1" applyFont="1" applyFill="1" applyBorder="1" applyAlignment="1">
      <alignment wrapText="1"/>
    </xf>
    <xf numFmtId="0" fontId="55" fillId="25" borderId="17" xfId="14" applyFont="1" applyFill="1" applyBorder="1" applyAlignment="1">
      <alignment horizontal="center" vertical="center"/>
    </xf>
    <xf numFmtId="0" fontId="55" fillId="9" borderId="17" xfId="14" applyFont="1" applyFill="1" applyBorder="1" applyAlignment="1">
      <alignment horizontal="center" vertical="center"/>
    </xf>
    <xf numFmtId="0" fontId="55" fillId="2" borderId="17" xfId="14" applyFont="1" applyFill="1" applyBorder="1" applyAlignment="1">
      <alignment horizontal="center" vertical="center"/>
    </xf>
    <xf numFmtId="0" fontId="55" fillId="12" borderId="17" xfId="14" applyFont="1" applyFill="1" applyBorder="1" applyAlignment="1">
      <alignment horizontal="center" vertical="center"/>
    </xf>
    <xf numFmtId="0" fontId="54" fillId="26" borderId="17" xfId="14" applyFont="1" applyFill="1" applyBorder="1" applyAlignment="1">
      <alignment horizontal="center" vertical="center"/>
    </xf>
    <xf numFmtId="49" fontId="55" fillId="5" borderId="17" xfId="14" applyNumberFormat="1" applyFont="1" applyFill="1" applyBorder="1" applyAlignment="1">
      <alignment horizontal="center" vertical="center"/>
    </xf>
    <xf numFmtId="0" fontId="55" fillId="5" borderId="17" xfId="14" applyFont="1" applyFill="1" applyBorder="1" applyAlignment="1">
      <alignment horizontal="center" vertical="center"/>
    </xf>
    <xf numFmtId="0" fontId="55" fillId="24" borderId="15" xfId="25" applyFont="1" applyFill="1" applyBorder="1" applyAlignment="1">
      <alignment vertical="center" wrapText="1"/>
    </xf>
    <xf numFmtId="0" fontId="55" fillId="6" borderId="15" xfId="25" applyFont="1" applyFill="1" applyBorder="1" applyAlignment="1">
      <alignment vertical="center" wrapText="1"/>
    </xf>
    <xf numFmtId="0" fontId="55" fillId="5" borderId="15" xfId="25" quotePrefix="1" applyFont="1" applyFill="1" applyBorder="1" applyAlignment="1">
      <alignment vertical="center" wrapText="1"/>
    </xf>
    <xf numFmtId="0" fontId="56" fillId="19" borderId="17" xfId="14" applyFont="1" applyFill="1" applyBorder="1" applyAlignment="1">
      <alignment horizontal="left" vertical="center"/>
    </xf>
    <xf numFmtId="0" fontId="56" fillId="19" borderId="17" xfId="14" applyFont="1" applyFill="1" applyBorder="1" applyAlignment="1">
      <alignment horizontal="center" vertical="center"/>
    </xf>
    <xf numFmtId="0" fontId="56" fillId="19" borderId="17" xfId="14" applyFont="1" applyFill="1" applyBorder="1" applyAlignment="1">
      <alignment vertical="center"/>
    </xf>
    <xf numFmtId="0" fontId="55" fillId="19" borderId="17" xfId="14" applyFont="1" applyFill="1" applyBorder="1" applyAlignment="1">
      <alignment horizontal="center" vertical="center"/>
    </xf>
    <xf numFmtId="182" fontId="56" fillId="4" borderId="17" xfId="24" applyNumberFormat="1" applyFont="1" applyFill="1" applyBorder="1" applyAlignment="1" applyProtection="1">
      <alignment vertical="center"/>
    </xf>
    <xf numFmtId="0" fontId="49" fillId="0" borderId="0" xfId="25" applyFont="1" applyAlignment="1">
      <alignment vertical="center"/>
    </xf>
    <xf numFmtId="182" fontId="56" fillId="4" borderId="15" xfId="24" applyNumberFormat="1" applyFont="1" applyFill="1" applyBorder="1" applyAlignment="1" applyProtection="1">
      <alignment vertical="center"/>
    </xf>
    <xf numFmtId="0" fontId="57" fillId="0" borderId="17" xfId="14" applyFont="1" applyBorder="1" applyAlignment="1">
      <alignment horizontal="left" vertical="center"/>
    </xf>
    <xf numFmtId="0" fontId="57" fillId="0" borderId="17" xfId="14" applyFont="1" applyBorder="1" applyAlignment="1">
      <alignment horizontal="center" vertical="center"/>
    </xf>
    <xf numFmtId="0" fontId="57" fillId="0" borderId="17" xfId="14" applyFont="1" applyBorder="1" applyAlignment="1">
      <alignment vertical="center"/>
    </xf>
    <xf numFmtId="182" fontId="49" fillId="0" borderId="17" xfId="24" applyNumberFormat="1" applyFont="1" applyBorder="1" applyAlignment="1" applyProtection="1">
      <alignment vertical="center"/>
    </xf>
    <xf numFmtId="0" fontId="57" fillId="0" borderId="15" xfId="25" applyFont="1" applyBorder="1" applyAlignment="1">
      <alignment vertical="center"/>
    </xf>
    <xf numFmtId="182" fontId="49" fillId="0" borderId="17" xfId="24" applyNumberFormat="1" applyFont="1" applyFill="1" applyBorder="1" applyAlignment="1" applyProtection="1">
      <alignment vertical="center"/>
    </xf>
    <xf numFmtId="0" fontId="49" fillId="0" borderId="15" xfId="25" applyFont="1" applyBorder="1" applyAlignment="1">
      <alignment vertical="center"/>
    </xf>
    <xf numFmtId="0" fontId="56" fillId="4" borderId="17" xfId="14" applyFont="1" applyFill="1" applyBorder="1" applyAlignment="1">
      <alignment vertical="center"/>
    </xf>
    <xf numFmtId="164" fontId="57" fillId="0" borderId="26" xfId="26" applyNumberFormat="1" applyFont="1" applyBorder="1" applyAlignment="1">
      <alignment horizontal="left" vertical="center"/>
    </xf>
    <xf numFmtId="0" fontId="57" fillId="0" borderId="0" xfId="14" applyFont="1" applyAlignment="1">
      <alignment vertical="center"/>
    </xf>
    <xf numFmtId="0" fontId="57" fillId="9" borderId="17" xfId="14" applyFont="1" applyFill="1" applyBorder="1" applyAlignment="1">
      <alignment vertical="center"/>
    </xf>
    <xf numFmtId="0" fontId="57" fillId="27" borderId="17" xfId="14" applyFont="1" applyFill="1" applyBorder="1" applyAlignment="1">
      <alignment vertical="center"/>
    </xf>
    <xf numFmtId="0" fontId="57" fillId="9" borderId="0" xfId="14" applyFont="1" applyFill="1" applyAlignment="1">
      <alignment vertical="center"/>
    </xf>
    <xf numFmtId="0" fontId="57" fillId="0" borderId="26" xfId="26" applyNumberFormat="1" applyFont="1" applyBorder="1" applyAlignment="1">
      <alignment horizontal="left" vertical="center"/>
    </xf>
    <xf numFmtId="0" fontId="56" fillId="19" borderId="17" xfId="23" applyFont="1" applyFill="1" applyBorder="1" applyAlignment="1">
      <alignment horizontal="left" vertical="center"/>
    </xf>
    <xf numFmtId="0" fontId="58" fillId="19" borderId="17" xfId="23" applyFont="1" applyFill="1" applyBorder="1" applyAlignment="1">
      <alignment horizontal="center" vertical="center"/>
    </xf>
    <xf numFmtId="0" fontId="56" fillId="19" borderId="17" xfId="23" applyFont="1" applyFill="1" applyBorder="1" applyAlignment="1">
      <alignment horizontal="center" vertical="center"/>
    </xf>
    <xf numFmtId="0" fontId="56" fillId="4" borderId="17" xfId="23" applyFont="1" applyFill="1" applyBorder="1" applyAlignment="1">
      <alignment vertical="center"/>
    </xf>
    <xf numFmtId="49" fontId="57" fillId="0" borderId="17" xfId="14" applyNumberFormat="1" applyFont="1" applyBorder="1" applyAlignment="1">
      <alignment horizontal="center" vertical="center"/>
    </xf>
    <xf numFmtId="0" fontId="57" fillId="5" borderId="17" xfId="14" applyFont="1" applyFill="1" applyBorder="1" applyAlignment="1">
      <alignment vertical="center"/>
    </xf>
    <xf numFmtId="0" fontId="57" fillId="5" borderId="17" xfId="14" applyFont="1" applyFill="1" applyBorder="1" applyAlignment="1">
      <alignment horizontal="center" vertical="center"/>
    </xf>
    <xf numFmtId="0" fontId="49" fillId="0" borderId="15" xfId="23" applyFont="1" applyBorder="1"/>
    <xf numFmtId="172" fontId="49" fillId="0" borderId="15" xfId="27" applyNumberFormat="1" applyFont="1" applyBorder="1"/>
    <xf numFmtId="0" fontId="59" fillId="28" borderId="17" xfId="14" applyFont="1" applyFill="1" applyBorder="1" applyAlignment="1">
      <alignment vertical="center"/>
    </xf>
    <xf numFmtId="182" fontId="59" fillId="28" borderId="17" xfId="24" applyNumberFormat="1" applyFont="1" applyFill="1" applyBorder="1" applyAlignment="1" applyProtection="1">
      <alignment vertical="center"/>
    </xf>
    <xf numFmtId="0" fontId="57" fillId="5" borderId="27" xfId="14" applyFont="1" applyFill="1" applyBorder="1" applyAlignment="1">
      <alignment horizontal="left" vertical="center"/>
    </xf>
    <xf numFmtId="0" fontId="49" fillId="5" borderId="0" xfId="23" applyFont="1" applyFill="1" applyAlignment="1">
      <alignment horizontal="center" vertical="center"/>
    </xf>
    <xf numFmtId="0" fontId="49" fillId="5" borderId="0" xfId="23" applyFont="1" applyFill="1"/>
    <xf numFmtId="0" fontId="49" fillId="5" borderId="0" xfId="23" applyFont="1" applyFill="1" applyAlignment="1">
      <alignment horizontal="center"/>
    </xf>
    <xf numFmtId="49" fontId="49" fillId="5" borderId="0" xfId="23" applyNumberFormat="1" applyFont="1" applyFill="1" applyAlignment="1">
      <alignment horizontal="center"/>
    </xf>
    <xf numFmtId="172" fontId="49" fillId="5" borderId="0" xfId="24" applyNumberFormat="1" applyFont="1" applyFill="1" applyAlignment="1" applyProtection="1">
      <alignment vertical="center"/>
    </xf>
    <xf numFmtId="183" fontId="49" fillId="5" borderId="0" xfId="26" applyNumberFormat="1" applyFont="1" applyFill="1" applyAlignment="1">
      <alignment vertical="center"/>
    </xf>
    <xf numFmtId="182" fontId="49" fillId="0" borderId="0" xfId="23" applyNumberFormat="1" applyFont="1" applyAlignment="1" applyProtection="1">
      <alignment vertical="center"/>
      <protection locked="0"/>
    </xf>
    <xf numFmtId="0" fontId="60" fillId="0" borderId="15" xfId="14" applyFont="1" applyBorder="1" applyAlignment="1">
      <alignment horizontal="center" vertical="center"/>
    </xf>
    <xf numFmtId="0" fontId="7" fillId="0" borderId="28" xfId="14" applyFont="1" applyBorder="1" applyAlignment="1">
      <alignment vertical="center"/>
    </xf>
    <xf numFmtId="167" fontId="9" fillId="0" borderId="29" xfId="1" applyNumberFormat="1" applyFont="1" applyBorder="1" applyAlignment="1">
      <alignment vertical="center"/>
    </xf>
    <xf numFmtId="0" fontId="5" fillId="12" borderId="15" xfId="14" applyFont="1" applyFill="1" applyBorder="1" applyAlignment="1">
      <alignment horizontal="center" vertical="center"/>
    </xf>
    <xf numFmtId="164" fontId="5" fillId="12" borderId="15" xfId="1" applyNumberFormat="1" applyFont="1" applyFill="1" applyBorder="1" applyAlignment="1">
      <alignment horizontal="center" vertical="center"/>
    </xf>
    <xf numFmtId="0" fontId="34" fillId="15" borderId="15" xfId="0" applyFont="1" applyFill="1" applyBorder="1" applyAlignment="1">
      <alignment horizontal="center" vertical="center" wrapText="1"/>
    </xf>
    <xf numFmtId="167" fontId="8" fillId="13" borderId="15" xfId="1" applyNumberFormat="1" applyFont="1" applyFill="1" applyBorder="1" applyAlignment="1">
      <alignment vertical="center"/>
    </xf>
    <xf numFmtId="167" fontId="8" fillId="14" borderId="15" xfId="1" applyNumberFormat="1" applyFont="1" applyFill="1" applyBorder="1" applyAlignment="1">
      <alignment vertical="center"/>
    </xf>
    <xf numFmtId="0" fontId="9" fillId="0" borderId="30" xfId="0" applyFont="1" applyBorder="1" applyAlignment="1">
      <alignment horizontal="center" vertical="center"/>
    </xf>
    <xf numFmtId="0" fontId="9" fillId="7" borderId="30" xfId="0" applyFont="1" applyFill="1" applyBorder="1" applyAlignment="1">
      <alignment horizontal="left" vertical="center"/>
    </xf>
    <xf numFmtId="0" fontId="9" fillId="7" borderId="30" xfId="0" applyFont="1" applyFill="1" applyBorder="1" applyAlignment="1">
      <alignment vertical="center"/>
    </xf>
    <xf numFmtId="0" fontId="9" fillId="0" borderId="30" xfId="0" applyFont="1" applyBorder="1" applyAlignment="1">
      <alignment horizontal="left"/>
    </xf>
    <xf numFmtId="167" fontId="9" fillId="0" borderId="30" xfId="1" applyNumberFormat="1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9" fillId="7" borderId="31" xfId="0" applyFont="1" applyFill="1" applyBorder="1" applyAlignment="1">
      <alignment horizontal="left" vertical="center"/>
    </xf>
    <xf numFmtId="0" fontId="9" fillId="7" borderId="31" xfId="0" applyFont="1" applyFill="1" applyBorder="1" applyAlignment="1">
      <alignment vertical="center"/>
    </xf>
    <xf numFmtId="0" fontId="9" fillId="0" borderId="31" xfId="0" applyFont="1" applyBorder="1" applyAlignment="1">
      <alignment horizontal="left"/>
    </xf>
    <xf numFmtId="167" fontId="9" fillId="0" borderId="31" xfId="1" applyNumberFormat="1" applyFont="1" applyBorder="1" applyAlignment="1">
      <alignment vertical="center"/>
    </xf>
    <xf numFmtId="0" fontId="9" fillId="0" borderId="32" xfId="0" applyFont="1" applyBorder="1" applyAlignment="1">
      <alignment horizontal="center" vertical="center"/>
    </xf>
    <xf numFmtId="0" fontId="9" fillId="7" borderId="32" xfId="0" applyFont="1" applyFill="1" applyBorder="1" applyAlignment="1">
      <alignment horizontal="left" vertical="center"/>
    </xf>
    <xf numFmtId="0" fontId="9" fillId="7" borderId="32" xfId="0" applyFont="1" applyFill="1" applyBorder="1" applyAlignment="1">
      <alignment vertical="center"/>
    </xf>
    <xf numFmtId="0" fontId="9" fillId="0" borderId="32" xfId="0" applyFont="1" applyBorder="1" applyAlignment="1">
      <alignment horizontal="left"/>
    </xf>
    <xf numFmtId="167" fontId="9" fillId="0" borderId="32" xfId="1" applyNumberFormat="1" applyFont="1" applyBorder="1" applyAlignment="1">
      <alignment vertical="center"/>
    </xf>
    <xf numFmtId="0" fontId="9" fillId="5" borderId="31" xfId="0" applyFont="1" applyFill="1" applyBorder="1" applyAlignment="1">
      <alignment horizontal="left" vertical="center"/>
    </xf>
    <xf numFmtId="0" fontId="9" fillId="0" borderId="30" xfId="0" applyFont="1" applyBorder="1" applyAlignment="1">
      <alignment vertical="center"/>
    </xf>
    <xf numFmtId="164" fontId="9" fillId="0" borderId="30" xfId="1" applyNumberFormat="1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164" fontId="9" fillId="0" borderId="32" xfId="1" applyNumberFormat="1" applyFont="1" applyBorder="1" applyAlignment="1">
      <alignment vertical="center"/>
    </xf>
    <xf numFmtId="0" fontId="9" fillId="0" borderId="30" xfId="0" applyFont="1" applyBorder="1" applyAlignment="1">
      <alignment horizontal="center"/>
    </xf>
    <xf numFmtId="167" fontId="9" fillId="0" borderId="30" xfId="1" applyNumberFormat="1" applyFont="1" applyBorder="1"/>
    <xf numFmtId="167" fontId="8" fillId="0" borderId="30" xfId="1" applyNumberFormat="1" applyFont="1" applyBorder="1"/>
    <xf numFmtId="0" fontId="9" fillId="0" borderId="31" xfId="0" applyFont="1" applyBorder="1" applyAlignment="1">
      <alignment horizontal="center"/>
    </xf>
    <xf numFmtId="167" fontId="9" fillId="0" borderId="31" xfId="1" applyNumberFormat="1" applyFont="1" applyBorder="1"/>
    <xf numFmtId="0" fontId="9" fillId="7" borderId="33" xfId="0" applyFont="1" applyFill="1" applyBorder="1" applyAlignment="1">
      <alignment vertical="center"/>
    </xf>
    <xf numFmtId="0" fontId="9" fillId="0" borderId="32" xfId="0" applyFont="1" applyBorder="1" applyAlignment="1">
      <alignment horizontal="center"/>
    </xf>
    <xf numFmtId="167" fontId="9" fillId="0" borderId="32" xfId="1" applyNumberFormat="1" applyFont="1" applyBorder="1"/>
    <xf numFmtId="164" fontId="8" fillId="0" borderId="0" xfId="1" applyNumberFormat="1" applyFont="1" applyAlignment="1">
      <alignment horizontal="right" vertical="center"/>
    </xf>
    <xf numFmtId="167" fontId="8" fillId="0" borderId="30" xfId="1" applyNumberFormat="1" applyFont="1" applyBorder="1" applyAlignment="1">
      <alignment vertical="center"/>
    </xf>
    <xf numFmtId="167" fontId="8" fillId="0" borderId="31" xfId="1" applyNumberFormat="1" applyFont="1" applyBorder="1" applyAlignment="1">
      <alignment vertical="center"/>
    </xf>
    <xf numFmtId="167" fontId="8" fillId="0" borderId="32" xfId="1" applyNumberFormat="1" applyFont="1" applyBorder="1" applyAlignment="1">
      <alignment vertical="center"/>
    </xf>
    <xf numFmtId="167" fontId="8" fillId="0" borderId="30" xfId="0" applyNumberFormat="1" applyFont="1" applyBorder="1" applyAlignment="1">
      <alignment vertical="center"/>
    </xf>
    <xf numFmtId="167" fontId="8" fillId="0" borderId="32" xfId="0" applyNumberFormat="1" applyFont="1" applyBorder="1" applyAlignment="1">
      <alignment vertical="center"/>
    </xf>
    <xf numFmtId="167" fontId="8" fillId="0" borderId="31" xfId="1" applyNumberFormat="1" applyFont="1" applyBorder="1"/>
    <xf numFmtId="167" fontId="8" fillId="0" borderId="32" xfId="1" applyNumberFormat="1" applyFont="1" applyBorder="1"/>
    <xf numFmtId="0" fontId="9" fillId="0" borderId="0" xfId="0" applyFont="1" applyAlignment="1">
      <alignment horizontal="left"/>
    </xf>
    <xf numFmtId="164" fontId="8" fillId="4" borderId="15" xfId="1" applyNumberFormat="1" applyFont="1" applyFill="1" applyBorder="1" applyAlignment="1">
      <alignment horizontal="left" vertical="center" wrapText="1"/>
    </xf>
    <xf numFmtId="164" fontId="9" fillId="0" borderId="0" xfId="1" applyNumberFormat="1" applyFont="1" applyAlignment="1">
      <alignment horizontal="left"/>
    </xf>
    <xf numFmtId="164" fontId="8" fillId="4" borderId="15" xfId="1" applyNumberFormat="1" applyFont="1" applyFill="1" applyBorder="1" applyAlignment="1">
      <alignment vertical="center" wrapText="1"/>
    </xf>
    <xf numFmtId="0" fontId="8" fillId="13" borderId="2" xfId="0" applyFont="1" applyFill="1" applyBorder="1" applyAlignment="1">
      <alignment vertical="center"/>
    </xf>
    <xf numFmtId="0" fontId="9" fillId="0" borderId="30" xfId="0" applyFont="1" applyBorder="1"/>
    <xf numFmtId="0" fontId="9" fillId="0" borderId="31" xfId="0" applyFont="1" applyBorder="1"/>
    <xf numFmtId="0" fontId="9" fillId="0" borderId="32" xfId="0" applyFont="1" applyBorder="1"/>
    <xf numFmtId="0" fontId="8" fillId="14" borderId="0" xfId="0" applyFont="1" applyFill="1" applyAlignment="1">
      <alignment vertical="center"/>
    </xf>
    <xf numFmtId="0" fontId="8" fillId="13" borderId="0" xfId="0" applyFont="1" applyFill="1" applyAlignment="1">
      <alignment vertical="center"/>
    </xf>
    <xf numFmtId="0" fontId="9" fillId="7" borderId="30" xfId="6" applyFont="1" applyFill="1" applyBorder="1" applyAlignment="1">
      <alignment horizontal="center" vertical="center" wrapText="1"/>
    </xf>
    <xf numFmtId="0" fontId="9" fillId="7" borderId="30" xfId="6" applyFont="1" applyFill="1" applyBorder="1" applyAlignment="1">
      <alignment horizontal="left" vertical="center" wrapText="1"/>
    </xf>
    <xf numFmtId="168" fontId="8" fillId="7" borderId="30" xfId="8" quotePrefix="1" applyNumberFormat="1" applyFont="1" applyFill="1" applyBorder="1" applyAlignment="1">
      <alignment horizontal="right" vertical="center" wrapText="1"/>
    </xf>
    <xf numFmtId="168" fontId="9" fillId="7" borderId="30" xfId="8" quotePrefix="1" applyNumberFormat="1" applyFont="1" applyFill="1" applyBorder="1" applyAlignment="1">
      <alignment horizontal="right" vertical="center" wrapText="1"/>
    </xf>
    <xf numFmtId="0" fontId="9" fillId="7" borderId="31" xfId="6" applyFont="1" applyFill="1" applyBorder="1" applyAlignment="1">
      <alignment horizontal="center" vertical="center" wrapText="1"/>
    </xf>
    <xf numFmtId="0" fontId="9" fillId="7" borderId="31" xfId="6" applyFont="1" applyFill="1" applyBorder="1" applyAlignment="1">
      <alignment horizontal="left" vertical="center" wrapText="1"/>
    </xf>
    <xf numFmtId="168" fontId="8" fillId="7" borderId="31" xfId="8" quotePrefix="1" applyNumberFormat="1" applyFont="1" applyFill="1" applyBorder="1" applyAlignment="1">
      <alignment horizontal="right" vertical="center" wrapText="1"/>
    </xf>
    <xf numFmtId="168" fontId="9" fillId="7" borderId="31" xfId="8" quotePrefix="1" applyNumberFormat="1" applyFont="1" applyFill="1" applyBorder="1" applyAlignment="1">
      <alignment horizontal="right" vertical="center" wrapText="1"/>
    </xf>
    <xf numFmtId="0" fontId="9" fillId="7" borderId="32" xfId="6" applyFont="1" applyFill="1" applyBorder="1" applyAlignment="1">
      <alignment horizontal="center" vertical="center" wrapText="1"/>
    </xf>
    <xf numFmtId="0" fontId="9" fillId="7" borderId="32" xfId="6" applyFont="1" applyFill="1" applyBorder="1" applyAlignment="1">
      <alignment horizontal="left" vertical="center" wrapText="1"/>
    </xf>
    <xf numFmtId="168" fontId="8" fillId="7" borderId="32" xfId="8" quotePrefix="1" applyNumberFormat="1" applyFont="1" applyFill="1" applyBorder="1" applyAlignment="1">
      <alignment horizontal="right" vertical="center" wrapText="1"/>
    </xf>
    <xf numFmtId="168" fontId="9" fillId="7" borderId="32" xfId="8" quotePrefix="1" applyNumberFormat="1" applyFont="1" applyFill="1" applyBorder="1" applyAlignment="1">
      <alignment horizontal="right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vertical="center" wrapText="1"/>
    </xf>
    <xf numFmtId="165" fontId="9" fillId="0" borderId="30" xfId="2" applyNumberFormat="1" applyFont="1" applyBorder="1" applyAlignment="1">
      <alignment vertical="center"/>
    </xf>
    <xf numFmtId="0" fontId="9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165" fontId="9" fillId="0" borderId="31" xfId="2" applyNumberFormat="1" applyFont="1" applyBorder="1" applyAlignment="1">
      <alignment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2" xfId="0" applyFont="1" applyBorder="1" applyAlignment="1">
      <alignment vertical="center" wrapText="1"/>
    </xf>
    <xf numFmtId="165" fontId="9" fillId="0" borderId="32" xfId="2" applyNumberFormat="1" applyFont="1" applyBorder="1" applyAlignment="1">
      <alignment vertical="center"/>
    </xf>
    <xf numFmtId="178" fontId="9" fillId="7" borderId="30" xfId="8" quotePrefix="1" applyNumberFormat="1" applyFont="1" applyFill="1" applyBorder="1" applyAlignment="1">
      <alignment horizontal="right" vertical="center" wrapText="1"/>
    </xf>
    <xf numFmtId="178" fontId="8" fillId="7" borderId="30" xfId="8" quotePrefix="1" applyNumberFormat="1" applyFont="1" applyFill="1" applyBorder="1" applyAlignment="1">
      <alignment horizontal="right" vertical="center" wrapText="1"/>
    </xf>
    <xf numFmtId="178" fontId="9" fillId="7" borderId="31" xfId="8" quotePrefix="1" applyNumberFormat="1" applyFont="1" applyFill="1" applyBorder="1" applyAlignment="1">
      <alignment horizontal="right" vertical="center" wrapText="1"/>
    </xf>
    <xf numFmtId="180" fontId="8" fillId="7" borderId="31" xfId="8" quotePrefix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0" borderId="30" xfId="0" applyFont="1" applyBorder="1" applyAlignment="1">
      <alignment vertical="center"/>
    </xf>
    <xf numFmtId="168" fontId="9" fillId="0" borderId="30" xfId="0" applyNumberFormat="1" applyFont="1" applyBorder="1" applyAlignment="1">
      <alignment vertical="center"/>
    </xf>
    <xf numFmtId="168" fontId="8" fillId="0" borderId="30" xfId="0" applyNumberFormat="1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168" fontId="9" fillId="0" borderId="31" xfId="0" applyNumberFormat="1" applyFont="1" applyBorder="1" applyAlignment="1">
      <alignment vertical="center"/>
    </xf>
    <xf numFmtId="168" fontId="8" fillId="0" borderId="31" xfId="0" applyNumberFormat="1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168" fontId="9" fillId="0" borderId="32" xfId="0" applyNumberFormat="1" applyFont="1" applyBorder="1" applyAlignment="1">
      <alignment vertical="center"/>
    </xf>
    <xf numFmtId="168" fontId="8" fillId="0" borderId="32" xfId="0" applyNumberFormat="1" applyFont="1" applyBorder="1" applyAlignment="1">
      <alignment vertical="center"/>
    </xf>
    <xf numFmtId="167" fontId="8" fillId="0" borderId="31" xfId="0" applyNumberFormat="1" applyFont="1" applyBorder="1" applyAlignment="1">
      <alignment vertical="center"/>
    </xf>
    <xf numFmtId="181" fontId="8" fillId="0" borderId="31" xfId="0" applyNumberFormat="1" applyFont="1" applyBorder="1" applyAlignment="1">
      <alignment vertical="center"/>
    </xf>
    <xf numFmtId="167" fontId="9" fillId="0" borderId="31" xfId="0" applyNumberFormat="1" applyFont="1" applyBorder="1" applyAlignment="1">
      <alignment vertical="center"/>
    </xf>
    <xf numFmtId="164" fontId="8" fillId="0" borderId="32" xfId="1" applyNumberFormat="1" applyFont="1" applyBorder="1" applyAlignment="1">
      <alignment vertical="center"/>
    </xf>
    <xf numFmtId="0" fontId="8" fillId="13" borderId="1" xfId="0" applyFont="1" applyFill="1" applyBorder="1" applyAlignment="1">
      <alignment horizontal="left" vertical="center"/>
    </xf>
    <xf numFmtId="0" fontId="9" fillId="7" borderId="35" xfId="0" applyFont="1" applyFill="1" applyBorder="1" applyAlignment="1">
      <alignment vertical="center"/>
    </xf>
    <xf numFmtId="0" fontId="9" fillId="0" borderId="35" xfId="0" applyFont="1" applyBorder="1" applyAlignment="1">
      <alignment horizontal="left"/>
    </xf>
    <xf numFmtId="0" fontId="8" fillId="13" borderId="36" xfId="0" applyFont="1" applyFill="1" applyBorder="1" applyAlignment="1">
      <alignment horizontal="center" vertical="center"/>
    </xf>
    <xf numFmtId="0" fontId="8" fillId="13" borderId="36" xfId="0" applyFont="1" applyFill="1" applyBorder="1" applyAlignment="1">
      <alignment horizontal="left" vertical="center"/>
    </xf>
    <xf numFmtId="0" fontId="13" fillId="13" borderId="34" xfId="0" applyFont="1" applyFill="1" applyBorder="1" applyAlignment="1">
      <alignment horizontal="left" vertical="center"/>
    </xf>
    <xf numFmtId="0" fontId="8" fillId="4" borderId="36" xfId="0" applyFont="1" applyFill="1" applyBorder="1" applyAlignment="1">
      <alignment horizontal="left" vertical="center"/>
    </xf>
    <xf numFmtId="0" fontId="13" fillId="4" borderId="34" xfId="0" applyFont="1" applyFill="1" applyBorder="1" applyAlignment="1">
      <alignment horizontal="left" vertical="center"/>
    </xf>
    <xf numFmtId="0" fontId="9" fillId="13" borderId="36" xfId="0" applyFont="1" applyFill="1" applyBorder="1" applyAlignment="1">
      <alignment horizontal="left" vertical="center"/>
    </xf>
    <xf numFmtId="0" fontId="9" fillId="13" borderId="36" xfId="0" applyFont="1" applyFill="1" applyBorder="1" applyAlignment="1">
      <alignment vertical="center"/>
    </xf>
    <xf numFmtId="164" fontId="8" fillId="0" borderId="30" xfId="1" applyNumberFormat="1" applyFont="1" applyBorder="1" applyAlignment="1">
      <alignment vertical="center"/>
    </xf>
    <xf numFmtId="164" fontId="9" fillId="0" borderId="31" xfId="1" applyNumberFormat="1" applyFont="1" applyBorder="1" applyAlignment="1">
      <alignment vertical="center"/>
    </xf>
    <xf numFmtId="164" fontId="8" fillId="13" borderId="15" xfId="1" applyNumberFormat="1" applyFont="1" applyFill="1" applyBorder="1" applyAlignment="1">
      <alignment vertical="center"/>
    </xf>
    <xf numFmtId="164" fontId="8" fillId="13" borderId="24" xfId="1" applyNumberFormat="1" applyFont="1" applyFill="1" applyBorder="1" applyAlignment="1">
      <alignment vertical="center"/>
    </xf>
    <xf numFmtId="0" fontId="9" fillId="0" borderId="37" xfId="0" applyFont="1" applyBorder="1"/>
    <xf numFmtId="164" fontId="9" fillId="0" borderId="38" xfId="1" applyNumberFormat="1" applyFont="1" applyBorder="1" applyAlignment="1">
      <alignment vertical="center"/>
    </xf>
    <xf numFmtId="164" fontId="9" fillId="0" borderId="39" xfId="1" applyNumberFormat="1" applyFont="1" applyBorder="1" applyAlignment="1">
      <alignment vertical="center"/>
    </xf>
    <xf numFmtId="164" fontId="9" fillId="0" borderId="40" xfId="1" applyNumberFormat="1" applyFont="1" applyBorder="1" applyAlignment="1">
      <alignment vertical="center"/>
    </xf>
    <xf numFmtId="164" fontId="9" fillId="0" borderId="30" xfId="1" applyNumberFormat="1" applyFont="1" applyBorder="1"/>
    <xf numFmtId="164" fontId="9" fillId="0" borderId="31" xfId="1" applyNumberFormat="1" applyFont="1" applyBorder="1"/>
    <xf numFmtId="164" fontId="9" fillId="0" borderId="32" xfId="1" applyNumberFormat="1" applyFont="1" applyBorder="1"/>
    <xf numFmtId="0" fontId="5" fillId="4" borderId="1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36" xfId="0" applyFont="1" applyFill="1" applyBorder="1" applyAlignment="1">
      <alignment horizontal="center" vertical="center"/>
    </xf>
    <xf numFmtId="0" fontId="55" fillId="2" borderId="15" xfId="14" applyFont="1" applyFill="1" applyBorder="1" applyAlignment="1">
      <alignment horizontal="center" vertical="center" wrapText="1"/>
    </xf>
    <xf numFmtId="0" fontId="5" fillId="12" borderId="23" xfId="14" applyFont="1" applyFill="1" applyBorder="1" applyAlignment="1">
      <alignment horizontal="center" vertical="center"/>
    </xf>
    <xf numFmtId="164" fontId="61" fillId="0" borderId="0" xfId="1" applyNumberFormat="1" applyFont="1"/>
    <xf numFmtId="167" fontId="9" fillId="8" borderId="30" xfId="8" quotePrefix="1" applyNumberFormat="1" applyFont="1" applyFill="1" applyBorder="1" applyAlignment="1">
      <alignment horizontal="center" vertical="center" wrapText="1"/>
    </xf>
    <xf numFmtId="167" fontId="9" fillId="8" borderId="31" xfId="8" quotePrefix="1" applyNumberFormat="1" applyFont="1" applyFill="1" applyBorder="1" applyAlignment="1">
      <alignment horizontal="center" vertical="center" wrapText="1"/>
    </xf>
    <xf numFmtId="164" fontId="9" fillId="0" borderId="2" xfId="1" applyNumberFormat="1" applyFont="1" applyBorder="1" applyAlignment="1">
      <alignment vertical="center"/>
    </xf>
    <xf numFmtId="167" fontId="8" fillId="0" borderId="2" xfId="0" applyNumberFormat="1" applyFont="1" applyBorder="1" applyAlignment="1">
      <alignment vertical="center"/>
    </xf>
    <xf numFmtId="164" fontId="55" fillId="4" borderId="15" xfId="0" applyNumberFormat="1" applyFont="1" applyFill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9" fillId="0" borderId="4" xfId="14" applyFont="1" applyBorder="1" applyAlignment="1">
      <alignment vertical="center"/>
    </xf>
    <xf numFmtId="0" fontId="9" fillId="0" borderId="22" xfId="14" applyFont="1" applyBorder="1" applyAlignment="1">
      <alignment vertical="center"/>
    </xf>
    <xf numFmtId="0" fontId="6" fillId="0" borderId="29" xfId="20" applyFont="1" applyBorder="1" applyAlignment="1">
      <alignment horizontal="center"/>
    </xf>
    <xf numFmtId="0" fontId="9" fillId="0" borderId="29" xfId="14" applyFont="1" applyBorder="1" applyAlignment="1">
      <alignment vertical="center"/>
    </xf>
    <xf numFmtId="0" fontId="6" fillId="0" borderId="29" xfId="20" applyFont="1" applyBorder="1"/>
    <xf numFmtId="0" fontId="7" fillId="0" borderId="28" xfId="14" applyFont="1" applyBorder="1" applyAlignment="1">
      <alignment horizontal="center" vertical="center"/>
    </xf>
    <xf numFmtId="0" fontId="7" fillId="0" borderId="28" xfId="14" applyFont="1" applyBorder="1" applyAlignment="1">
      <alignment horizontal="left" vertical="center"/>
    </xf>
    <xf numFmtId="0" fontId="34" fillId="15" borderId="15" xfId="20" applyFont="1" applyFill="1" applyBorder="1" applyAlignment="1">
      <alignment horizontal="center" vertical="center" wrapText="1"/>
    </xf>
    <xf numFmtId="0" fontId="5" fillId="18" borderId="15" xfId="20" applyFont="1" applyFill="1" applyBorder="1" applyAlignment="1">
      <alignment horizontal="center" vertical="center" wrapText="1"/>
    </xf>
    <xf numFmtId="2" fontId="34" fillId="15" borderId="15" xfId="20" applyNumberFormat="1" applyFont="1" applyFill="1" applyBorder="1" applyAlignment="1">
      <alignment horizontal="center" vertical="center" wrapText="1"/>
    </xf>
    <xf numFmtId="0" fontId="5" fillId="2" borderId="15" xfId="14" applyFont="1" applyFill="1" applyBorder="1" applyAlignment="1">
      <alignment horizontal="center" vertical="center" wrapText="1"/>
    </xf>
    <xf numFmtId="164" fontId="34" fillId="15" borderId="15" xfId="1" applyNumberFormat="1" applyFont="1" applyFill="1" applyBorder="1" applyAlignment="1">
      <alignment horizontal="center" vertical="center" wrapText="1"/>
    </xf>
    <xf numFmtId="164" fontId="5" fillId="12" borderId="15" xfId="1" applyNumberFormat="1" applyFont="1" applyFill="1" applyBorder="1" applyAlignment="1">
      <alignment horizontal="center" vertical="center" wrapText="1"/>
    </xf>
    <xf numFmtId="0" fontId="5" fillId="16" borderId="15" xfId="20" applyFont="1" applyFill="1" applyBorder="1" applyAlignment="1">
      <alignment horizontal="center" vertical="center" wrapText="1"/>
    </xf>
    <xf numFmtId="0" fontId="5" fillId="17" borderId="15" xfId="20" applyFont="1" applyFill="1" applyBorder="1" applyAlignment="1">
      <alignment horizontal="center" vertical="center" wrapText="1"/>
    </xf>
    <xf numFmtId="0" fontId="5" fillId="0" borderId="4" xfId="20" applyFont="1" applyBorder="1" applyAlignment="1">
      <alignment horizontal="center"/>
    </xf>
    <xf numFmtId="0" fontId="8" fillId="0" borderId="4" xfId="14" applyFont="1" applyBorder="1" applyAlignment="1">
      <alignment vertical="center"/>
    </xf>
    <xf numFmtId="0" fontId="5" fillId="0" borderId="4" xfId="20" applyFont="1" applyBorder="1"/>
    <xf numFmtId="0" fontId="60" fillId="0" borderId="17" xfId="14" applyFont="1" applyBorder="1" applyAlignment="1">
      <alignment horizontal="center" vertical="center"/>
    </xf>
    <xf numFmtId="0" fontId="60" fillId="0" borderId="17" xfId="14" applyFont="1" applyBorder="1" applyAlignment="1">
      <alignment horizontal="left" vertical="center"/>
    </xf>
    <xf numFmtId="0" fontId="60" fillId="0" borderId="17" xfId="14" applyFont="1" applyBorder="1" applyAlignment="1">
      <alignment vertical="center"/>
    </xf>
    <xf numFmtId="164" fontId="60" fillId="0" borderId="4" xfId="1" applyNumberFormat="1" applyFont="1" applyBorder="1" applyAlignment="1">
      <alignment vertical="center"/>
    </xf>
    <xf numFmtId="0" fontId="5" fillId="0" borderId="29" xfId="20" applyFont="1" applyBorder="1" applyAlignment="1">
      <alignment horizontal="center"/>
    </xf>
    <xf numFmtId="0" fontId="62" fillId="29" borderId="0" xfId="20" applyFont="1" applyFill="1"/>
    <xf numFmtId="0" fontId="33" fillId="0" borderId="0" xfId="20"/>
    <xf numFmtId="0" fontId="33" fillId="6" borderId="0" xfId="20" applyFill="1"/>
    <xf numFmtId="9" fontId="33" fillId="0" borderId="0" xfId="20" applyNumberFormat="1"/>
    <xf numFmtId="0" fontId="63" fillId="0" borderId="0" xfId="20" applyFont="1"/>
    <xf numFmtId="0" fontId="28" fillId="0" borderId="0" xfId="20" applyFont="1" applyAlignment="1">
      <alignment horizontal="center" wrapText="1"/>
    </xf>
    <xf numFmtId="171" fontId="9" fillId="0" borderId="0" xfId="1" applyNumberFormat="1" applyFont="1" applyFill="1" applyBorder="1" applyAlignment="1" applyProtection="1">
      <alignment vertical="center"/>
    </xf>
    <xf numFmtId="10" fontId="9" fillId="0" borderId="0" xfId="2" applyNumberFormat="1" applyFont="1" applyAlignment="1">
      <alignment vertical="center"/>
    </xf>
    <xf numFmtId="184" fontId="9" fillId="0" borderId="15" xfId="1" applyNumberFormat="1" applyFont="1" applyBorder="1" applyAlignment="1">
      <alignment vertical="center"/>
    </xf>
    <xf numFmtId="167" fontId="8" fillId="0" borderId="0" xfId="0" applyNumberFormat="1" applyFont="1" applyAlignment="1">
      <alignment vertical="center"/>
    </xf>
    <xf numFmtId="185" fontId="20" fillId="0" borderId="13" xfId="2" applyNumberFormat="1" applyFont="1" applyFill="1" applyBorder="1" applyAlignment="1" applyProtection="1">
      <alignment vertical="center"/>
    </xf>
    <xf numFmtId="164" fontId="8" fillId="0" borderId="0" xfId="2" applyNumberFormat="1" applyFont="1" applyAlignment="1">
      <alignment horizontal="center" vertical="center" wrapText="1"/>
    </xf>
    <xf numFmtId="164" fontId="8" fillId="0" borderId="0" xfId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36" fillId="0" borderId="0" xfId="0" applyFont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164" fontId="64" fillId="0" borderId="15" xfId="1" quotePrefix="1" applyNumberFormat="1" applyFont="1" applyFill="1" applyBorder="1" applyAlignment="1">
      <alignment horizontal="center" vertical="center" wrapText="1"/>
    </xf>
    <xf numFmtId="0" fontId="49" fillId="0" borderId="15" xfId="0" applyFont="1" applyBorder="1" applyAlignment="1">
      <alignment vertical="center"/>
    </xf>
    <xf numFmtId="164" fontId="19" fillId="0" borderId="15" xfId="1" applyNumberFormat="1" applyFont="1" applyBorder="1" applyAlignment="1">
      <alignment vertical="center"/>
    </xf>
    <xf numFmtId="9" fontId="49" fillId="0" borderId="15" xfId="2" applyFont="1" applyBorder="1" applyAlignment="1">
      <alignment vertical="center"/>
    </xf>
    <xf numFmtId="164" fontId="49" fillId="0" borderId="15" xfId="1" applyNumberFormat="1" applyFont="1" applyBorder="1" applyAlignment="1">
      <alignment vertical="center"/>
    </xf>
    <xf numFmtId="164" fontId="6" fillId="0" borderId="15" xfId="1" applyNumberFormat="1" applyFont="1" applyBorder="1" applyAlignment="1">
      <alignment vertical="center"/>
    </xf>
    <xf numFmtId="164" fontId="65" fillId="0" borderId="15" xfId="29" applyNumberFormat="1" applyFont="1" applyFill="1" applyBorder="1" applyAlignment="1">
      <alignment vertical="center"/>
    </xf>
    <xf numFmtId="164" fontId="6" fillId="0" borderId="29" xfId="29" applyNumberFormat="1" applyFont="1" applyFill="1" applyBorder="1" applyAlignment="1">
      <alignment horizontal="left" vertical="center"/>
    </xf>
    <xf numFmtId="164" fontId="6" fillId="0" borderId="4" xfId="29" applyNumberFormat="1" applyFont="1" applyFill="1" applyBorder="1" applyAlignment="1">
      <alignment horizontal="left" vertical="center"/>
    </xf>
    <xf numFmtId="164" fontId="6" fillId="0" borderId="5" xfId="29" applyNumberFormat="1" applyFont="1" applyFill="1" applyBorder="1" applyAlignment="1">
      <alignment horizontal="left" vertical="center"/>
    </xf>
    <xf numFmtId="164" fontId="6" fillId="0" borderId="3" xfId="29" applyNumberFormat="1" applyFont="1" applyFill="1" applyBorder="1" applyAlignment="1">
      <alignment vertical="center"/>
    </xf>
    <xf numFmtId="164" fontId="6" fillId="0" borderId="4" xfId="29" applyNumberFormat="1" applyFont="1" applyFill="1" applyBorder="1" applyAlignment="1">
      <alignment vertical="center"/>
    </xf>
    <xf numFmtId="164" fontId="6" fillId="0" borderId="5" xfId="29" applyNumberFormat="1" applyFont="1" applyFill="1" applyBorder="1" applyAlignment="1">
      <alignment vertical="center"/>
    </xf>
    <xf numFmtId="164" fontId="6" fillId="0" borderId="15" xfId="29" applyNumberFormat="1" applyFont="1" applyFill="1" applyBorder="1" applyAlignment="1">
      <alignment horizontal="left" vertical="center"/>
    </xf>
    <xf numFmtId="164" fontId="8" fillId="0" borderId="0" xfId="1" applyNumberFormat="1" applyFont="1"/>
    <xf numFmtId="0" fontId="8" fillId="11" borderId="15" xfId="6" applyFont="1" applyFill="1" applyBorder="1" applyAlignment="1">
      <alignment horizontal="center" vertical="center" wrapText="1"/>
    </xf>
    <xf numFmtId="168" fontId="9" fillId="0" borderId="0" xfId="1" applyNumberFormat="1" applyFont="1" applyAlignment="1">
      <alignment vertical="center" wrapText="1"/>
    </xf>
    <xf numFmtId="171" fontId="9" fillId="0" borderId="0" xfId="1" applyNumberFormat="1" applyFont="1" applyAlignment="1">
      <alignment vertical="center" wrapText="1"/>
    </xf>
    <xf numFmtId="171" fontId="9" fillId="0" borderId="0" xfId="1" applyNumberFormat="1" applyFont="1" applyFill="1" applyAlignment="1">
      <alignment vertical="center" wrapText="1"/>
    </xf>
    <xf numFmtId="0" fontId="5" fillId="0" borderId="15" xfId="28" applyFont="1" applyBorder="1" applyAlignment="1">
      <alignment horizontal="center" vertical="center"/>
    </xf>
    <xf numFmtId="0" fontId="6" fillId="0" borderId="15" xfId="28" applyFont="1" applyBorder="1" applyAlignment="1">
      <alignment horizontal="center" vertical="center" wrapText="1"/>
    </xf>
    <xf numFmtId="0" fontId="6" fillId="5" borderId="15" xfId="28" applyFont="1" applyFill="1" applyBorder="1" applyAlignment="1">
      <alignment horizontal="left" vertical="center" wrapText="1"/>
    </xf>
    <xf numFmtId="0" fontId="6" fillId="0" borderId="15" xfId="28" applyFont="1" applyBorder="1" applyAlignment="1">
      <alignment horizontal="left" vertical="center" wrapText="1"/>
    </xf>
    <xf numFmtId="0" fontId="6" fillId="26" borderId="15" xfId="28" applyFont="1" applyFill="1" applyBorder="1" applyAlignment="1">
      <alignment horizontal="left" vertical="center" wrapText="1"/>
    </xf>
    <xf numFmtId="0" fontId="6" fillId="6" borderId="15" xfId="28" applyFont="1" applyFill="1" applyBorder="1" applyAlignment="1">
      <alignment horizontal="left" vertical="center" wrapText="1"/>
    </xf>
    <xf numFmtId="0" fontId="6" fillId="30" borderId="15" xfId="28" applyFont="1" applyFill="1" applyBorder="1" applyAlignment="1">
      <alignment horizontal="left" vertical="center" wrapText="1"/>
    </xf>
    <xf numFmtId="0" fontId="6" fillId="31" borderId="15" xfId="28" applyFont="1" applyFill="1" applyBorder="1" applyAlignment="1">
      <alignment horizontal="left" vertical="center" wrapText="1"/>
    </xf>
    <xf numFmtId="0" fontId="6" fillId="0" borderId="0" xfId="28" applyFont="1" applyAlignment="1">
      <alignment horizontal="left" vertical="center" wrapText="1"/>
    </xf>
    <xf numFmtId="0" fontId="6" fillId="0" borderId="0" xfId="28" applyFont="1" applyAlignment="1">
      <alignment vertical="center" wrapText="1"/>
    </xf>
    <xf numFmtId="0" fontId="66" fillId="0" borderId="0" xfId="0" applyFont="1" applyAlignment="1">
      <alignment horizontal="left" vertical="center"/>
    </xf>
    <xf numFmtId="0" fontId="5" fillId="0" borderId="15" xfId="28" applyFont="1" applyBorder="1" applyAlignment="1">
      <alignment horizontal="center" vertical="center" wrapText="1"/>
    </xf>
    <xf numFmtId="0" fontId="6" fillId="0" borderId="15" xfId="28" applyFont="1" applyBorder="1" applyAlignment="1">
      <alignment horizontal="center" vertical="center"/>
    </xf>
    <xf numFmtId="0" fontId="6" fillId="0" borderId="15" xfId="28" applyFont="1" applyBorder="1" applyAlignment="1">
      <alignment horizontal="left" vertical="center"/>
    </xf>
    <xf numFmtId="0" fontId="6" fillId="0" borderId="15" xfId="28" applyFont="1" applyBorder="1" applyAlignment="1">
      <alignment vertical="center" wrapText="1"/>
    </xf>
    <xf numFmtId="14" fontId="6" fillId="0" borderId="15" xfId="28" applyNumberFormat="1" applyFont="1" applyBorder="1" applyAlignment="1">
      <alignment horizontal="center" vertical="center"/>
    </xf>
    <xf numFmtId="0" fontId="6" fillId="32" borderId="15" xfId="28" applyFont="1" applyFill="1" applyBorder="1" applyAlignment="1">
      <alignment horizontal="left" vertical="center" wrapText="1"/>
    </xf>
    <xf numFmtId="187" fontId="68" fillId="0" borderId="0" xfId="30" applyFont="1" applyAlignment="1">
      <alignment vertical="center"/>
    </xf>
    <xf numFmtId="187" fontId="69" fillId="0" borderId="0" xfId="30" applyFont="1" applyAlignment="1">
      <alignment vertical="center"/>
    </xf>
    <xf numFmtId="187" fontId="68" fillId="0" borderId="0" xfId="30" applyFont="1" applyAlignment="1">
      <alignment horizontal="left" vertical="center"/>
    </xf>
    <xf numFmtId="14" fontId="42" fillId="0" borderId="0" xfId="30" applyNumberFormat="1" applyFont="1" applyAlignment="1">
      <alignment horizontal="left" vertical="center"/>
    </xf>
    <xf numFmtId="14" fontId="42" fillId="0" borderId="0" xfId="30" applyNumberFormat="1" applyFont="1" applyAlignment="1">
      <alignment horizontal="center" vertical="center"/>
    </xf>
    <xf numFmtId="188" fontId="42" fillId="0" borderId="41" xfId="30" applyNumberFormat="1" applyFont="1" applyBorder="1" applyAlignment="1">
      <alignment vertical="center"/>
    </xf>
    <xf numFmtId="14" fontId="68" fillId="0" borderId="0" xfId="30" applyNumberFormat="1" applyFont="1" applyAlignment="1">
      <alignment horizontal="left" vertical="center"/>
    </xf>
    <xf numFmtId="14" fontId="68" fillId="0" borderId="0" xfId="30" applyNumberFormat="1" applyFont="1" applyAlignment="1">
      <alignment horizontal="center" vertical="center"/>
    </xf>
    <xf numFmtId="189" fontId="42" fillId="0" borderId="0" xfId="30" applyNumberFormat="1" applyFont="1" applyAlignment="1">
      <alignment horizontal="center" vertical="center"/>
    </xf>
    <xf numFmtId="187" fontId="68" fillId="0" borderId="18" xfId="30" applyFont="1" applyBorder="1" applyAlignment="1">
      <alignment horizontal="center" vertical="center"/>
    </xf>
    <xf numFmtId="187" fontId="68" fillId="0" borderId="42" xfId="30" applyFont="1" applyBorder="1" applyAlignment="1">
      <alignment horizontal="center" vertical="center"/>
    </xf>
    <xf numFmtId="187" fontId="68" fillId="0" borderId="18" xfId="30" applyFont="1" applyBorder="1" applyAlignment="1">
      <alignment horizontal="center" vertical="center" wrapText="1"/>
    </xf>
    <xf numFmtId="187" fontId="68" fillId="0" borderId="14" xfId="30" applyFont="1" applyBorder="1" applyAlignment="1">
      <alignment horizontal="center" vertical="center"/>
    </xf>
    <xf numFmtId="187" fontId="68" fillId="0" borderId="0" xfId="30" applyFont="1" applyAlignment="1">
      <alignment horizontal="center" vertical="center"/>
    </xf>
    <xf numFmtId="187" fontId="68" fillId="0" borderId="14" xfId="30" applyFont="1" applyBorder="1" applyAlignment="1">
      <alignment horizontal="center" vertical="center" wrapText="1"/>
    </xf>
    <xf numFmtId="187" fontId="42" fillId="0" borderId="43" xfId="30" applyFont="1" applyBorder="1" applyAlignment="1">
      <alignment horizontal="center" vertical="center" wrapText="1"/>
    </xf>
    <xf numFmtId="187" fontId="42" fillId="0" borderId="44" xfId="30" applyFont="1" applyBorder="1" applyAlignment="1">
      <alignment horizontal="center" vertical="center" wrapText="1"/>
    </xf>
    <xf numFmtId="187" fontId="42" fillId="0" borderId="45" xfId="30" applyFont="1" applyBorder="1" applyAlignment="1">
      <alignment horizontal="center" vertical="center" wrapText="1"/>
    </xf>
    <xf numFmtId="187" fontId="42" fillId="0" borderId="43" xfId="30" applyFont="1" applyBorder="1" applyAlignment="1">
      <alignment horizontal="center" vertical="center"/>
    </xf>
    <xf numFmtId="187" fontId="42" fillId="0" borderId="44" xfId="30" applyFont="1" applyBorder="1" applyAlignment="1">
      <alignment horizontal="center" vertical="center"/>
    </xf>
    <xf numFmtId="187" fontId="68" fillId="0" borderId="44" xfId="30" applyFont="1" applyBorder="1" applyAlignment="1">
      <alignment horizontal="center" vertical="center"/>
    </xf>
    <xf numFmtId="187" fontId="42" fillId="0" borderId="46" xfId="30" applyFont="1" applyBorder="1" applyAlignment="1">
      <alignment horizontal="center" vertical="center"/>
    </xf>
    <xf numFmtId="187" fontId="42" fillId="0" borderId="1" xfId="30" applyFont="1" applyBorder="1" applyAlignment="1">
      <alignment horizontal="center" vertical="center"/>
    </xf>
    <xf numFmtId="187" fontId="42" fillId="0" borderId="45" xfId="30" applyFont="1" applyBorder="1" applyAlignment="1">
      <alignment horizontal="center" vertical="center"/>
    </xf>
    <xf numFmtId="187" fontId="68" fillId="0" borderId="2" xfId="30" applyFont="1" applyBorder="1" applyAlignment="1">
      <alignment horizontal="center" vertical="center"/>
    </xf>
    <xf numFmtId="187" fontId="68" fillId="0" borderId="41" xfId="30" applyFont="1" applyBorder="1" applyAlignment="1">
      <alignment horizontal="center" vertical="center"/>
    </xf>
    <xf numFmtId="187" fontId="42" fillId="0" borderId="2" xfId="30" applyFont="1" applyBorder="1" applyAlignment="1">
      <alignment horizontal="center" vertical="center" wrapText="1"/>
    </xf>
    <xf numFmtId="187" fontId="42" fillId="0" borderId="47" xfId="30" applyFont="1" applyBorder="1" applyAlignment="1">
      <alignment horizontal="center" vertical="center" wrapText="1"/>
    </xf>
    <xf numFmtId="187" fontId="42" fillId="0" borderId="48" xfId="30" applyFont="1" applyBorder="1" applyAlignment="1">
      <alignment horizontal="center" vertical="center" wrapText="1"/>
    </xf>
    <xf numFmtId="187" fontId="71" fillId="0" borderId="48" xfId="30" applyFont="1" applyBorder="1" applyAlignment="1">
      <alignment horizontal="center" vertical="center" wrapText="1"/>
    </xf>
    <xf numFmtId="187" fontId="42" fillId="0" borderId="48" xfId="30" applyFont="1" applyBorder="1" applyAlignment="1">
      <alignment horizontal="center" vertical="center"/>
    </xf>
    <xf numFmtId="187" fontId="42" fillId="0" borderId="49" xfId="30" applyFont="1" applyBorder="1" applyAlignment="1">
      <alignment horizontal="center" vertical="center"/>
    </xf>
    <xf numFmtId="187" fontId="42" fillId="0" borderId="47" xfId="30" applyFont="1" applyBorder="1" applyAlignment="1">
      <alignment horizontal="center" vertical="center"/>
    </xf>
    <xf numFmtId="187" fontId="71" fillId="0" borderId="48" xfId="30" applyFont="1" applyBorder="1" applyAlignment="1">
      <alignment horizontal="center" vertical="center"/>
    </xf>
    <xf numFmtId="187" fontId="68" fillId="0" borderId="29" xfId="30" applyFont="1" applyBorder="1" applyAlignment="1">
      <alignment horizontal="center" vertical="center"/>
    </xf>
    <xf numFmtId="187" fontId="68" fillId="0" borderId="50" xfId="30" applyFont="1" applyBorder="1" applyAlignment="1">
      <alignment horizontal="left" vertical="center" wrapText="1"/>
    </xf>
    <xf numFmtId="187" fontId="68" fillId="0" borderId="29" xfId="30" applyFont="1" applyBorder="1" applyAlignment="1">
      <alignment horizontal="left" vertical="center" wrapText="1" shrinkToFit="1"/>
    </xf>
    <xf numFmtId="187" fontId="68" fillId="0" borderId="29" xfId="30" applyFont="1" applyBorder="1" applyAlignment="1">
      <alignment horizontal="center" vertical="center" wrapText="1" shrinkToFit="1"/>
    </xf>
    <xf numFmtId="187" fontId="42" fillId="0" borderId="29" xfId="30" applyFont="1" applyBorder="1" applyAlignment="1">
      <alignment horizontal="center" vertical="center" wrapText="1" shrinkToFit="1"/>
    </xf>
    <xf numFmtId="14" fontId="68" fillId="0" borderId="29" xfId="30" applyNumberFormat="1" applyFont="1" applyBorder="1" applyAlignment="1">
      <alignment horizontal="center" vertical="center" wrapText="1" shrinkToFit="1"/>
    </xf>
    <xf numFmtId="187" fontId="42" fillId="0" borderId="51" xfId="30" applyFont="1" applyBorder="1" applyAlignment="1">
      <alignment horizontal="center" vertical="center" wrapText="1" shrinkToFit="1"/>
    </xf>
    <xf numFmtId="187" fontId="42" fillId="0" borderId="52" xfId="30" applyFont="1" applyBorder="1" applyAlignment="1">
      <alignment horizontal="center" vertical="center" wrapText="1" shrinkToFit="1"/>
    </xf>
    <xf numFmtId="187" fontId="72" fillId="33" borderId="52" xfId="30" applyFont="1" applyFill="1" applyBorder="1" applyAlignment="1">
      <alignment horizontal="center" vertical="center" wrapText="1" shrinkToFit="1"/>
    </xf>
    <xf numFmtId="187" fontId="42" fillId="0" borderId="52" xfId="30" applyFont="1" applyBorder="1" applyAlignment="1">
      <alignment horizontal="center" vertical="center"/>
    </xf>
    <xf numFmtId="187" fontId="42" fillId="0" borderId="53" xfId="30" applyFont="1" applyBorder="1" applyAlignment="1">
      <alignment horizontal="center" vertical="center"/>
    </xf>
    <xf numFmtId="187" fontId="42" fillId="0" borderId="54" xfId="30" applyFont="1" applyBorder="1" applyAlignment="1">
      <alignment horizontal="center" vertical="center"/>
    </xf>
    <xf numFmtId="187" fontId="42" fillId="0" borderId="55" xfId="30" applyFont="1" applyBorder="1" applyAlignment="1">
      <alignment horizontal="center" vertical="center"/>
    </xf>
    <xf numFmtId="187" fontId="42" fillId="0" borderId="56" xfId="30" applyFont="1" applyBorder="1" applyAlignment="1">
      <alignment horizontal="center" vertical="center"/>
    </xf>
    <xf numFmtId="187" fontId="42" fillId="0" borderId="57" xfId="30" applyFont="1" applyBorder="1" applyAlignment="1">
      <alignment horizontal="center" vertical="center"/>
    </xf>
    <xf numFmtId="187" fontId="42" fillId="0" borderId="29" xfId="30" applyFont="1" applyBorder="1" applyAlignment="1">
      <alignment horizontal="center" vertical="center"/>
    </xf>
    <xf numFmtId="187" fontId="42" fillId="0" borderId="50" xfId="30" applyFont="1" applyBorder="1" applyAlignment="1">
      <alignment horizontal="left" vertical="center" wrapText="1"/>
    </xf>
    <xf numFmtId="187" fontId="42" fillId="0" borderId="29" xfId="30" applyFont="1" applyBorder="1" applyAlignment="1">
      <alignment horizontal="left" vertical="center" wrapText="1" shrinkToFit="1"/>
    </xf>
    <xf numFmtId="14" fontId="42" fillId="0" borderId="29" xfId="30" applyNumberFormat="1" applyFont="1" applyBorder="1" applyAlignment="1">
      <alignment horizontal="center" vertical="center" wrapText="1" shrinkToFit="1"/>
    </xf>
    <xf numFmtId="187" fontId="42" fillId="34" borderId="52" xfId="30" applyFont="1" applyFill="1" applyBorder="1" applyAlignment="1">
      <alignment horizontal="center" vertical="center" wrapText="1" shrinkToFit="1"/>
    </xf>
    <xf numFmtId="187" fontId="42" fillId="34" borderId="52" xfId="30" applyFont="1" applyFill="1" applyBorder="1" applyAlignment="1">
      <alignment horizontal="center" vertical="center"/>
    </xf>
    <xf numFmtId="187" fontId="73" fillId="34" borderId="52" xfId="30" applyFont="1" applyFill="1" applyBorder="1" applyAlignment="1">
      <alignment horizontal="center" vertical="center"/>
    </xf>
    <xf numFmtId="187" fontId="42" fillId="34" borderId="58" xfId="30" applyFont="1" applyFill="1" applyBorder="1" applyAlignment="1">
      <alignment horizontal="center" vertical="center"/>
    </xf>
    <xf numFmtId="187" fontId="73" fillId="34" borderId="59" xfId="30" applyFont="1" applyFill="1" applyBorder="1" applyAlignment="1">
      <alignment horizontal="center" vertical="center"/>
    </xf>
    <xf numFmtId="187" fontId="42" fillId="34" borderId="60" xfId="30" applyFont="1" applyFill="1" applyBorder="1" applyAlignment="1">
      <alignment horizontal="center" vertical="center"/>
    </xf>
    <xf numFmtId="187" fontId="42" fillId="0" borderId="60" xfId="30" applyFont="1" applyBorder="1" applyAlignment="1">
      <alignment horizontal="center" vertical="center"/>
    </xf>
    <xf numFmtId="187" fontId="42" fillId="0" borderId="61" xfId="30" applyFont="1" applyBorder="1" applyAlignment="1">
      <alignment horizontal="center" vertical="center"/>
    </xf>
    <xf numFmtId="187" fontId="42" fillId="0" borderId="62" xfId="30" applyFont="1" applyBorder="1" applyAlignment="1">
      <alignment horizontal="center" vertical="center"/>
    </xf>
    <xf numFmtId="187" fontId="68" fillId="0" borderId="60" xfId="30" applyFont="1" applyBorder="1" applyAlignment="1">
      <alignment horizontal="center" vertical="center"/>
    </xf>
    <xf numFmtId="187" fontId="42" fillId="0" borderId="58" xfId="30" applyFont="1" applyBorder="1" applyAlignment="1">
      <alignment horizontal="center" vertical="center"/>
    </xf>
    <xf numFmtId="187" fontId="42" fillId="0" borderId="4" xfId="30" applyFont="1" applyBorder="1" applyAlignment="1">
      <alignment horizontal="center" vertical="center"/>
    </xf>
    <xf numFmtId="187" fontId="42" fillId="0" borderId="50" xfId="30" applyFont="1" applyBorder="1" applyAlignment="1">
      <alignment horizontal="left" vertical="center"/>
    </xf>
    <xf numFmtId="187" fontId="42" fillId="0" borderId="4" xfId="30" applyFont="1" applyBorder="1" applyAlignment="1">
      <alignment horizontal="left" vertical="center" wrapText="1" shrinkToFit="1"/>
    </xf>
    <xf numFmtId="187" fontId="42" fillId="0" borderId="4" xfId="30" applyFont="1" applyBorder="1" applyAlignment="1">
      <alignment horizontal="center" vertical="center" wrapText="1" shrinkToFit="1"/>
    </xf>
    <xf numFmtId="187" fontId="42" fillId="34" borderId="59" xfId="30" applyFont="1" applyFill="1" applyBorder="1" applyAlignment="1">
      <alignment horizontal="center" vertical="center"/>
    </xf>
    <xf numFmtId="187" fontId="68" fillId="34" borderId="60" xfId="30" applyFont="1" applyFill="1" applyBorder="1" applyAlignment="1">
      <alignment vertical="center"/>
    </xf>
    <xf numFmtId="187" fontId="68" fillId="0" borderId="60" xfId="30" applyFont="1" applyBorder="1" applyAlignment="1">
      <alignment vertical="center"/>
    </xf>
    <xf numFmtId="187" fontId="42" fillId="0" borderId="63" xfId="30" applyFont="1" applyBorder="1" applyAlignment="1">
      <alignment horizontal="left" vertical="center" wrapText="1"/>
    </xf>
    <xf numFmtId="14" fontId="42" fillId="0" borderId="4" xfId="30" applyNumberFormat="1" applyFont="1" applyBorder="1" applyAlignment="1">
      <alignment horizontal="center" vertical="center" wrapText="1" shrinkToFit="1"/>
    </xf>
    <xf numFmtId="187" fontId="42" fillId="0" borderId="59" xfId="30" applyFont="1" applyBorder="1" applyAlignment="1">
      <alignment horizontal="center" vertical="center" wrapText="1" shrinkToFit="1"/>
    </xf>
    <xf numFmtId="187" fontId="42" fillId="0" borderId="60" xfId="30" applyFont="1" applyBorder="1" applyAlignment="1">
      <alignment horizontal="center" vertical="center" wrapText="1" shrinkToFit="1"/>
    </xf>
    <xf numFmtId="187" fontId="42" fillId="34" borderId="60" xfId="30" applyFont="1" applyFill="1" applyBorder="1" applyAlignment="1">
      <alignment horizontal="center" vertical="center" wrapText="1" shrinkToFit="1"/>
    </xf>
    <xf numFmtId="187" fontId="42" fillId="0" borderId="63" xfId="30" applyFont="1" applyBorder="1" applyAlignment="1">
      <alignment horizontal="left" vertical="center"/>
    </xf>
    <xf numFmtId="187" fontId="42" fillId="3" borderId="60" xfId="30" applyFont="1" applyFill="1" applyBorder="1" applyAlignment="1">
      <alignment horizontal="center" vertical="center" wrapText="1" shrinkToFit="1"/>
    </xf>
    <xf numFmtId="187" fontId="68" fillId="3" borderId="60" xfId="30" applyFont="1" applyFill="1" applyBorder="1" applyAlignment="1">
      <alignment vertical="center"/>
    </xf>
    <xf numFmtId="187" fontId="68" fillId="3" borderId="58" xfId="30" applyFont="1" applyFill="1" applyBorder="1" applyAlignment="1">
      <alignment vertical="center"/>
    </xf>
    <xf numFmtId="187" fontId="42" fillId="3" borderId="59" xfId="30" applyFont="1" applyFill="1" applyBorder="1" applyAlignment="1">
      <alignment horizontal="center" vertical="center"/>
    </xf>
    <xf numFmtId="187" fontId="42" fillId="3" borderId="60" xfId="30" applyFont="1" applyFill="1" applyBorder="1" applyAlignment="1">
      <alignment horizontal="center" vertical="center"/>
    </xf>
    <xf numFmtId="187" fontId="42" fillId="0" borderId="62" xfId="30" applyFont="1" applyBorder="1" applyAlignment="1">
      <alignment horizontal="left" vertical="center" wrapText="1" shrinkToFit="1"/>
    </xf>
    <xf numFmtId="187" fontId="42" fillId="3" borderId="52" xfId="30" applyFont="1" applyFill="1" applyBorder="1" applyAlignment="1">
      <alignment horizontal="center" vertical="center" wrapText="1" shrinkToFit="1"/>
    </xf>
    <xf numFmtId="187" fontId="42" fillId="3" borderId="52" xfId="30" applyFont="1" applyFill="1" applyBorder="1" applyAlignment="1">
      <alignment horizontal="center" vertical="center"/>
    </xf>
    <xf numFmtId="187" fontId="42" fillId="3" borderId="58" xfId="30" applyFont="1" applyFill="1" applyBorder="1" applyAlignment="1">
      <alignment horizontal="center" vertical="center"/>
    </xf>
    <xf numFmtId="187" fontId="42" fillId="7" borderId="63" xfId="30" applyFont="1" applyFill="1" applyBorder="1" applyAlignment="1">
      <alignment horizontal="left" vertical="center" wrapText="1"/>
    </xf>
    <xf numFmtId="187" fontId="42" fillId="3" borderId="60" xfId="30" applyFont="1" applyFill="1" applyBorder="1" applyAlignment="1">
      <alignment vertical="center"/>
    </xf>
    <xf numFmtId="187" fontId="42" fillId="34" borderId="60" xfId="30" applyFont="1" applyFill="1" applyBorder="1" applyAlignment="1">
      <alignment vertical="center"/>
    </xf>
    <xf numFmtId="187" fontId="68" fillId="0" borderId="4" xfId="30" applyFont="1" applyBorder="1" applyAlignment="1">
      <alignment horizontal="center" vertical="center"/>
    </xf>
    <xf numFmtId="187" fontId="68" fillId="0" borderId="63" xfId="30" applyFont="1" applyBorder="1" applyAlignment="1">
      <alignment horizontal="left" vertical="center" wrapText="1"/>
    </xf>
    <xf numFmtId="187" fontId="68" fillId="0" borderId="4" xfId="30" applyFont="1" applyBorder="1" applyAlignment="1">
      <alignment horizontal="left" vertical="center" wrapText="1" shrinkToFit="1"/>
    </xf>
    <xf numFmtId="187" fontId="68" fillId="0" borderId="4" xfId="30" applyFont="1" applyBorder="1" applyAlignment="1">
      <alignment horizontal="center" vertical="center" wrapText="1" shrinkToFit="1"/>
    </xf>
    <xf numFmtId="14" fontId="68" fillId="0" borderId="4" xfId="30" applyNumberFormat="1" applyFont="1" applyBorder="1" applyAlignment="1">
      <alignment horizontal="center" vertical="center" wrapText="1" shrinkToFit="1"/>
    </xf>
    <xf numFmtId="187" fontId="73" fillId="3" borderId="60" xfId="30" applyFont="1" applyFill="1" applyBorder="1" applyAlignment="1">
      <alignment horizontal="center" vertical="center" wrapText="1"/>
    </xf>
    <xf numFmtId="187" fontId="42" fillId="3" borderId="64" xfId="30" applyFont="1" applyFill="1" applyBorder="1" applyAlignment="1">
      <alignment horizontal="right" vertical="center" wrapText="1"/>
    </xf>
    <xf numFmtId="187" fontId="42" fillId="0" borderId="64" xfId="30" applyFont="1" applyBorder="1" applyAlignment="1">
      <alignment horizontal="right" vertical="center" wrapText="1"/>
    </xf>
    <xf numFmtId="187" fontId="42" fillId="0" borderId="22" xfId="30" applyFont="1" applyBorder="1" applyAlignment="1">
      <alignment horizontal="center" vertical="center"/>
    </xf>
    <xf numFmtId="187" fontId="42" fillId="0" borderId="65" xfId="30" applyFont="1" applyBorder="1" applyAlignment="1">
      <alignment horizontal="left" vertical="center" wrapText="1"/>
    </xf>
    <xf numFmtId="187" fontId="42" fillId="0" borderId="22" xfId="30" applyFont="1" applyBorder="1" applyAlignment="1">
      <alignment horizontal="center" vertical="center" wrapText="1" shrinkToFit="1"/>
    </xf>
    <xf numFmtId="187" fontId="42" fillId="0" borderId="66" xfId="30" applyFont="1" applyBorder="1" applyAlignment="1">
      <alignment horizontal="center" vertical="center" wrapText="1" shrinkToFit="1"/>
    </xf>
    <xf numFmtId="187" fontId="42" fillId="0" borderId="64" xfId="30" applyFont="1" applyBorder="1" applyAlignment="1">
      <alignment horizontal="center" vertical="center" wrapText="1" shrinkToFit="1"/>
    </xf>
    <xf numFmtId="187" fontId="42" fillId="0" borderId="64" xfId="30" applyFont="1" applyBorder="1" applyAlignment="1">
      <alignment horizontal="center" vertical="center"/>
    </xf>
    <xf numFmtId="187" fontId="42" fillId="0" borderId="67" xfId="30" applyFont="1" applyBorder="1" applyAlignment="1">
      <alignment horizontal="center" vertical="center"/>
    </xf>
    <xf numFmtId="187" fontId="42" fillId="0" borderId="66" xfId="30" applyFont="1" applyBorder="1" applyAlignment="1">
      <alignment horizontal="center" vertical="center"/>
    </xf>
    <xf numFmtId="187" fontId="42" fillId="0" borderId="64" xfId="30" applyFont="1" applyBorder="1" applyAlignment="1">
      <alignment vertical="center"/>
    </xf>
    <xf numFmtId="187" fontId="42" fillId="0" borderId="64" xfId="30" applyFont="1" applyBorder="1" applyAlignment="1">
      <alignment horizontal="left" vertical="center"/>
    </xf>
    <xf numFmtId="187" fontId="73" fillId="0" borderId="60" xfId="30" applyFont="1" applyBorder="1" applyAlignment="1">
      <alignment horizontal="center" vertical="center" wrapText="1"/>
    </xf>
    <xf numFmtId="187" fontId="42" fillId="34" borderId="68" xfId="30" applyFont="1" applyFill="1" applyBorder="1" applyAlignment="1">
      <alignment horizontal="center" vertical="center"/>
    </xf>
    <xf numFmtId="187" fontId="42" fillId="34" borderId="69" xfId="30" applyFont="1" applyFill="1" applyBorder="1" applyAlignment="1">
      <alignment horizontal="center" vertical="center"/>
    </xf>
    <xf numFmtId="187" fontId="42" fillId="34" borderId="64" xfId="30" applyFont="1" applyFill="1" applyBorder="1" applyAlignment="1">
      <alignment horizontal="center" vertical="center"/>
    </xf>
    <xf numFmtId="187" fontId="73" fillId="0" borderId="64" xfId="30" applyFont="1" applyBorder="1" applyAlignment="1">
      <alignment horizontal="center" vertical="center" wrapText="1"/>
    </xf>
    <xf numFmtId="187" fontId="42" fillId="0" borderId="22" xfId="30" applyFont="1" applyBorder="1" applyAlignment="1">
      <alignment horizontal="left" vertical="center" wrapText="1"/>
    </xf>
    <xf numFmtId="14" fontId="42" fillId="0" borderId="22" xfId="30" applyNumberFormat="1" applyFont="1" applyBorder="1" applyAlignment="1">
      <alignment horizontal="center" vertical="center" wrapText="1" shrinkToFit="1"/>
    </xf>
    <xf numFmtId="187" fontId="42" fillId="0" borderId="64" xfId="30" applyFont="1" applyBorder="1" applyAlignment="1">
      <alignment horizontal="right" vertical="center"/>
    </xf>
    <xf numFmtId="187" fontId="42" fillId="0" borderId="69" xfId="30" applyFont="1" applyBorder="1" applyAlignment="1">
      <alignment horizontal="center" vertical="center"/>
    </xf>
    <xf numFmtId="187" fontId="73" fillId="34" borderId="64" xfId="30" applyFont="1" applyFill="1" applyBorder="1" applyAlignment="1">
      <alignment horizontal="center" vertical="center"/>
    </xf>
    <xf numFmtId="187" fontId="42" fillId="0" borderId="64" xfId="30" applyFont="1" applyBorder="1" applyAlignment="1">
      <alignment horizontal="center" vertical="center" wrapText="1"/>
    </xf>
    <xf numFmtId="187" fontId="42" fillId="0" borderId="22" xfId="30" applyFont="1" applyBorder="1" applyAlignment="1">
      <alignment horizontal="left" vertical="center" wrapText="1" shrinkToFit="1"/>
    </xf>
    <xf numFmtId="187" fontId="73" fillId="0" borderId="64" xfId="30" applyFont="1" applyBorder="1" applyAlignment="1">
      <alignment horizontal="center" vertical="center"/>
    </xf>
    <xf numFmtId="187" fontId="42" fillId="34" borderId="64" xfId="30" applyFont="1" applyFill="1" applyBorder="1" applyAlignment="1">
      <alignment horizontal="center" vertical="center" wrapText="1"/>
    </xf>
    <xf numFmtId="187" fontId="42" fillId="0" borderId="4" xfId="30" applyFont="1" applyBorder="1" applyAlignment="1">
      <alignment vertical="center"/>
    </xf>
    <xf numFmtId="187" fontId="42" fillId="0" borderId="59" xfId="30" applyFont="1" applyBorder="1" applyAlignment="1">
      <alignment vertical="center"/>
    </xf>
    <xf numFmtId="187" fontId="42" fillId="0" borderId="60" xfId="30" applyFont="1" applyBorder="1" applyAlignment="1">
      <alignment vertical="center"/>
    </xf>
    <xf numFmtId="187" fontId="42" fillId="0" borderId="58" xfId="30" applyFont="1" applyBorder="1" applyAlignment="1">
      <alignment vertical="center"/>
    </xf>
    <xf numFmtId="187" fontId="68" fillId="0" borderId="5" xfId="30" applyFont="1" applyBorder="1" applyAlignment="1">
      <alignment vertical="center"/>
    </xf>
    <xf numFmtId="3" fontId="68" fillId="0" borderId="5" xfId="30" applyNumberFormat="1" applyFont="1" applyBorder="1" applyAlignment="1">
      <alignment horizontal="center" vertical="center"/>
    </xf>
    <xf numFmtId="14" fontId="68" fillId="0" borderId="5" xfId="30" applyNumberFormat="1" applyFont="1" applyBorder="1" applyAlignment="1">
      <alignment vertical="center"/>
    </xf>
    <xf numFmtId="187" fontId="42" fillId="0" borderId="5" xfId="30" applyFont="1" applyBorder="1" applyAlignment="1">
      <alignment vertical="center"/>
    </xf>
    <xf numFmtId="187" fontId="42" fillId="0" borderId="70" xfId="30" applyFont="1" applyBorder="1" applyAlignment="1">
      <alignment vertical="center"/>
    </xf>
    <xf numFmtId="187" fontId="42" fillId="0" borderId="71" xfId="30" applyFont="1" applyBorder="1" applyAlignment="1">
      <alignment vertical="center"/>
    </xf>
    <xf numFmtId="187" fontId="42" fillId="34" borderId="71" xfId="30" applyFont="1" applyFill="1" applyBorder="1" applyAlignment="1">
      <alignment vertical="center"/>
    </xf>
    <xf numFmtId="187" fontId="42" fillId="0" borderId="72" xfId="30" applyFont="1" applyBorder="1" applyAlignment="1">
      <alignment vertical="center"/>
    </xf>
    <xf numFmtId="169" fontId="9" fillId="0" borderId="15" xfId="9" applyNumberFormat="1" applyFont="1" applyBorder="1" applyAlignment="1">
      <alignment vertical="center"/>
    </xf>
    <xf numFmtId="169" fontId="9" fillId="0" borderId="15" xfId="9" applyNumberFormat="1" applyFont="1" applyBorder="1" applyAlignment="1">
      <alignment horizontal="center" vertical="center"/>
    </xf>
    <xf numFmtId="164" fontId="9" fillId="0" borderId="15" xfId="1" applyNumberFormat="1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5" xfId="1" applyNumberFormat="1" applyFont="1" applyFill="1" applyBorder="1" applyAlignment="1" applyProtection="1">
      <alignment horizontal="left" vertical="center"/>
    </xf>
    <xf numFmtId="0" fontId="8" fillId="3" borderId="15" xfId="1" applyNumberFormat="1" applyFont="1" applyFill="1" applyBorder="1" applyAlignment="1" applyProtection="1">
      <alignment horizontal="center" vertical="center"/>
    </xf>
    <xf numFmtId="164" fontId="8" fillId="3" borderId="15" xfId="1" applyNumberFormat="1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>
      <alignment vertical="center"/>
    </xf>
    <xf numFmtId="0" fontId="8" fillId="0" borderId="15" xfId="0" applyFont="1" applyBorder="1" applyAlignment="1">
      <alignment horizontal="center" vertical="center"/>
    </xf>
    <xf numFmtId="169" fontId="8" fillId="0" borderId="15" xfId="9" applyNumberFormat="1" applyFont="1" applyBorder="1" applyAlignment="1">
      <alignment vertical="center"/>
    </xf>
    <xf numFmtId="0" fontId="9" fillId="0" borderId="15" xfId="0" applyFont="1" applyBorder="1" applyAlignment="1">
      <alignment horizontal="right" vertical="center"/>
    </xf>
    <xf numFmtId="169" fontId="9" fillId="0" borderId="15" xfId="9" applyNumberFormat="1" applyFont="1" applyBorder="1" applyAlignment="1">
      <alignment horizontal="left" vertical="center" wrapText="1" indent="1"/>
    </xf>
    <xf numFmtId="169" fontId="9" fillId="0" borderId="15" xfId="9" applyNumberFormat="1" applyFont="1" applyBorder="1" applyAlignment="1">
      <alignment horizontal="center" vertical="center" wrapText="1"/>
    </xf>
    <xf numFmtId="169" fontId="8" fillId="2" borderId="15" xfId="9" applyNumberFormat="1" applyFont="1" applyFill="1" applyBorder="1" applyAlignment="1">
      <alignment horizontal="left" vertical="center"/>
    </xf>
    <xf numFmtId="169" fontId="9" fillId="0" borderId="15" xfId="9" applyNumberFormat="1" applyFont="1" applyBorder="1" applyAlignment="1">
      <alignment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5" xfId="1" applyNumberFormat="1" applyFont="1" applyFill="1" applyBorder="1" applyAlignment="1" applyProtection="1">
      <alignment horizontal="left" vertical="center" wrapText="1"/>
    </xf>
    <xf numFmtId="0" fontId="8" fillId="3" borderId="15" xfId="1" applyNumberFormat="1" applyFont="1" applyFill="1" applyBorder="1" applyAlignment="1" applyProtection="1">
      <alignment horizontal="center" vertical="center" wrapText="1"/>
    </xf>
    <xf numFmtId="167" fontId="8" fillId="0" borderId="15" xfId="1" applyNumberFormat="1" applyFont="1" applyBorder="1" applyAlignment="1">
      <alignment horizontal="center" vertical="center"/>
    </xf>
    <xf numFmtId="167" fontId="8" fillId="0" borderId="15" xfId="1" applyNumberFormat="1" applyFont="1" applyFill="1" applyBorder="1" applyAlignment="1" applyProtection="1">
      <alignment horizontal="center" vertical="center"/>
    </xf>
    <xf numFmtId="167" fontId="8" fillId="0" borderId="15" xfId="0" applyNumberFormat="1" applyFont="1" applyBorder="1" applyAlignment="1">
      <alignment vertical="center"/>
    </xf>
    <xf numFmtId="167" fontId="9" fillId="0" borderId="15" xfId="1" applyNumberFormat="1" applyFont="1" applyFill="1" applyBorder="1" applyAlignment="1" applyProtection="1">
      <alignment horizontal="center" vertical="center"/>
    </xf>
    <xf numFmtId="169" fontId="8" fillId="0" borderId="15" xfId="9" applyNumberFormat="1" applyFont="1" applyBorder="1" applyAlignment="1">
      <alignment vertical="center" wrapText="1"/>
    </xf>
    <xf numFmtId="167" fontId="8" fillId="3" borderId="15" xfId="1" applyNumberFormat="1" applyFont="1" applyFill="1" applyBorder="1" applyAlignment="1" applyProtection="1">
      <alignment horizontal="center" vertical="center"/>
    </xf>
    <xf numFmtId="0" fontId="8" fillId="6" borderId="15" xfId="0" applyFont="1" applyFill="1" applyBorder="1" applyAlignment="1">
      <alignment horizontal="center" vertical="center" wrapText="1"/>
    </xf>
    <xf numFmtId="0" fontId="8" fillId="14" borderId="15" xfId="0" applyFont="1" applyFill="1" applyBorder="1" applyAlignment="1">
      <alignment horizontal="center" vertical="center" wrapText="1"/>
    </xf>
    <xf numFmtId="9" fontId="9" fillId="0" borderId="30" xfId="2" applyFont="1" applyBorder="1" applyAlignment="1">
      <alignment vertical="center"/>
    </xf>
    <xf numFmtId="9" fontId="8" fillId="0" borderId="0" xfId="2" applyFont="1" applyAlignment="1">
      <alignment horizontal="right" vertical="center"/>
    </xf>
    <xf numFmtId="9" fontId="8" fillId="14" borderId="15" xfId="2" applyFont="1" applyFill="1" applyBorder="1" applyAlignment="1">
      <alignment horizontal="center" vertical="center" wrapText="1"/>
    </xf>
    <xf numFmtId="9" fontId="9" fillId="0" borderId="31" xfId="2" applyFont="1" applyBorder="1" applyAlignment="1">
      <alignment vertical="center"/>
    </xf>
    <xf numFmtId="9" fontId="8" fillId="13" borderId="15" xfId="2" applyFont="1" applyFill="1" applyBorder="1" applyAlignment="1">
      <alignment vertical="center"/>
    </xf>
    <xf numFmtId="0" fontId="8" fillId="12" borderId="15" xfId="0" applyFont="1" applyFill="1" applyBorder="1" applyAlignment="1">
      <alignment horizontal="center" vertical="center" wrapText="1"/>
    </xf>
    <xf numFmtId="9" fontId="8" fillId="12" borderId="15" xfId="2" applyFont="1" applyFill="1" applyBorder="1" applyAlignment="1">
      <alignment horizontal="center" vertical="center" wrapText="1"/>
    </xf>
    <xf numFmtId="0" fontId="9" fillId="14" borderId="15" xfId="0" applyFont="1" applyFill="1" applyBorder="1" applyAlignment="1">
      <alignment horizontal="center" vertical="center"/>
    </xf>
    <xf numFmtId="169" fontId="9" fillId="14" borderId="15" xfId="9" applyNumberFormat="1" applyFont="1" applyFill="1" applyBorder="1" applyAlignment="1">
      <alignment vertical="center" wrapText="1"/>
    </xf>
    <xf numFmtId="169" fontId="9" fillId="14" borderId="15" xfId="9" applyNumberFormat="1" applyFont="1" applyFill="1" applyBorder="1" applyAlignment="1">
      <alignment horizontal="center" vertical="center" wrapText="1"/>
    </xf>
    <xf numFmtId="164" fontId="9" fillId="14" borderId="15" xfId="1" applyNumberFormat="1" applyFont="1" applyFill="1" applyBorder="1" applyAlignment="1" applyProtection="1">
      <alignment horizontal="center" vertical="center"/>
    </xf>
    <xf numFmtId="0" fontId="9" fillId="14" borderId="15" xfId="0" applyFont="1" applyFill="1" applyBorder="1" applyAlignment="1">
      <alignment vertical="center"/>
    </xf>
    <xf numFmtId="169" fontId="8" fillId="0" borderId="15" xfId="9" applyNumberFormat="1" applyFont="1" applyBorder="1" applyAlignment="1">
      <alignment horizontal="left" vertical="center"/>
    </xf>
    <xf numFmtId="0" fontId="9" fillId="14" borderId="15" xfId="0" applyFont="1" applyFill="1" applyBorder="1" applyAlignment="1">
      <alignment horizontal="right" vertical="center"/>
    </xf>
    <xf numFmtId="169" fontId="9" fillId="14" borderId="15" xfId="9" applyNumberFormat="1" applyFont="1" applyFill="1" applyBorder="1" applyAlignment="1">
      <alignment horizontal="left" vertical="center" wrapText="1" indent="1"/>
    </xf>
    <xf numFmtId="164" fontId="9" fillId="14" borderId="15" xfId="0" applyNumberFormat="1" applyFont="1" applyFill="1" applyBorder="1" applyAlignment="1">
      <alignment vertical="center"/>
    </xf>
    <xf numFmtId="0" fontId="8" fillId="14" borderId="15" xfId="0" applyFont="1" applyFill="1" applyBorder="1" applyAlignment="1">
      <alignment horizontal="center" vertical="center"/>
    </xf>
    <xf numFmtId="0" fontId="8" fillId="14" borderId="15" xfId="1" applyNumberFormat="1" applyFont="1" applyFill="1" applyBorder="1" applyAlignment="1" applyProtection="1">
      <alignment horizontal="right" vertical="center"/>
    </xf>
    <xf numFmtId="0" fontId="8" fillId="14" borderId="15" xfId="1" applyNumberFormat="1" applyFont="1" applyFill="1" applyBorder="1" applyAlignment="1" applyProtection="1">
      <alignment horizontal="center" vertical="center"/>
    </xf>
    <xf numFmtId="164" fontId="8" fillId="14" borderId="15" xfId="1" applyNumberFormat="1" applyFont="1" applyFill="1" applyBorder="1" applyAlignment="1" applyProtection="1">
      <alignment horizontal="center" vertical="center"/>
    </xf>
    <xf numFmtId="0" fontId="8" fillId="0" borderId="15" xfId="1" applyNumberFormat="1" applyFont="1" applyFill="1" applyBorder="1" applyAlignment="1" applyProtection="1">
      <alignment horizontal="right" vertical="center"/>
    </xf>
    <xf numFmtId="0" fontId="8" fillId="0" borderId="15" xfId="1" applyNumberFormat="1" applyFont="1" applyFill="1" applyBorder="1" applyAlignment="1" applyProtection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8" fillId="4" borderId="15" xfId="1" applyNumberFormat="1" applyFont="1" applyFill="1" applyBorder="1" applyAlignment="1" applyProtection="1">
      <alignment horizontal="center" vertical="center"/>
    </xf>
    <xf numFmtId="164" fontId="8" fillId="4" borderId="15" xfId="1" applyNumberFormat="1" applyFont="1" applyFill="1" applyBorder="1" applyAlignment="1" applyProtection="1">
      <alignment horizontal="center" vertical="center"/>
    </xf>
    <xf numFmtId="9" fontId="9" fillId="0" borderId="31" xfId="2" applyFont="1" applyBorder="1"/>
    <xf numFmtId="9" fontId="9" fillId="0" borderId="32" xfId="2" applyFont="1" applyBorder="1"/>
    <xf numFmtId="0" fontId="9" fillId="0" borderId="0" xfId="1" applyNumberFormat="1" applyFont="1" applyFill="1" applyBorder="1" applyAlignment="1" applyProtection="1">
      <alignment horizontal="left" vertical="center"/>
    </xf>
    <xf numFmtId="0" fontId="9" fillId="7" borderId="0" xfId="0" applyFont="1" applyFill="1" applyAlignment="1">
      <alignment horizontal="left" vertical="center"/>
    </xf>
    <xf numFmtId="167" fontId="9" fillId="0" borderId="0" xfId="1" applyNumberFormat="1" applyFont="1" applyBorder="1" applyAlignment="1">
      <alignment vertical="center"/>
    </xf>
    <xf numFmtId="167" fontId="8" fillId="0" borderId="0" xfId="1" applyNumberFormat="1" applyFont="1" applyBorder="1" applyAlignment="1">
      <alignment vertical="center"/>
    </xf>
    <xf numFmtId="171" fontId="8" fillId="0" borderId="73" xfId="1" applyNumberFormat="1" applyFont="1" applyFill="1" applyBorder="1" applyAlignment="1" applyProtection="1">
      <alignment vertical="center"/>
    </xf>
    <xf numFmtId="168" fontId="8" fillId="0" borderId="74" xfId="1" applyNumberFormat="1" applyFont="1" applyFill="1" applyBorder="1" applyAlignment="1">
      <alignment horizontal="right" vertical="center"/>
    </xf>
    <xf numFmtId="168" fontId="9" fillId="0" borderId="74" xfId="1" applyNumberFormat="1" applyFont="1" applyFill="1" applyBorder="1" applyAlignment="1">
      <alignment horizontal="right" vertical="center"/>
    </xf>
    <xf numFmtId="171" fontId="8" fillId="10" borderId="73" xfId="1" applyNumberFormat="1" applyFont="1" applyFill="1" applyBorder="1" applyAlignment="1" applyProtection="1">
      <alignment vertical="center"/>
    </xf>
    <xf numFmtId="171" fontId="9" fillId="0" borderId="73" xfId="1" applyNumberFormat="1" applyFont="1" applyFill="1" applyBorder="1" applyAlignment="1" applyProtection="1">
      <alignment vertical="center"/>
    </xf>
    <xf numFmtId="171" fontId="12" fillId="0" borderId="73" xfId="1" applyNumberFormat="1" applyFont="1" applyFill="1" applyBorder="1" applyAlignment="1" applyProtection="1">
      <alignment vertical="center"/>
    </xf>
    <xf numFmtId="174" fontId="20" fillId="0" borderId="73" xfId="2" applyNumberFormat="1" applyFont="1" applyFill="1" applyBorder="1" applyAlignment="1" applyProtection="1">
      <alignment vertical="center"/>
    </xf>
    <xf numFmtId="171" fontId="12" fillId="0" borderId="75" xfId="2" applyNumberFormat="1" applyFont="1" applyFill="1" applyBorder="1" applyAlignment="1" applyProtection="1">
      <alignment vertical="center"/>
    </xf>
    <xf numFmtId="168" fontId="8" fillId="0" borderId="76" xfId="1" applyNumberFormat="1" applyFont="1" applyFill="1" applyBorder="1" applyAlignment="1">
      <alignment horizontal="right" vertical="center"/>
    </xf>
    <xf numFmtId="168" fontId="9" fillId="0" borderId="77" xfId="1" applyNumberFormat="1" applyFont="1" applyFill="1" applyBorder="1" applyAlignment="1">
      <alignment horizontal="right" vertical="center"/>
    </xf>
    <xf numFmtId="171" fontId="8" fillId="10" borderId="78" xfId="1" applyNumberFormat="1" applyFont="1" applyFill="1" applyBorder="1" applyAlignment="1" applyProtection="1">
      <alignment vertical="center"/>
    </xf>
    <xf numFmtId="171" fontId="9" fillId="0" borderId="78" xfId="1" applyNumberFormat="1" applyFont="1" applyFill="1" applyBorder="1" applyAlignment="1" applyProtection="1">
      <alignment vertical="center"/>
    </xf>
    <xf numFmtId="171" fontId="8" fillId="0" borderId="78" xfId="1" applyNumberFormat="1" applyFont="1" applyFill="1" applyBorder="1" applyAlignment="1" applyProtection="1">
      <alignment vertical="center"/>
    </xf>
    <xf numFmtId="171" fontId="12" fillId="0" borderId="78" xfId="1" applyNumberFormat="1" applyFont="1" applyFill="1" applyBorder="1" applyAlignment="1" applyProtection="1">
      <alignment vertical="center"/>
    </xf>
    <xf numFmtId="174" fontId="20" fillId="0" borderId="78" xfId="2" applyNumberFormat="1" applyFont="1" applyFill="1" applyBorder="1" applyAlignment="1" applyProtection="1">
      <alignment vertical="center"/>
    </xf>
    <xf numFmtId="171" fontId="12" fillId="0" borderId="79" xfId="2" applyNumberFormat="1" applyFont="1" applyFill="1" applyBorder="1" applyAlignment="1" applyProtection="1">
      <alignment vertical="center"/>
    </xf>
    <xf numFmtId="171" fontId="12" fillId="0" borderId="80" xfId="2" applyNumberFormat="1" applyFont="1" applyFill="1" applyBorder="1" applyAlignment="1" applyProtection="1">
      <alignment vertical="center"/>
    </xf>
    <xf numFmtId="171" fontId="12" fillId="0" borderId="81" xfId="2" applyNumberFormat="1" applyFont="1" applyFill="1" applyBorder="1" applyAlignment="1" applyProtection="1">
      <alignment vertical="center"/>
    </xf>
    <xf numFmtId="171" fontId="12" fillId="0" borderId="82" xfId="2" applyNumberFormat="1" applyFont="1" applyFill="1" applyBorder="1" applyAlignment="1" applyProtection="1">
      <alignment vertical="center"/>
    </xf>
    <xf numFmtId="164" fontId="9" fillId="14" borderId="15" xfId="1" quotePrefix="1" applyNumberFormat="1" applyFont="1" applyFill="1" applyBorder="1" applyAlignment="1" applyProtection="1">
      <alignment horizontal="center" vertical="center"/>
    </xf>
    <xf numFmtId="0" fontId="9" fillId="5" borderId="31" xfId="0" applyFont="1" applyFill="1" applyBorder="1" applyAlignment="1">
      <alignment vertical="center"/>
    </xf>
    <xf numFmtId="167" fontId="9" fillId="5" borderId="30" xfId="1" applyNumberFormat="1" applyFont="1" applyFill="1" applyBorder="1"/>
    <xf numFmtId="167" fontId="9" fillId="5" borderId="31" xfId="1" applyNumberFormat="1" applyFont="1" applyFill="1" applyBorder="1"/>
    <xf numFmtId="167" fontId="9" fillId="5" borderId="31" xfId="1" applyNumberFormat="1" applyFont="1" applyFill="1" applyBorder="1" applyAlignment="1">
      <alignment vertical="center"/>
    </xf>
    <xf numFmtId="0" fontId="9" fillId="5" borderId="31" xfId="0" applyFont="1" applyFill="1" applyBorder="1" applyAlignment="1">
      <alignment horizontal="center" vertical="center"/>
    </xf>
    <xf numFmtId="0" fontId="9" fillId="5" borderId="31" xfId="0" applyFont="1" applyFill="1" applyBorder="1"/>
    <xf numFmtId="167" fontId="8" fillId="5" borderId="31" xfId="1" applyNumberFormat="1" applyFont="1" applyFill="1" applyBorder="1" applyAlignment="1">
      <alignment vertical="center"/>
    </xf>
    <xf numFmtId="0" fontId="9" fillId="5" borderId="0" xfId="0" applyFont="1" applyFill="1" applyAlignment="1">
      <alignment vertical="center"/>
    </xf>
    <xf numFmtId="9" fontId="9" fillId="5" borderId="31" xfId="2" applyFont="1" applyFill="1" applyBorder="1" applyAlignment="1">
      <alignment vertical="center"/>
    </xf>
    <xf numFmtId="167" fontId="9" fillId="0" borderId="84" xfId="1" applyNumberFormat="1" applyFont="1" applyBorder="1" applyAlignment="1">
      <alignment vertical="center"/>
    </xf>
    <xf numFmtId="0" fontId="9" fillId="6" borderId="35" xfId="0" applyFont="1" applyFill="1" applyBorder="1" applyAlignment="1">
      <alignment horizontal="left" vertical="center"/>
    </xf>
    <xf numFmtId="0" fontId="9" fillId="6" borderId="35" xfId="0" applyFont="1" applyFill="1" applyBorder="1" applyAlignment="1">
      <alignment vertical="center"/>
    </xf>
    <xf numFmtId="0" fontId="9" fillId="6" borderId="31" xfId="0" applyFont="1" applyFill="1" applyBorder="1" applyAlignment="1">
      <alignment vertical="center"/>
    </xf>
    <xf numFmtId="0" fontId="9" fillId="6" borderId="31" xfId="0" applyFont="1" applyFill="1" applyBorder="1" applyAlignment="1">
      <alignment horizontal="left" vertical="center"/>
    </xf>
    <xf numFmtId="167" fontId="9" fillId="5" borderId="30" xfId="1" applyNumberFormat="1" applyFont="1" applyFill="1" applyBorder="1" applyAlignment="1">
      <alignment vertical="center"/>
    </xf>
    <xf numFmtId="9" fontId="9" fillId="5" borderId="30" xfId="2" applyFont="1" applyFill="1" applyBorder="1" applyAlignment="1">
      <alignment vertical="center"/>
    </xf>
    <xf numFmtId="177" fontId="37" fillId="5" borderId="31" xfId="1" applyNumberFormat="1" applyFont="1" applyFill="1" applyBorder="1" applyAlignment="1">
      <alignment vertical="center"/>
    </xf>
    <xf numFmtId="165" fontId="8" fillId="0" borderId="15" xfId="2" applyNumberFormat="1" applyFont="1" applyBorder="1" applyAlignment="1">
      <alignment vertical="center"/>
    </xf>
    <xf numFmtId="165" fontId="8" fillId="5" borderId="15" xfId="2" applyNumberFormat="1" applyFont="1" applyFill="1" applyBorder="1" applyAlignment="1">
      <alignment vertical="center"/>
    </xf>
    <xf numFmtId="165" fontId="8" fillId="5" borderId="15" xfId="2" applyNumberFormat="1" applyFont="1" applyFill="1" applyBorder="1" applyAlignment="1">
      <alignment horizontal="center" vertical="center"/>
    </xf>
    <xf numFmtId="165" fontId="9" fillId="0" borderId="15" xfId="2" applyNumberFormat="1" applyFont="1" applyBorder="1" applyAlignment="1">
      <alignment vertical="center"/>
    </xf>
    <xf numFmtId="165" fontId="8" fillId="5" borderId="15" xfId="0" applyNumberFormat="1" applyFont="1" applyFill="1" applyBorder="1" applyAlignment="1">
      <alignment vertical="center"/>
    </xf>
    <xf numFmtId="165" fontId="9" fillId="7" borderId="18" xfId="6" applyNumberFormat="1" applyFont="1" applyFill="1" applyBorder="1" applyAlignment="1">
      <alignment horizontal="center" vertical="center" wrapText="1"/>
    </xf>
    <xf numFmtId="9" fontId="9" fillId="7" borderId="15" xfId="2" applyFont="1" applyFill="1" applyBorder="1" applyAlignment="1">
      <alignment horizontal="center" vertical="center" wrapText="1"/>
    </xf>
    <xf numFmtId="9" fontId="9" fillId="7" borderId="15" xfId="2" quotePrefix="1" applyFont="1" applyFill="1" applyBorder="1" applyAlignment="1">
      <alignment horizontal="right" vertical="center" wrapText="1"/>
    </xf>
    <xf numFmtId="49" fontId="22" fillId="0" borderId="0" xfId="1" applyNumberFormat="1" applyFont="1" applyAlignment="1">
      <alignment horizontal="left" vertical="center"/>
    </xf>
    <xf numFmtId="49" fontId="15" fillId="0" borderId="0" xfId="0" applyNumberFormat="1" applyFont="1"/>
    <xf numFmtId="49" fontId="32" fillId="2" borderId="15" xfId="14" applyNumberFormat="1" applyFont="1" applyFill="1" applyBorder="1" applyAlignment="1">
      <alignment horizontal="center" vertical="center" wrapText="1"/>
    </xf>
    <xf numFmtId="49" fontId="9" fillId="7" borderId="30" xfId="0" applyNumberFormat="1" applyFont="1" applyFill="1" applyBorder="1" applyAlignment="1">
      <alignment horizontal="left" vertical="center"/>
    </xf>
    <xf numFmtId="49" fontId="9" fillId="7" borderId="31" xfId="0" applyNumberFormat="1" applyFont="1" applyFill="1" applyBorder="1" applyAlignment="1">
      <alignment horizontal="left" vertical="center"/>
    </xf>
    <xf numFmtId="49" fontId="9" fillId="7" borderId="32" xfId="0" applyNumberFormat="1" applyFont="1" applyFill="1" applyBorder="1" applyAlignment="1">
      <alignment horizontal="left" vertical="center"/>
    </xf>
    <xf numFmtId="49" fontId="8" fillId="13" borderId="15" xfId="0" applyNumberFormat="1" applyFont="1" applyFill="1" applyBorder="1" applyAlignment="1">
      <alignment horizontal="left" vertical="center"/>
    </xf>
    <xf numFmtId="167" fontId="8" fillId="5" borderId="24" xfId="1" applyNumberFormat="1" applyFont="1" applyFill="1" applyBorder="1" applyAlignment="1">
      <alignment vertical="center"/>
    </xf>
    <xf numFmtId="0" fontId="8" fillId="5" borderId="15" xfId="0" applyFont="1" applyFill="1" applyBorder="1" applyAlignment="1">
      <alignment horizontal="center" vertical="center" wrapText="1"/>
    </xf>
    <xf numFmtId="167" fontId="9" fillId="0" borderId="0" xfId="0" applyNumberFormat="1" applyFont="1"/>
    <xf numFmtId="167" fontId="9" fillId="7" borderId="0" xfId="8" quotePrefix="1" applyNumberFormat="1" applyFont="1" applyFill="1" applyBorder="1" applyAlignment="1">
      <alignment horizontal="right" vertical="center" wrapText="1"/>
    </xf>
    <xf numFmtId="164" fontId="6" fillId="0" borderId="0" xfId="1" applyNumberFormat="1" applyFont="1" applyAlignment="1">
      <alignment vertical="center"/>
    </xf>
    <xf numFmtId="167" fontId="9" fillId="7" borderId="31" xfId="0" applyNumberFormat="1" applyFont="1" applyFill="1" applyBorder="1" applyAlignment="1">
      <alignment vertical="center"/>
    </xf>
    <xf numFmtId="0" fontId="8" fillId="0" borderId="4" xfId="14" applyFont="1" applyBorder="1" applyAlignment="1">
      <alignment vertical="center" wrapText="1"/>
    </xf>
    <xf numFmtId="0" fontId="9" fillId="0" borderId="29" xfId="14" applyFont="1" applyBorder="1" applyAlignment="1">
      <alignment vertical="center" wrapText="1"/>
    </xf>
    <xf numFmtId="0" fontId="9" fillId="0" borderId="4" xfId="14" applyFont="1" applyBorder="1" applyAlignment="1">
      <alignment vertical="center" wrapText="1"/>
    </xf>
    <xf numFmtId="164" fontId="6" fillId="0" borderId="4" xfId="20" applyNumberFormat="1" applyFont="1" applyBorder="1"/>
    <xf numFmtId="190" fontId="6" fillId="0" borderId="4" xfId="20" applyNumberFormat="1" applyFont="1" applyBorder="1"/>
    <xf numFmtId="167" fontId="9" fillId="0" borderId="4" xfId="1" applyNumberFormat="1" applyFont="1" applyFill="1" applyBorder="1" applyAlignment="1">
      <alignment vertical="center"/>
    </xf>
    <xf numFmtId="164" fontId="6" fillId="0" borderId="4" xfId="20" applyNumberFormat="1" applyFont="1" applyBorder="1" applyAlignment="1">
      <alignment horizontal="center"/>
    </xf>
    <xf numFmtId="190" fontId="6" fillId="0" borderId="4" xfId="20" applyNumberFormat="1" applyFont="1" applyBorder="1" applyAlignment="1">
      <alignment horizontal="left"/>
    </xf>
    <xf numFmtId="164" fontId="7" fillId="0" borderId="4" xfId="1" applyNumberFormat="1" applyFont="1" applyFill="1" applyBorder="1" applyAlignment="1">
      <alignment vertical="center"/>
    </xf>
    <xf numFmtId="0" fontId="9" fillId="0" borderId="22" xfId="14" applyFont="1" applyBorder="1" applyAlignment="1">
      <alignment vertical="center" wrapText="1"/>
    </xf>
    <xf numFmtId="0" fontId="6" fillId="0" borderId="15" xfId="20" applyFont="1" applyBorder="1" applyAlignment="1">
      <alignment wrapText="1"/>
    </xf>
    <xf numFmtId="167" fontId="6" fillId="13" borderId="15" xfId="1" applyNumberFormat="1" applyFont="1" applyFill="1" applyBorder="1" applyAlignment="1">
      <alignment vertical="center"/>
    </xf>
    <xf numFmtId="9" fontId="9" fillId="0" borderId="0" xfId="2" applyFont="1" applyAlignment="1">
      <alignment vertical="center"/>
    </xf>
    <xf numFmtId="164" fontId="9" fillId="0" borderId="0" xfId="1" applyNumberFormat="1" applyFont="1" applyFill="1" applyAlignment="1">
      <alignment vertical="center"/>
    </xf>
    <xf numFmtId="0" fontId="9" fillId="0" borderId="15" xfId="0" applyFont="1" applyBorder="1" applyAlignment="1">
      <alignment horizontal="left" vertical="center" indent="1"/>
    </xf>
    <xf numFmtId="43" fontId="9" fillId="0" borderId="15" xfId="1" applyFont="1" applyBorder="1" applyAlignment="1">
      <alignment vertical="center"/>
    </xf>
    <xf numFmtId="0" fontId="9" fillId="0" borderId="15" xfId="0" quotePrefix="1" applyFont="1" applyBorder="1" applyAlignment="1">
      <alignment horizontal="center" vertical="center"/>
    </xf>
    <xf numFmtId="167" fontId="8" fillId="0" borderId="0" xfId="0" applyNumberFormat="1" applyFont="1"/>
    <xf numFmtId="167" fontId="9" fillId="0" borderId="31" xfId="1" applyNumberFormat="1" applyFont="1" applyFill="1" applyBorder="1"/>
    <xf numFmtId="167" fontId="9" fillId="0" borderId="31" xfId="1" applyNumberFormat="1" applyFont="1" applyFill="1" applyBorder="1" applyAlignment="1">
      <alignment vertical="center"/>
    </xf>
    <xf numFmtId="167" fontId="6" fillId="0" borderId="4" xfId="1" applyNumberFormat="1" applyFont="1" applyBorder="1" applyAlignment="1">
      <alignment vertical="center"/>
    </xf>
    <xf numFmtId="0" fontId="7" fillId="0" borderId="4" xfId="20" applyFont="1" applyBorder="1" applyAlignment="1">
      <alignment horizontal="center"/>
    </xf>
    <xf numFmtId="0" fontId="7" fillId="9" borderId="4" xfId="20" applyFont="1" applyFill="1" applyBorder="1" applyAlignment="1">
      <alignment horizontal="center"/>
    </xf>
    <xf numFmtId="0" fontId="7" fillId="35" borderId="4" xfId="20" applyFont="1" applyFill="1" applyBorder="1" applyAlignment="1">
      <alignment horizontal="center"/>
    </xf>
    <xf numFmtId="190" fontId="7" fillId="35" borderId="4" xfId="20" applyNumberFormat="1" applyFont="1" applyFill="1" applyBorder="1" applyAlignment="1">
      <alignment horizontal="center"/>
    </xf>
    <xf numFmtId="164" fontId="7" fillId="0" borderId="4" xfId="20" applyNumberFormat="1" applyFont="1" applyBorder="1" applyAlignment="1">
      <alignment horizontal="center"/>
    </xf>
    <xf numFmtId="164" fontId="7" fillId="0" borderId="4" xfId="3" applyNumberFormat="1" applyFont="1" applyBorder="1"/>
    <xf numFmtId="0" fontId="7" fillId="0" borderId="4" xfId="14" applyFont="1" applyBorder="1" applyAlignment="1">
      <alignment vertical="center"/>
    </xf>
    <xf numFmtId="0" fontId="7" fillId="0" borderId="4" xfId="20" applyFont="1" applyBorder="1"/>
    <xf numFmtId="190" fontId="7" fillId="35" borderId="4" xfId="20" applyNumberFormat="1" applyFont="1" applyFill="1" applyBorder="1"/>
    <xf numFmtId="190" fontId="7" fillId="35" borderId="4" xfId="20" applyNumberFormat="1" applyFont="1" applyFill="1" applyBorder="1" applyAlignment="1">
      <alignment horizontal="left"/>
    </xf>
    <xf numFmtId="167" fontId="7" fillId="0" borderId="29" xfId="1" applyNumberFormat="1" applyFont="1" applyBorder="1" applyAlignment="1">
      <alignment vertical="center"/>
    </xf>
    <xf numFmtId="167" fontId="7" fillId="0" borderId="4" xfId="1" applyNumberFormat="1" applyFont="1" applyBorder="1" applyAlignment="1">
      <alignment vertical="center"/>
    </xf>
    <xf numFmtId="0" fontId="7" fillId="0" borderId="0" xfId="20" applyFont="1"/>
    <xf numFmtId="2" fontId="7" fillId="0" borderId="4" xfId="20" applyNumberFormat="1" applyFont="1" applyBorder="1"/>
    <xf numFmtId="164" fontId="7" fillId="0" borderId="4" xfId="1" applyNumberFormat="1" applyFont="1" applyBorder="1" applyAlignment="1">
      <alignment vertical="center"/>
    </xf>
    <xf numFmtId="0" fontId="7" fillId="0" borderId="4" xfId="14" applyFont="1" applyBorder="1" applyAlignment="1">
      <alignment vertical="center" wrapText="1"/>
    </xf>
    <xf numFmtId="0" fontId="6" fillId="0" borderId="4" xfId="14" applyFont="1" applyBorder="1" applyAlignment="1">
      <alignment vertical="center"/>
    </xf>
    <xf numFmtId="0" fontId="6" fillId="0" borderId="4" xfId="14" applyFont="1" applyBorder="1" applyAlignment="1">
      <alignment vertical="center" wrapText="1"/>
    </xf>
    <xf numFmtId="0" fontId="6" fillId="0" borderId="17" xfId="14" applyFont="1" applyBorder="1" applyAlignment="1">
      <alignment horizontal="center" vertical="center"/>
    </xf>
    <xf numFmtId="0" fontId="6" fillId="0" borderId="17" xfId="14" applyFont="1" applyBorder="1" applyAlignment="1">
      <alignment horizontal="left" vertical="center"/>
    </xf>
    <xf numFmtId="0" fontId="6" fillId="0" borderId="17" xfId="14" applyFont="1" applyBorder="1" applyAlignment="1">
      <alignment vertical="center"/>
    </xf>
    <xf numFmtId="190" fontId="7" fillId="0" borderId="4" xfId="20" applyNumberFormat="1" applyFont="1" applyBorder="1" applyAlignment="1">
      <alignment horizontal="center"/>
    </xf>
    <xf numFmtId="164" fontId="60" fillId="0" borderId="4" xfId="14" applyNumberFormat="1" applyFont="1" applyBorder="1" applyAlignment="1">
      <alignment vertical="center"/>
    </xf>
    <xf numFmtId="164" fontId="60" fillId="0" borderId="4" xfId="20" applyNumberFormat="1" applyFont="1" applyBorder="1"/>
    <xf numFmtId="164" fontId="60" fillId="0" borderId="4" xfId="20" applyNumberFormat="1" applyFont="1" applyBorder="1" applyAlignment="1">
      <alignment horizontal="left"/>
    </xf>
    <xf numFmtId="190" fontId="7" fillId="0" borderId="4" xfId="20" applyNumberFormat="1" applyFont="1" applyBorder="1"/>
    <xf numFmtId="190" fontId="7" fillId="0" borderId="4" xfId="20" applyNumberFormat="1" applyFont="1" applyBorder="1" applyAlignment="1">
      <alignment horizontal="left"/>
    </xf>
    <xf numFmtId="167" fontId="7" fillId="0" borderId="29" xfId="1" applyNumberFormat="1" applyFont="1" applyFill="1" applyBorder="1" applyAlignment="1">
      <alignment vertical="center"/>
    </xf>
    <xf numFmtId="190" fontId="6" fillId="0" borderId="4" xfId="20" applyNumberFormat="1" applyFont="1" applyBorder="1" applyAlignment="1">
      <alignment horizontal="center"/>
    </xf>
    <xf numFmtId="164" fontId="5" fillId="0" borderId="4" xfId="14" applyNumberFormat="1" applyFont="1" applyBorder="1" applyAlignment="1">
      <alignment vertical="center"/>
    </xf>
    <xf numFmtId="164" fontId="5" fillId="0" borderId="4" xfId="20" applyNumberFormat="1" applyFont="1" applyBorder="1"/>
    <xf numFmtId="164" fontId="5" fillId="0" borderId="4" xfId="20" applyNumberFormat="1" applyFont="1" applyBorder="1" applyAlignment="1">
      <alignment horizontal="left"/>
    </xf>
    <xf numFmtId="167" fontId="6" fillId="0" borderId="29" xfId="1" applyNumberFormat="1" applyFont="1" applyFill="1" applyBorder="1" applyAlignment="1">
      <alignment vertical="center"/>
    </xf>
    <xf numFmtId="190" fontId="6" fillId="5" borderId="4" xfId="20" applyNumberFormat="1" applyFont="1" applyFill="1" applyBorder="1"/>
    <xf numFmtId="190" fontId="7" fillId="0" borderId="29" xfId="20" applyNumberFormat="1" applyFont="1" applyBorder="1" applyAlignment="1">
      <alignment horizontal="center"/>
    </xf>
    <xf numFmtId="190" fontId="7" fillId="0" borderId="0" xfId="20" applyNumberFormat="1" applyFont="1" applyAlignment="1">
      <alignment horizontal="left"/>
    </xf>
    <xf numFmtId="190" fontId="7" fillId="0" borderId="0" xfId="20" applyNumberFormat="1" applyFont="1"/>
    <xf numFmtId="167" fontId="9" fillId="0" borderId="29" xfId="1" applyNumberFormat="1" applyFont="1" applyFill="1" applyBorder="1" applyAlignment="1">
      <alignment vertical="center"/>
    </xf>
    <xf numFmtId="0" fontId="18" fillId="2" borderId="15" xfId="0" applyFont="1" applyFill="1" applyBorder="1" applyAlignment="1">
      <alignment horizontal="center" vertical="center" wrapText="1"/>
    </xf>
    <xf numFmtId="0" fontId="18" fillId="9" borderId="15" xfId="0" applyFont="1" applyFill="1" applyBorder="1" applyAlignment="1">
      <alignment horizontal="center" vertical="center" wrapText="1"/>
    </xf>
    <xf numFmtId="0" fontId="18" fillId="0" borderId="15" xfId="0" applyFont="1" applyBorder="1" applyAlignment="1">
      <alignment vertical="center" wrapText="1"/>
    </xf>
    <xf numFmtId="0" fontId="18" fillId="0" borderId="15" xfId="0" applyFont="1" applyBorder="1" applyAlignment="1">
      <alignment vertical="center"/>
    </xf>
    <xf numFmtId="0" fontId="18" fillId="0" borderId="15" xfId="0" applyFont="1" applyBorder="1" applyAlignment="1">
      <alignment horizontal="center" vertical="center" wrapText="1"/>
    </xf>
    <xf numFmtId="176" fontId="17" fillId="0" borderId="15" xfId="0" applyNumberFormat="1" applyFont="1" applyBorder="1" applyAlignment="1">
      <alignment horizontal="center" vertical="center" wrapText="1"/>
    </xf>
    <xf numFmtId="0" fontId="17" fillId="0" borderId="18" xfId="0" applyFont="1" applyBorder="1" applyAlignment="1">
      <alignment horizontal="right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5" xfId="0" quotePrefix="1" applyFont="1" applyBorder="1" applyAlignment="1">
      <alignment vertical="center" wrapText="1"/>
    </xf>
    <xf numFmtId="0" fontId="17" fillId="0" borderId="15" xfId="0" applyFont="1" applyBorder="1" applyAlignment="1">
      <alignment horizontal="right" vertical="center" wrapText="1"/>
    </xf>
    <xf numFmtId="0" fontId="17" fillId="0" borderId="18" xfId="0" applyFont="1" applyBorder="1" applyAlignment="1">
      <alignment vertical="center" wrapText="1"/>
    </xf>
    <xf numFmtId="173" fontId="8" fillId="0" borderId="4" xfId="1" applyNumberFormat="1" applyFont="1" applyBorder="1" applyAlignment="1" applyProtection="1">
      <alignment horizontal="left" vertical="center"/>
    </xf>
    <xf numFmtId="173" fontId="8" fillId="0" borderId="4" xfId="1" applyNumberFormat="1" applyFont="1" applyBorder="1" applyAlignment="1" applyProtection="1">
      <alignment horizontal="left" vertical="center" wrapText="1"/>
    </xf>
    <xf numFmtId="168" fontId="8" fillId="0" borderId="4" xfId="1" applyNumberFormat="1" applyFont="1" applyFill="1" applyBorder="1" applyAlignment="1">
      <alignment horizontal="right" vertical="center"/>
    </xf>
    <xf numFmtId="173" fontId="9" fillId="0" borderId="4" xfId="1" applyNumberFormat="1" applyFont="1" applyBorder="1" applyAlignment="1" applyProtection="1">
      <alignment horizontal="left" vertical="center"/>
    </xf>
    <xf numFmtId="173" fontId="9" fillId="0" borderId="4" xfId="1" applyNumberFormat="1" applyFont="1" applyBorder="1" applyAlignment="1" applyProtection="1">
      <alignment horizontal="left" vertical="center" wrapText="1"/>
    </xf>
    <xf numFmtId="168" fontId="9" fillId="0" borderId="4" xfId="1" applyNumberFormat="1" applyFont="1" applyFill="1" applyBorder="1" applyAlignment="1">
      <alignment horizontal="right" vertical="center"/>
    </xf>
    <xf numFmtId="0" fontId="8" fillId="10" borderId="4" xfId="1" applyNumberFormat="1" applyFont="1" applyFill="1" applyBorder="1" applyAlignment="1" applyProtection="1">
      <alignment horizontal="left" vertical="center"/>
    </xf>
    <xf numFmtId="0" fontId="8" fillId="10" borderId="4" xfId="1" applyNumberFormat="1" applyFont="1" applyFill="1" applyBorder="1" applyAlignment="1" applyProtection="1">
      <alignment horizontal="left" vertical="center" wrapText="1"/>
    </xf>
    <xf numFmtId="171" fontId="8" fillId="10" borderId="4" xfId="1" applyNumberFormat="1" applyFont="1" applyFill="1" applyBorder="1" applyAlignment="1" applyProtection="1">
      <alignment vertical="center"/>
    </xf>
    <xf numFmtId="169" fontId="9" fillId="0" borderId="4" xfId="9" applyNumberFormat="1" applyFont="1" applyBorder="1" applyAlignment="1">
      <alignment horizontal="left" vertical="center"/>
    </xf>
    <xf numFmtId="171" fontId="12" fillId="0" borderId="4" xfId="1" applyNumberFormat="1" applyFont="1" applyFill="1" applyBorder="1" applyAlignment="1" applyProtection="1">
      <alignment vertical="center"/>
    </xf>
    <xf numFmtId="0" fontId="9" fillId="0" borderId="4" xfId="1" applyNumberFormat="1" applyFont="1" applyFill="1" applyBorder="1" applyAlignment="1" applyProtection="1">
      <alignment horizontal="left" vertical="center" wrapText="1"/>
    </xf>
    <xf numFmtId="0" fontId="8" fillId="0" borderId="4" xfId="1" applyNumberFormat="1" applyFont="1" applyFill="1" applyBorder="1" applyAlignment="1" applyProtection="1">
      <alignment horizontal="left" vertical="center"/>
    </xf>
    <xf numFmtId="0" fontId="8" fillId="0" borderId="4" xfId="1" applyNumberFormat="1" applyFont="1" applyFill="1" applyBorder="1" applyAlignment="1" applyProtection="1">
      <alignment horizontal="left" vertical="center" wrapText="1"/>
    </xf>
    <xf numFmtId="171" fontId="8" fillId="0" borderId="4" xfId="1" applyNumberFormat="1" applyFont="1" applyFill="1" applyBorder="1" applyAlignment="1" applyProtection="1">
      <alignment vertical="center"/>
    </xf>
    <xf numFmtId="0" fontId="8" fillId="0" borderId="4" xfId="1" applyNumberFormat="1" applyFont="1" applyBorder="1" applyAlignment="1" applyProtection="1">
      <alignment horizontal="left" vertical="center"/>
    </xf>
    <xf numFmtId="0" fontId="8" fillId="0" borderId="4" xfId="1" applyNumberFormat="1" applyFont="1" applyBorder="1" applyAlignment="1" applyProtection="1">
      <alignment horizontal="left" vertical="center" wrapText="1"/>
    </xf>
    <xf numFmtId="0" fontId="9" fillId="0" borderId="4" xfId="1" applyNumberFormat="1" applyFont="1" applyBorder="1" applyAlignment="1" applyProtection="1">
      <alignment horizontal="left" vertical="center"/>
    </xf>
    <xf numFmtId="0" fontId="9" fillId="0" borderId="4" xfId="1" applyNumberFormat="1" applyFont="1" applyBorder="1" applyAlignment="1" applyProtection="1">
      <alignment horizontal="left" vertical="center" wrapText="1"/>
    </xf>
    <xf numFmtId="171" fontId="9" fillId="0" borderId="4" xfId="1" applyNumberFormat="1" applyFont="1" applyFill="1" applyBorder="1" applyAlignment="1" applyProtection="1">
      <alignment vertical="center"/>
    </xf>
    <xf numFmtId="0" fontId="12" fillId="0" borderId="4" xfId="1" applyNumberFormat="1" applyFont="1" applyBorder="1" applyAlignment="1" applyProtection="1">
      <alignment horizontal="left" vertical="center"/>
    </xf>
    <xf numFmtId="0" fontId="12" fillId="0" borderId="4" xfId="1" applyNumberFormat="1" applyFont="1" applyBorder="1" applyAlignment="1" applyProtection="1">
      <alignment horizontal="left" vertical="center" wrapText="1"/>
    </xf>
    <xf numFmtId="0" fontId="20" fillId="0" borderId="4" xfId="1" applyNumberFormat="1" applyFont="1" applyBorder="1" applyAlignment="1" applyProtection="1">
      <alignment horizontal="left" vertical="center"/>
    </xf>
    <xf numFmtId="175" fontId="20" fillId="0" borderId="4" xfId="2" applyNumberFormat="1" applyFont="1" applyFill="1" applyBorder="1" applyAlignment="1" applyProtection="1">
      <alignment horizontal="left" vertical="center" wrapText="1"/>
    </xf>
    <xf numFmtId="174" fontId="20" fillId="0" borderId="4" xfId="2" applyNumberFormat="1" applyFont="1" applyFill="1" applyBorder="1" applyAlignment="1" applyProtection="1">
      <alignment vertical="center"/>
    </xf>
    <xf numFmtId="174" fontId="20" fillId="0" borderId="4" xfId="2" applyNumberFormat="1" applyFont="1" applyFill="1" applyBorder="1" applyAlignment="1" applyProtection="1">
      <alignment horizontal="left" vertical="center"/>
    </xf>
    <xf numFmtId="175" fontId="20" fillId="0" borderId="4" xfId="2" applyNumberFormat="1" applyFont="1" applyFill="1" applyBorder="1" applyAlignment="1" applyProtection="1">
      <alignment horizontal="left" vertical="center"/>
    </xf>
    <xf numFmtId="9" fontId="21" fillId="0" borderId="4" xfId="2" applyFont="1" applyFill="1" applyBorder="1" applyAlignment="1" applyProtection="1">
      <alignment vertical="center"/>
    </xf>
    <xf numFmtId="175" fontId="20" fillId="0" borderId="4" xfId="2" applyNumberFormat="1" applyFont="1" applyFill="1" applyBorder="1" applyAlignment="1" applyProtection="1">
      <alignment vertical="center"/>
    </xf>
    <xf numFmtId="9" fontId="12" fillId="0" borderId="5" xfId="2" applyFont="1" applyFill="1" applyBorder="1" applyAlignment="1" applyProtection="1">
      <alignment horizontal="left" vertical="center"/>
    </xf>
    <xf numFmtId="9" fontId="12" fillId="0" borderId="5" xfId="2" applyFont="1" applyFill="1" applyBorder="1" applyAlignment="1" applyProtection="1">
      <alignment horizontal="left" vertical="center" wrapText="1"/>
    </xf>
    <xf numFmtId="171" fontId="12" fillId="0" borderId="5" xfId="2" applyNumberFormat="1" applyFont="1" applyFill="1" applyBorder="1" applyAlignment="1" applyProtection="1">
      <alignment vertical="center"/>
    </xf>
    <xf numFmtId="0" fontId="8" fillId="11" borderId="15" xfId="0" applyFont="1" applyFill="1" applyBorder="1" applyAlignment="1">
      <alignment vertical="center" wrapText="1"/>
    </xf>
    <xf numFmtId="164" fontId="8" fillId="0" borderId="15" xfId="1" applyNumberFormat="1" applyFont="1" applyBorder="1" applyAlignment="1">
      <alignment vertical="center"/>
    </xf>
    <xf numFmtId="165" fontId="19" fillId="0" borderId="15" xfId="2" applyNumberFormat="1" applyFont="1" applyBorder="1" applyAlignment="1">
      <alignment horizontal="left" vertical="center"/>
    </xf>
    <xf numFmtId="164" fontId="9" fillId="5" borderId="15" xfId="1" applyNumberFormat="1" applyFont="1" applyFill="1" applyBorder="1" applyAlignment="1">
      <alignment vertical="center"/>
    </xf>
    <xf numFmtId="0" fontId="8" fillId="11" borderId="15" xfId="0" applyFont="1" applyFill="1" applyBorder="1" applyAlignment="1">
      <alignment horizontal="right" vertical="center"/>
    </xf>
    <xf numFmtId="165" fontId="9" fillId="0" borderId="15" xfId="2" applyNumberFormat="1" applyFont="1" applyBorder="1" applyAlignment="1">
      <alignment horizontal="left" vertical="center"/>
    </xf>
    <xf numFmtId="166" fontId="9" fillId="0" borderId="15" xfId="0" applyNumberFormat="1" applyFont="1" applyBorder="1" applyAlignment="1">
      <alignment vertical="center"/>
    </xf>
    <xf numFmtId="164" fontId="9" fillId="7" borderId="15" xfId="1" applyNumberFormat="1" applyFont="1" applyFill="1" applyBorder="1" applyAlignment="1">
      <alignment vertical="center"/>
    </xf>
    <xf numFmtId="164" fontId="9" fillId="0" borderId="15" xfId="1" applyNumberFormat="1" applyFont="1" applyFill="1" applyBorder="1" applyAlignment="1">
      <alignment vertical="center"/>
    </xf>
    <xf numFmtId="166" fontId="9" fillId="0" borderId="15" xfId="1" applyNumberFormat="1" applyFont="1" applyBorder="1" applyAlignment="1">
      <alignment vertical="center"/>
    </xf>
    <xf numFmtId="0" fontId="9" fillId="7" borderId="15" xfId="0" applyFont="1" applyFill="1" applyBorder="1" applyAlignment="1">
      <alignment vertical="center"/>
    </xf>
    <xf numFmtId="164" fontId="8" fillId="11" borderId="15" xfId="1" applyNumberFormat="1" applyFont="1" applyFill="1" applyBorder="1" applyAlignment="1">
      <alignment vertical="center" wrapText="1"/>
    </xf>
    <xf numFmtId="0" fontId="12" fillId="0" borderId="15" xfId="0" applyFont="1" applyBorder="1" applyAlignment="1">
      <alignment horizontal="right" vertical="center"/>
    </xf>
    <xf numFmtId="0" fontId="12" fillId="0" borderId="15" xfId="0" applyFont="1" applyBorder="1" applyAlignment="1">
      <alignment vertical="center"/>
    </xf>
    <xf numFmtId="164" fontId="12" fillId="0" borderId="15" xfId="0" applyNumberFormat="1" applyFont="1" applyBorder="1" applyAlignment="1">
      <alignment vertical="center"/>
    </xf>
    <xf numFmtId="164" fontId="12" fillId="0" borderId="15" xfId="1" applyNumberFormat="1" applyFont="1" applyBorder="1" applyAlignment="1">
      <alignment vertical="center"/>
    </xf>
    <xf numFmtId="168" fontId="9" fillId="7" borderId="15" xfId="8" quotePrefix="1" applyNumberFormat="1" applyFont="1" applyFill="1" applyBorder="1" applyAlignment="1">
      <alignment horizontal="right" vertical="center" wrapText="1"/>
    </xf>
    <xf numFmtId="9" fontId="8" fillId="7" borderId="15" xfId="2" quotePrefix="1" applyFont="1" applyFill="1" applyBorder="1" applyAlignment="1">
      <alignment horizontal="right" vertical="center" wrapText="1"/>
    </xf>
    <xf numFmtId="0" fontId="9" fillId="7" borderId="18" xfId="6" applyFont="1" applyFill="1" applyBorder="1" applyAlignment="1">
      <alignment horizontal="left" vertical="center" wrapText="1"/>
    </xf>
    <xf numFmtId="165" fontId="8" fillId="3" borderId="15" xfId="6" applyNumberFormat="1" applyFont="1" applyFill="1" applyBorder="1" applyAlignment="1">
      <alignment horizontal="center" vertical="center" wrapText="1"/>
    </xf>
    <xf numFmtId="9" fontId="8" fillId="3" borderId="15" xfId="2" quotePrefix="1" applyFont="1" applyFill="1" applyBorder="1" applyAlignment="1">
      <alignment horizontal="right" vertical="center" wrapText="1"/>
    </xf>
    <xf numFmtId="0" fontId="9" fillId="0" borderId="15" xfId="6" applyFont="1" applyBorder="1" applyAlignment="1">
      <alignment horizontal="center" vertical="center" wrapText="1"/>
    </xf>
    <xf numFmtId="0" fontId="9" fillId="0" borderId="15" xfId="6" applyFont="1" applyBorder="1" applyAlignment="1">
      <alignment horizontal="left" vertical="center" wrapText="1"/>
    </xf>
    <xf numFmtId="165" fontId="9" fillId="0" borderId="15" xfId="6" applyNumberFormat="1" applyFont="1" applyBorder="1" applyAlignment="1">
      <alignment horizontal="center" vertical="center" wrapText="1"/>
    </xf>
    <xf numFmtId="164" fontId="9" fillId="0" borderId="15" xfId="1" quotePrefix="1" applyNumberFormat="1" applyFont="1" applyFill="1" applyBorder="1" applyAlignment="1">
      <alignment horizontal="center" vertical="center" wrapText="1"/>
    </xf>
    <xf numFmtId="0" fontId="9" fillId="0" borderId="18" xfId="6" applyFont="1" applyBorder="1" applyAlignment="1">
      <alignment horizontal="left" vertical="center" wrapText="1"/>
    </xf>
    <xf numFmtId="180" fontId="8" fillId="3" borderId="15" xfId="8" quotePrefix="1" applyNumberFormat="1" applyFont="1" applyFill="1" applyBorder="1" applyAlignment="1">
      <alignment horizontal="right" vertical="center" wrapText="1"/>
    </xf>
    <xf numFmtId="167" fontId="8" fillId="7" borderId="15" xfId="8" quotePrefix="1" applyNumberFormat="1" applyFont="1" applyFill="1" applyBorder="1" applyAlignment="1">
      <alignment horizontal="right" vertical="center" wrapText="1"/>
    </xf>
    <xf numFmtId="167" fontId="8" fillId="3" borderId="15" xfId="8" quotePrefix="1" applyNumberFormat="1" applyFont="1" applyFill="1" applyBorder="1" applyAlignment="1">
      <alignment horizontal="right" vertical="center" wrapText="1"/>
    </xf>
    <xf numFmtId="186" fontId="8" fillId="7" borderId="15" xfId="8" quotePrefix="1" applyNumberFormat="1" applyFont="1" applyFill="1" applyBorder="1" applyAlignment="1">
      <alignment horizontal="right" vertical="center" wrapText="1"/>
    </xf>
    <xf numFmtId="164" fontId="9" fillId="7" borderId="15" xfId="1" quotePrefix="1" applyNumberFormat="1" applyFont="1" applyFill="1" applyBorder="1" applyAlignment="1">
      <alignment horizontal="right" vertical="center" wrapText="1"/>
    </xf>
    <xf numFmtId="164" fontId="8" fillId="7" borderId="15" xfId="1" quotePrefix="1" applyNumberFormat="1" applyFont="1" applyFill="1" applyBorder="1" applyAlignment="1">
      <alignment horizontal="right" vertical="center" wrapText="1"/>
    </xf>
    <xf numFmtId="178" fontId="9" fillId="7" borderId="15" xfId="8" quotePrefix="1" applyNumberFormat="1" applyFont="1" applyFill="1" applyBorder="1" applyAlignment="1">
      <alignment horizontal="right" vertical="center" wrapText="1"/>
    </xf>
    <xf numFmtId="0" fontId="8" fillId="7" borderId="15" xfId="6" applyFont="1" applyFill="1" applyBorder="1" applyAlignment="1">
      <alignment horizontal="center" vertical="center" wrapText="1"/>
    </xf>
    <xf numFmtId="0" fontId="8" fillId="7" borderId="15" xfId="6" applyFont="1" applyFill="1" applyBorder="1" applyAlignment="1">
      <alignment horizontal="left" vertical="center" wrapText="1"/>
    </xf>
    <xf numFmtId="165" fontId="8" fillId="7" borderId="15" xfId="6" applyNumberFormat="1" applyFont="1" applyFill="1" applyBorder="1" applyAlignment="1">
      <alignment horizontal="center" vertical="center" wrapText="1"/>
    </xf>
    <xf numFmtId="165" fontId="8" fillId="8" borderId="15" xfId="2" applyNumberFormat="1" applyFont="1" applyFill="1" applyBorder="1" applyAlignment="1">
      <alignment horizontal="left" vertical="center"/>
    </xf>
    <xf numFmtId="165" fontId="8" fillId="8" borderId="15" xfId="2" applyNumberFormat="1" applyFont="1" applyFill="1" applyBorder="1" applyAlignment="1">
      <alignment horizontal="center" vertical="center" wrapText="1"/>
    </xf>
    <xf numFmtId="165" fontId="9" fillId="7" borderId="15" xfId="2" applyNumberFormat="1" applyFont="1" applyFill="1" applyBorder="1" applyAlignment="1">
      <alignment horizontal="center" vertical="center" wrapText="1"/>
    </xf>
    <xf numFmtId="9" fontId="9" fillId="0" borderId="15" xfId="2" applyFont="1" applyFill="1" applyBorder="1" applyAlignment="1">
      <alignment horizontal="center" vertical="center" wrapText="1"/>
    </xf>
    <xf numFmtId="9" fontId="8" fillId="7" borderId="15" xfId="2" applyFont="1" applyFill="1" applyBorder="1" applyAlignment="1">
      <alignment horizontal="center" vertical="center" wrapText="1"/>
    </xf>
    <xf numFmtId="0" fontId="8" fillId="9" borderId="15" xfId="6" applyFont="1" applyFill="1" applyBorder="1" applyAlignment="1">
      <alignment horizontal="center" vertical="center" wrapText="1"/>
    </xf>
    <xf numFmtId="0" fontId="8" fillId="9" borderId="15" xfId="6" applyFont="1" applyFill="1" applyBorder="1" applyAlignment="1">
      <alignment horizontal="left" vertical="center" wrapText="1"/>
    </xf>
    <xf numFmtId="165" fontId="8" fillId="9" borderId="15" xfId="6" applyNumberFormat="1" applyFont="1" applyFill="1" applyBorder="1" applyAlignment="1">
      <alignment horizontal="center" vertical="center" wrapText="1"/>
    </xf>
    <xf numFmtId="167" fontId="8" fillId="9" borderId="15" xfId="8" quotePrefix="1" applyNumberFormat="1" applyFont="1" applyFill="1" applyBorder="1" applyAlignment="1">
      <alignment horizontal="right" vertical="center" wrapText="1"/>
    </xf>
    <xf numFmtId="0" fontId="8" fillId="8" borderId="15" xfId="6" applyFont="1" applyFill="1" applyBorder="1" applyAlignment="1">
      <alignment horizontal="center" vertical="center" wrapText="1"/>
    </xf>
    <xf numFmtId="0" fontId="8" fillId="8" borderId="15" xfId="6" applyFont="1" applyFill="1" applyBorder="1" applyAlignment="1">
      <alignment horizontal="left" vertical="center" wrapText="1"/>
    </xf>
    <xf numFmtId="165" fontId="8" fillId="8" borderId="15" xfId="6" applyNumberFormat="1" applyFont="1" applyFill="1" applyBorder="1" applyAlignment="1">
      <alignment horizontal="center" vertical="center" wrapText="1"/>
    </xf>
    <xf numFmtId="164" fontId="8" fillId="8" borderId="15" xfId="8" quotePrefix="1" applyNumberFormat="1" applyFont="1" applyFill="1" applyBorder="1" applyAlignment="1">
      <alignment horizontal="center" vertical="center" wrapText="1"/>
    </xf>
    <xf numFmtId="164" fontId="9" fillId="7" borderId="15" xfId="8" quotePrefix="1" applyNumberFormat="1" applyFont="1" applyFill="1" applyBorder="1" applyAlignment="1">
      <alignment horizontal="center" vertical="center" wrapText="1"/>
    </xf>
    <xf numFmtId="0" fontId="8" fillId="2" borderId="15" xfId="6" applyFont="1" applyFill="1" applyBorder="1" applyAlignment="1">
      <alignment horizontal="center" vertical="center" wrapText="1"/>
    </xf>
    <xf numFmtId="0" fontId="8" fillId="2" borderId="15" xfId="6" applyFont="1" applyFill="1" applyBorder="1" applyAlignment="1">
      <alignment horizontal="left" vertical="center" wrapText="1"/>
    </xf>
    <xf numFmtId="165" fontId="8" fillId="2" borderId="15" xfId="6" applyNumberFormat="1" applyFont="1" applyFill="1" applyBorder="1" applyAlignment="1">
      <alignment horizontal="center" vertical="center" wrapText="1"/>
    </xf>
    <xf numFmtId="164" fontId="8" fillId="2" borderId="15" xfId="8" quotePrefix="1" applyNumberFormat="1" applyFont="1" applyFill="1" applyBorder="1" applyAlignment="1">
      <alignment horizontal="center" vertical="center" wrapText="1"/>
    </xf>
    <xf numFmtId="167" fontId="9" fillId="7" borderId="15" xfId="8" quotePrefix="1" applyNumberFormat="1" applyFont="1" applyFill="1" applyBorder="1" applyAlignment="1">
      <alignment horizontal="center" vertical="center" wrapText="1"/>
    </xf>
    <xf numFmtId="167" fontId="8" fillId="8" borderId="15" xfId="8" quotePrefix="1" applyNumberFormat="1" applyFont="1" applyFill="1" applyBorder="1" applyAlignment="1">
      <alignment horizontal="center" vertical="center" wrapText="1"/>
    </xf>
    <xf numFmtId="10" fontId="8" fillId="0" borderId="15" xfId="2" applyNumberFormat="1" applyFont="1" applyBorder="1" applyAlignment="1">
      <alignment vertical="center"/>
    </xf>
    <xf numFmtId="10" fontId="9" fillId="0" borderId="15" xfId="2" applyNumberFormat="1" applyFont="1" applyBorder="1" applyAlignment="1">
      <alignment vertical="center"/>
    </xf>
    <xf numFmtId="165" fontId="8" fillId="0" borderId="15" xfId="2" applyNumberFormat="1" applyFont="1" applyFill="1" applyBorder="1" applyAlignment="1">
      <alignment vertical="center"/>
    </xf>
    <xf numFmtId="165" fontId="8" fillId="0" borderId="15" xfId="0" applyNumberFormat="1" applyFont="1" applyBorder="1" applyAlignment="1">
      <alignment vertical="center"/>
    </xf>
    <xf numFmtId="0" fontId="13" fillId="13" borderId="15" xfId="0" applyFont="1" applyFill="1" applyBorder="1" applyAlignment="1">
      <alignment horizontal="left" vertical="center"/>
    </xf>
    <xf numFmtId="0" fontId="5" fillId="4" borderId="15" xfId="0" applyFont="1" applyFill="1" applyBorder="1" applyAlignment="1">
      <alignment horizontal="left" vertical="center"/>
    </xf>
    <xf numFmtId="0" fontId="74" fillId="0" borderId="4" xfId="20" applyFont="1" applyBorder="1" applyAlignment="1">
      <alignment horizontal="center"/>
    </xf>
    <xf numFmtId="0" fontId="74" fillId="9" borderId="4" xfId="20" applyFont="1" applyFill="1" applyBorder="1" applyAlignment="1">
      <alignment horizontal="center"/>
    </xf>
    <xf numFmtId="0" fontId="74" fillId="35" borderId="4" xfId="20" applyFont="1" applyFill="1" applyBorder="1" applyAlignment="1">
      <alignment horizontal="center"/>
    </xf>
    <xf numFmtId="164" fontId="74" fillId="0" borderId="4" xfId="20" applyNumberFormat="1" applyFont="1" applyBorder="1" applyAlignment="1">
      <alignment horizontal="center"/>
    </xf>
    <xf numFmtId="164" fontId="74" fillId="0" borderId="4" xfId="3" applyNumberFormat="1" applyFont="1" applyBorder="1"/>
    <xf numFmtId="0" fontId="75" fillId="0" borderId="4" xfId="14" applyFont="1" applyBorder="1" applyAlignment="1">
      <alignment vertical="center"/>
    </xf>
    <xf numFmtId="0" fontId="74" fillId="0" borderId="4" xfId="20" applyFont="1" applyBorder="1"/>
    <xf numFmtId="0" fontId="75" fillId="0" borderId="4" xfId="14" applyFont="1" applyBorder="1" applyAlignment="1">
      <alignment vertical="center" wrapText="1"/>
    </xf>
    <xf numFmtId="2" fontId="74" fillId="0" borderId="4" xfId="20" applyNumberFormat="1" applyFont="1" applyBorder="1"/>
    <xf numFmtId="164" fontId="76" fillId="0" borderId="4" xfId="1" applyNumberFormat="1" applyFont="1" applyBorder="1" applyAlignment="1">
      <alignment vertical="center"/>
    </xf>
    <xf numFmtId="164" fontId="76" fillId="0" borderId="4" xfId="1" applyNumberFormat="1" applyFont="1" applyFill="1" applyBorder="1" applyAlignment="1">
      <alignment vertical="center"/>
    </xf>
    <xf numFmtId="167" fontId="75" fillId="0" borderId="4" xfId="1" applyNumberFormat="1" applyFont="1" applyBorder="1" applyAlignment="1">
      <alignment vertical="center"/>
    </xf>
    <xf numFmtId="0" fontId="6" fillId="0" borderId="15" xfId="20" applyFont="1" applyBorder="1" applyAlignment="1">
      <alignment horizontal="left" indent="2"/>
    </xf>
    <xf numFmtId="164" fontId="74" fillId="0" borderId="4" xfId="3" applyNumberFormat="1" applyFont="1" applyBorder="1" applyAlignment="1">
      <alignment horizontal="left" wrapText="1" indent="1"/>
    </xf>
    <xf numFmtId="164" fontId="74" fillId="0" borderId="4" xfId="3" applyNumberFormat="1" applyFont="1" applyBorder="1" applyAlignment="1">
      <alignment horizontal="left" wrapText="1" indent="2"/>
    </xf>
    <xf numFmtId="0" fontId="6" fillId="0" borderId="4" xfId="20" applyFont="1" applyBorder="1" applyAlignment="1">
      <alignment horizontal="left" wrapText="1" indent="1"/>
    </xf>
    <xf numFmtId="164" fontId="6" fillId="0" borderId="4" xfId="20" applyNumberFormat="1" applyFont="1" applyBorder="1" applyAlignment="1">
      <alignment horizontal="left" wrapText="1" indent="1"/>
    </xf>
    <xf numFmtId="0" fontId="74" fillId="35" borderId="4" xfId="20" applyFont="1" applyFill="1" applyBorder="1" applyAlignment="1">
      <alignment horizontal="center" wrapText="1"/>
    </xf>
    <xf numFmtId="0" fontId="6" fillId="0" borderId="29" xfId="20" applyFont="1" applyBorder="1" applyAlignment="1">
      <alignment horizontal="center" wrapText="1"/>
    </xf>
    <xf numFmtId="0" fontId="7" fillId="35" borderId="4" xfId="20" applyFont="1" applyFill="1" applyBorder="1" applyAlignment="1">
      <alignment horizontal="left" wrapText="1"/>
    </xf>
    <xf numFmtId="0" fontId="6" fillId="0" borderId="4" xfId="20" applyFont="1" applyBorder="1" applyAlignment="1">
      <alignment horizontal="left" wrapText="1"/>
    </xf>
    <xf numFmtId="0" fontId="7" fillId="0" borderId="4" xfId="20" applyFont="1" applyBorder="1" applyAlignment="1">
      <alignment horizontal="left" wrapText="1"/>
    </xf>
    <xf numFmtId="0" fontId="6" fillId="5" borderId="4" xfId="20" applyFont="1" applyFill="1" applyBorder="1" applyAlignment="1">
      <alignment horizontal="left" wrapText="1"/>
    </xf>
    <xf numFmtId="0" fontId="5" fillId="0" borderId="4" xfId="20" applyFont="1" applyBorder="1" applyAlignment="1">
      <alignment horizontal="left" wrapText="1"/>
    </xf>
    <xf numFmtId="0" fontId="6" fillId="0" borderId="22" xfId="20" applyFont="1" applyBorder="1" applyAlignment="1">
      <alignment horizontal="left" wrapText="1"/>
    </xf>
    <xf numFmtId="164" fontId="74" fillId="0" borderId="4" xfId="3" applyNumberFormat="1" applyFont="1" applyBorder="1" applyAlignment="1">
      <alignment wrapText="1"/>
    </xf>
    <xf numFmtId="0" fontId="6" fillId="0" borderId="4" xfId="14" applyFont="1" applyBorder="1" applyAlignment="1">
      <alignment horizontal="left" vertical="center" wrapText="1" indent="1"/>
    </xf>
    <xf numFmtId="2" fontId="6" fillId="0" borderId="4" xfId="20" applyNumberFormat="1" applyFont="1" applyBorder="1"/>
    <xf numFmtId="167" fontId="7" fillId="0" borderId="4" xfId="1" applyNumberFormat="1" applyFont="1" applyFill="1" applyBorder="1" applyAlignment="1">
      <alignment vertical="center"/>
    </xf>
    <xf numFmtId="167" fontId="77" fillId="0" borderId="4" xfId="1" applyNumberFormat="1" applyFont="1" applyFill="1" applyBorder="1" applyAlignment="1">
      <alignment vertical="center"/>
    </xf>
    <xf numFmtId="167" fontId="78" fillId="0" borderId="4" xfId="1" applyNumberFormat="1" applyFont="1" applyFill="1" applyBorder="1" applyAlignment="1">
      <alignment vertical="center"/>
    </xf>
    <xf numFmtId="167" fontId="75" fillId="0" borderId="4" xfId="1" applyNumberFormat="1" applyFont="1" applyFill="1" applyBorder="1" applyAlignment="1">
      <alignment vertical="center"/>
    </xf>
    <xf numFmtId="167" fontId="8" fillId="0" borderId="4" xfId="1" applyNumberFormat="1" applyFont="1" applyFill="1" applyBorder="1" applyAlignment="1">
      <alignment vertical="center"/>
    </xf>
    <xf numFmtId="0" fontId="9" fillId="0" borderId="31" xfId="0" applyFont="1" applyBorder="1" applyAlignment="1">
      <alignment horizontal="left" vertical="center"/>
    </xf>
    <xf numFmtId="167" fontId="8" fillId="0" borderId="31" xfId="1" applyNumberFormat="1" applyFont="1" applyFill="1" applyBorder="1" applyAlignment="1">
      <alignment vertical="center"/>
    </xf>
    <xf numFmtId="167" fontId="9" fillId="0" borderId="30" xfId="1" applyNumberFormat="1" applyFont="1" applyFill="1" applyBorder="1" applyAlignment="1">
      <alignment vertical="center"/>
    </xf>
    <xf numFmtId="9" fontId="9" fillId="0" borderId="30" xfId="2" applyFont="1" applyFill="1" applyBorder="1" applyAlignment="1">
      <alignment vertical="center"/>
    </xf>
    <xf numFmtId="177" fontId="37" fillId="0" borderId="31" xfId="1" applyNumberFormat="1" applyFont="1" applyFill="1" applyBorder="1" applyAlignment="1">
      <alignment vertical="center"/>
    </xf>
    <xf numFmtId="0" fontId="9" fillId="0" borderId="35" xfId="0" applyFont="1" applyBorder="1" applyAlignment="1">
      <alignment horizontal="left" vertical="center"/>
    </xf>
    <xf numFmtId="0" fontId="9" fillId="0" borderId="35" xfId="0" applyFont="1" applyBorder="1" applyAlignment="1">
      <alignment vertical="center"/>
    </xf>
    <xf numFmtId="0" fontId="9" fillId="0" borderId="35" xfId="0" applyFont="1" applyBorder="1"/>
    <xf numFmtId="167" fontId="9" fillId="0" borderId="35" xfId="1" applyNumberFormat="1" applyFont="1" applyFill="1" applyBorder="1" applyAlignment="1">
      <alignment vertical="center"/>
    </xf>
    <xf numFmtId="167" fontId="8" fillId="0" borderId="35" xfId="1" applyNumberFormat="1" applyFont="1" applyFill="1" applyBorder="1" applyAlignment="1">
      <alignment vertical="center"/>
    </xf>
    <xf numFmtId="0" fontId="19" fillId="0" borderId="83" xfId="0" applyFont="1" applyBorder="1" applyAlignment="1">
      <alignment horizontal="left" vertical="top"/>
    </xf>
    <xf numFmtId="0" fontId="19" fillId="0" borderId="83" xfId="0" applyFont="1" applyBorder="1" applyAlignment="1">
      <alignment vertical="top"/>
    </xf>
    <xf numFmtId="0" fontId="6" fillId="0" borderId="4" xfId="20" applyFont="1" applyBorder="1" applyAlignment="1">
      <alignment horizontal="left"/>
    </xf>
    <xf numFmtId="0" fontId="6" fillId="9" borderId="4" xfId="20" applyFont="1" applyFill="1" applyBorder="1" applyAlignment="1">
      <alignment horizontal="center"/>
    </xf>
    <xf numFmtId="0" fontId="6" fillId="35" borderId="4" xfId="20" applyFont="1" applyFill="1" applyBorder="1" applyAlignment="1">
      <alignment horizontal="center"/>
    </xf>
    <xf numFmtId="190" fontId="6" fillId="35" borderId="4" xfId="20" applyNumberFormat="1" applyFont="1" applyFill="1" applyBorder="1" applyAlignment="1">
      <alignment horizontal="center"/>
    </xf>
    <xf numFmtId="164" fontId="6" fillId="0" borderId="4" xfId="3" applyNumberFormat="1" applyFont="1" applyBorder="1"/>
    <xf numFmtId="0" fontId="9" fillId="0" borderId="4" xfId="20" applyFont="1" applyBorder="1" applyAlignment="1">
      <alignment horizontal="center"/>
    </xf>
    <xf numFmtId="0" fontId="9" fillId="0" borderId="4" xfId="20" applyFont="1" applyBorder="1" applyAlignment="1">
      <alignment horizontal="left" wrapText="1"/>
    </xf>
    <xf numFmtId="0" fontId="9" fillId="0" borderId="4" xfId="20" applyFont="1" applyBorder="1"/>
    <xf numFmtId="0" fontId="9" fillId="0" borderId="17" xfId="14" applyFont="1" applyBorder="1" applyAlignment="1">
      <alignment horizontal="center" vertical="center"/>
    </xf>
    <xf numFmtId="0" fontId="9" fillId="0" borderId="17" xfId="14" applyFont="1" applyBorder="1" applyAlignment="1">
      <alignment horizontal="left" vertical="center"/>
    </xf>
    <xf numFmtId="0" fontId="9" fillId="0" borderId="17" xfId="14" applyFont="1" applyBorder="1" applyAlignment="1">
      <alignment vertical="center"/>
    </xf>
    <xf numFmtId="164" fontId="9" fillId="0" borderId="4" xfId="3" applyNumberFormat="1" applyFont="1" applyBorder="1"/>
    <xf numFmtId="0" fontId="6" fillId="35" borderId="4" xfId="20" applyFont="1" applyFill="1" applyBorder="1" applyAlignment="1">
      <alignment horizontal="left" wrapText="1"/>
    </xf>
    <xf numFmtId="167" fontId="6" fillId="0" borderId="0" xfId="20" applyNumberFormat="1" applyFont="1"/>
    <xf numFmtId="167" fontId="8" fillId="0" borderId="15" xfId="1" applyNumberFormat="1" applyFont="1" applyFill="1" applyBorder="1" applyAlignment="1">
      <alignment vertical="center"/>
    </xf>
    <xf numFmtId="190" fontId="74" fillId="0" borderId="4" xfId="20" applyNumberFormat="1" applyFont="1" applyBorder="1"/>
    <xf numFmtId="190" fontId="9" fillId="0" borderId="4" xfId="20" applyNumberFormat="1" applyFont="1" applyBorder="1"/>
    <xf numFmtId="2" fontId="9" fillId="0" borderId="4" xfId="20" applyNumberFormat="1" applyFont="1" applyBorder="1"/>
    <xf numFmtId="2" fontId="9" fillId="0" borderId="0" xfId="20" applyNumberFormat="1" applyFont="1"/>
    <xf numFmtId="164" fontId="6" fillId="0" borderId="4" xfId="1" applyNumberFormat="1" applyFont="1" applyFill="1" applyBorder="1" applyAlignment="1">
      <alignment horizontal="center"/>
    </xf>
    <xf numFmtId="0" fontId="6" fillId="0" borderId="29" xfId="14" applyFont="1" applyBorder="1" applyAlignment="1">
      <alignment vertical="center"/>
    </xf>
    <xf numFmtId="0" fontId="6" fillId="0" borderId="29" xfId="14" applyFont="1" applyBorder="1" applyAlignment="1">
      <alignment vertical="center" wrapText="1"/>
    </xf>
    <xf numFmtId="0" fontId="9" fillId="0" borderId="4" xfId="20" applyFont="1" applyBorder="1" applyAlignment="1">
      <alignment horizontal="center" wrapText="1"/>
    </xf>
    <xf numFmtId="190" fontId="9" fillId="0" borderId="4" xfId="20" applyNumberFormat="1" applyFont="1" applyBorder="1" applyAlignment="1">
      <alignment horizontal="center"/>
    </xf>
    <xf numFmtId="0" fontId="6" fillId="0" borderId="4" xfId="20" applyFont="1" applyBorder="1" applyAlignment="1">
      <alignment horizontal="center" wrapText="1"/>
    </xf>
    <xf numFmtId="190" fontId="74" fillId="0" borderId="4" xfId="20" applyNumberFormat="1" applyFont="1" applyBorder="1" applyAlignment="1">
      <alignment horizontal="center"/>
    </xf>
    <xf numFmtId="190" fontId="5" fillId="0" borderId="4" xfId="20" applyNumberFormat="1" applyFont="1" applyBorder="1"/>
    <xf numFmtId="167" fontId="9" fillId="0" borderId="84" xfId="1" applyNumberFormat="1" applyFont="1" applyFill="1" applyBorder="1" applyAlignment="1">
      <alignment vertical="center"/>
    </xf>
    <xf numFmtId="164" fontId="20" fillId="0" borderId="0" xfId="1" applyNumberFormat="1" applyFont="1" applyFill="1" applyBorder="1" applyAlignment="1">
      <alignment vertical="center"/>
    </xf>
    <xf numFmtId="167" fontId="6" fillId="5" borderId="4" xfId="1" applyNumberFormat="1" applyFont="1" applyFill="1" applyBorder="1" applyAlignment="1">
      <alignment vertical="center"/>
    </xf>
    <xf numFmtId="0" fontId="6" fillId="0" borderId="4" xfId="20" applyFont="1" applyBorder="1" applyAlignment="1">
      <alignment horizontal="left" indent="1"/>
    </xf>
    <xf numFmtId="43" fontId="9" fillId="0" borderId="0" xfId="1" applyFont="1" applyFill="1" applyBorder="1" applyAlignment="1">
      <alignment vertical="center"/>
    </xf>
    <xf numFmtId="164" fontId="8" fillId="7" borderId="0" xfId="0" applyNumberFormat="1" applyFont="1" applyFill="1" applyAlignment="1">
      <alignment vertical="center"/>
    </xf>
    <xf numFmtId="164" fontId="9" fillId="7" borderId="0" xfId="0" applyNumberFormat="1" applyFont="1" applyFill="1" applyAlignment="1">
      <alignment vertical="center"/>
    </xf>
    <xf numFmtId="167" fontId="6" fillId="5" borderId="15" xfId="0" applyNumberFormat="1" applyFont="1" applyFill="1" applyBorder="1"/>
    <xf numFmtId="164" fontId="8" fillId="0" borderId="0" xfId="1" applyNumberFormat="1" applyFont="1" applyFill="1" applyBorder="1" applyAlignment="1">
      <alignment horizontal="right" vertical="center"/>
    </xf>
    <xf numFmtId="164" fontId="9" fillId="0" borderId="0" xfId="1" applyNumberFormat="1" applyFont="1" applyFill="1" applyBorder="1" applyAlignment="1">
      <alignment horizontal="right" vertical="center"/>
    </xf>
    <xf numFmtId="168" fontId="8" fillId="0" borderId="15" xfId="8" quotePrefix="1" applyNumberFormat="1" applyFont="1" applyFill="1" applyBorder="1" applyAlignment="1">
      <alignment horizontal="center" vertical="center" wrapText="1"/>
    </xf>
    <xf numFmtId="168" fontId="9" fillId="0" borderId="0" xfId="0" applyNumberFormat="1" applyFont="1"/>
    <xf numFmtId="0" fontId="12" fillId="0" borderId="6" xfId="1" applyNumberFormat="1" applyFont="1" applyFill="1" applyBorder="1" applyAlignment="1" applyProtection="1">
      <alignment horizontal="left" vertical="center"/>
    </xf>
    <xf numFmtId="0" fontId="12" fillId="0" borderId="4" xfId="1" applyNumberFormat="1" applyFont="1" applyFill="1" applyBorder="1" applyAlignment="1" applyProtection="1">
      <alignment horizontal="left" vertical="center"/>
    </xf>
    <xf numFmtId="0" fontId="9" fillId="0" borderId="30" xfId="0" applyFont="1" applyBorder="1" applyAlignment="1">
      <alignment horizontal="left" vertical="center"/>
    </xf>
    <xf numFmtId="167" fontId="8" fillId="0" borderId="30" xfId="1" applyNumberFormat="1" applyFont="1" applyFill="1" applyBorder="1" applyAlignment="1">
      <alignment vertical="center"/>
    </xf>
    <xf numFmtId="0" fontId="6" fillId="0" borderId="0" xfId="20" applyFont="1" applyAlignment="1">
      <alignment horizontal="center" vertical="center" wrapText="1"/>
    </xf>
    <xf numFmtId="0" fontId="7" fillId="0" borderId="0" xfId="20" applyFont="1" applyAlignment="1">
      <alignment wrapText="1"/>
    </xf>
    <xf numFmtId="0" fontId="6" fillId="5" borderId="4" xfId="20" applyFont="1" applyFill="1" applyBorder="1" applyAlignment="1">
      <alignment horizontal="center"/>
    </xf>
    <xf numFmtId="0" fontId="6" fillId="5" borderId="29" xfId="20" applyFont="1" applyFill="1" applyBorder="1" applyAlignment="1">
      <alignment horizontal="center"/>
    </xf>
    <xf numFmtId="0" fontId="6" fillId="5" borderId="4" xfId="14" applyFont="1" applyFill="1" applyBorder="1" applyAlignment="1">
      <alignment vertical="center"/>
    </xf>
    <xf numFmtId="0" fontId="6" fillId="5" borderId="4" xfId="20" applyFont="1" applyFill="1" applyBorder="1"/>
    <xf numFmtId="0" fontId="6" fillId="5" borderId="4" xfId="14" applyFont="1" applyFill="1" applyBorder="1" applyAlignment="1">
      <alignment vertical="center" wrapText="1"/>
    </xf>
    <xf numFmtId="0" fontId="9" fillId="5" borderId="17" xfId="14" applyFont="1" applyFill="1" applyBorder="1" applyAlignment="1">
      <alignment horizontal="center" vertical="center"/>
    </xf>
    <xf numFmtId="0" fontId="6" fillId="5" borderId="17" xfId="14" applyFont="1" applyFill="1" applyBorder="1" applyAlignment="1">
      <alignment horizontal="left" vertical="center"/>
    </xf>
    <xf numFmtId="0" fontId="6" fillId="5" borderId="17" xfId="14" applyFont="1" applyFill="1" applyBorder="1" applyAlignment="1">
      <alignment vertical="center"/>
    </xf>
    <xf numFmtId="0" fontId="6" fillId="5" borderId="0" xfId="20" applyFont="1" applyFill="1"/>
    <xf numFmtId="0" fontId="7" fillId="5" borderId="0" xfId="20" applyFont="1" applyFill="1" applyAlignment="1">
      <alignment wrapText="1"/>
    </xf>
    <xf numFmtId="0" fontId="7" fillId="5" borderId="0" xfId="20" applyFont="1" applyFill="1"/>
    <xf numFmtId="164" fontId="5" fillId="0" borderId="0" xfId="1" applyNumberFormat="1" applyFont="1"/>
    <xf numFmtId="164" fontId="7" fillId="0" borderId="0" xfId="1" applyNumberFormat="1" applyFont="1"/>
    <xf numFmtId="0" fontId="79" fillId="0" borderId="4" xfId="20" applyFont="1" applyBorder="1" applyAlignment="1">
      <alignment horizontal="center"/>
    </xf>
    <xf numFmtId="0" fontId="79" fillId="9" borderId="4" xfId="20" applyFont="1" applyFill="1" applyBorder="1" applyAlignment="1">
      <alignment horizontal="center"/>
    </xf>
    <xf numFmtId="0" fontId="79" fillId="35" borderId="4" xfId="20" applyFont="1" applyFill="1" applyBorder="1" applyAlignment="1">
      <alignment horizontal="center"/>
    </xf>
    <xf numFmtId="190" fontId="79" fillId="35" borderId="4" xfId="20" applyNumberFormat="1" applyFont="1" applyFill="1" applyBorder="1" applyAlignment="1">
      <alignment horizontal="center"/>
    </xf>
    <xf numFmtId="164" fontId="79" fillId="0" borderId="4" xfId="20" applyNumberFormat="1" applyFont="1" applyBorder="1" applyAlignment="1">
      <alignment horizontal="center"/>
    </xf>
    <xf numFmtId="164" fontId="79" fillId="0" borderId="4" xfId="3" applyNumberFormat="1" applyFont="1" applyBorder="1"/>
    <xf numFmtId="0" fontId="80" fillId="0" borderId="4" xfId="14" applyFont="1" applyBorder="1" applyAlignment="1">
      <alignment vertical="center"/>
    </xf>
    <xf numFmtId="0" fontId="79" fillId="0" borderId="4" xfId="20" applyFont="1" applyBorder="1"/>
    <xf numFmtId="190" fontId="79" fillId="35" borderId="4" xfId="20" applyNumberFormat="1" applyFont="1" applyFill="1" applyBorder="1"/>
    <xf numFmtId="0" fontId="80" fillId="0" borderId="4" xfId="14" applyFont="1" applyBorder="1" applyAlignment="1">
      <alignment vertical="center" wrapText="1"/>
    </xf>
    <xf numFmtId="2" fontId="79" fillId="0" borderId="4" xfId="20" applyNumberFormat="1" applyFont="1" applyBorder="1"/>
    <xf numFmtId="190" fontId="79" fillId="35" borderId="4" xfId="20" applyNumberFormat="1" applyFont="1" applyFill="1" applyBorder="1" applyAlignment="1">
      <alignment horizontal="left"/>
    </xf>
    <xf numFmtId="164" fontId="81" fillId="0" borderId="4" xfId="1" applyNumberFormat="1" applyFont="1" applyBorder="1" applyAlignment="1">
      <alignment vertical="center"/>
    </xf>
    <xf numFmtId="164" fontId="81" fillId="0" borderId="4" xfId="1" applyNumberFormat="1" applyFont="1" applyFill="1" applyBorder="1" applyAlignment="1">
      <alignment vertical="center"/>
    </xf>
    <xf numFmtId="167" fontId="80" fillId="0" borderId="4" xfId="1" applyNumberFormat="1" applyFont="1" applyFill="1" applyBorder="1" applyAlignment="1">
      <alignment vertical="center"/>
    </xf>
    <xf numFmtId="164" fontId="82" fillId="0" borderId="0" xfId="1" applyNumberFormat="1" applyFont="1" applyAlignment="1">
      <alignment vertical="center"/>
    </xf>
    <xf numFmtId="164" fontId="9" fillId="0" borderId="39" xfId="1" applyNumberFormat="1" applyFont="1" applyFill="1" applyBorder="1" applyAlignment="1">
      <alignment vertical="center"/>
    </xf>
    <xf numFmtId="164" fontId="8" fillId="0" borderId="30" xfId="1" applyNumberFormat="1" applyFont="1" applyFill="1" applyBorder="1" applyAlignment="1">
      <alignment vertical="center"/>
    </xf>
    <xf numFmtId="49" fontId="9" fillId="0" borderId="31" xfId="0" applyNumberFormat="1" applyFont="1" applyBorder="1" applyAlignment="1">
      <alignment horizontal="left" vertical="center"/>
    </xf>
    <xf numFmtId="167" fontId="9" fillId="0" borderId="30" xfId="1" applyNumberFormat="1" applyFont="1" applyFill="1" applyBorder="1"/>
    <xf numFmtId="167" fontId="8" fillId="0" borderId="31" xfId="1" applyNumberFormat="1" applyFont="1" applyFill="1" applyBorder="1"/>
    <xf numFmtId="9" fontId="9" fillId="0" borderId="31" xfId="2" applyFont="1" applyFill="1" applyBorder="1"/>
    <xf numFmtId="49" fontId="0" fillId="0" borderId="83" xfId="0" applyNumberFormat="1" applyBorder="1" applyAlignment="1">
      <alignment horizontal="left" vertical="top"/>
    </xf>
    <xf numFmtId="167" fontId="82" fillId="0" borderId="0" xfId="1" applyNumberFormat="1" applyFont="1" applyAlignment="1">
      <alignment vertical="center"/>
    </xf>
    <xf numFmtId="167" fontId="6" fillId="0" borderId="0" xfId="1" applyNumberFormat="1" applyFont="1" applyAlignment="1">
      <alignment vertical="center"/>
    </xf>
    <xf numFmtId="0" fontId="15" fillId="5" borderId="0" xfId="0" applyFont="1" applyFill="1" applyAlignment="1">
      <alignment vertical="center"/>
    </xf>
    <xf numFmtId="0" fontId="84" fillId="7" borderId="0" xfId="3" applyFont="1" applyFill="1"/>
    <xf numFmtId="0" fontId="3" fillId="7" borderId="0" xfId="3" applyFill="1"/>
    <xf numFmtId="0" fontId="85" fillId="36" borderId="85" xfId="3" applyFont="1" applyFill="1" applyBorder="1"/>
    <xf numFmtId="0" fontId="85" fillId="36" borderId="86" xfId="3" applyFont="1" applyFill="1" applyBorder="1"/>
    <xf numFmtId="0" fontId="85" fillId="36" borderId="42" xfId="3" applyFont="1" applyFill="1" applyBorder="1"/>
    <xf numFmtId="0" fontId="32" fillId="7" borderId="3" xfId="3" applyFont="1" applyFill="1" applyBorder="1"/>
    <xf numFmtId="0" fontId="32" fillId="7" borderId="4" xfId="3" applyFont="1" applyFill="1" applyBorder="1"/>
    <xf numFmtId="172" fontId="32" fillId="7" borderId="4" xfId="4" applyNumberFormat="1" applyFont="1" applyFill="1" applyBorder="1"/>
    <xf numFmtId="0" fontId="86" fillId="7" borderId="4" xfId="3" applyFont="1" applyFill="1" applyBorder="1"/>
    <xf numFmtId="172" fontId="86" fillId="7" borderId="4" xfId="4" applyNumberFormat="1" applyFont="1" applyFill="1" applyBorder="1"/>
    <xf numFmtId="0" fontId="3" fillId="7" borderId="4" xfId="3" applyFill="1" applyBorder="1" applyAlignment="1">
      <alignment horizontal="right"/>
    </xf>
    <xf numFmtId="0" fontId="3" fillId="7" borderId="4" xfId="3" applyFill="1" applyBorder="1"/>
    <xf numFmtId="172" fontId="0" fillId="7" borderId="4" xfId="4" applyNumberFormat="1" applyFont="1" applyFill="1" applyBorder="1"/>
    <xf numFmtId="0" fontId="87" fillId="7" borderId="4" xfId="3" applyFont="1" applyFill="1" applyBorder="1" applyAlignment="1">
      <alignment horizontal="right"/>
    </xf>
    <xf numFmtId="0" fontId="88" fillId="7" borderId="4" xfId="3" applyFont="1" applyFill="1" applyBorder="1"/>
    <xf numFmtId="9" fontId="88" fillId="7" borderId="4" xfId="5" applyFont="1" applyFill="1" applyBorder="1"/>
    <xf numFmtId="172" fontId="88" fillId="7" borderId="4" xfId="4" applyNumberFormat="1" applyFont="1" applyFill="1" applyBorder="1"/>
    <xf numFmtId="9" fontId="3" fillId="7" borderId="4" xfId="3" applyNumberFormat="1" applyFill="1" applyBorder="1"/>
    <xf numFmtId="164" fontId="83" fillId="7" borderId="0" xfId="1" applyNumberFormat="1" applyFont="1" applyFill="1"/>
    <xf numFmtId="43" fontId="3" fillId="7" borderId="0" xfId="3" applyNumberFormat="1" applyFill="1"/>
    <xf numFmtId="172" fontId="3" fillId="7" borderId="4" xfId="3" applyNumberFormat="1" applyFill="1" applyBorder="1"/>
    <xf numFmtId="0" fontId="3" fillId="7" borderId="5" xfId="3" applyFill="1" applyBorder="1"/>
    <xf numFmtId="165" fontId="3" fillId="7" borderId="5" xfId="3" applyNumberFormat="1" applyFill="1" applyBorder="1"/>
    <xf numFmtId="172" fontId="0" fillId="7" borderId="5" xfId="4" applyNumberFormat="1" applyFont="1" applyFill="1" applyBorder="1"/>
    <xf numFmtId="172" fontId="3" fillId="7" borderId="0" xfId="3" applyNumberFormat="1" applyFill="1"/>
    <xf numFmtId="168" fontId="3" fillId="7" borderId="0" xfId="3" applyNumberFormat="1" applyFill="1"/>
    <xf numFmtId="167" fontId="3" fillId="7" borderId="0" xfId="3" applyNumberFormat="1" applyFill="1"/>
    <xf numFmtId="49" fontId="9" fillId="0" borderId="4" xfId="1" applyNumberFormat="1" applyFont="1" applyBorder="1" applyAlignment="1" applyProtection="1">
      <alignment horizontal="left" vertical="center"/>
    </xf>
    <xf numFmtId="49" fontId="9" fillId="0" borderId="4" xfId="9" applyNumberFormat="1" applyFont="1" applyBorder="1" applyAlignment="1">
      <alignment horizontal="left" vertical="center"/>
    </xf>
    <xf numFmtId="168" fontId="3" fillId="5" borderId="0" xfId="3" applyNumberFormat="1" applyFill="1"/>
    <xf numFmtId="9" fontId="3" fillId="7" borderId="0" xfId="3" applyNumberFormat="1" applyFill="1"/>
    <xf numFmtId="178" fontId="8" fillId="7" borderId="15" xfId="8" quotePrefix="1" applyNumberFormat="1" applyFont="1" applyFill="1" applyBorder="1" applyAlignment="1">
      <alignment horizontal="right" vertical="center" wrapText="1"/>
    </xf>
    <xf numFmtId="167" fontId="43" fillId="13" borderId="2" xfId="1" applyNumberFormat="1" applyFont="1" applyFill="1" applyBorder="1" applyAlignment="1">
      <alignment vertical="center"/>
    </xf>
    <xf numFmtId="0" fontId="43" fillId="0" borderId="0" xfId="0" applyFont="1" applyAlignment="1">
      <alignment vertical="center"/>
    </xf>
    <xf numFmtId="167" fontId="64" fillId="0" borderId="30" xfId="1" applyNumberFormat="1" applyFont="1" applyBorder="1" applyAlignment="1">
      <alignment vertical="center"/>
    </xf>
    <xf numFmtId="167" fontId="43" fillId="0" borderId="30" xfId="1" applyNumberFormat="1" applyFont="1" applyBorder="1" applyAlignment="1">
      <alignment vertical="center"/>
    </xf>
    <xf numFmtId="0" fontId="64" fillId="0" borderId="0" xfId="0" applyFont="1" applyAlignment="1">
      <alignment vertical="center"/>
    </xf>
    <xf numFmtId="167" fontId="64" fillId="0" borderId="31" xfId="1" applyNumberFormat="1" applyFont="1" applyBorder="1" applyAlignment="1">
      <alignment vertical="center"/>
    </xf>
    <xf numFmtId="167" fontId="43" fillId="0" borderId="31" xfId="1" applyNumberFormat="1" applyFont="1" applyBorder="1" applyAlignment="1">
      <alignment vertical="center"/>
    </xf>
    <xf numFmtId="167" fontId="64" fillId="0" borderId="31" xfId="1" applyNumberFormat="1" applyFont="1" applyFill="1" applyBorder="1" applyAlignment="1">
      <alignment vertical="center"/>
    </xf>
    <xf numFmtId="167" fontId="43" fillId="0" borderId="31" xfId="1" applyNumberFormat="1" applyFont="1" applyFill="1" applyBorder="1" applyAlignment="1">
      <alignment vertical="center"/>
    </xf>
    <xf numFmtId="9" fontId="43" fillId="13" borderId="2" xfId="2" applyFont="1" applyFill="1" applyBorder="1" applyAlignment="1">
      <alignment vertical="center"/>
    </xf>
    <xf numFmtId="9" fontId="64" fillId="0" borderId="30" xfId="2" applyFont="1" applyBorder="1" applyAlignment="1">
      <alignment vertical="center"/>
    </xf>
    <xf numFmtId="167" fontId="64" fillId="0" borderId="30" xfId="1" applyNumberFormat="1" applyFont="1" applyFill="1" applyBorder="1" applyAlignment="1">
      <alignment vertical="center"/>
    </xf>
    <xf numFmtId="9" fontId="64" fillId="0" borderId="30" xfId="2" applyFont="1" applyFill="1" applyBorder="1" applyAlignment="1">
      <alignment vertical="center"/>
    </xf>
    <xf numFmtId="167" fontId="64" fillId="0" borderId="32" xfId="1" applyNumberFormat="1" applyFont="1" applyBorder="1" applyAlignment="1">
      <alignment vertical="center"/>
    </xf>
    <xf numFmtId="167" fontId="43" fillId="0" borderId="32" xfId="1" applyNumberFormat="1" applyFont="1" applyBorder="1" applyAlignment="1">
      <alignment vertical="center"/>
    </xf>
    <xf numFmtId="167" fontId="43" fillId="14" borderId="2" xfId="1" applyNumberFormat="1" applyFont="1" applyFill="1" applyBorder="1" applyAlignment="1">
      <alignment vertical="center"/>
    </xf>
    <xf numFmtId="0" fontId="73" fillId="0" borderId="0" xfId="0" applyFont="1" applyAlignment="1">
      <alignment vertical="center"/>
    </xf>
    <xf numFmtId="167" fontId="43" fillId="13" borderId="15" xfId="1" applyNumberFormat="1" applyFont="1" applyFill="1" applyBorder="1" applyAlignment="1">
      <alignment vertical="center"/>
    </xf>
    <xf numFmtId="167" fontId="43" fillId="13" borderId="24" xfId="1" applyNumberFormat="1" applyFont="1" applyFill="1" applyBorder="1" applyAlignment="1">
      <alignment vertical="center"/>
    </xf>
    <xf numFmtId="167" fontId="43" fillId="0" borderId="30" xfId="1" applyNumberFormat="1" applyFont="1" applyFill="1" applyBorder="1" applyAlignment="1">
      <alignment vertical="center"/>
    </xf>
    <xf numFmtId="177" fontId="64" fillId="0" borderId="31" xfId="1" applyNumberFormat="1" applyFont="1" applyFill="1" applyBorder="1" applyAlignment="1">
      <alignment vertical="center"/>
    </xf>
    <xf numFmtId="164" fontId="64" fillId="0" borderId="0" xfId="1" applyNumberFormat="1" applyFont="1" applyAlignment="1">
      <alignment vertical="center"/>
    </xf>
    <xf numFmtId="164" fontId="43" fillId="0" borderId="0" xfId="1" applyNumberFormat="1" applyFont="1" applyAlignment="1">
      <alignment vertical="center"/>
    </xf>
    <xf numFmtId="164" fontId="43" fillId="0" borderId="0" xfId="1" applyNumberFormat="1" applyFont="1" applyAlignment="1">
      <alignment horizontal="right" vertical="center"/>
    </xf>
    <xf numFmtId="0" fontId="43" fillId="11" borderId="15" xfId="0" applyFont="1" applyFill="1" applyBorder="1" applyAlignment="1">
      <alignment horizontal="center" vertical="center" wrapText="1"/>
    </xf>
    <xf numFmtId="177" fontId="89" fillId="0" borderId="31" xfId="1" applyNumberFormat="1" applyFont="1" applyFill="1" applyBorder="1" applyAlignment="1">
      <alignment vertical="center"/>
    </xf>
    <xf numFmtId="0" fontId="43" fillId="6" borderId="15" xfId="0" applyFont="1" applyFill="1" applyBorder="1" applyAlignment="1">
      <alignment horizontal="center" vertical="center" wrapText="1"/>
    </xf>
    <xf numFmtId="9" fontId="43" fillId="14" borderId="2" xfId="2" applyFont="1" applyFill="1" applyBorder="1" applyAlignment="1">
      <alignment vertical="center"/>
    </xf>
    <xf numFmtId="9" fontId="64" fillId="0" borderId="31" xfId="2" applyFont="1" applyBorder="1" applyAlignment="1">
      <alignment vertical="center"/>
    </xf>
    <xf numFmtId="9" fontId="64" fillId="0" borderId="31" xfId="2" applyFont="1" applyFill="1" applyBorder="1" applyAlignment="1">
      <alignment vertical="center"/>
    </xf>
    <xf numFmtId="9" fontId="64" fillId="0" borderId="32" xfId="2" applyFont="1" applyBorder="1" applyAlignment="1">
      <alignment vertical="center"/>
    </xf>
    <xf numFmtId="9" fontId="43" fillId="13" borderId="15" xfId="2" applyFont="1" applyFill="1" applyBorder="1" applyAlignment="1">
      <alignment vertical="center"/>
    </xf>
    <xf numFmtId="167" fontId="64" fillId="0" borderId="35" xfId="1" applyNumberFormat="1" applyFont="1" applyFill="1" applyBorder="1" applyAlignment="1">
      <alignment vertical="center"/>
    </xf>
    <xf numFmtId="9" fontId="64" fillId="0" borderId="35" xfId="2" applyFont="1" applyFill="1" applyBorder="1" applyAlignment="1">
      <alignment vertical="center"/>
    </xf>
    <xf numFmtId="9" fontId="43" fillId="0" borderId="0" xfId="2" applyFont="1" applyAlignment="1">
      <alignment vertical="center"/>
    </xf>
    <xf numFmtId="9" fontId="43" fillId="0" borderId="0" xfId="2" applyFont="1" applyAlignment="1">
      <alignment horizontal="right" vertical="center"/>
    </xf>
    <xf numFmtId="0" fontId="43" fillId="14" borderId="15" xfId="0" applyFont="1" applyFill="1" applyBorder="1" applyAlignment="1">
      <alignment horizontal="center" vertical="center" wrapText="1"/>
    </xf>
    <xf numFmtId="9" fontId="43" fillId="14" borderId="15" xfId="2" applyFont="1" applyFill="1" applyBorder="1" applyAlignment="1">
      <alignment horizontal="center" vertical="center" wrapText="1"/>
    </xf>
    <xf numFmtId="0" fontId="56" fillId="13" borderId="2" xfId="0" applyFont="1" applyFill="1" applyBorder="1" applyAlignment="1">
      <alignment horizontal="center" vertical="center"/>
    </xf>
    <xf numFmtId="0" fontId="90" fillId="0" borderId="30" xfId="0" applyFont="1" applyBorder="1" applyAlignment="1">
      <alignment horizontal="center" vertical="center"/>
    </xf>
    <xf numFmtId="0" fontId="90" fillId="0" borderId="31" xfId="0" applyFont="1" applyBorder="1" applyAlignment="1">
      <alignment horizontal="center" vertical="center"/>
    </xf>
    <xf numFmtId="0" fontId="56" fillId="13" borderId="0" xfId="0" applyFont="1" applyFill="1" applyAlignment="1">
      <alignment horizontal="left" vertical="center"/>
    </xf>
    <xf numFmtId="0" fontId="90" fillId="7" borderId="30" xfId="0" applyFont="1" applyFill="1" applyBorder="1" applyAlignment="1">
      <alignment vertical="center"/>
    </xf>
    <xf numFmtId="0" fontId="90" fillId="7" borderId="31" xfId="0" applyFont="1" applyFill="1" applyBorder="1" applyAlignment="1">
      <alignment vertical="center"/>
    </xf>
    <xf numFmtId="0" fontId="90" fillId="0" borderId="31" xfId="0" applyFont="1" applyBorder="1" applyAlignment="1">
      <alignment vertical="center"/>
    </xf>
    <xf numFmtId="0" fontId="90" fillId="0" borderId="32" xfId="0" applyFont="1" applyBorder="1" applyAlignment="1">
      <alignment horizontal="center" vertical="center"/>
    </xf>
    <xf numFmtId="0" fontId="56" fillId="14" borderId="2" xfId="0" applyFont="1" applyFill="1" applyBorder="1" applyAlignment="1">
      <alignment horizontal="center" vertical="center"/>
    </xf>
    <xf numFmtId="0" fontId="90" fillId="7" borderId="32" xfId="0" applyFont="1" applyFill="1" applyBorder="1" applyAlignment="1">
      <alignment vertical="center"/>
    </xf>
    <xf numFmtId="0" fontId="56" fillId="14" borderId="0" xfId="0" applyFont="1" applyFill="1" applyAlignment="1">
      <alignment horizontal="left" vertical="center"/>
    </xf>
    <xf numFmtId="0" fontId="56" fillId="13" borderId="25" xfId="0" applyFont="1" applyFill="1" applyBorder="1" applyAlignment="1">
      <alignment horizontal="center" vertical="center"/>
    </xf>
    <xf numFmtId="0" fontId="90" fillId="0" borderId="30" xfId="0" applyFont="1" applyBorder="1" applyAlignment="1">
      <alignment vertical="center"/>
    </xf>
    <xf numFmtId="0" fontId="56" fillId="13" borderId="15" xfId="0" applyFont="1" applyFill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91" fillId="0" borderId="0" xfId="0" applyFont="1" applyAlignment="1">
      <alignment vertical="center"/>
    </xf>
    <xf numFmtId="164" fontId="56" fillId="11" borderId="15" xfId="1" applyNumberFormat="1" applyFont="1" applyFill="1" applyBorder="1" applyAlignment="1">
      <alignment horizontal="center" vertical="center" wrapText="1"/>
    </xf>
    <xf numFmtId="0" fontId="90" fillId="0" borderId="35" xfId="0" applyFont="1" applyBorder="1" applyAlignment="1">
      <alignment vertical="center"/>
    </xf>
    <xf numFmtId="0" fontId="56" fillId="13" borderId="1" xfId="0" applyFont="1" applyFill="1" applyBorder="1" applyAlignment="1">
      <alignment horizontal="left" vertical="center"/>
    </xf>
    <xf numFmtId="0" fontId="55" fillId="2" borderId="15" xfId="14" applyFont="1" applyFill="1" applyBorder="1" applyAlignment="1">
      <alignment horizontal="center" vertical="center"/>
    </xf>
    <xf numFmtId="0" fontId="56" fillId="13" borderId="2" xfId="0" applyFont="1" applyFill="1" applyBorder="1" applyAlignment="1">
      <alignment horizontal="left" vertical="center"/>
    </xf>
    <xf numFmtId="0" fontId="56" fillId="11" borderId="15" xfId="0" applyFont="1" applyFill="1" applyBorder="1" applyAlignment="1">
      <alignment horizontal="center" vertical="center" wrapText="1"/>
    </xf>
    <xf numFmtId="0" fontId="90" fillId="0" borderId="0" xfId="0" applyFont="1" applyAlignment="1">
      <alignment vertical="center"/>
    </xf>
    <xf numFmtId="0" fontId="56" fillId="6" borderId="15" xfId="0" applyFont="1" applyFill="1" applyBorder="1" applyAlignment="1">
      <alignment horizontal="center" vertical="center" wrapText="1"/>
    </xf>
    <xf numFmtId="0" fontId="56" fillId="12" borderId="15" xfId="0" applyFont="1" applyFill="1" applyBorder="1" applyAlignment="1">
      <alignment horizontal="center" vertical="center" wrapText="1"/>
    </xf>
    <xf numFmtId="9" fontId="56" fillId="12" borderId="15" xfId="2" applyFont="1" applyFill="1" applyBorder="1" applyAlignment="1">
      <alignment horizontal="center" vertical="center" wrapText="1"/>
    </xf>
    <xf numFmtId="0" fontId="90" fillId="7" borderId="31" xfId="0" applyFont="1" applyFill="1" applyBorder="1" applyAlignment="1">
      <alignment vertical="center" wrapText="1"/>
    </xf>
    <xf numFmtId="0" fontId="90" fillId="0" borderId="31" xfId="0" applyFont="1" applyBorder="1" applyAlignment="1">
      <alignment vertical="center" wrapText="1"/>
    </xf>
    <xf numFmtId="0" fontId="34" fillId="0" borderId="0" xfId="0" applyFont="1" applyAlignment="1">
      <alignment vertical="center"/>
    </xf>
    <xf numFmtId="167" fontId="8" fillId="0" borderId="5" xfId="1" applyNumberFormat="1" applyFont="1" applyFill="1" applyBorder="1" applyAlignment="1">
      <alignment vertical="center"/>
    </xf>
    <xf numFmtId="0" fontId="9" fillId="0" borderId="4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82" fillId="0" borderId="0" xfId="0" applyFont="1" applyAlignment="1">
      <alignment vertical="center"/>
    </xf>
    <xf numFmtId="167" fontId="82" fillId="0" borderId="0" xfId="0" applyNumberFormat="1" applyFont="1"/>
    <xf numFmtId="0" fontId="60" fillId="0" borderId="17" xfId="14" applyFont="1" applyBorder="1" applyAlignment="1">
      <alignment vertical="center" wrapText="1"/>
    </xf>
    <xf numFmtId="0" fontId="7" fillId="0" borderId="28" xfId="14" applyFont="1" applyBorder="1" applyAlignment="1">
      <alignment vertical="center" wrapText="1"/>
    </xf>
    <xf numFmtId="190" fontId="7" fillId="35" borderId="4" xfId="20" applyNumberFormat="1" applyFont="1" applyFill="1" applyBorder="1" applyAlignment="1">
      <alignment wrapText="1"/>
    </xf>
    <xf numFmtId="0" fontId="7" fillId="0" borderId="17" xfId="14" applyFont="1" applyBorder="1" applyAlignment="1">
      <alignment vertical="center" wrapText="1"/>
    </xf>
    <xf numFmtId="190" fontId="7" fillId="0" borderId="4" xfId="20" applyNumberFormat="1" applyFont="1" applyBorder="1" applyAlignment="1">
      <alignment wrapText="1"/>
    </xf>
    <xf numFmtId="190" fontId="7" fillId="0" borderId="0" xfId="20" applyNumberFormat="1" applyFont="1" applyAlignment="1">
      <alignment wrapText="1"/>
    </xf>
    <xf numFmtId="0" fontId="6" fillId="0" borderId="17" xfId="14" applyFont="1" applyBorder="1" applyAlignment="1">
      <alignment vertical="center" wrapText="1"/>
    </xf>
    <xf numFmtId="190" fontId="6" fillId="0" borderId="4" xfId="20" applyNumberFormat="1" applyFont="1" applyBorder="1" applyAlignment="1">
      <alignment wrapText="1"/>
    </xf>
    <xf numFmtId="190" fontId="9" fillId="0" borderId="4" xfId="20" applyNumberFormat="1" applyFont="1" applyBorder="1" applyAlignment="1">
      <alignment wrapText="1"/>
    </xf>
    <xf numFmtId="190" fontId="5" fillId="0" borderId="4" xfId="20" applyNumberFormat="1" applyFont="1" applyBorder="1" applyAlignment="1">
      <alignment wrapText="1"/>
    </xf>
    <xf numFmtId="190" fontId="74" fillId="0" borderId="4" xfId="20" applyNumberFormat="1" applyFont="1" applyBorder="1" applyAlignment="1">
      <alignment wrapText="1"/>
    </xf>
    <xf numFmtId="0" fontId="9" fillId="0" borderId="17" xfId="14" applyFont="1" applyBorder="1" applyAlignment="1">
      <alignment vertical="center" wrapText="1"/>
    </xf>
    <xf numFmtId="0" fontId="7" fillId="0" borderId="19" xfId="14" applyFont="1" applyBorder="1" applyAlignment="1">
      <alignment vertical="center" wrapText="1"/>
    </xf>
    <xf numFmtId="0" fontId="6" fillId="0" borderId="15" xfId="20" applyFont="1" applyBorder="1" applyAlignment="1">
      <alignment horizontal="left" wrapText="1"/>
    </xf>
    <xf numFmtId="0" fontId="5" fillId="12" borderId="15" xfId="14" applyFont="1" applyFill="1" applyBorder="1" applyAlignment="1">
      <alignment horizontal="center" vertical="center" wrapText="1"/>
    </xf>
    <xf numFmtId="0" fontId="92" fillId="0" borderId="0" xfId="0" applyFont="1" applyAlignment="1">
      <alignment vertical="center"/>
    </xf>
    <xf numFmtId="0" fontId="92" fillId="0" borderId="0" xfId="0" applyFont="1" applyAlignment="1">
      <alignment horizontal="left" vertical="center"/>
    </xf>
    <xf numFmtId="0" fontId="28" fillId="5" borderId="0" xfId="0" applyFont="1" applyFill="1"/>
    <xf numFmtId="0" fontId="8" fillId="6" borderId="18" xfId="6" applyFont="1" applyFill="1" applyBorder="1" applyAlignment="1">
      <alignment horizontal="center" vertical="center" wrapText="1"/>
    </xf>
    <xf numFmtId="0" fontId="9" fillId="0" borderId="87" xfId="6" applyFont="1" applyBorder="1" applyAlignment="1">
      <alignment horizontal="center" vertical="center" wrapText="1"/>
    </xf>
    <xf numFmtId="0" fontId="9" fillId="0" borderId="87" xfId="6" applyFont="1" applyBorder="1" applyAlignment="1">
      <alignment horizontal="left" vertical="center" wrapText="1"/>
    </xf>
    <xf numFmtId="165" fontId="9" fillId="0" borderId="87" xfId="6" applyNumberFormat="1" applyFont="1" applyBorder="1" applyAlignment="1">
      <alignment horizontal="center" vertical="center" wrapText="1"/>
    </xf>
    <xf numFmtId="164" fontId="9" fillId="0" borderId="87" xfId="1" quotePrefix="1" applyNumberFormat="1" applyFont="1" applyFill="1" applyBorder="1" applyAlignment="1">
      <alignment horizontal="center" vertical="center" wrapText="1"/>
    </xf>
    <xf numFmtId="0" fontId="9" fillId="0" borderId="83" xfId="6" applyFont="1" applyBorder="1" applyAlignment="1">
      <alignment horizontal="center" vertical="center" wrapText="1"/>
    </xf>
    <xf numFmtId="0" fontId="9" fillId="0" borderId="83" xfId="6" applyFont="1" applyBorder="1" applyAlignment="1">
      <alignment horizontal="left" vertical="center" wrapText="1"/>
    </xf>
    <xf numFmtId="165" fontId="9" fillId="0" borderId="83" xfId="6" applyNumberFormat="1" applyFont="1" applyBorder="1" applyAlignment="1">
      <alignment horizontal="center" vertical="center" wrapText="1"/>
    </xf>
    <xf numFmtId="164" fontId="9" fillId="0" borderId="83" xfId="1" quotePrefix="1" applyNumberFormat="1" applyFont="1" applyFill="1" applyBorder="1" applyAlignment="1">
      <alignment horizontal="center" vertical="center" wrapText="1"/>
    </xf>
    <xf numFmtId="0" fontId="9" fillId="7" borderId="83" xfId="6" applyFont="1" applyFill="1" applyBorder="1" applyAlignment="1">
      <alignment horizontal="left" vertical="center" wrapText="1"/>
    </xf>
    <xf numFmtId="165" fontId="9" fillId="7" borderId="83" xfId="6" applyNumberFormat="1" applyFont="1" applyFill="1" applyBorder="1" applyAlignment="1">
      <alignment horizontal="center" vertical="center" wrapText="1"/>
    </xf>
    <xf numFmtId="164" fontId="9" fillId="7" borderId="83" xfId="1" quotePrefix="1" applyNumberFormat="1" applyFont="1" applyFill="1" applyBorder="1" applyAlignment="1">
      <alignment horizontal="right" vertical="center" wrapText="1"/>
    </xf>
    <xf numFmtId="0" fontId="9" fillId="0" borderId="88" xfId="6" applyFont="1" applyBorder="1" applyAlignment="1">
      <alignment horizontal="center" vertical="center" wrapText="1"/>
    </xf>
    <xf numFmtId="0" fontId="9" fillId="7" borderId="88" xfId="6" applyFont="1" applyFill="1" applyBorder="1" applyAlignment="1">
      <alignment horizontal="left" vertical="center" wrapText="1"/>
    </xf>
    <xf numFmtId="165" fontId="9" fillId="7" borderId="88" xfId="6" applyNumberFormat="1" applyFont="1" applyFill="1" applyBorder="1" applyAlignment="1">
      <alignment horizontal="center" vertical="center" wrapText="1"/>
    </xf>
    <xf numFmtId="164" fontId="9" fillId="7" borderId="88" xfId="1" quotePrefix="1" applyNumberFormat="1" applyFont="1" applyFill="1" applyBorder="1" applyAlignment="1">
      <alignment horizontal="right" vertical="center" wrapText="1"/>
    </xf>
    <xf numFmtId="164" fontId="9" fillId="0" borderId="88" xfId="1" quotePrefix="1" applyNumberFormat="1" applyFont="1" applyFill="1" applyBorder="1" applyAlignment="1">
      <alignment horizontal="center" vertical="center" wrapText="1"/>
    </xf>
    <xf numFmtId="0" fontId="9" fillId="0" borderId="89" xfId="6" applyFont="1" applyBorder="1" applyAlignment="1">
      <alignment horizontal="center" vertical="center" wrapText="1"/>
    </xf>
    <xf numFmtId="0" fontId="9" fillId="0" borderId="89" xfId="6" applyFont="1" applyBorder="1" applyAlignment="1">
      <alignment horizontal="left" vertical="center" wrapText="1"/>
    </xf>
    <xf numFmtId="0" fontId="9" fillId="7" borderId="87" xfId="6" applyFont="1" applyFill="1" applyBorder="1" applyAlignment="1">
      <alignment horizontal="left" vertical="center" wrapText="1"/>
    </xf>
    <xf numFmtId="165" fontId="9" fillId="7" borderId="90" xfId="6" applyNumberFormat="1" applyFont="1" applyFill="1" applyBorder="1" applyAlignment="1">
      <alignment horizontal="center" vertical="center" wrapText="1"/>
    </xf>
    <xf numFmtId="165" fontId="9" fillId="0" borderId="88" xfId="6" applyNumberFormat="1" applyFont="1" applyBorder="1" applyAlignment="1">
      <alignment horizontal="center" vertical="center" wrapText="1"/>
    </xf>
    <xf numFmtId="164" fontId="9" fillId="7" borderId="90" xfId="1" quotePrefix="1" applyNumberFormat="1" applyFont="1" applyFill="1" applyBorder="1" applyAlignment="1">
      <alignment horizontal="right" vertical="center" wrapText="1"/>
    </xf>
    <xf numFmtId="164" fontId="9" fillId="0" borderId="90" xfId="1" quotePrefix="1" applyNumberFormat="1" applyFont="1" applyFill="1" applyBorder="1" applyAlignment="1">
      <alignment horizontal="center" vertical="center" wrapText="1"/>
    </xf>
    <xf numFmtId="164" fontId="9" fillId="0" borderId="83" xfId="1" quotePrefix="1" applyNumberFormat="1" applyFont="1" applyFill="1" applyBorder="1" applyAlignment="1">
      <alignment horizontal="left" vertical="center" wrapText="1"/>
    </xf>
    <xf numFmtId="164" fontId="9" fillId="0" borderId="88" xfId="1" quotePrefix="1" applyNumberFormat="1" applyFont="1" applyFill="1" applyBorder="1" applyAlignment="1">
      <alignment horizontal="left" vertical="center" wrapText="1"/>
    </xf>
    <xf numFmtId="167" fontId="9" fillId="4" borderId="4" xfId="1" applyNumberFormat="1" applyFont="1" applyFill="1" applyBorder="1" applyAlignment="1">
      <alignment vertical="center"/>
    </xf>
    <xf numFmtId="167" fontId="64" fillId="6" borderId="31" xfId="1" applyNumberFormat="1" applyFont="1" applyFill="1" applyBorder="1" applyAlignment="1">
      <alignment vertical="center"/>
    </xf>
    <xf numFmtId="167" fontId="8" fillId="13" borderId="18" xfId="1" applyNumberFormat="1" applyFont="1" applyFill="1" applyBorder="1" applyAlignment="1">
      <alignment vertical="center"/>
    </xf>
    <xf numFmtId="164" fontId="6" fillId="0" borderId="0" xfId="1" applyNumberFormat="1" applyFont="1" applyBorder="1"/>
    <xf numFmtId="167" fontId="6" fillId="0" borderId="0" xfId="1" applyNumberFormat="1" applyFont="1" applyFill="1" applyBorder="1" applyAlignment="1">
      <alignment vertical="center"/>
    </xf>
    <xf numFmtId="43" fontId="9" fillId="0" borderId="0" xfId="0" applyNumberFormat="1" applyFont="1" applyAlignment="1">
      <alignment vertical="center"/>
    </xf>
    <xf numFmtId="0" fontId="9" fillId="5" borderId="15" xfId="0" applyFont="1" applyFill="1" applyBorder="1" applyAlignment="1">
      <alignment vertical="center"/>
    </xf>
    <xf numFmtId="0" fontId="9" fillId="5" borderId="15" xfId="0" applyFont="1" applyFill="1" applyBorder="1" applyAlignment="1">
      <alignment vertical="center" wrapText="1"/>
    </xf>
    <xf numFmtId="166" fontId="9" fillId="5" borderId="15" xfId="0" applyNumberFormat="1" applyFont="1" applyFill="1" applyBorder="1" applyAlignment="1">
      <alignment vertical="center"/>
    </xf>
    <xf numFmtId="164" fontId="9" fillId="5" borderId="15" xfId="1" applyNumberFormat="1" applyFont="1" applyFill="1" applyBorder="1" applyAlignment="1" applyProtection="1">
      <alignment horizontal="center" vertical="center"/>
    </xf>
    <xf numFmtId="43" fontId="9" fillId="5" borderId="15" xfId="0" applyNumberFormat="1" applyFont="1" applyFill="1" applyBorder="1" applyAlignment="1">
      <alignment vertical="center"/>
    </xf>
    <xf numFmtId="43" fontId="9" fillId="5" borderId="15" xfId="1" applyFont="1" applyFill="1" applyBorder="1" applyAlignment="1">
      <alignment vertical="center"/>
    </xf>
    <xf numFmtId="0" fontId="9" fillId="5" borderId="15" xfId="0" applyFont="1" applyFill="1" applyBorder="1" applyAlignment="1">
      <alignment horizontal="right" vertical="center"/>
    </xf>
    <xf numFmtId="43" fontId="9" fillId="0" borderId="0" xfId="1" applyFont="1" applyAlignment="1">
      <alignment vertical="center"/>
    </xf>
    <xf numFmtId="43" fontId="8" fillId="0" borderId="0" xfId="0" applyNumberFormat="1" applyFont="1"/>
    <xf numFmtId="167" fontId="7" fillId="14" borderId="29" xfId="1" applyNumberFormat="1" applyFont="1" applyFill="1" applyBorder="1" applyAlignment="1">
      <alignment vertical="center"/>
    </xf>
    <xf numFmtId="0" fontId="82" fillId="0" borderId="0" xfId="20" applyFont="1"/>
    <xf numFmtId="0" fontId="34" fillId="0" borderId="0" xfId="20" applyFont="1"/>
    <xf numFmtId="168" fontId="8" fillId="5" borderId="15" xfId="8" quotePrefix="1" applyNumberFormat="1" applyFont="1" applyFill="1" applyBorder="1" applyAlignment="1">
      <alignment horizontal="center" vertical="center" wrapText="1"/>
    </xf>
    <xf numFmtId="167" fontId="64" fillId="14" borderId="31" xfId="1" applyNumberFormat="1" applyFont="1" applyFill="1" applyBorder="1" applyAlignment="1">
      <alignment vertical="center"/>
    </xf>
    <xf numFmtId="166" fontId="9" fillId="0" borderId="15" xfId="1" applyNumberFormat="1" applyFont="1" applyFill="1" applyBorder="1" applyAlignment="1">
      <alignment vertical="center"/>
    </xf>
    <xf numFmtId="43" fontId="9" fillId="0" borderId="15" xfId="1" applyFont="1" applyFill="1" applyBorder="1" applyAlignment="1">
      <alignment vertical="center"/>
    </xf>
    <xf numFmtId="0" fontId="68" fillId="2" borderId="1" xfId="31" applyFont="1" applyFill="1" applyBorder="1" applyAlignment="1">
      <alignment horizontal="center" vertical="center"/>
    </xf>
    <xf numFmtId="0" fontId="68" fillId="2" borderId="36" xfId="31" applyFont="1" applyFill="1" applyBorder="1" applyAlignment="1">
      <alignment horizontal="center" vertical="center"/>
    </xf>
    <xf numFmtId="0" fontId="68" fillId="2" borderId="34" xfId="31" applyFont="1" applyFill="1" applyBorder="1" applyAlignment="1">
      <alignment horizontal="center" vertical="center"/>
    </xf>
    <xf numFmtId="187" fontId="68" fillId="0" borderId="2" xfId="30" applyFont="1" applyBorder="1" applyAlignment="1">
      <alignment horizontal="center" vertical="center" wrapText="1"/>
    </xf>
    <xf numFmtId="187" fontId="68" fillId="0" borderId="1" xfId="30" applyFont="1" applyBorder="1" applyAlignment="1">
      <alignment horizontal="center" vertical="center"/>
    </xf>
    <xf numFmtId="187" fontId="68" fillId="0" borderId="36" xfId="30" applyFont="1" applyBorder="1" applyAlignment="1">
      <alignment horizontal="center" vertical="center"/>
    </xf>
    <xf numFmtId="187" fontId="68" fillId="4" borderId="1" xfId="30" applyFont="1" applyFill="1" applyBorder="1" applyAlignment="1">
      <alignment horizontal="center" vertical="center"/>
    </xf>
    <xf numFmtId="187" fontId="68" fillId="4" borderId="36" xfId="30" applyFont="1" applyFill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10" borderId="15" xfId="0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center" vertical="center" wrapText="1"/>
    </xf>
    <xf numFmtId="176" fontId="18" fillId="10" borderId="15" xfId="0" applyNumberFormat="1" applyFont="1" applyFill="1" applyBorder="1" applyAlignment="1">
      <alignment horizontal="center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14" xfId="0" quotePrefix="1" applyFont="1" applyBorder="1" applyAlignment="1">
      <alignment horizontal="left" vertical="center" wrapText="1"/>
    </xf>
    <xf numFmtId="0" fontId="17" fillId="0" borderId="2" xfId="0" quotePrefix="1" applyFont="1" applyBorder="1" applyAlignment="1">
      <alignment horizontal="left" vertical="center" wrapText="1"/>
    </xf>
    <xf numFmtId="0" fontId="17" fillId="0" borderId="14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left" vertical="center" wrapText="1"/>
    </xf>
    <xf numFmtId="0" fontId="18" fillId="6" borderId="18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8" fillId="5" borderId="0" xfId="0" applyFont="1" applyFill="1" applyAlignment="1">
      <alignment vertical="center"/>
    </xf>
    <xf numFmtId="0" fontId="0" fillId="5" borderId="0" xfId="0" applyFill="1"/>
    <xf numFmtId="0" fontId="36" fillId="5" borderId="0" xfId="0" applyFont="1" applyFill="1" applyAlignment="1">
      <alignment vertical="center"/>
    </xf>
    <xf numFmtId="9" fontId="49" fillId="31" borderId="15" xfId="2" applyFont="1" applyFill="1" applyBorder="1" applyAlignment="1">
      <alignment vertical="center"/>
    </xf>
    <xf numFmtId="164" fontId="19" fillId="0" borderId="15" xfId="1" quotePrefix="1" applyNumberFormat="1" applyFont="1" applyFill="1" applyBorder="1" applyAlignment="1">
      <alignment horizontal="center" vertical="center" wrapText="1"/>
    </xf>
    <xf numFmtId="9" fontId="0" fillId="0" borderId="0" xfId="2" applyFont="1"/>
    <xf numFmtId="165" fontId="0" fillId="0" borderId="0" xfId="2" applyNumberFormat="1" applyFont="1"/>
    <xf numFmtId="0" fontId="19" fillId="7" borderId="15" xfId="6" applyFont="1" applyFill="1" applyBorder="1" applyAlignment="1">
      <alignment horizontal="center" vertical="center" wrapText="1"/>
    </xf>
    <xf numFmtId="0" fontId="19" fillId="7" borderId="15" xfId="6" applyFont="1" applyFill="1" applyBorder="1" applyAlignment="1">
      <alignment horizontal="left" vertical="center" wrapText="1"/>
    </xf>
    <xf numFmtId="165" fontId="19" fillId="7" borderId="15" xfId="6" applyNumberFormat="1" applyFont="1" applyFill="1" applyBorder="1" applyAlignment="1">
      <alignment horizontal="center" vertical="center" wrapText="1"/>
    </xf>
    <xf numFmtId="167" fontId="19" fillId="7" borderId="15" xfId="8" quotePrefix="1" applyNumberFormat="1" applyFont="1" applyFill="1" applyBorder="1" applyAlignment="1">
      <alignment horizontal="right" vertical="center" wrapText="1"/>
    </xf>
    <xf numFmtId="168" fontId="19" fillId="7" borderId="15" xfId="8" quotePrefix="1" applyNumberFormat="1" applyFont="1" applyFill="1" applyBorder="1" applyAlignment="1">
      <alignment horizontal="right" vertical="center" wrapText="1"/>
    </xf>
    <xf numFmtId="168" fontId="28" fillId="7" borderId="15" xfId="8" quotePrefix="1" applyNumberFormat="1" applyFont="1" applyFill="1" applyBorder="1" applyAlignment="1">
      <alignment horizontal="right" vertical="center" wrapText="1"/>
    </xf>
    <xf numFmtId="0" fontId="93" fillId="0" borderId="0" xfId="0" applyFont="1"/>
    <xf numFmtId="167" fontId="28" fillId="7" borderId="15" xfId="8" quotePrefix="1" applyNumberFormat="1" applyFont="1" applyFill="1" applyBorder="1" applyAlignment="1">
      <alignment horizontal="right" vertical="center" wrapText="1"/>
    </xf>
    <xf numFmtId="186" fontId="28" fillId="7" borderId="15" xfId="8" quotePrefix="1" applyNumberFormat="1" applyFont="1" applyFill="1" applyBorder="1" applyAlignment="1">
      <alignment horizontal="right" vertical="center" wrapText="1"/>
    </xf>
    <xf numFmtId="9" fontId="19" fillId="7" borderId="15" xfId="2" quotePrefix="1" applyFont="1" applyFill="1" applyBorder="1" applyAlignment="1">
      <alignment horizontal="right" vertical="center" wrapText="1"/>
    </xf>
    <xf numFmtId="165" fontId="28" fillId="5" borderId="15" xfId="0" applyNumberFormat="1" applyFont="1" applyFill="1" applyBorder="1" applyAlignment="1">
      <alignment vertical="center"/>
    </xf>
    <xf numFmtId="168" fontId="9" fillId="5" borderId="30" xfId="8" quotePrefix="1" applyNumberFormat="1" applyFont="1" applyFill="1" applyBorder="1" applyAlignment="1">
      <alignment horizontal="right" vertical="center" wrapText="1"/>
    </xf>
    <xf numFmtId="164" fontId="19" fillId="7" borderId="15" xfId="1" quotePrefix="1" applyNumberFormat="1" applyFont="1" applyFill="1" applyBorder="1" applyAlignment="1">
      <alignment horizontal="right" vertical="center" wrapText="1"/>
    </xf>
    <xf numFmtId="164" fontId="28" fillId="7" borderId="15" xfId="1" quotePrefix="1" applyNumberFormat="1" applyFont="1" applyFill="1" applyBorder="1" applyAlignment="1">
      <alignment horizontal="right" vertical="center" wrapText="1"/>
    </xf>
    <xf numFmtId="164" fontId="19" fillId="5" borderId="15" xfId="1" quotePrefix="1" applyNumberFormat="1" applyFont="1" applyFill="1" applyBorder="1" applyAlignment="1">
      <alignment horizontal="right" vertical="center" wrapText="1"/>
    </xf>
    <xf numFmtId="164" fontId="19" fillId="5" borderId="15" xfId="1" quotePrefix="1" applyNumberFormat="1" applyFont="1" applyFill="1" applyBorder="1" applyAlignment="1">
      <alignment horizontal="center" vertical="center" wrapText="1"/>
    </xf>
    <xf numFmtId="167" fontId="19" fillId="5" borderId="15" xfId="8" quotePrefix="1" applyNumberFormat="1" applyFont="1" applyFill="1" applyBorder="1" applyAlignment="1">
      <alignment horizontal="right" vertical="center" wrapText="1"/>
    </xf>
    <xf numFmtId="167" fontId="28" fillId="5" borderId="15" xfId="8" quotePrefix="1" applyNumberFormat="1" applyFont="1" applyFill="1" applyBorder="1" applyAlignment="1">
      <alignment horizontal="right" vertical="center" wrapText="1"/>
    </xf>
    <xf numFmtId="171" fontId="8" fillId="5" borderId="4" xfId="1" applyNumberFormat="1" applyFont="1" applyFill="1" applyBorder="1" applyAlignment="1" applyProtection="1">
      <alignment vertical="center"/>
    </xf>
    <xf numFmtId="0" fontId="93" fillId="5" borderId="0" xfId="0" applyFont="1" applyFill="1"/>
    <xf numFmtId="0" fontId="28" fillId="5" borderId="4" xfId="1" applyNumberFormat="1" applyFont="1" applyFill="1" applyBorder="1" applyAlignment="1" applyProtection="1">
      <alignment horizontal="left" vertical="center"/>
    </xf>
    <xf numFmtId="0" fontId="28" fillId="5" borderId="4" xfId="1" applyNumberFormat="1" applyFont="1" applyFill="1" applyBorder="1" applyAlignment="1" applyProtection="1">
      <alignment horizontal="left" vertical="center" wrapText="1"/>
    </xf>
    <xf numFmtId="171" fontId="28" fillId="5" borderId="4" xfId="1" applyNumberFormat="1" applyFont="1" applyFill="1" applyBorder="1" applyAlignment="1" applyProtection="1">
      <alignment vertical="center"/>
    </xf>
    <xf numFmtId="171" fontId="9" fillId="5" borderId="13" xfId="1" applyNumberFormat="1" applyFont="1" applyFill="1" applyBorder="1" applyAlignment="1" applyProtection="1">
      <alignment vertical="center"/>
    </xf>
    <xf numFmtId="171" fontId="8" fillId="5" borderId="13" xfId="1" applyNumberFormat="1" applyFont="1" applyFill="1" applyBorder="1" applyAlignment="1" applyProtection="1">
      <alignment vertical="center"/>
    </xf>
    <xf numFmtId="171" fontId="28" fillId="5" borderId="13" xfId="1" applyNumberFormat="1" applyFont="1" applyFill="1" applyBorder="1" applyAlignment="1" applyProtection="1">
      <alignment vertical="center"/>
    </xf>
    <xf numFmtId="168" fontId="8" fillId="5" borderId="4" xfId="1" applyNumberFormat="1" applyFont="1" applyFill="1" applyBorder="1" applyAlignment="1">
      <alignment horizontal="right" vertical="center"/>
    </xf>
    <xf numFmtId="168" fontId="9" fillId="5" borderId="4" xfId="1" applyNumberFormat="1" applyFont="1" applyFill="1" applyBorder="1" applyAlignment="1">
      <alignment horizontal="right" vertical="center"/>
    </xf>
    <xf numFmtId="171" fontId="12" fillId="5" borderId="4" xfId="1" applyNumberFormat="1" applyFont="1" applyFill="1" applyBorder="1" applyAlignment="1" applyProtection="1">
      <alignment vertical="center"/>
    </xf>
    <xf numFmtId="171" fontId="9" fillId="5" borderId="4" xfId="1" applyNumberFormat="1" applyFont="1" applyFill="1" applyBorder="1" applyAlignment="1" applyProtection="1">
      <alignment vertical="center"/>
    </xf>
    <xf numFmtId="174" fontId="20" fillId="5" borderId="4" xfId="2" applyNumberFormat="1" applyFont="1" applyFill="1" applyBorder="1" applyAlignment="1" applyProtection="1">
      <alignment vertical="center"/>
    </xf>
    <xf numFmtId="9" fontId="21" fillId="5" borderId="4" xfId="2" applyFont="1" applyFill="1" applyBorder="1" applyAlignment="1" applyProtection="1">
      <alignment vertical="center"/>
    </xf>
    <xf numFmtId="175" fontId="20" fillId="5" borderId="4" xfId="2" applyNumberFormat="1" applyFont="1" applyFill="1" applyBorder="1" applyAlignment="1" applyProtection="1">
      <alignment vertical="center"/>
    </xf>
    <xf numFmtId="171" fontId="12" fillId="5" borderId="5" xfId="2" applyNumberFormat="1" applyFont="1" applyFill="1" applyBorder="1" applyAlignment="1" applyProtection="1">
      <alignment vertical="center"/>
    </xf>
    <xf numFmtId="9" fontId="8" fillId="0" borderId="0" xfId="2" applyFont="1" applyFill="1" applyBorder="1" applyAlignment="1">
      <alignment horizontal="right" vertical="center"/>
    </xf>
    <xf numFmtId="9" fontId="93" fillId="0" borderId="0" xfId="2" applyFont="1"/>
    <xf numFmtId="9" fontId="20" fillId="0" borderId="0" xfId="2" applyFont="1" applyFill="1" applyBorder="1" applyAlignment="1">
      <alignment vertical="center"/>
    </xf>
    <xf numFmtId="169" fontId="19" fillId="0" borderId="4" xfId="9" applyNumberFormat="1" applyFont="1" applyBorder="1" applyAlignment="1">
      <alignment horizontal="left" vertical="center"/>
    </xf>
    <xf numFmtId="173" fontId="19" fillId="0" borderId="4" xfId="1" applyNumberFormat="1" applyFont="1" applyBorder="1" applyAlignment="1" applyProtection="1">
      <alignment horizontal="left" vertical="center" wrapText="1"/>
    </xf>
    <xf numFmtId="171" fontId="94" fillId="0" borderId="4" xfId="1" applyNumberFormat="1" applyFont="1" applyFill="1" applyBorder="1" applyAlignment="1" applyProtection="1">
      <alignment vertical="center"/>
    </xf>
    <xf numFmtId="171" fontId="94" fillId="5" borderId="4" xfId="1" applyNumberFormat="1" applyFont="1" applyFill="1" applyBorder="1" applyAlignment="1" applyProtection="1">
      <alignment vertical="center"/>
    </xf>
    <xf numFmtId="165" fontId="28" fillId="5" borderId="0" xfId="2" applyNumberFormat="1" applyFont="1" applyFill="1" applyAlignment="1">
      <alignment vertical="center"/>
    </xf>
    <xf numFmtId="164" fontId="19" fillId="5" borderId="32" xfId="1" applyNumberFormat="1" applyFont="1" applyFill="1" applyBorder="1" applyAlignment="1">
      <alignment vertical="center"/>
    </xf>
    <xf numFmtId="165" fontId="93" fillId="5" borderId="0" xfId="2" applyNumberFormat="1" applyFont="1" applyFill="1"/>
    <xf numFmtId="164" fontId="19" fillId="5" borderId="15" xfId="8" quotePrefix="1" applyNumberFormat="1" applyFont="1" applyFill="1" applyBorder="1" applyAlignment="1">
      <alignment horizontal="center" vertical="center" wrapText="1"/>
    </xf>
    <xf numFmtId="9" fontId="93" fillId="5" borderId="0" xfId="2" applyFont="1" applyFill="1"/>
    <xf numFmtId="164" fontId="19" fillId="5" borderId="0" xfId="1" applyNumberFormat="1" applyFont="1" applyFill="1" applyAlignment="1">
      <alignment vertical="center"/>
    </xf>
    <xf numFmtId="9" fontId="96" fillId="31" borderId="0" xfId="2" applyFont="1" applyFill="1"/>
    <xf numFmtId="9" fontId="19" fillId="0" borderId="0" xfId="2" applyFont="1" applyAlignment="1">
      <alignment vertical="center"/>
    </xf>
    <xf numFmtId="9" fontId="93" fillId="31" borderId="0" xfId="2" applyFont="1" applyFill="1"/>
    <xf numFmtId="9" fontId="19" fillId="5" borderId="0" xfId="2" applyFont="1" applyFill="1" applyAlignment="1">
      <alignment vertical="center"/>
    </xf>
    <xf numFmtId="0" fontId="19" fillId="5" borderId="30" xfId="0" applyFont="1" applyFill="1" applyBorder="1" applyAlignment="1">
      <alignment vertical="center"/>
    </xf>
    <xf numFmtId="0" fontId="19" fillId="5" borderId="31" xfId="0" applyFont="1" applyFill="1" applyBorder="1" applyAlignment="1">
      <alignment vertical="center"/>
    </xf>
    <xf numFmtId="0" fontId="19" fillId="5" borderId="32" xfId="0" applyFont="1" applyFill="1" applyBorder="1" applyAlignment="1">
      <alignment vertical="center"/>
    </xf>
    <xf numFmtId="164" fontId="8" fillId="5" borderId="15" xfId="8" quotePrefix="1" applyNumberFormat="1" applyFont="1" applyFill="1" applyBorder="1" applyAlignment="1">
      <alignment horizontal="center" vertical="center" wrapText="1"/>
    </xf>
    <xf numFmtId="168" fontId="19" fillId="5" borderId="30" xfId="0" applyNumberFormat="1" applyFont="1" applyFill="1" applyBorder="1" applyAlignment="1">
      <alignment vertical="center"/>
    </xf>
    <xf numFmtId="168" fontId="19" fillId="5" borderId="31" xfId="0" applyNumberFormat="1" applyFont="1" applyFill="1" applyBorder="1" applyAlignment="1">
      <alignment vertical="center"/>
    </xf>
    <xf numFmtId="168" fontId="19" fillId="5" borderId="32" xfId="0" applyNumberFormat="1" applyFont="1" applyFill="1" applyBorder="1" applyAlignment="1">
      <alignment vertical="center"/>
    </xf>
    <xf numFmtId="0" fontId="19" fillId="5" borderId="15" xfId="6" applyFont="1" applyFill="1" applyBorder="1" applyAlignment="1">
      <alignment horizontal="left" vertical="center" wrapText="1"/>
    </xf>
    <xf numFmtId="9" fontId="19" fillId="5" borderId="15" xfId="2" quotePrefix="1" applyFont="1" applyFill="1" applyBorder="1" applyAlignment="1">
      <alignment horizontal="right" vertical="center" wrapText="1"/>
    </xf>
    <xf numFmtId="165" fontId="19" fillId="0" borderId="15" xfId="2" applyNumberFormat="1" applyFont="1" applyBorder="1" applyAlignment="1">
      <alignment vertical="center"/>
    </xf>
    <xf numFmtId="165" fontId="28" fillId="0" borderId="15" xfId="2" applyNumberFormat="1" applyFont="1" applyBorder="1" applyAlignment="1">
      <alignment vertical="center"/>
    </xf>
    <xf numFmtId="165" fontId="28" fillId="0" borderId="15" xfId="0" applyNumberFormat="1" applyFont="1" applyBorder="1" applyAlignment="1">
      <alignment vertical="center"/>
    </xf>
    <xf numFmtId="165" fontId="28" fillId="31" borderId="15" xfId="0" applyNumberFormat="1" applyFont="1" applyFill="1" applyBorder="1" applyAlignment="1">
      <alignment vertical="center"/>
    </xf>
    <xf numFmtId="165" fontId="28" fillId="0" borderId="15" xfId="2" applyNumberFormat="1" applyFont="1" applyFill="1" applyBorder="1" applyAlignment="1">
      <alignment vertical="center"/>
    </xf>
    <xf numFmtId="0" fontId="19" fillId="0" borderId="15" xfId="0" applyFont="1" applyBorder="1" applyAlignment="1">
      <alignment vertical="center" wrapText="1"/>
    </xf>
    <xf numFmtId="0" fontId="28" fillId="0" borderId="15" xfId="0" applyFont="1" applyBorder="1" applyAlignment="1">
      <alignment vertical="center" wrapText="1"/>
    </xf>
    <xf numFmtId="168" fontId="19" fillId="7" borderId="30" xfId="8" quotePrefix="1" applyNumberFormat="1" applyFont="1" applyFill="1" applyBorder="1" applyAlignment="1">
      <alignment horizontal="right" vertical="center" wrapText="1"/>
    </xf>
    <xf numFmtId="168" fontId="28" fillId="7" borderId="30" xfId="8" quotePrefix="1" applyNumberFormat="1" applyFont="1" applyFill="1" applyBorder="1" applyAlignment="1">
      <alignment horizontal="right" vertical="center" wrapText="1"/>
    </xf>
    <xf numFmtId="168" fontId="19" fillId="5" borderId="30" xfId="8" quotePrefix="1" applyNumberFormat="1" applyFont="1" applyFill="1" applyBorder="1" applyAlignment="1">
      <alignment horizontal="right" vertical="center" wrapText="1"/>
    </xf>
    <xf numFmtId="168" fontId="28" fillId="5" borderId="30" xfId="8" quotePrefix="1" applyNumberFormat="1" applyFont="1" applyFill="1" applyBorder="1" applyAlignment="1">
      <alignment horizontal="right" vertical="center" wrapText="1"/>
    </xf>
    <xf numFmtId="171" fontId="19" fillId="0" borderId="4" xfId="1" applyNumberFormat="1" applyFont="1" applyFill="1" applyBorder="1" applyAlignment="1" applyProtection="1">
      <alignment vertical="center"/>
    </xf>
    <xf numFmtId="164" fontId="8" fillId="13" borderId="14" xfId="1" applyNumberFormat="1" applyFont="1" applyFill="1" applyBorder="1" applyAlignment="1">
      <alignment vertical="center"/>
    </xf>
    <xf numFmtId="168" fontId="19" fillId="7" borderId="31" xfId="8" quotePrefix="1" applyNumberFormat="1" applyFont="1" applyFill="1" applyBorder="1" applyAlignment="1">
      <alignment horizontal="right" vertical="center" wrapText="1"/>
    </xf>
    <xf numFmtId="168" fontId="28" fillId="7" borderId="31" xfId="8" quotePrefix="1" applyNumberFormat="1" applyFont="1" applyFill="1" applyBorder="1" applyAlignment="1">
      <alignment horizontal="right" vertical="center" wrapText="1"/>
    </xf>
    <xf numFmtId="171" fontId="94" fillId="0" borderId="13" xfId="1" applyNumberFormat="1" applyFont="1" applyFill="1" applyBorder="1" applyAlignment="1" applyProtection="1">
      <alignment vertical="center"/>
    </xf>
    <xf numFmtId="0" fontId="94" fillId="0" borderId="6" xfId="1" applyNumberFormat="1" applyFont="1" applyBorder="1" applyAlignment="1" applyProtection="1">
      <alignment horizontal="left" vertical="center" wrapText="1"/>
    </xf>
    <xf numFmtId="185" fontId="94" fillId="0" borderId="13" xfId="2" applyNumberFormat="1" applyFont="1" applyFill="1" applyBorder="1" applyAlignment="1" applyProtection="1">
      <alignment vertical="center"/>
    </xf>
    <xf numFmtId="9" fontId="9" fillId="5" borderId="15" xfId="2" quotePrefix="1" applyFont="1" applyFill="1" applyBorder="1" applyAlignment="1">
      <alignment horizontal="right" vertical="center" wrapText="1"/>
    </xf>
    <xf numFmtId="9" fontId="8" fillId="5" borderId="0" xfId="2" applyFont="1" applyFill="1" applyBorder="1" applyAlignment="1">
      <alignment horizontal="right" vertical="center"/>
    </xf>
    <xf numFmtId="9" fontId="28" fillId="0" borderId="0" xfId="2" applyFont="1" applyFill="1" applyBorder="1" applyAlignment="1">
      <alignment horizontal="right" vertical="center"/>
    </xf>
    <xf numFmtId="9" fontId="28" fillId="5" borderId="0" xfId="2" applyFont="1" applyFill="1" applyBorder="1" applyAlignment="1">
      <alignment horizontal="right" vertical="center"/>
    </xf>
    <xf numFmtId="165" fontId="95" fillId="0" borderId="0" xfId="2" applyNumberFormat="1" applyFont="1"/>
    <xf numFmtId="165" fontId="96" fillId="0" borderId="0" xfId="2" applyNumberFormat="1" applyFont="1"/>
    <xf numFmtId="165" fontId="93" fillId="0" borderId="0" xfId="2" applyNumberFormat="1" applyFont="1"/>
    <xf numFmtId="171" fontId="19" fillId="5" borderId="4" xfId="1" applyNumberFormat="1" applyFont="1" applyFill="1" applyBorder="1" applyAlignment="1" applyProtection="1">
      <alignment vertical="center"/>
    </xf>
    <xf numFmtId="171" fontId="28" fillId="0" borderId="4" xfId="1" applyNumberFormat="1" applyFont="1" applyFill="1" applyBorder="1" applyAlignment="1" applyProtection="1">
      <alignment vertical="center"/>
    </xf>
    <xf numFmtId="164" fontId="0" fillId="0" borderId="0" xfId="1" applyNumberFormat="1" applyFont="1"/>
    <xf numFmtId="164" fontId="93" fillId="5" borderId="0" xfId="0" applyNumberFormat="1" applyFont="1" applyFill="1"/>
    <xf numFmtId="0" fontId="8" fillId="5" borderId="18" xfId="6" applyFont="1" applyFill="1" applyBorder="1" applyAlignment="1">
      <alignment horizontal="center" vertical="center" wrapText="1"/>
    </xf>
    <xf numFmtId="9" fontId="19" fillId="7" borderId="15" xfId="2" applyFont="1" applyFill="1" applyBorder="1" applyAlignment="1">
      <alignment horizontal="center" vertical="center" wrapText="1"/>
    </xf>
    <xf numFmtId="9" fontId="28" fillId="7" borderId="15" xfId="2" applyFont="1" applyFill="1" applyBorder="1" applyAlignment="1">
      <alignment horizontal="center" vertical="center" wrapText="1"/>
    </xf>
    <xf numFmtId="9" fontId="19" fillId="0" borderId="15" xfId="2" applyFont="1" applyFill="1" applyBorder="1" applyAlignment="1">
      <alignment horizontal="center" vertical="center" wrapText="1"/>
    </xf>
    <xf numFmtId="168" fontId="28" fillId="0" borderId="15" xfId="8" quotePrefix="1" applyNumberFormat="1" applyFont="1" applyFill="1" applyBorder="1" applyAlignment="1">
      <alignment horizontal="center" vertical="center" wrapText="1"/>
    </xf>
    <xf numFmtId="168" fontId="28" fillId="5" borderId="15" xfId="8" quotePrefix="1" applyNumberFormat="1" applyFont="1" applyFill="1" applyBorder="1" applyAlignment="1">
      <alignment horizontal="center" vertical="center" wrapText="1"/>
    </xf>
    <xf numFmtId="165" fontId="8" fillId="5" borderId="15" xfId="2" applyNumberFormat="1" applyFont="1" applyFill="1" applyBorder="1"/>
    <xf numFmtId="2" fontId="8" fillId="5" borderId="15" xfId="2" applyNumberFormat="1" applyFont="1" applyFill="1" applyBorder="1"/>
    <xf numFmtId="165" fontId="9" fillId="5" borderId="15" xfId="2" applyNumberFormat="1" applyFont="1" applyFill="1" applyBorder="1"/>
    <xf numFmtId="168" fontId="9" fillId="5" borderId="15" xfId="8" quotePrefix="1" applyNumberFormat="1" applyFont="1" applyFill="1" applyBorder="1" applyAlignment="1">
      <alignment horizontal="center" vertical="center" wrapText="1"/>
    </xf>
    <xf numFmtId="0" fontId="9" fillId="5" borderId="15" xfId="0" applyFont="1" applyFill="1" applyBorder="1"/>
    <xf numFmtId="0" fontId="8" fillId="5" borderId="15" xfId="0" applyFont="1" applyFill="1" applyBorder="1"/>
    <xf numFmtId="164" fontId="97" fillId="5" borderId="15" xfId="1" applyNumberFormat="1" applyFont="1" applyFill="1" applyBorder="1" applyAlignment="1">
      <alignment vertical="center"/>
    </xf>
    <xf numFmtId="9" fontId="49" fillId="5" borderId="15" xfId="2" applyFont="1" applyFill="1" applyBorder="1" applyAlignment="1">
      <alignment vertical="center"/>
    </xf>
    <xf numFmtId="9" fontId="97" fillId="5" borderId="15" xfId="2" applyFont="1" applyFill="1" applyBorder="1" applyAlignment="1">
      <alignment vertical="center"/>
    </xf>
    <xf numFmtId="167" fontId="98" fillId="0" borderId="31" xfId="1" applyNumberFormat="1" applyFont="1" applyFill="1" applyBorder="1" applyAlignment="1">
      <alignment vertical="center"/>
    </xf>
    <xf numFmtId="167" fontId="98" fillId="0" borderId="31" xfId="1" applyNumberFormat="1" applyFont="1" applyBorder="1" applyAlignment="1">
      <alignment vertical="center"/>
    </xf>
    <xf numFmtId="0" fontId="19" fillId="0" borderId="15" xfId="6" applyFont="1" applyBorder="1" applyAlignment="1">
      <alignment horizontal="center" vertical="center" wrapText="1"/>
    </xf>
    <xf numFmtId="0" fontId="19" fillId="0" borderId="15" xfId="6" applyFont="1" applyBorder="1" applyAlignment="1">
      <alignment horizontal="left" vertical="center" wrapText="1"/>
    </xf>
    <xf numFmtId="165" fontId="19" fillId="0" borderId="15" xfId="6" applyNumberFormat="1" applyFont="1" applyBorder="1" applyAlignment="1">
      <alignment horizontal="center" vertical="center" wrapText="1"/>
    </xf>
    <xf numFmtId="164" fontId="71" fillId="0" borderId="15" xfId="1" quotePrefix="1" applyNumberFormat="1" applyFont="1" applyFill="1" applyBorder="1" applyAlignment="1">
      <alignment horizontal="center" vertical="center" wrapText="1"/>
    </xf>
    <xf numFmtId="0" fontId="97" fillId="0" borderId="15" xfId="0" applyFont="1" applyBorder="1" applyAlignment="1">
      <alignment vertical="center"/>
    </xf>
    <xf numFmtId="9" fontId="97" fillId="31" borderId="15" xfId="2" applyFont="1" applyFill="1" applyBorder="1" applyAlignment="1">
      <alignment vertical="center"/>
    </xf>
    <xf numFmtId="164" fontId="97" fillId="0" borderId="15" xfId="1" applyNumberFormat="1" applyFont="1" applyBorder="1" applyAlignment="1">
      <alignment vertical="center"/>
    </xf>
    <xf numFmtId="0" fontId="28" fillId="0" borderId="15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 wrapText="1"/>
    </xf>
    <xf numFmtId="167" fontId="19" fillId="0" borderId="30" xfId="1" applyNumberFormat="1" applyFont="1" applyBorder="1" applyAlignment="1">
      <alignment vertical="center"/>
    </xf>
    <xf numFmtId="9" fontId="19" fillId="0" borderId="30" xfId="2" applyFont="1" applyBorder="1" applyAlignment="1">
      <alignment vertical="center"/>
    </xf>
    <xf numFmtId="9" fontId="28" fillId="7" borderId="15" xfId="2" quotePrefix="1" applyFont="1" applyFill="1" applyBorder="1" applyAlignment="1">
      <alignment horizontal="right" vertical="center" wrapText="1"/>
    </xf>
  </cellXfs>
  <cellStyles count="33">
    <cellStyle name="Comma" xfId="1" builtinId="3"/>
    <cellStyle name="Comma 2" xfId="4" xr:uid="{00000000-0005-0000-0000-000001000000}"/>
    <cellStyle name="Comma 2 23" xfId="19" xr:uid="{00000000-0005-0000-0000-000002000000}"/>
    <cellStyle name="Comma 3" xfId="7" xr:uid="{00000000-0005-0000-0000-000003000000}"/>
    <cellStyle name="Comma 3 2" xfId="8" xr:uid="{00000000-0005-0000-0000-000004000000}"/>
    <cellStyle name="Comma 3 3" xfId="22" xr:uid="{00000000-0005-0000-0000-000005000000}"/>
    <cellStyle name="Comma 3 5" xfId="29" xr:uid="{00000000-0005-0000-0000-000006000000}"/>
    <cellStyle name="Comma 4" xfId="18" xr:uid="{00000000-0005-0000-0000-000007000000}"/>
    <cellStyle name="Comma 4 2" xfId="24" xr:uid="{00000000-0005-0000-0000-000008000000}"/>
    <cellStyle name="Comma 4 4" xfId="11" xr:uid="{00000000-0005-0000-0000-000009000000}"/>
    <cellStyle name="Comma 5" xfId="26" xr:uid="{00000000-0005-0000-0000-00000A000000}"/>
    <cellStyle name="Comma 7" xfId="27" xr:uid="{00000000-0005-0000-0000-00000B000000}"/>
    <cellStyle name="Heading 3 2" xfId="10" xr:uid="{00000000-0005-0000-0000-00000C000000}"/>
    <cellStyle name="Normal" xfId="0" builtinId="0"/>
    <cellStyle name="Normal 10" xfId="13" xr:uid="{00000000-0005-0000-0000-00000E000000}"/>
    <cellStyle name="Normal 13" xfId="31" xr:uid="{00000000-0005-0000-0000-00000F000000}"/>
    <cellStyle name="Normal 14" xfId="14" xr:uid="{00000000-0005-0000-0000-000010000000}"/>
    <cellStyle name="Normal 16" xfId="12" xr:uid="{00000000-0005-0000-0000-000011000000}"/>
    <cellStyle name="Normal 2" xfId="3" xr:uid="{00000000-0005-0000-0000-000012000000}"/>
    <cellStyle name="Normal 2 2" xfId="20" xr:uid="{00000000-0005-0000-0000-000013000000}"/>
    <cellStyle name="Normal 2 3" xfId="32" xr:uid="{00000000-0005-0000-0000-000014000000}"/>
    <cellStyle name="Normal 2 3 6" xfId="21" xr:uid="{00000000-0005-0000-0000-000015000000}"/>
    <cellStyle name="Normal 2 3 6 2" xfId="23" xr:uid="{00000000-0005-0000-0000-000016000000}"/>
    <cellStyle name="Normal 3" xfId="6" xr:uid="{00000000-0005-0000-0000-000017000000}"/>
    <cellStyle name="Normal 4" xfId="15" xr:uid="{00000000-0005-0000-0000-000018000000}"/>
    <cellStyle name="Normal 5" xfId="17" xr:uid="{00000000-0005-0000-0000-000019000000}"/>
    <cellStyle name="Normal 6" xfId="25" xr:uid="{00000000-0005-0000-0000-00001A000000}"/>
    <cellStyle name="Normal 7" xfId="9" xr:uid="{00000000-0005-0000-0000-00001B000000}"/>
    <cellStyle name="Normal 8" xfId="28" xr:uid="{00000000-0005-0000-0000-00001C000000}"/>
    <cellStyle name="Normal_SCHEDULE" xfId="30" xr:uid="{00000000-0005-0000-0000-00001D000000}"/>
    <cellStyle name="Percent" xfId="2" builtinId="5"/>
    <cellStyle name="Percent 2" xfId="5" xr:uid="{00000000-0005-0000-0000-00001F000000}"/>
    <cellStyle name="Percent 3" xfId="16" xr:uid="{00000000-0005-0000-0000-000020000000}"/>
  </cellStyles>
  <dxfs count="0"/>
  <tableStyles count="0" defaultTableStyle="TableStyleMedium2" defaultPivotStyle="PivotStyleLight16"/>
  <colors>
    <mruColors>
      <color rgb="FFFFFFCC"/>
      <color rgb="FF0000CC"/>
      <color rgb="FF0000FF"/>
      <color rgb="FFFFCCFF"/>
      <color rgb="FF66CC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7470</xdr:colOff>
      <xdr:row>30</xdr:row>
      <xdr:rowOff>112059</xdr:rowOff>
    </xdr:from>
    <xdr:to>
      <xdr:col>55</xdr:col>
      <xdr:colOff>394994</xdr:colOff>
      <xdr:row>45</xdr:row>
      <xdr:rowOff>145893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23BDB4-2E86-48EE-872A-C09FAD76D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52882" y="6970059"/>
          <a:ext cx="5288230" cy="30519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ư, Lê Hoành" id="{E5EFC9C2-D03D-4C7B-9160-7E845E26DB78}" userId="S::CuLH@duytanrecycling.com::8040f1d9-fc08-4340-919f-e31835b0966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82" dT="2026-02-02T09:11:48.69" personId="{E5EFC9C2-D03D-4C7B-9160-7E845E26DB78}" id="{696CC617-39B8-481A-BEB3-2943E8B034E6}">
    <text>Chuyển sang băm</text>
  </threadedComment>
</ThreadedComment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U23"/>
  <sheetViews>
    <sheetView topLeftCell="A7" zoomScale="85" zoomScaleNormal="85" workbookViewId="0">
      <selection activeCell="C8" sqref="C8"/>
    </sheetView>
  </sheetViews>
  <sheetFormatPr defaultRowHeight="14.5" x14ac:dyDescent="0.35"/>
  <sheetData>
    <row r="1" spans="2:99" ht="15.5" x14ac:dyDescent="0.35">
      <c r="B1" s="557" t="s">
        <v>0</v>
      </c>
    </row>
    <row r="2" spans="2:99" ht="23" x14ac:dyDescent="0.35">
      <c r="B2" s="558" t="str">
        <f>IF(B3="EN","Schedule Annual Plan 2025","Lịch lập NGÂN SÁCH năm 2026")</f>
        <v>Lịch lập NGÂN SÁCH năm 2026</v>
      </c>
      <c r="D2" s="559" t="str">
        <f>IF(B3="EN","Start:","Bắt đầu:")</f>
        <v>Bắt đầu:</v>
      </c>
      <c r="E2" s="560">
        <v>45915</v>
      </c>
      <c r="F2" s="561"/>
      <c r="G2" s="560"/>
    </row>
    <row r="3" spans="2:99" ht="15.5" x14ac:dyDescent="0.35">
      <c r="B3" s="562" t="s">
        <v>2153</v>
      </c>
      <c r="C3" s="562"/>
      <c r="D3" s="559" t="str">
        <f>IF(B3="EN","Finish:","Kết thúc:")</f>
        <v>Kết thúc:</v>
      </c>
      <c r="E3" s="563">
        <f>G22</f>
        <v>45990</v>
      </c>
      <c r="F3" s="564"/>
      <c r="G3" s="565">
        <f>E3-E2</f>
        <v>75</v>
      </c>
    </row>
    <row r="4" spans="2:99" ht="31" x14ac:dyDescent="0.35">
      <c r="B4" s="566"/>
      <c r="C4" s="567"/>
      <c r="D4" s="568" t="str">
        <f>IF(B3="en","SENDER","Đơn vị gửi")</f>
        <v>Đơn vị gửi</v>
      </c>
      <c r="E4" s="568" t="str">
        <f>IF(B3="EN","RECEIVER","Đơn vị nhận")</f>
        <v>Đơn vị nhận</v>
      </c>
      <c r="F4" s="568"/>
      <c r="G4" s="568" t="s">
        <v>1</v>
      </c>
      <c r="H4" s="1274" t="s">
        <v>2</v>
      </c>
      <c r="I4" s="1275"/>
      <c r="J4" s="1275"/>
      <c r="K4" s="1275"/>
      <c r="L4" s="1275"/>
      <c r="M4" s="1275"/>
      <c r="N4" s="1275"/>
      <c r="O4" s="1275"/>
      <c r="P4" s="1275"/>
      <c r="Q4" s="1275"/>
      <c r="R4" s="1275"/>
      <c r="S4" s="1275"/>
      <c r="T4" s="1275"/>
      <c r="U4" s="1275"/>
      <c r="V4" s="1275"/>
      <c r="W4" s="1275"/>
      <c r="X4" s="1275"/>
      <c r="Y4" s="1275"/>
      <c r="Z4" s="1275"/>
      <c r="AA4" s="1275"/>
      <c r="AB4" s="1275"/>
      <c r="AC4" s="1275"/>
      <c r="AD4" s="1275"/>
      <c r="AE4" s="1275"/>
      <c r="AF4" s="1275"/>
      <c r="AG4" s="1275"/>
      <c r="AH4" s="1275"/>
      <c r="AI4" s="1275"/>
      <c r="AJ4" s="1275"/>
      <c r="AK4" s="1275"/>
      <c r="AL4" s="1275"/>
      <c r="AM4" s="1276" t="s">
        <v>3</v>
      </c>
      <c r="AN4" s="1277"/>
      <c r="AO4" s="1277"/>
      <c r="AP4" s="1277"/>
      <c r="AQ4" s="1277"/>
      <c r="AR4" s="1277"/>
      <c r="AS4" s="1277"/>
      <c r="AT4" s="1277"/>
      <c r="AU4" s="1277"/>
      <c r="AV4" s="1277"/>
      <c r="AW4" s="1277"/>
      <c r="AX4" s="1277"/>
      <c r="AY4" s="1277"/>
      <c r="AZ4" s="1277"/>
      <c r="BA4" s="1277"/>
      <c r="BB4" s="1277"/>
      <c r="BC4" s="1277"/>
      <c r="BD4" s="1277"/>
      <c r="BE4" s="1277"/>
      <c r="BF4" s="1277"/>
      <c r="BG4" s="1277"/>
      <c r="BH4" s="1277"/>
      <c r="BI4" s="1277"/>
      <c r="BJ4" s="1277"/>
      <c r="BK4" s="1277"/>
      <c r="BL4" s="1277"/>
      <c r="BM4" s="1277"/>
      <c r="BN4" s="1277"/>
      <c r="BO4" s="1277"/>
      <c r="BP4" s="1277"/>
      <c r="BQ4" s="1277"/>
      <c r="BR4" s="1270" t="s">
        <v>4</v>
      </c>
      <c r="BS4" s="1271"/>
      <c r="BT4" s="1271"/>
      <c r="BU4" s="1271"/>
      <c r="BV4" s="1271"/>
      <c r="BW4" s="1271"/>
      <c r="BX4" s="1271"/>
      <c r="BY4" s="1271"/>
      <c r="BZ4" s="1271"/>
      <c r="CA4" s="1271"/>
      <c r="CB4" s="1271"/>
      <c r="CC4" s="1271"/>
      <c r="CD4" s="1271"/>
      <c r="CE4" s="1271"/>
      <c r="CF4" s="1271"/>
      <c r="CG4" s="1271"/>
      <c r="CH4" s="1271"/>
      <c r="CI4" s="1271"/>
      <c r="CJ4" s="1271"/>
      <c r="CK4" s="1271"/>
      <c r="CL4" s="1271"/>
      <c r="CM4" s="1271"/>
      <c r="CN4" s="1271"/>
      <c r="CO4" s="1271"/>
      <c r="CP4" s="1271"/>
      <c r="CQ4" s="1271"/>
      <c r="CR4" s="1271"/>
      <c r="CS4" s="1271"/>
      <c r="CT4" s="1271"/>
      <c r="CU4" s="1272"/>
    </row>
    <row r="5" spans="2:99" ht="31" x14ac:dyDescent="0.35">
      <c r="B5" s="569" t="s">
        <v>5</v>
      </c>
      <c r="C5" s="570" t="str">
        <f>IF(B3="EN","PROCESS","TRÌNH TỰ THỰC HIỆN")</f>
        <v>TRÌNH TỰ THỰC HIỆN</v>
      </c>
      <c r="D5" s="571"/>
      <c r="E5" s="571"/>
      <c r="F5" s="571" t="s">
        <v>6</v>
      </c>
      <c r="G5" s="571"/>
      <c r="H5" s="572">
        <v>1</v>
      </c>
      <c r="I5" s="573">
        <v>2</v>
      </c>
      <c r="J5" s="573">
        <v>3</v>
      </c>
      <c r="K5" s="573">
        <v>4</v>
      </c>
      <c r="L5" s="573">
        <v>5</v>
      </c>
      <c r="M5" s="573">
        <v>6</v>
      </c>
      <c r="N5" s="573">
        <v>7</v>
      </c>
      <c r="O5" s="573">
        <v>8</v>
      </c>
      <c r="P5" s="573">
        <v>9</v>
      </c>
      <c r="Q5" s="573">
        <v>10</v>
      </c>
      <c r="R5" s="573">
        <v>11</v>
      </c>
      <c r="S5" s="573">
        <v>12</v>
      </c>
      <c r="T5" s="573">
        <v>13</v>
      </c>
      <c r="U5" s="573">
        <v>14</v>
      </c>
      <c r="V5" s="573">
        <v>15</v>
      </c>
      <c r="W5" s="573">
        <v>16</v>
      </c>
      <c r="X5" s="573">
        <v>17</v>
      </c>
      <c r="Y5" s="573">
        <v>18</v>
      </c>
      <c r="Z5" s="573">
        <v>19</v>
      </c>
      <c r="AA5" s="573">
        <v>20</v>
      </c>
      <c r="AB5" s="573">
        <v>21</v>
      </c>
      <c r="AC5" s="573">
        <v>22</v>
      </c>
      <c r="AD5" s="573">
        <v>23</v>
      </c>
      <c r="AE5" s="573">
        <v>24</v>
      </c>
      <c r="AF5" s="573">
        <v>25</v>
      </c>
      <c r="AG5" s="573">
        <v>26</v>
      </c>
      <c r="AH5" s="573">
        <v>27</v>
      </c>
      <c r="AI5" s="573">
        <v>28</v>
      </c>
      <c r="AJ5" s="573">
        <v>29</v>
      </c>
      <c r="AK5" s="573">
        <v>30</v>
      </c>
      <c r="AL5" s="574">
        <v>31</v>
      </c>
      <c r="AM5" s="575">
        <v>1</v>
      </c>
      <c r="AN5" s="576">
        <v>2</v>
      </c>
      <c r="AO5" s="576">
        <v>3</v>
      </c>
      <c r="AP5" s="576">
        <v>4</v>
      </c>
      <c r="AQ5" s="576">
        <v>5</v>
      </c>
      <c r="AR5" s="576">
        <v>6</v>
      </c>
      <c r="AS5" s="576">
        <v>7</v>
      </c>
      <c r="AT5" s="576">
        <v>8</v>
      </c>
      <c r="AU5" s="576">
        <v>9</v>
      </c>
      <c r="AV5" s="576">
        <v>10</v>
      </c>
      <c r="AW5" s="576">
        <v>11</v>
      </c>
      <c r="AX5" s="576">
        <v>12</v>
      </c>
      <c r="AY5" s="576">
        <v>13</v>
      </c>
      <c r="AZ5" s="576">
        <v>14</v>
      </c>
      <c r="BA5" s="576">
        <v>15</v>
      </c>
      <c r="BB5" s="576">
        <v>16</v>
      </c>
      <c r="BC5" s="576">
        <v>17</v>
      </c>
      <c r="BD5" s="576">
        <v>18</v>
      </c>
      <c r="BE5" s="576">
        <v>19</v>
      </c>
      <c r="BF5" s="576">
        <v>20</v>
      </c>
      <c r="BG5" s="576">
        <v>21</v>
      </c>
      <c r="BH5" s="576">
        <v>22</v>
      </c>
      <c r="BI5" s="577">
        <v>23</v>
      </c>
      <c r="BJ5" s="576">
        <v>24</v>
      </c>
      <c r="BK5" s="576">
        <v>25</v>
      </c>
      <c r="BL5" s="576">
        <v>26</v>
      </c>
      <c r="BM5" s="576">
        <v>27</v>
      </c>
      <c r="BN5" s="576">
        <v>28</v>
      </c>
      <c r="BO5" s="576">
        <v>29</v>
      </c>
      <c r="BP5" s="576">
        <v>30</v>
      </c>
      <c r="BQ5" s="578">
        <v>31</v>
      </c>
      <c r="BR5" s="579">
        <v>1</v>
      </c>
      <c r="BS5" s="576">
        <f t="shared" ref="BS5:CR5" si="0">BR5+1</f>
        <v>2</v>
      </c>
      <c r="BT5" s="576">
        <f t="shared" si="0"/>
        <v>3</v>
      </c>
      <c r="BU5" s="576">
        <f t="shared" si="0"/>
        <v>4</v>
      </c>
      <c r="BV5" s="576">
        <f t="shared" si="0"/>
        <v>5</v>
      </c>
      <c r="BW5" s="576">
        <f t="shared" si="0"/>
        <v>6</v>
      </c>
      <c r="BX5" s="576">
        <f t="shared" si="0"/>
        <v>7</v>
      </c>
      <c r="BY5" s="576">
        <f t="shared" si="0"/>
        <v>8</v>
      </c>
      <c r="BZ5" s="576">
        <f t="shared" si="0"/>
        <v>9</v>
      </c>
      <c r="CA5" s="576">
        <f t="shared" si="0"/>
        <v>10</v>
      </c>
      <c r="CB5" s="576">
        <f t="shared" si="0"/>
        <v>11</v>
      </c>
      <c r="CC5" s="576">
        <f t="shared" si="0"/>
        <v>12</v>
      </c>
      <c r="CD5" s="576">
        <f t="shared" si="0"/>
        <v>13</v>
      </c>
      <c r="CE5" s="576">
        <f t="shared" si="0"/>
        <v>14</v>
      </c>
      <c r="CF5" s="576">
        <f t="shared" si="0"/>
        <v>15</v>
      </c>
      <c r="CG5" s="576">
        <f t="shared" si="0"/>
        <v>16</v>
      </c>
      <c r="CH5" s="576">
        <f t="shared" si="0"/>
        <v>17</v>
      </c>
      <c r="CI5" s="576">
        <f t="shared" si="0"/>
        <v>18</v>
      </c>
      <c r="CJ5" s="576">
        <f t="shared" si="0"/>
        <v>19</v>
      </c>
      <c r="CK5" s="576">
        <f t="shared" si="0"/>
        <v>20</v>
      </c>
      <c r="CL5" s="576">
        <f t="shared" si="0"/>
        <v>21</v>
      </c>
      <c r="CM5" s="576">
        <f t="shared" si="0"/>
        <v>22</v>
      </c>
      <c r="CN5" s="576">
        <f t="shared" si="0"/>
        <v>23</v>
      </c>
      <c r="CO5" s="576">
        <f t="shared" si="0"/>
        <v>24</v>
      </c>
      <c r="CP5" s="576">
        <f t="shared" si="0"/>
        <v>25</v>
      </c>
      <c r="CQ5" s="576">
        <f t="shared" si="0"/>
        <v>26</v>
      </c>
      <c r="CR5" s="576">
        <f t="shared" si="0"/>
        <v>27</v>
      </c>
      <c r="CS5" s="576">
        <f>CR5+1</f>
        <v>28</v>
      </c>
      <c r="CT5" s="576">
        <f>CS5+1</f>
        <v>29</v>
      </c>
      <c r="CU5" s="580">
        <v>30</v>
      </c>
    </row>
    <row r="6" spans="2:99" ht="15.5" x14ac:dyDescent="0.35">
      <c r="B6" s="581"/>
      <c r="C6" s="582"/>
      <c r="D6" s="1273"/>
      <c r="E6" s="1273"/>
      <c r="F6" s="583" t="s">
        <v>7</v>
      </c>
      <c r="G6" s="1273"/>
      <c r="H6" s="584" t="s">
        <v>8</v>
      </c>
      <c r="I6" s="585" t="s">
        <v>9</v>
      </c>
      <c r="J6" s="584" t="s">
        <v>10</v>
      </c>
      <c r="K6" s="585" t="s">
        <v>11</v>
      </c>
      <c r="L6" s="584" t="s">
        <v>12</v>
      </c>
      <c r="M6" s="586" t="s">
        <v>13</v>
      </c>
      <c r="N6" s="586" t="s">
        <v>14</v>
      </c>
      <c r="O6" s="584" t="s">
        <v>8</v>
      </c>
      <c r="P6" s="585" t="s">
        <v>9</v>
      </c>
      <c r="Q6" s="584" t="s">
        <v>10</v>
      </c>
      <c r="R6" s="585" t="s">
        <v>11</v>
      </c>
      <c r="S6" s="584" t="s">
        <v>12</v>
      </c>
      <c r="T6" s="586" t="s">
        <v>13</v>
      </c>
      <c r="U6" s="586" t="s">
        <v>14</v>
      </c>
      <c r="V6" s="584" t="s">
        <v>8</v>
      </c>
      <c r="W6" s="585" t="s">
        <v>9</v>
      </c>
      <c r="X6" s="584" t="s">
        <v>10</v>
      </c>
      <c r="Y6" s="585" t="s">
        <v>11</v>
      </c>
      <c r="Z6" s="584" t="s">
        <v>12</v>
      </c>
      <c r="AA6" s="586" t="s">
        <v>13</v>
      </c>
      <c r="AB6" s="586" t="s">
        <v>14</v>
      </c>
      <c r="AC6" s="584" t="s">
        <v>8</v>
      </c>
      <c r="AD6" s="585" t="s">
        <v>9</v>
      </c>
      <c r="AE6" s="584" t="s">
        <v>10</v>
      </c>
      <c r="AF6" s="585" t="s">
        <v>11</v>
      </c>
      <c r="AG6" s="584" t="s">
        <v>12</v>
      </c>
      <c r="AH6" s="586" t="s">
        <v>13</v>
      </c>
      <c r="AI6" s="586" t="s">
        <v>14</v>
      </c>
      <c r="AJ6" s="587" t="s">
        <v>8</v>
      </c>
      <c r="AK6" s="587" t="s">
        <v>9</v>
      </c>
      <c r="AL6" s="588" t="s">
        <v>10</v>
      </c>
      <c r="AM6" s="589" t="s">
        <v>11</v>
      </c>
      <c r="AN6" s="587" t="s">
        <v>12</v>
      </c>
      <c r="AO6" s="590" t="s">
        <v>13</v>
      </c>
      <c r="AP6" s="590" t="s">
        <v>14</v>
      </c>
      <c r="AQ6" s="587" t="s">
        <v>8</v>
      </c>
      <c r="AR6" s="587" t="s">
        <v>9</v>
      </c>
      <c r="AS6" s="588" t="s">
        <v>10</v>
      </c>
      <c r="AT6" s="589" t="s">
        <v>11</v>
      </c>
      <c r="AU6" s="587" t="s">
        <v>12</v>
      </c>
      <c r="AV6" s="590" t="s">
        <v>13</v>
      </c>
      <c r="AW6" s="590" t="s">
        <v>14</v>
      </c>
      <c r="AX6" s="587" t="s">
        <v>8</v>
      </c>
      <c r="AY6" s="587" t="s">
        <v>9</v>
      </c>
      <c r="AZ6" s="588" t="s">
        <v>10</v>
      </c>
      <c r="BA6" s="589" t="s">
        <v>11</v>
      </c>
      <c r="BB6" s="587" t="s">
        <v>12</v>
      </c>
      <c r="BC6" s="590" t="s">
        <v>13</v>
      </c>
      <c r="BD6" s="590" t="s">
        <v>14</v>
      </c>
      <c r="BE6" s="587" t="s">
        <v>8</v>
      </c>
      <c r="BF6" s="587" t="s">
        <v>9</v>
      </c>
      <c r="BG6" s="588" t="s">
        <v>10</v>
      </c>
      <c r="BH6" s="589" t="s">
        <v>11</v>
      </c>
      <c r="BI6" s="587" t="s">
        <v>12</v>
      </c>
      <c r="BJ6" s="590" t="s">
        <v>13</v>
      </c>
      <c r="BK6" s="590" t="s">
        <v>14</v>
      </c>
      <c r="BL6" s="587" t="s">
        <v>8</v>
      </c>
      <c r="BM6" s="587" t="s">
        <v>9</v>
      </c>
      <c r="BN6" s="588" t="s">
        <v>10</v>
      </c>
      <c r="BO6" s="589" t="s">
        <v>11</v>
      </c>
      <c r="BP6" s="587" t="s">
        <v>12</v>
      </c>
      <c r="BQ6" s="590" t="s">
        <v>13</v>
      </c>
      <c r="BR6" s="590" t="s">
        <v>14</v>
      </c>
      <c r="BS6" s="587" t="s">
        <v>8</v>
      </c>
      <c r="BT6" s="587" t="s">
        <v>9</v>
      </c>
      <c r="BU6" s="588" t="s">
        <v>10</v>
      </c>
      <c r="BV6" s="589" t="s">
        <v>11</v>
      </c>
      <c r="BW6" s="587" t="s">
        <v>12</v>
      </c>
      <c r="BX6" s="590" t="s">
        <v>13</v>
      </c>
      <c r="BY6" s="590" t="s">
        <v>14</v>
      </c>
      <c r="BZ6" s="587" t="s">
        <v>8</v>
      </c>
      <c r="CA6" s="587" t="s">
        <v>9</v>
      </c>
      <c r="CB6" s="588" t="s">
        <v>10</v>
      </c>
      <c r="CC6" s="589" t="s">
        <v>11</v>
      </c>
      <c r="CD6" s="587" t="s">
        <v>12</v>
      </c>
      <c r="CE6" s="590" t="s">
        <v>13</v>
      </c>
      <c r="CF6" s="590" t="s">
        <v>14</v>
      </c>
      <c r="CG6" s="587" t="s">
        <v>8</v>
      </c>
      <c r="CH6" s="587" t="s">
        <v>9</v>
      </c>
      <c r="CI6" s="588" t="s">
        <v>10</v>
      </c>
      <c r="CJ6" s="589" t="s">
        <v>11</v>
      </c>
      <c r="CK6" s="587" t="s">
        <v>12</v>
      </c>
      <c r="CL6" s="590" t="s">
        <v>13</v>
      </c>
      <c r="CM6" s="590" t="s">
        <v>14</v>
      </c>
      <c r="CN6" s="587" t="s">
        <v>8</v>
      </c>
      <c r="CO6" s="587" t="s">
        <v>9</v>
      </c>
      <c r="CP6" s="588" t="s">
        <v>10</v>
      </c>
      <c r="CQ6" s="589" t="s">
        <v>11</v>
      </c>
      <c r="CR6" s="587" t="s">
        <v>12</v>
      </c>
      <c r="CS6" s="590" t="s">
        <v>13</v>
      </c>
      <c r="CT6" s="590" t="s">
        <v>14</v>
      </c>
      <c r="CU6" s="587" t="s">
        <v>8</v>
      </c>
    </row>
    <row r="7" spans="2:99" ht="46.5" x14ac:dyDescent="0.35">
      <c r="B7" s="591">
        <v>1</v>
      </c>
      <c r="C7" s="592" t="s">
        <v>15</v>
      </c>
      <c r="D7" s="593" t="s">
        <v>16</v>
      </c>
      <c r="E7" s="594" t="str">
        <f>IF(B3="EN","All","Tất cả")</f>
        <v>Tất cả</v>
      </c>
      <c r="F7" s="595"/>
      <c r="G7" s="596">
        <f>E2</f>
        <v>45915</v>
      </c>
      <c r="H7" s="597"/>
      <c r="I7" s="598"/>
      <c r="J7" s="598"/>
      <c r="K7" s="598"/>
      <c r="L7" s="598"/>
      <c r="M7" s="598"/>
      <c r="N7" s="598"/>
      <c r="O7" s="598"/>
      <c r="P7" s="598"/>
      <c r="Q7" s="598"/>
      <c r="R7" s="598"/>
      <c r="S7" s="598"/>
      <c r="T7" s="598"/>
      <c r="U7" s="598"/>
      <c r="V7" s="599"/>
      <c r="W7" s="598"/>
      <c r="X7" s="600"/>
      <c r="Y7" s="600"/>
      <c r="Z7" s="600"/>
      <c r="AA7" s="600"/>
      <c r="AB7" s="600"/>
      <c r="AC7" s="600"/>
      <c r="AD7" s="600"/>
      <c r="AE7" s="600"/>
      <c r="AF7" s="600"/>
      <c r="AG7" s="600"/>
      <c r="AH7" s="600"/>
      <c r="AI7" s="600"/>
      <c r="AJ7" s="600"/>
      <c r="AK7" s="600"/>
      <c r="AL7" s="601"/>
      <c r="AM7" s="602"/>
      <c r="AN7" s="603"/>
      <c r="AO7" s="603"/>
      <c r="AP7" s="603"/>
      <c r="AQ7" s="603"/>
      <c r="AR7" s="603"/>
      <c r="AS7" s="603"/>
      <c r="AT7" s="603"/>
      <c r="AU7" s="603"/>
      <c r="AV7" s="603"/>
      <c r="AW7" s="603"/>
      <c r="AX7" s="603"/>
      <c r="AY7" s="603"/>
      <c r="AZ7" s="603"/>
      <c r="BA7" s="603"/>
      <c r="BB7" s="603"/>
      <c r="BC7" s="603"/>
      <c r="BD7" s="603"/>
      <c r="BE7" s="603"/>
      <c r="BF7" s="603"/>
      <c r="BG7" s="603"/>
      <c r="BH7" s="603"/>
      <c r="BI7" s="603"/>
      <c r="BJ7" s="603"/>
      <c r="BK7" s="603"/>
      <c r="BL7" s="603"/>
      <c r="BM7" s="603"/>
      <c r="BN7" s="603"/>
      <c r="BO7" s="603"/>
      <c r="BP7" s="603"/>
      <c r="BQ7" s="604"/>
      <c r="BR7" s="605"/>
      <c r="BS7" s="603"/>
      <c r="BT7" s="603"/>
      <c r="BU7" s="603"/>
      <c r="BV7" s="603"/>
      <c r="BW7" s="603"/>
      <c r="BX7" s="603"/>
      <c r="BY7" s="603"/>
      <c r="BZ7" s="603"/>
      <c r="CA7" s="603"/>
      <c r="CB7" s="603"/>
      <c r="CC7" s="603"/>
      <c r="CD7" s="603"/>
      <c r="CE7" s="603"/>
      <c r="CF7" s="603"/>
      <c r="CG7" s="603"/>
      <c r="CH7" s="603"/>
      <c r="CI7" s="603"/>
      <c r="CJ7" s="603"/>
      <c r="CK7" s="603"/>
      <c r="CL7" s="603"/>
      <c r="CM7" s="603"/>
      <c r="CN7" s="603"/>
      <c r="CO7" s="603"/>
      <c r="CP7" s="603"/>
      <c r="CQ7" s="603"/>
      <c r="CR7" s="603"/>
      <c r="CS7" s="603"/>
      <c r="CT7" s="603"/>
      <c r="CU7" s="601"/>
    </row>
    <row r="8" spans="2:99" ht="93" x14ac:dyDescent="0.35">
      <c r="B8" s="606">
        <v>2</v>
      </c>
      <c r="C8" s="607" t="s">
        <v>17</v>
      </c>
      <c r="D8" s="608" t="str">
        <f>IF(B3="EN","Sales team","Phòng kinh doanh")</f>
        <v>Phòng kinh doanh</v>
      </c>
      <c r="E8" s="595" t="str">
        <f>IF(B3="EN","Acct.","Kế toán")</f>
        <v>Kế toán</v>
      </c>
      <c r="F8" s="595">
        <v>15</v>
      </c>
      <c r="G8" s="609">
        <f>F8+$G$7</f>
        <v>45930</v>
      </c>
      <c r="H8" s="597"/>
      <c r="I8" s="598"/>
      <c r="J8" s="598"/>
      <c r="K8" s="598"/>
      <c r="L8" s="598"/>
      <c r="M8" s="598"/>
      <c r="N8" s="598"/>
      <c r="O8" s="598"/>
      <c r="P8" s="598"/>
      <c r="Q8" s="598"/>
      <c r="R8" s="598"/>
      <c r="S8" s="598"/>
      <c r="T8" s="598"/>
      <c r="U8" s="598"/>
      <c r="V8" s="610"/>
      <c r="W8" s="610"/>
      <c r="X8" s="611"/>
      <c r="Y8" s="611"/>
      <c r="Z8" s="611"/>
      <c r="AA8" s="611"/>
      <c r="AB8" s="611"/>
      <c r="AC8" s="611"/>
      <c r="AD8" s="611"/>
      <c r="AE8" s="611"/>
      <c r="AF8" s="612"/>
      <c r="AG8" s="611"/>
      <c r="AH8" s="611"/>
      <c r="AI8" s="611"/>
      <c r="AJ8" s="611"/>
      <c r="AK8" s="611"/>
      <c r="AL8" s="613"/>
      <c r="AM8" s="614"/>
      <c r="AN8" s="615"/>
      <c r="AO8" s="615"/>
      <c r="AP8" s="615"/>
      <c r="AQ8" s="615"/>
      <c r="AR8" s="616"/>
      <c r="AS8" s="616"/>
      <c r="AT8" s="616"/>
      <c r="AU8" s="616"/>
      <c r="AV8" s="616"/>
      <c r="AW8" s="616"/>
      <c r="AX8" s="616"/>
      <c r="AY8" s="616"/>
      <c r="AZ8" s="616"/>
      <c r="BA8" s="616"/>
      <c r="BB8" s="616"/>
      <c r="BC8" s="616"/>
      <c r="BD8" s="616"/>
      <c r="BE8" s="616"/>
      <c r="BF8" s="616"/>
      <c r="BG8" s="616"/>
      <c r="BH8" s="616"/>
      <c r="BI8" s="616"/>
      <c r="BJ8" s="616"/>
      <c r="BK8" s="616"/>
      <c r="BL8" s="616"/>
      <c r="BM8" s="616"/>
      <c r="BN8" s="616"/>
      <c r="BO8" s="616"/>
      <c r="BP8" s="616"/>
      <c r="BQ8" s="617"/>
      <c r="BR8" s="618"/>
      <c r="BS8" s="616"/>
      <c r="BT8" s="616"/>
      <c r="BU8" s="616"/>
      <c r="BV8" s="616"/>
      <c r="BW8" s="616"/>
      <c r="BX8" s="616"/>
      <c r="BY8" s="616"/>
      <c r="BZ8" s="619"/>
      <c r="CA8" s="616"/>
      <c r="CB8" s="616"/>
      <c r="CC8" s="616"/>
      <c r="CD8" s="616"/>
      <c r="CE8" s="616"/>
      <c r="CF8" s="616"/>
      <c r="CG8" s="616"/>
      <c r="CH8" s="616"/>
      <c r="CI8" s="616"/>
      <c r="CJ8" s="616"/>
      <c r="CK8" s="616"/>
      <c r="CL8" s="616"/>
      <c r="CM8" s="616"/>
      <c r="CN8" s="616"/>
      <c r="CO8" s="616"/>
      <c r="CP8" s="616"/>
      <c r="CQ8" s="616"/>
      <c r="CR8" s="616"/>
      <c r="CS8" s="616"/>
      <c r="CT8" s="616"/>
      <c r="CU8" s="620"/>
    </row>
    <row r="9" spans="2:99" ht="46.5" x14ac:dyDescent="0.35">
      <c r="B9" s="621">
        <v>3</v>
      </c>
      <c r="C9" s="622" t="s">
        <v>18</v>
      </c>
      <c r="D9" s="623" t="str">
        <f>IF(B2="EN","Supply chain","Chuỗi cung ứng")</f>
        <v>Chuỗi cung ứng</v>
      </c>
      <c r="E9" s="624" t="str">
        <f t="shared" ref="E9:E16" si="1">E8</f>
        <v>Kế toán</v>
      </c>
      <c r="F9" s="595">
        <v>15</v>
      </c>
      <c r="G9" s="609">
        <f t="shared" ref="G9:G22" si="2">F9+$G$7</f>
        <v>45930</v>
      </c>
      <c r="H9" s="597"/>
      <c r="I9" s="598"/>
      <c r="J9" s="598"/>
      <c r="K9" s="598"/>
      <c r="L9" s="598"/>
      <c r="M9" s="598"/>
      <c r="N9" s="598"/>
      <c r="O9" s="598"/>
      <c r="P9" s="598"/>
      <c r="Q9" s="598"/>
      <c r="R9" s="598"/>
      <c r="S9" s="598"/>
      <c r="T9" s="598"/>
      <c r="U9" s="598"/>
      <c r="V9" s="610"/>
      <c r="W9" s="610"/>
      <c r="X9" s="611"/>
      <c r="Y9" s="611"/>
      <c r="Z9" s="611"/>
      <c r="AA9" s="611"/>
      <c r="AB9" s="611"/>
      <c r="AC9" s="611"/>
      <c r="AD9" s="611"/>
      <c r="AE9" s="611"/>
      <c r="AF9" s="611"/>
      <c r="AG9" s="611"/>
      <c r="AH9" s="611"/>
      <c r="AI9" s="611"/>
      <c r="AJ9" s="611"/>
      <c r="AK9" s="611"/>
      <c r="AL9" s="613"/>
      <c r="AM9" s="625"/>
      <c r="AN9" s="615"/>
      <c r="AO9" s="615"/>
      <c r="AP9" s="615"/>
      <c r="AQ9" s="626"/>
      <c r="AR9" s="627"/>
      <c r="AS9" s="616"/>
      <c r="AT9" s="616"/>
      <c r="AU9" s="616"/>
      <c r="AV9" s="616"/>
      <c r="AW9" s="616"/>
      <c r="AX9" s="616"/>
      <c r="AY9" s="616"/>
      <c r="AZ9" s="616"/>
      <c r="BA9" s="616"/>
      <c r="BB9" s="616"/>
      <c r="BC9" s="616"/>
      <c r="BD9" s="616"/>
      <c r="BE9" s="616"/>
      <c r="BF9" s="616"/>
      <c r="BG9" s="616"/>
      <c r="BH9" s="616"/>
      <c r="BI9" s="616"/>
      <c r="BJ9" s="616"/>
      <c r="BK9" s="616"/>
      <c r="BL9" s="616"/>
      <c r="BM9" s="616"/>
      <c r="BN9" s="616"/>
      <c r="BO9" s="616"/>
      <c r="BP9" s="616"/>
      <c r="BQ9" s="617"/>
      <c r="BR9" s="618"/>
      <c r="BS9" s="616"/>
      <c r="BT9" s="616"/>
      <c r="BU9" s="616"/>
      <c r="BV9" s="616"/>
      <c r="BW9" s="616"/>
      <c r="BX9" s="616"/>
      <c r="BY9" s="616"/>
      <c r="BZ9" s="619"/>
      <c r="CA9" s="616"/>
      <c r="CB9" s="616"/>
      <c r="CC9" s="616"/>
      <c r="CD9" s="616"/>
      <c r="CE9" s="616"/>
      <c r="CF9" s="616"/>
      <c r="CG9" s="616"/>
      <c r="CH9" s="616"/>
      <c r="CI9" s="616"/>
      <c r="CJ9" s="616"/>
      <c r="CK9" s="616"/>
      <c r="CL9" s="616"/>
      <c r="CM9" s="616"/>
      <c r="CN9" s="616"/>
      <c r="CO9" s="616"/>
      <c r="CP9" s="616"/>
      <c r="CQ9" s="616"/>
      <c r="CR9" s="616"/>
      <c r="CS9" s="616"/>
      <c r="CT9" s="616"/>
      <c r="CU9" s="620"/>
    </row>
    <row r="10" spans="2:99" ht="124" x14ac:dyDescent="0.35">
      <c r="B10" s="621">
        <f t="shared" ref="B10:B17" si="3">B9+1</f>
        <v>4</v>
      </c>
      <c r="C10" s="628" t="s">
        <v>19</v>
      </c>
      <c r="D10" s="623" t="str">
        <f>IF(B3="EN","Supply chain","Chuổi cung ứng")</f>
        <v>Chuổi cung ứng</v>
      </c>
      <c r="E10" s="624" t="str">
        <f t="shared" si="1"/>
        <v>Kế toán</v>
      </c>
      <c r="F10" s="624">
        <v>15</v>
      </c>
      <c r="G10" s="629">
        <f t="shared" si="2"/>
        <v>45930</v>
      </c>
      <c r="H10" s="630"/>
      <c r="I10" s="631"/>
      <c r="J10" s="631"/>
      <c r="K10" s="631"/>
      <c r="L10" s="631"/>
      <c r="M10" s="631"/>
      <c r="N10" s="631"/>
      <c r="O10" s="631"/>
      <c r="P10" s="631"/>
      <c r="Q10" s="631"/>
      <c r="R10" s="631"/>
      <c r="S10" s="631"/>
      <c r="T10" s="631"/>
      <c r="U10" s="631"/>
      <c r="V10" s="632"/>
      <c r="W10" s="632"/>
      <c r="X10" s="615"/>
      <c r="Y10" s="615"/>
      <c r="Z10" s="615"/>
      <c r="AA10" s="615"/>
      <c r="AB10" s="615"/>
      <c r="AC10" s="615"/>
      <c r="AD10" s="615"/>
      <c r="AE10" s="615"/>
      <c r="AF10" s="615"/>
      <c r="AG10" s="615"/>
      <c r="AH10" s="615"/>
      <c r="AI10" s="615"/>
      <c r="AJ10" s="615"/>
      <c r="AK10" s="615"/>
      <c r="AL10" s="613"/>
      <c r="AM10" s="625"/>
      <c r="AN10" s="615"/>
      <c r="AO10" s="615"/>
      <c r="AP10" s="615"/>
      <c r="AQ10" s="615"/>
      <c r="AR10" s="616"/>
      <c r="AS10" s="616"/>
      <c r="AT10" s="616"/>
      <c r="AU10" s="616"/>
      <c r="AV10" s="616"/>
      <c r="AW10" s="616"/>
      <c r="AX10" s="616"/>
      <c r="AY10" s="616"/>
      <c r="AZ10" s="616"/>
      <c r="BA10" s="616"/>
      <c r="BB10" s="616"/>
      <c r="BC10" s="616"/>
      <c r="BD10" s="616"/>
      <c r="BE10" s="616"/>
      <c r="BF10" s="616"/>
      <c r="BG10" s="616"/>
      <c r="BH10" s="616"/>
      <c r="BI10" s="616"/>
      <c r="BJ10" s="616"/>
      <c r="BK10" s="616"/>
      <c r="BL10" s="616"/>
      <c r="BM10" s="616"/>
      <c r="BN10" s="616"/>
      <c r="BO10" s="616"/>
      <c r="BP10" s="616"/>
      <c r="BQ10" s="617"/>
      <c r="BR10" s="618"/>
      <c r="BS10" s="616"/>
      <c r="BT10" s="616"/>
      <c r="BU10" s="616"/>
      <c r="BV10" s="616"/>
      <c r="BW10" s="616"/>
      <c r="BX10" s="616"/>
      <c r="BY10" s="616"/>
      <c r="BZ10" s="616"/>
      <c r="CA10" s="616"/>
      <c r="CB10" s="616"/>
      <c r="CC10" s="616"/>
      <c r="CD10" s="616"/>
      <c r="CE10" s="616"/>
      <c r="CF10" s="616"/>
      <c r="CG10" s="616"/>
      <c r="CH10" s="616"/>
      <c r="CI10" s="616"/>
      <c r="CJ10" s="616"/>
      <c r="CK10" s="616"/>
      <c r="CL10" s="616"/>
      <c r="CM10" s="616"/>
      <c r="CN10" s="616"/>
      <c r="CO10" s="616"/>
      <c r="CP10" s="616"/>
      <c r="CQ10" s="616"/>
      <c r="CR10" s="616"/>
      <c r="CS10" s="616"/>
      <c r="CT10" s="616"/>
      <c r="CU10" s="620"/>
    </row>
    <row r="11" spans="2:99" ht="62" x14ac:dyDescent="0.35">
      <c r="B11" s="621">
        <f t="shared" si="3"/>
        <v>5</v>
      </c>
      <c r="C11" s="633" t="s">
        <v>20</v>
      </c>
      <c r="D11" s="623" t="str">
        <f>IF(B3="EN","Production","Bộ phận sản xuất")</f>
        <v>Bộ phận sản xuất</v>
      </c>
      <c r="E11" s="624" t="str">
        <f t="shared" si="1"/>
        <v>Kế toán</v>
      </c>
      <c r="F11" s="624">
        <v>20</v>
      </c>
      <c r="G11" s="629">
        <f t="shared" si="2"/>
        <v>45935</v>
      </c>
      <c r="H11" s="630"/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/>
      <c r="U11" s="631"/>
      <c r="V11" s="634"/>
      <c r="W11" s="634"/>
      <c r="X11" s="635"/>
      <c r="Y11" s="635"/>
      <c r="Z11" s="635"/>
      <c r="AA11" s="635"/>
      <c r="AB11" s="635"/>
      <c r="AC11" s="635"/>
      <c r="AD11" s="635"/>
      <c r="AE11" s="635"/>
      <c r="AF11" s="635"/>
      <c r="AG11" s="635"/>
      <c r="AH11" s="635"/>
      <c r="AI11" s="635"/>
      <c r="AJ11" s="635"/>
      <c r="AK11" s="635"/>
      <c r="AL11" s="636"/>
      <c r="AM11" s="637"/>
      <c r="AN11" s="638"/>
      <c r="AO11" s="638"/>
      <c r="AP11" s="638"/>
      <c r="AQ11" s="638"/>
      <c r="AR11" s="615"/>
      <c r="AS11" s="615"/>
      <c r="AT11" s="615"/>
      <c r="AU11" s="615"/>
      <c r="AV11" s="615"/>
      <c r="AW11" s="615"/>
      <c r="AX11" s="615"/>
      <c r="AY11" s="615"/>
      <c r="AZ11" s="615"/>
      <c r="BA11" s="615"/>
      <c r="BB11" s="616"/>
      <c r="BC11" s="616"/>
      <c r="BD11" s="616"/>
      <c r="BE11" s="616"/>
      <c r="BF11" s="616"/>
      <c r="BG11" s="616"/>
      <c r="BH11" s="616"/>
      <c r="BI11" s="616"/>
      <c r="BJ11" s="616"/>
      <c r="BK11" s="616"/>
      <c r="BL11" s="616"/>
      <c r="BM11" s="616"/>
      <c r="BN11" s="616"/>
      <c r="BO11" s="616"/>
      <c r="BP11" s="616"/>
      <c r="BQ11" s="617"/>
      <c r="BR11" s="618"/>
      <c r="BS11" s="616"/>
      <c r="BT11" s="616"/>
      <c r="BU11" s="616"/>
      <c r="BV11" s="616"/>
      <c r="BW11" s="616"/>
      <c r="BX11" s="616"/>
      <c r="BY11" s="616"/>
      <c r="BZ11" s="616"/>
      <c r="CA11" s="616"/>
      <c r="CB11" s="616"/>
      <c r="CC11" s="616"/>
      <c r="CD11" s="616"/>
      <c r="CE11" s="616"/>
      <c r="CF11" s="616"/>
      <c r="CG11" s="616"/>
      <c r="CH11" s="616"/>
      <c r="CI11" s="616"/>
      <c r="CJ11" s="616"/>
      <c r="CK11" s="616"/>
      <c r="CL11" s="616"/>
      <c r="CM11" s="616"/>
      <c r="CN11" s="616"/>
      <c r="CO11" s="616"/>
      <c r="CP11" s="616"/>
      <c r="CQ11" s="616"/>
      <c r="CR11" s="616"/>
      <c r="CS11" s="616"/>
      <c r="CT11" s="616"/>
      <c r="CU11" s="620"/>
    </row>
    <row r="12" spans="2:99" ht="15.5" x14ac:dyDescent="0.35">
      <c r="B12" s="621">
        <f t="shared" si="3"/>
        <v>6</v>
      </c>
      <c r="C12" s="633" t="s">
        <v>21</v>
      </c>
      <c r="D12" s="639" t="str">
        <f>E12</f>
        <v>Kế toán</v>
      </c>
      <c r="E12" s="624" t="str">
        <f t="shared" si="1"/>
        <v>Kế toán</v>
      </c>
      <c r="F12" s="624">
        <v>20</v>
      </c>
      <c r="G12" s="629">
        <f t="shared" si="2"/>
        <v>45935</v>
      </c>
      <c r="H12" s="630"/>
      <c r="I12" s="631"/>
      <c r="J12" s="631"/>
      <c r="K12" s="631"/>
      <c r="L12" s="631"/>
      <c r="M12" s="631"/>
      <c r="N12" s="631"/>
      <c r="O12" s="631"/>
      <c r="P12" s="631"/>
      <c r="Q12" s="631"/>
      <c r="R12" s="631"/>
      <c r="S12" s="631"/>
      <c r="T12" s="631"/>
      <c r="U12" s="631"/>
      <c r="V12" s="634"/>
      <c r="W12" s="634"/>
      <c r="X12" s="635"/>
      <c r="Y12" s="635"/>
      <c r="Z12" s="635"/>
      <c r="AA12" s="635"/>
      <c r="AB12" s="635"/>
      <c r="AC12" s="635"/>
      <c r="AD12" s="635"/>
      <c r="AE12" s="635"/>
      <c r="AF12" s="635"/>
      <c r="AG12" s="635"/>
      <c r="AH12" s="635"/>
      <c r="AI12" s="635"/>
      <c r="AJ12" s="635"/>
      <c r="AK12" s="635"/>
      <c r="AL12" s="636"/>
      <c r="AM12" s="637"/>
      <c r="AN12" s="638"/>
      <c r="AO12" s="638"/>
      <c r="AP12" s="638"/>
      <c r="AQ12" s="638"/>
      <c r="AR12" s="638"/>
      <c r="AS12" s="638"/>
      <c r="AT12" s="638"/>
      <c r="AU12" s="638"/>
      <c r="AV12" s="638"/>
      <c r="AW12" s="638"/>
      <c r="AX12" s="638"/>
      <c r="AY12" s="638"/>
      <c r="AZ12" s="638"/>
      <c r="BA12" s="638"/>
      <c r="BB12" s="615"/>
      <c r="BC12" s="615"/>
      <c r="BD12" s="615"/>
      <c r="BE12" s="615"/>
      <c r="BF12" s="615"/>
      <c r="BG12" s="616"/>
      <c r="BH12" s="616"/>
      <c r="BI12" s="616"/>
      <c r="BJ12" s="616"/>
      <c r="BK12" s="616"/>
      <c r="BL12" s="616"/>
      <c r="BM12" s="616"/>
      <c r="BN12" s="616"/>
      <c r="BO12" s="616"/>
      <c r="BP12" s="616"/>
      <c r="BQ12" s="617"/>
      <c r="BR12" s="618"/>
      <c r="BS12" s="616"/>
      <c r="BT12" s="616"/>
      <c r="BU12" s="616"/>
      <c r="BV12" s="616"/>
      <c r="BW12" s="616"/>
      <c r="BX12" s="616"/>
      <c r="BY12" s="616"/>
      <c r="BZ12" s="616"/>
      <c r="CA12" s="616"/>
      <c r="CB12" s="616"/>
      <c r="CC12" s="616"/>
      <c r="CD12" s="616"/>
      <c r="CE12" s="616"/>
      <c r="CF12" s="616"/>
      <c r="CG12" s="616"/>
      <c r="CH12" s="616"/>
      <c r="CI12" s="616"/>
      <c r="CJ12" s="616"/>
      <c r="CK12" s="616"/>
      <c r="CL12" s="616"/>
      <c r="CM12" s="616"/>
      <c r="CN12" s="616"/>
      <c r="CO12" s="616"/>
      <c r="CP12" s="616"/>
      <c r="CQ12" s="616"/>
      <c r="CR12" s="616"/>
      <c r="CS12" s="616"/>
      <c r="CT12" s="616"/>
      <c r="CU12" s="620"/>
    </row>
    <row r="13" spans="2:99" ht="46.5" x14ac:dyDescent="0.35">
      <c r="B13" s="621">
        <f t="shared" si="3"/>
        <v>7</v>
      </c>
      <c r="C13" s="622" t="s">
        <v>22</v>
      </c>
      <c r="D13" s="608" t="str">
        <f>IF(B3="EN","HR","Phòng nhân sự")</f>
        <v>Phòng nhân sự</v>
      </c>
      <c r="E13" s="595" t="str">
        <f t="shared" si="1"/>
        <v>Kế toán</v>
      </c>
      <c r="F13" s="595">
        <v>30</v>
      </c>
      <c r="G13" s="629">
        <f t="shared" si="2"/>
        <v>45945</v>
      </c>
      <c r="H13" s="597"/>
      <c r="I13" s="598"/>
      <c r="J13" s="598"/>
      <c r="K13" s="598"/>
      <c r="L13" s="598"/>
      <c r="M13" s="598"/>
      <c r="N13" s="598"/>
      <c r="O13" s="598"/>
      <c r="P13" s="598"/>
      <c r="Q13" s="598"/>
      <c r="R13" s="598"/>
      <c r="S13" s="598"/>
      <c r="T13" s="598"/>
      <c r="U13" s="598"/>
      <c r="V13" s="640"/>
      <c r="W13" s="640"/>
      <c r="X13" s="641"/>
      <c r="Y13" s="641"/>
      <c r="Z13" s="641"/>
      <c r="AA13" s="641"/>
      <c r="AB13" s="641"/>
      <c r="AC13" s="641"/>
      <c r="AD13" s="641"/>
      <c r="AE13" s="641"/>
      <c r="AF13" s="641"/>
      <c r="AG13" s="641"/>
      <c r="AH13" s="641"/>
      <c r="AI13" s="641"/>
      <c r="AJ13" s="641"/>
      <c r="AK13" s="641"/>
      <c r="AL13" s="642"/>
      <c r="AM13" s="637"/>
      <c r="AN13" s="638"/>
      <c r="AO13" s="638"/>
      <c r="AP13" s="638"/>
      <c r="AQ13" s="635"/>
      <c r="AR13" s="635"/>
      <c r="AS13" s="638"/>
      <c r="AT13" s="638"/>
      <c r="AU13" s="638"/>
      <c r="AV13" s="638"/>
      <c r="AW13" s="638"/>
      <c r="AX13" s="638"/>
      <c r="AY13" s="638"/>
      <c r="AZ13" s="638"/>
      <c r="BA13" s="638"/>
      <c r="BB13" s="638"/>
      <c r="BC13" s="638"/>
      <c r="BD13" s="638"/>
      <c r="BE13" s="638"/>
      <c r="BF13" s="638"/>
      <c r="BG13" s="615"/>
      <c r="BH13" s="615"/>
      <c r="BI13" s="615"/>
      <c r="BJ13" s="615"/>
      <c r="BK13" s="615"/>
      <c r="BL13" s="616"/>
      <c r="BM13" s="616"/>
      <c r="BN13" s="616"/>
      <c r="BO13" s="616"/>
      <c r="BP13" s="616"/>
      <c r="BQ13" s="617"/>
      <c r="BR13" s="618"/>
      <c r="BS13" s="616"/>
      <c r="BT13" s="616"/>
      <c r="BU13" s="616"/>
      <c r="BV13" s="616"/>
      <c r="BW13" s="616"/>
      <c r="BX13" s="616"/>
      <c r="BY13" s="616"/>
      <c r="BZ13" s="616"/>
      <c r="CA13" s="616"/>
      <c r="CB13" s="616"/>
      <c r="CC13" s="616"/>
      <c r="CD13" s="616"/>
      <c r="CE13" s="616"/>
      <c r="CF13" s="616"/>
      <c r="CG13" s="616"/>
      <c r="CH13" s="616"/>
      <c r="CI13" s="616"/>
      <c r="CJ13" s="616"/>
      <c r="CK13" s="616"/>
      <c r="CL13" s="616"/>
      <c r="CM13" s="616"/>
      <c r="CN13" s="616"/>
      <c r="CO13" s="616"/>
      <c r="CP13" s="616"/>
      <c r="CQ13" s="616"/>
      <c r="CR13" s="616"/>
      <c r="CS13" s="616"/>
      <c r="CT13" s="616"/>
      <c r="CU13" s="620"/>
    </row>
    <row r="14" spans="2:99" ht="46.5" x14ac:dyDescent="0.35">
      <c r="B14" s="621">
        <f t="shared" si="3"/>
        <v>8</v>
      </c>
      <c r="C14" s="643" t="s">
        <v>23</v>
      </c>
      <c r="D14" s="623" t="str">
        <f>E7</f>
        <v>Tất cả</v>
      </c>
      <c r="E14" s="624" t="str">
        <f t="shared" si="1"/>
        <v>Kế toán</v>
      </c>
      <c r="F14" s="624">
        <v>30</v>
      </c>
      <c r="G14" s="629">
        <f t="shared" si="2"/>
        <v>45945</v>
      </c>
      <c r="H14" s="630"/>
      <c r="I14" s="631"/>
      <c r="J14" s="631"/>
      <c r="K14" s="631"/>
      <c r="L14" s="631"/>
      <c r="M14" s="631"/>
      <c r="N14" s="631"/>
      <c r="O14" s="631"/>
      <c r="P14" s="631"/>
      <c r="Q14" s="631"/>
      <c r="R14" s="631"/>
      <c r="S14" s="631"/>
      <c r="T14" s="631"/>
      <c r="U14" s="631"/>
      <c r="V14" s="634"/>
      <c r="W14" s="634"/>
      <c r="X14" s="635"/>
      <c r="Y14" s="635"/>
      <c r="Z14" s="635"/>
      <c r="AA14" s="635"/>
      <c r="AB14" s="635"/>
      <c r="AC14" s="635"/>
      <c r="AD14" s="635"/>
      <c r="AE14" s="635"/>
      <c r="AF14" s="635"/>
      <c r="AG14" s="635"/>
      <c r="AH14" s="635"/>
      <c r="AI14" s="635"/>
      <c r="AJ14" s="635"/>
      <c r="AK14" s="635"/>
      <c r="AL14" s="636"/>
      <c r="AM14" s="637"/>
      <c r="AN14" s="638"/>
      <c r="AO14" s="638"/>
      <c r="AP14" s="638"/>
      <c r="AQ14" s="638"/>
      <c r="AR14" s="638"/>
      <c r="AS14" s="638"/>
      <c r="AT14" s="638"/>
      <c r="AU14" s="638"/>
      <c r="AV14" s="638"/>
      <c r="AW14" s="638"/>
      <c r="AX14" s="638"/>
      <c r="AY14" s="638"/>
      <c r="AZ14" s="638"/>
      <c r="BA14" s="638"/>
      <c r="BB14" s="638"/>
      <c r="BC14" s="638"/>
      <c r="BD14" s="638"/>
      <c r="BE14" s="638"/>
      <c r="BF14" s="638"/>
      <c r="BG14" s="615"/>
      <c r="BH14" s="615"/>
      <c r="BI14" s="615"/>
      <c r="BJ14" s="615"/>
      <c r="BK14" s="615"/>
      <c r="BL14" s="616"/>
      <c r="BM14" s="616"/>
      <c r="BN14" s="616"/>
      <c r="BO14" s="616"/>
      <c r="BP14" s="616"/>
      <c r="BQ14" s="617"/>
      <c r="BR14" s="618"/>
      <c r="BS14" s="616"/>
      <c r="BT14" s="616"/>
      <c r="BU14" s="616"/>
      <c r="BV14" s="616"/>
      <c r="BW14" s="616"/>
      <c r="BX14" s="616"/>
      <c r="BY14" s="616"/>
      <c r="BZ14" s="616"/>
      <c r="CA14" s="616"/>
      <c r="CB14" s="616"/>
      <c r="CC14" s="616"/>
      <c r="CD14" s="616"/>
      <c r="CE14" s="616"/>
      <c r="CF14" s="616"/>
      <c r="CG14" s="616"/>
      <c r="CH14" s="616"/>
      <c r="CI14" s="616"/>
      <c r="CJ14" s="616"/>
      <c r="CK14" s="616"/>
      <c r="CL14" s="616"/>
      <c r="CM14" s="616"/>
      <c r="CN14" s="616"/>
      <c r="CO14" s="616"/>
      <c r="CP14" s="616"/>
      <c r="CQ14" s="616"/>
      <c r="CR14" s="616"/>
      <c r="CS14" s="616"/>
      <c r="CT14" s="616"/>
      <c r="CU14" s="620"/>
    </row>
    <row r="15" spans="2:99" ht="139.5" x14ac:dyDescent="0.35">
      <c r="B15" s="621">
        <f t="shared" si="3"/>
        <v>9</v>
      </c>
      <c r="C15" s="643" t="s">
        <v>24</v>
      </c>
      <c r="D15" s="623" t="str">
        <f>D11</f>
        <v>Bộ phận sản xuất</v>
      </c>
      <c r="E15" s="624" t="str">
        <f t="shared" si="1"/>
        <v>Kế toán</v>
      </c>
      <c r="F15" s="624">
        <v>30</v>
      </c>
      <c r="G15" s="629">
        <f t="shared" si="2"/>
        <v>45945</v>
      </c>
      <c r="H15" s="630"/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/>
      <c r="U15" s="631"/>
      <c r="V15" s="634"/>
      <c r="W15" s="634"/>
      <c r="X15" s="638"/>
      <c r="Y15" s="638"/>
      <c r="Z15" s="638"/>
      <c r="AA15" s="638"/>
      <c r="AB15" s="638"/>
      <c r="AC15" s="638"/>
      <c r="AD15" s="638"/>
      <c r="AE15" s="638"/>
      <c r="AF15" s="638"/>
      <c r="AG15" s="638"/>
      <c r="AH15" s="638"/>
      <c r="AI15" s="638"/>
      <c r="AJ15" s="638"/>
      <c r="AK15" s="638"/>
      <c r="AL15" s="642"/>
      <c r="AM15" s="637"/>
      <c r="AN15" s="638"/>
      <c r="AO15" s="638"/>
      <c r="AP15" s="644"/>
      <c r="AQ15" s="644"/>
      <c r="AR15" s="644"/>
      <c r="AS15" s="638"/>
      <c r="AT15" s="638"/>
      <c r="AU15" s="638"/>
      <c r="AV15" s="644"/>
      <c r="AW15" s="644"/>
      <c r="AX15" s="644"/>
      <c r="AY15" s="644"/>
      <c r="AZ15" s="638"/>
      <c r="BA15" s="638"/>
      <c r="BB15" s="638"/>
      <c r="BC15" s="638"/>
      <c r="BD15" s="638"/>
      <c r="BE15" s="638"/>
      <c r="BF15" s="638"/>
      <c r="BG15" s="645"/>
      <c r="BH15" s="615"/>
      <c r="BI15" s="615"/>
      <c r="BJ15" s="615"/>
      <c r="BK15" s="615"/>
      <c r="BL15" s="616"/>
      <c r="BM15" s="616"/>
      <c r="BN15" s="616"/>
      <c r="BO15" s="616"/>
      <c r="BP15" s="616"/>
      <c r="BQ15" s="617"/>
      <c r="BR15" s="618"/>
      <c r="BS15" s="616"/>
      <c r="BT15" s="616"/>
      <c r="BU15" s="616"/>
      <c r="BV15" s="616"/>
      <c r="BW15" s="616"/>
      <c r="BX15" s="616"/>
      <c r="BY15" s="616"/>
      <c r="BZ15" s="616"/>
      <c r="CA15" s="616"/>
      <c r="CB15" s="616"/>
      <c r="CC15" s="616"/>
      <c r="CD15" s="616"/>
      <c r="CE15" s="616"/>
      <c r="CF15" s="616"/>
      <c r="CG15" s="616"/>
      <c r="CH15" s="616"/>
      <c r="CI15" s="616"/>
      <c r="CJ15" s="616"/>
      <c r="CK15" s="616"/>
      <c r="CL15" s="616"/>
      <c r="CM15" s="616"/>
      <c r="CN15" s="616"/>
      <c r="CO15" s="616"/>
      <c r="CP15" s="616"/>
      <c r="CQ15" s="616"/>
      <c r="CR15" s="616"/>
      <c r="CS15" s="616"/>
      <c r="CT15" s="616"/>
      <c r="CU15" s="620"/>
    </row>
    <row r="16" spans="2:99" ht="186" x14ac:dyDescent="0.35">
      <c r="B16" s="621">
        <f t="shared" si="3"/>
        <v>10</v>
      </c>
      <c r="C16" s="628" t="s">
        <v>25</v>
      </c>
      <c r="D16" s="623" t="str">
        <f>D14</f>
        <v>Tất cả</v>
      </c>
      <c r="E16" s="624" t="str">
        <f t="shared" si="1"/>
        <v>Kế toán</v>
      </c>
      <c r="F16" s="624">
        <v>30</v>
      </c>
      <c r="G16" s="629">
        <f t="shared" si="2"/>
        <v>45945</v>
      </c>
      <c r="H16" s="630"/>
      <c r="I16" s="631"/>
      <c r="J16" s="631"/>
      <c r="K16" s="631"/>
      <c r="L16" s="631"/>
      <c r="M16" s="631"/>
      <c r="N16" s="631"/>
      <c r="O16" s="631"/>
      <c r="P16" s="631"/>
      <c r="Q16" s="631"/>
      <c r="R16" s="631"/>
      <c r="S16" s="631"/>
      <c r="T16" s="631"/>
      <c r="U16" s="631"/>
      <c r="V16" s="634"/>
      <c r="W16" s="634"/>
      <c r="X16" s="638"/>
      <c r="Y16" s="638"/>
      <c r="Z16" s="638"/>
      <c r="AA16" s="638"/>
      <c r="AB16" s="638"/>
      <c r="AC16" s="638"/>
      <c r="AD16" s="638"/>
      <c r="AE16" s="638"/>
      <c r="AF16" s="638"/>
      <c r="AG16" s="638"/>
      <c r="AH16" s="638"/>
      <c r="AI16" s="638"/>
      <c r="AJ16" s="638"/>
      <c r="AK16" s="638"/>
      <c r="AL16" s="642"/>
      <c r="AM16" s="637"/>
      <c r="AN16" s="638"/>
      <c r="AO16" s="638"/>
      <c r="AP16" s="644"/>
      <c r="AQ16" s="644"/>
      <c r="AR16" s="644"/>
      <c r="AS16" s="638"/>
      <c r="AT16" s="638"/>
      <c r="AU16" s="638"/>
      <c r="AV16" s="644"/>
      <c r="AW16" s="644"/>
      <c r="AX16" s="644"/>
      <c r="AY16" s="644"/>
      <c r="AZ16" s="638"/>
      <c r="BA16" s="638"/>
      <c r="BB16" s="638"/>
      <c r="BC16" s="638"/>
      <c r="BD16" s="638"/>
      <c r="BE16" s="638"/>
      <c r="BF16" s="638"/>
      <c r="BG16" s="645"/>
      <c r="BH16" s="615"/>
      <c r="BI16" s="615"/>
      <c r="BJ16" s="615"/>
      <c r="BK16" s="615"/>
      <c r="BL16" s="616"/>
      <c r="BM16" s="616"/>
      <c r="BN16" s="616"/>
      <c r="BO16" s="616"/>
      <c r="BP16" s="616"/>
      <c r="BQ16" s="617"/>
      <c r="BR16" s="618"/>
      <c r="BS16" s="616"/>
      <c r="BT16" s="616"/>
      <c r="BU16" s="616"/>
      <c r="BV16" s="616"/>
      <c r="BW16" s="616"/>
      <c r="BX16" s="616"/>
      <c r="BY16" s="616"/>
      <c r="BZ16" s="616"/>
      <c r="CA16" s="616"/>
      <c r="CB16" s="616"/>
      <c r="CC16" s="616"/>
      <c r="CD16" s="616"/>
      <c r="CE16" s="616"/>
      <c r="CF16" s="616"/>
      <c r="CG16" s="616"/>
      <c r="CH16" s="616"/>
      <c r="CI16" s="616"/>
      <c r="CJ16" s="616"/>
      <c r="CK16" s="616"/>
      <c r="CL16" s="616"/>
      <c r="CM16" s="616"/>
      <c r="CN16" s="616"/>
      <c r="CO16" s="616"/>
      <c r="CP16" s="616"/>
      <c r="CQ16" s="616"/>
      <c r="CR16" s="616"/>
      <c r="CS16" s="616"/>
      <c r="CT16" s="616"/>
      <c r="CU16" s="620"/>
    </row>
    <row r="17" spans="2:99" ht="139.5" x14ac:dyDescent="0.35">
      <c r="B17" s="646">
        <f t="shared" si="3"/>
        <v>11</v>
      </c>
      <c r="C17" s="647" t="s">
        <v>26</v>
      </c>
      <c r="D17" s="648" t="s">
        <v>27</v>
      </c>
      <c r="E17" s="649" t="s">
        <v>28</v>
      </c>
      <c r="F17" s="649">
        <v>45</v>
      </c>
      <c r="G17" s="650">
        <f t="shared" si="2"/>
        <v>45960</v>
      </c>
      <c r="H17" s="630"/>
      <c r="I17" s="631"/>
      <c r="J17" s="631"/>
      <c r="K17" s="631"/>
      <c r="L17" s="631"/>
      <c r="M17" s="631"/>
      <c r="N17" s="631"/>
      <c r="O17" s="631"/>
      <c r="P17" s="631"/>
      <c r="Q17" s="631"/>
      <c r="R17" s="631"/>
      <c r="S17" s="631"/>
      <c r="T17" s="631"/>
      <c r="U17" s="631"/>
      <c r="V17" s="634"/>
      <c r="W17" s="634"/>
      <c r="X17" s="638"/>
      <c r="Y17" s="638"/>
      <c r="Z17" s="638"/>
      <c r="AA17" s="638"/>
      <c r="AB17" s="638"/>
      <c r="AC17" s="638"/>
      <c r="AD17" s="638"/>
      <c r="AE17" s="638"/>
      <c r="AF17" s="638"/>
      <c r="AG17" s="638"/>
      <c r="AH17" s="638"/>
      <c r="AI17" s="638"/>
      <c r="AJ17" s="638"/>
      <c r="AK17" s="638"/>
      <c r="AL17" s="642"/>
      <c r="AM17" s="637"/>
      <c r="AN17" s="638"/>
      <c r="AO17" s="638"/>
      <c r="AP17" s="644"/>
      <c r="AQ17" s="644"/>
      <c r="AR17" s="644"/>
      <c r="AS17" s="638"/>
      <c r="AT17" s="638"/>
      <c r="AU17" s="638"/>
      <c r="AV17" s="638"/>
      <c r="AW17" s="638"/>
      <c r="AX17" s="644"/>
      <c r="AY17" s="644"/>
      <c r="AZ17" s="638"/>
      <c r="BA17" s="638"/>
      <c r="BB17" s="638"/>
      <c r="BC17" s="638"/>
      <c r="BD17" s="638"/>
      <c r="BE17" s="638"/>
      <c r="BF17" s="638"/>
      <c r="BG17" s="644"/>
      <c r="BH17" s="638"/>
      <c r="BI17" s="651"/>
      <c r="BJ17" s="652"/>
      <c r="BK17" s="638"/>
      <c r="BL17" s="615"/>
      <c r="BM17" s="615"/>
      <c r="BN17" s="615"/>
      <c r="BO17" s="615"/>
      <c r="BP17" s="615"/>
      <c r="BQ17" s="617"/>
      <c r="BR17" s="618"/>
      <c r="BS17" s="616"/>
      <c r="BT17" s="616"/>
      <c r="BU17" s="616"/>
      <c r="BV17" s="616"/>
      <c r="BW17" s="616"/>
      <c r="BX17" s="616"/>
      <c r="BY17" s="653"/>
      <c r="BZ17" s="616"/>
      <c r="CA17" s="616"/>
      <c r="CB17" s="616"/>
      <c r="CC17" s="616"/>
      <c r="CD17" s="616"/>
      <c r="CE17" s="616"/>
      <c r="CF17" s="616"/>
      <c r="CG17" s="616"/>
      <c r="CH17" s="616"/>
      <c r="CI17" s="616"/>
      <c r="CJ17" s="616"/>
      <c r="CK17" s="616"/>
      <c r="CL17" s="616"/>
      <c r="CM17" s="616"/>
      <c r="CN17" s="616"/>
      <c r="CO17" s="616"/>
      <c r="CP17" s="616"/>
      <c r="CQ17" s="616"/>
      <c r="CR17" s="616"/>
      <c r="CS17" s="616"/>
      <c r="CT17" s="616"/>
      <c r="CU17" s="620"/>
    </row>
    <row r="18" spans="2:99" ht="186" x14ac:dyDescent="0.35">
      <c r="B18" s="654">
        <v>12</v>
      </c>
      <c r="C18" s="655" t="s">
        <v>29</v>
      </c>
      <c r="D18" s="623" t="s">
        <v>28</v>
      </c>
      <c r="E18" s="656" t="s">
        <v>30</v>
      </c>
      <c r="F18" s="656">
        <v>50</v>
      </c>
      <c r="G18" s="629">
        <f t="shared" si="2"/>
        <v>45965</v>
      </c>
      <c r="H18" s="657"/>
      <c r="I18" s="658"/>
      <c r="J18" s="658"/>
      <c r="K18" s="658"/>
      <c r="L18" s="658"/>
      <c r="M18" s="658"/>
      <c r="N18" s="658"/>
      <c r="O18" s="658"/>
      <c r="P18" s="658"/>
      <c r="Q18" s="658"/>
      <c r="R18" s="658"/>
      <c r="S18" s="658"/>
      <c r="T18" s="658"/>
      <c r="U18" s="658"/>
      <c r="V18" s="658"/>
      <c r="W18" s="658"/>
      <c r="X18" s="659"/>
      <c r="Y18" s="659"/>
      <c r="Z18" s="659"/>
      <c r="AA18" s="659"/>
      <c r="AB18" s="659"/>
      <c r="AC18" s="659"/>
      <c r="AD18" s="659"/>
      <c r="AE18" s="659"/>
      <c r="AF18" s="659"/>
      <c r="AG18" s="659"/>
      <c r="AH18" s="659"/>
      <c r="AI18" s="659"/>
      <c r="AJ18" s="659"/>
      <c r="AK18" s="659"/>
      <c r="AL18" s="660"/>
      <c r="AM18" s="661"/>
      <c r="AN18" s="659"/>
      <c r="AO18" s="659"/>
      <c r="AP18" s="662"/>
      <c r="AQ18" s="662"/>
      <c r="AR18" s="662"/>
      <c r="AS18" s="659"/>
      <c r="AT18" s="659"/>
      <c r="AU18" s="659"/>
      <c r="AV18" s="659"/>
      <c r="AW18" s="659"/>
      <c r="AX18" s="662"/>
      <c r="AY18" s="662"/>
      <c r="AZ18" s="659"/>
      <c r="BA18" s="659"/>
      <c r="BB18" s="659"/>
      <c r="BC18" s="659"/>
      <c r="BD18" s="659"/>
      <c r="BE18" s="659"/>
      <c r="BF18" s="659"/>
      <c r="BG18" s="662"/>
      <c r="BH18" s="663"/>
      <c r="BI18" s="659"/>
      <c r="BJ18" s="659"/>
      <c r="BK18" s="653"/>
      <c r="BL18" s="659"/>
      <c r="BM18" s="659"/>
      <c r="BN18" s="659"/>
      <c r="BO18" s="659"/>
      <c r="BP18" s="664"/>
      <c r="BQ18" s="665"/>
      <c r="BR18" s="666"/>
      <c r="BS18" s="667"/>
      <c r="BT18" s="667"/>
      <c r="BU18" s="667"/>
      <c r="BV18" s="659"/>
      <c r="BW18" s="668"/>
      <c r="BX18" s="659"/>
      <c r="BY18" s="653"/>
      <c r="BZ18" s="659"/>
      <c r="CA18" s="659"/>
      <c r="CB18" s="659"/>
      <c r="CC18" s="659"/>
      <c r="CD18" s="659"/>
      <c r="CE18" s="659"/>
      <c r="CF18" s="659"/>
      <c r="CG18" s="659"/>
      <c r="CH18" s="659"/>
      <c r="CI18" s="659"/>
      <c r="CJ18" s="659"/>
      <c r="CK18" s="659"/>
      <c r="CL18" s="659"/>
      <c r="CM18" s="659"/>
      <c r="CN18" s="659"/>
      <c r="CO18" s="659"/>
      <c r="CP18" s="659"/>
      <c r="CQ18" s="659"/>
      <c r="CR18" s="659"/>
      <c r="CS18" s="659"/>
      <c r="CT18" s="659"/>
      <c r="CU18" s="660"/>
    </row>
    <row r="19" spans="2:99" ht="186" x14ac:dyDescent="0.35">
      <c r="B19" s="654">
        <v>13</v>
      </c>
      <c r="C19" s="669" t="s">
        <v>31</v>
      </c>
      <c r="D19" s="623" t="s">
        <v>28</v>
      </c>
      <c r="E19" s="656" t="s">
        <v>30</v>
      </c>
      <c r="F19" s="656">
        <v>55</v>
      </c>
      <c r="G19" s="670">
        <f t="shared" si="2"/>
        <v>45970</v>
      </c>
      <c r="H19" s="657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9"/>
      <c r="Y19" s="659"/>
      <c r="Z19" s="659"/>
      <c r="AA19" s="659"/>
      <c r="AB19" s="659"/>
      <c r="AC19" s="659"/>
      <c r="AD19" s="659"/>
      <c r="AE19" s="659"/>
      <c r="AF19" s="659"/>
      <c r="AG19" s="659"/>
      <c r="AH19" s="659"/>
      <c r="AI19" s="659"/>
      <c r="AJ19" s="659"/>
      <c r="AK19" s="659"/>
      <c r="AL19" s="660"/>
      <c r="AM19" s="661"/>
      <c r="AN19" s="659"/>
      <c r="AO19" s="659"/>
      <c r="AP19" s="662"/>
      <c r="AQ19" s="662"/>
      <c r="AR19" s="662"/>
      <c r="AS19" s="659"/>
      <c r="AT19" s="659"/>
      <c r="AU19" s="659"/>
      <c r="AV19" s="659"/>
      <c r="AW19" s="659"/>
      <c r="AX19" s="662"/>
      <c r="AY19" s="662"/>
      <c r="AZ19" s="659"/>
      <c r="BA19" s="659"/>
      <c r="BB19" s="659"/>
      <c r="BC19" s="659"/>
      <c r="BD19" s="659"/>
      <c r="BE19" s="659"/>
      <c r="BF19" s="659"/>
      <c r="BG19" s="662"/>
      <c r="BH19" s="659"/>
      <c r="BI19" s="659"/>
      <c r="BJ19" s="659"/>
      <c r="BK19" s="671"/>
      <c r="BL19" s="659"/>
      <c r="BM19" s="659"/>
      <c r="BN19" s="659"/>
      <c r="BO19" s="659"/>
      <c r="BP19" s="659"/>
      <c r="BQ19" s="660"/>
      <c r="BR19" s="672"/>
      <c r="BS19" s="659"/>
      <c r="BT19" s="659"/>
      <c r="BU19" s="659"/>
      <c r="BV19" s="667"/>
      <c r="BW19" s="667"/>
      <c r="BX19" s="667"/>
      <c r="BY19" s="667"/>
      <c r="BZ19" s="673"/>
      <c r="CA19" s="659"/>
      <c r="CB19" s="659"/>
      <c r="CC19" s="659"/>
      <c r="CD19" s="659"/>
      <c r="CE19" s="659"/>
      <c r="CF19" s="674"/>
      <c r="CG19" s="659"/>
      <c r="CH19" s="659"/>
      <c r="CI19" s="659"/>
      <c r="CJ19" s="659"/>
      <c r="CK19" s="659"/>
      <c r="CL19" s="659"/>
      <c r="CM19" s="659"/>
      <c r="CN19" s="659"/>
      <c r="CO19" s="659"/>
      <c r="CP19" s="659"/>
      <c r="CQ19" s="659"/>
      <c r="CR19" s="659"/>
      <c r="CS19" s="659"/>
      <c r="CT19" s="659"/>
      <c r="CU19" s="660"/>
    </row>
    <row r="20" spans="2:99" ht="186" x14ac:dyDescent="0.35">
      <c r="B20" s="654">
        <v>14</v>
      </c>
      <c r="C20" s="669" t="s">
        <v>32</v>
      </c>
      <c r="D20" s="675" t="s">
        <v>28</v>
      </c>
      <c r="E20" s="656" t="s">
        <v>30</v>
      </c>
      <c r="F20" s="656">
        <v>62</v>
      </c>
      <c r="G20" s="670">
        <f t="shared" si="2"/>
        <v>45977</v>
      </c>
      <c r="H20" s="657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9"/>
      <c r="Y20" s="659"/>
      <c r="Z20" s="659"/>
      <c r="AA20" s="659"/>
      <c r="AB20" s="659"/>
      <c r="AC20" s="659"/>
      <c r="AD20" s="659"/>
      <c r="AE20" s="659"/>
      <c r="AF20" s="659"/>
      <c r="AG20" s="659"/>
      <c r="AH20" s="659"/>
      <c r="AI20" s="659"/>
      <c r="AJ20" s="659"/>
      <c r="AK20" s="659"/>
      <c r="AL20" s="660"/>
      <c r="AM20" s="661"/>
      <c r="AN20" s="659"/>
      <c r="AO20" s="659"/>
      <c r="AP20" s="662"/>
      <c r="AQ20" s="662"/>
      <c r="AR20" s="662"/>
      <c r="AS20" s="659"/>
      <c r="AT20" s="659"/>
      <c r="AU20" s="659"/>
      <c r="AV20" s="659"/>
      <c r="AW20" s="659"/>
      <c r="AX20" s="662"/>
      <c r="AY20" s="662"/>
      <c r="AZ20" s="659"/>
      <c r="BA20" s="659"/>
      <c r="BB20" s="659"/>
      <c r="BC20" s="659"/>
      <c r="BD20" s="659"/>
      <c r="BE20" s="659"/>
      <c r="BF20" s="659"/>
      <c r="BG20" s="662"/>
      <c r="BH20" s="659"/>
      <c r="BI20" s="659"/>
      <c r="BJ20" s="659"/>
      <c r="BK20" s="671"/>
      <c r="BL20" s="659"/>
      <c r="BM20" s="659"/>
      <c r="BN20" s="659"/>
      <c r="BO20" s="659"/>
      <c r="BP20" s="659"/>
      <c r="BQ20" s="660"/>
      <c r="BR20" s="672"/>
      <c r="BS20" s="659"/>
      <c r="BT20" s="659"/>
      <c r="BU20" s="659"/>
      <c r="BV20" s="659"/>
      <c r="BW20" s="659"/>
      <c r="BX20" s="659"/>
      <c r="BY20" s="659"/>
      <c r="BZ20" s="676"/>
      <c r="CA20" s="667"/>
      <c r="CB20" s="667"/>
      <c r="CC20" s="667"/>
      <c r="CD20" s="667"/>
      <c r="CE20" s="667"/>
      <c r="CF20" s="677"/>
      <c r="CG20" s="667"/>
      <c r="CH20" s="659"/>
      <c r="CI20" s="659"/>
      <c r="CJ20" s="659"/>
      <c r="CK20" s="659"/>
      <c r="CL20" s="659"/>
      <c r="CM20" s="659"/>
      <c r="CN20" s="659"/>
      <c r="CO20" s="659"/>
      <c r="CP20" s="659"/>
      <c r="CQ20" s="659"/>
      <c r="CR20" s="659"/>
      <c r="CS20" s="659"/>
      <c r="CT20" s="659"/>
      <c r="CU20" s="660"/>
    </row>
    <row r="21" spans="2:99" ht="15.5" x14ac:dyDescent="0.35">
      <c r="B21" s="654">
        <v>15</v>
      </c>
      <c r="C21" s="678" t="s">
        <v>33</v>
      </c>
      <c r="D21" s="678" t="s">
        <v>34</v>
      </c>
      <c r="E21" s="678" t="s">
        <v>16</v>
      </c>
      <c r="F21" s="621">
        <v>70</v>
      </c>
      <c r="G21" s="670">
        <f t="shared" si="2"/>
        <v>45985</v>
      </c>
      <c r="H21" s="678"/>
      <c r="I21" s="678"/>
      <c r="J21" s="678"/>
      <c r="K21" s="678"/>
      <c r="L21" s="678"/>
      <c r="M21" s="678"/>
      <c r="N21" s="678"/>
      <c r="O21" s="678"/>
      <c r="P21" s="678"/>
      <c r="Q21" s="678"/>
      <c r="R21" s="678"/>
      <c r="S21" s="678"/>
      <c r="T21" s="678"/>
      <c r="U21" s="678"/>
      <c r="V21" s="678"/>
      <c r="W21" s="678"/>
      <c r="X21" s="678"/>
      <c r="Y21" s="678"/>
      <c r="Z21" s="678"/>
      <c r="AA21" s="678"/>
      <c r="AB21" s="678"/>
      <c r="AC21" s="678"/>
      <c r="AD21" s="678"/>
      <c r="AE21" s="678"/>
      <c r="AF21" s="678"/>
      <c r="AG21" s="678"/>
      <c r="AH21" s="678"/>
      <c r="AI21" s="678"/>
      <c r="AJ21" s="678"/>
      <c r="AK21" s="678"/>
      <c r="AL21" s="678"/>
      <c r="AM21" s="678"/>
      <c r="AN21" s="678"/>
      <c r="AO21" s="678"/>
      <c r="AP21" s="678"/>
      <c r="AQ21" s="678"/>
      <c r="AR21" s="678"/>
      <c r="AS21" s="678"/>
      <c r="AT21" s="678"/>
      <c r="AU21" s="678"/>
      <c r="AV21" s="678"/>
      <c r="AW21" s="678"/>
      <c r="AX21" s="678"/>
      <c r="AY21" s="678"/>
      <c r="AZ21" s="678"/>
      <c r="BA21" s="678"/>
      <c r="BB21" s="678"/>
      <c r="BC21" s="678"/>
      <c r="BD21" s="678"/>
      <c r="BE21" s="678"/>
      <c r="BF21" s="678"/>
      <c r="BG21" s="678"/>
      <c r="BH21" s="678"/>
      <c r="BI21" s="678"/>
      <c r="BJ21" s="678"/>
      <c r="BK21" s="679"/>
      <c r="BL21" s="680"/>
      <c r="BM21" s="680"/>
      <c r="BN21" s="680"/>
      <c r="BO21" s="680"/>
      <c r="BP21" s="680"/>
      <c r="BQ21" s="680"/>
      <c r="BR21" s="680"/>
      <c r="BS21" s="680"/>
      <c r="BT21" s="680"/>
      <c r="BU21" s="680"/>
      <c r="BV21" s="680"/>
      <c r="BW21" s="680"/>
      <c r="BX21" s="680"/>
      <c r="BY21" s="680"/>
      <c r="BZ21" s="680"/>
      <c r="CA21" s="680"/>
      <c r="CB21" s="680"/>
      <c r="CC21" s="680"/>
      <c r="CD21" s="680"/>
      <c r="CE21" s="680"/>
      <c r="CF21" s="680"/>
      <c r="CG21" s="680"/>
      <c r="CH21" s="645"/>
      <c r="CI21" s="645"/>
      <c r="CJ21" s="645"/>
      <c r="CK21" s="645"/>
      <c r="CL21" s="645"/>
      <c r="CM21" s="645"/>
      <c r="CN21" s="645"/>
      <c r="CO21" s="645"/>
      <c r="CP21" s="680"/>
      <c r="CQ21" s="680"/>
      <c r="CR21" s="680"/>
      <c r="CS21" s="680"/>
      <c r="CT21" s="680"/>
      <c r="CU21" s="681"/>
    </row>
    <row r="22" spans="2:99" ht="15.5" x14ac:dyDescent="0.35">
      <c r="B22" s="682">
        <v>16</v>
      </c>
      <c r="C22" s="682" t="s">
        <v>35</v>
      </c>
      <c r="D22" s="682" t="s">
        <v>16</v>
      </c>
      <c r="E22" s="683" t="s">
        <v>30</v>
      </c>
      <c r="F22" s="683">
        <v>75</v>
      </c>
      <c r="G22" s="684">
        <f t="shared" si="2"/>
        <v>45990</v>
      </c>
      <c r="H22" s="685"/>
      <c r="I22" s="685"/>
      <c r="J22" s="685"/>
      <c r="K22" s="685"/>
      <c r="L22" s="685"/>
      <c r="M22" s="685"/>
      <c r="N22" s="685"/>
      <c r="O22" s="685"/>
      <c r="P22" s="685"/>
      <c r="Q22" s="685"/>
      <c r="R22" s="685"/>
      <c r="S22" s="685"/>
      <c r="T22" s="685"/>
      <c r="U22" s="685"/>
      <c r="V22" s="685"/>
      <c r="W22" s="685"/>
      <c r="X22" s="685"/>
      <c r="Y22" s="685"/>
      <c r="Z22" s="685"/>
      <c r="AA22" s="685"/>
      <c r="AB22" s="685"/>
      <c r="AC22" s="685"/>
      <c r="AD22" s="685"/>
      <c r="AE22" s="685"/>
      <c r="AF22" s="685"/>
      <c r="AG22" s="685"/>
      <c r="AH22" s="685"/>
      <c r="AI22" s="685"/>
      <c r="AJ22" s="685"/>
      <c r="AK22" s="685"/>
      <c r="AL22" s="685"/>
      <c r="AM22" s="685"/>
      <c r="AN22" s="685"/>
      <c r="AO22" s="685"/>
      <c r="AP22" s="685"/>
      <c r="AQ22" s="685"/>
      <c r="AR22" s="685"/>
      <c r="AS22" s="685"/>
      <c r="AT22" s="685"/>
      <c r="AU22" s="685"/>
      <c r="AV22" s="685"/>
      <c r="AW22" s="685"/>
      <c r="AX22" s="685"/>
      <c r="AY22" s="685"/>
      <c r="AZ22" s="685"/>
      <c r="BA22" s="685"/>
      <c r="BB22" s="685"/>
      <c r="BC22" s="685"/>
      <c r="BD22" s="685"/>
      <c r="BE22" s="685"/>
      <c r="BF22" s="685"/>
      <c r="BG22" s="685"/>
      <c r="BH22" s="685"/>
      <c r="BI22" s="685"/>
      <c r="BJ22" s="685"/>
      <c r="BK22" s="686"/>
      <c r="BL22" s="687"/>
      <c r="BM22" s="687"/>
      <c r="BN22" s="687"/>
      <c r="BO22" s="687"/>
      <c r="BP22" s="687"/>
      <c r="BQ22" s="687"/>
      <c r="BR22" s="687"/>
      <c r="BS22" s="687"/>
      <c r="BT22" s="687"/>
      <c r="BU22" s="687"/>
      <c r="BV22" s="687"/>
      <c r="BW22" s="687"/>
      <c r="BX22" s="687"/>
      <c r="BY22" s="687"/>
      <c r="BZ22" s="687"/>
      <c r="CA22" s="687"/>
      <c r="CB22" s="687"/>
      <c r="CC22" s="687"/>
      <c r="CD22" s="687"/>
      <c r="CE22" s="687"/>
      <c r="CF22" s="687"/>
      <c r="CG22" s="687"/>
      <c r="CH22" s="687"/>
      <c r="CI22" s="687"/>
      <c r="CJ22" s="687"/>
      <c r="CK22" s="687"/>
      <c r="CL22" s="687"/>
      <c r="CM22" s="687"/>
      <c r="CN22" s="687"/>
      <c r="CO22" s="687"/>
      <c r="CP22" s="688"/>
      <c r="CQ22" s="688"/>
      <c r="CR22" s="688"/>
      <c r="CS22" s="688"/>
      <c r="CT22" s="688"/>
      <c r="CU22" s="689"/>
    </row>
    <row r="23" spans="2:99" ht="15.5" x14ac:dyDescent="0.35">
      <c r="B23" s="55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7"/>
  <sheetViews>
    <sheetView workbookViewId="0"/>
  </sheetViews>
  <sheetFormatPr defaultRowHeight="14.5" x14ac:dyDescent="0.35"/>
  <sheetData>
    <row r="2" spans="2:10" ht="52" x14ac:dyDescent="0.35">
      <c r="B2" s="540" t="s">
        <v>36</v>
      </c>
      <c r="C2" s="540" t="s">
        <v>37</v>
      </c>
      <c r="D2" s="551" t="s">
        <v>38</v>
      </c>
      <c r="E2" s="540" t="s">
        <v>39</v>
      </c>
      <c r="F2" s="551" t="s">
        <v>40</v>
      </c>
      <c r="H2" s="540" t="s">
        <v>36</v>
      </c>
      <c r="I2" s="540" t="s">
        <v>41</v>
      </c>
      <c r="J2" s="540" t="s">
        <v>42</v>
      </c>
    </row>
    <row r="3" spans="2:10" ht="62.5" x14ac:dyDescent="0.35">
      <c r="B3" s="552">
        <v>1</v>
      </c>
      <c r="C3" s="553" t="s">
        <v>43</v>
      </c>
      <c r="D3" s="552" t="s">
        <v>44</v>
      </c>
      <c r="E3" s="554" t="s">
        <v>45</v>
      </c>
      <c r="F3" s="555">
        <v>45940</v>
      </c>
      <c r="H3" s="541">
        <v>1</v>
      </c>
      <c r="I3" s="542"/>
      <c r="J3" s="543" t="s">
        <v>46</v>
      </c>
    </row>
    <row r="4" spans="2:10" ht="62.5" x14ac:dyDescent="0.35">
      <c r="B4" s="552">
        <v>2</v>
      </c>
      <c r="C4" s="553" t="s">
        <v>47</v>
      </c>
      <c r="D4" s="552" t="s">
        <v>44</v>
      </c>
      <c r="E4" s="554" t="s">
        <v>45</v>
      </c>
      <c r="F4" s="555">
        <v>45940</v>
      </c>
      <c r="H4" s="541">
        <v>2</v>
      </c>
      <c r="I4" s="544"/>
      <c r="J4" s="543" t="s">
        <v>48</v>
      </c>
    </row>
    <row r="5" spans="2:10" ht="409.5" x14ac:dyDescent="0.35">
      <c r="B5" s="552">
        <v>3</v>
      </c>
      <c r="C5" s="553" t="s">
        <v>49</v>
      </c>
      <c r="D5" s="552" t="s">
        <v>44</v>
      </c>
      <c r="E5" s="554" t="s">
        <v>50</v>
      </c>
      <c r="F5" s="555">
        <v>45940</v>
      </c>
      <c r="H5" s="541">
        <v>3</v>
      </c>
      <c r="I5" s="544"/>
      <c r="J5" s="543" t="s">
        <v>48</v>
      </c>
    </row>
    <row r="6" spans="2:10" ht="162.5" x14ac:dyDescent="0.35">
      <c r="B6" s="552">
        <v>4</v>
      </c>
      <c r="C6" s="553" t="s">
        <v>51</v>
      </c>
      <c r="D6" s="552" t="s">
        <v>44</v>
      </c>
      <c r="E6" s="554" t="s">
        <v>45</v>
      </c>
      <c r="F6" s="555">
        <v>45940</v>
      </c>
      <c r="H6" s="541">
        <v>4</v>
      </c>
      <c r="I6" s="556"/>
      <c r="J6" s="543" t="s">
        <v>52</v>
      </c>
    </row>
    <row r="7" spans="2:10" ht="162.5" x14ac:dyDescent="0.35">
      <c r="B7" s="552">
        <v>5</v>
      </c>
      <c r="C7" s="543" t="s">
        <v>53</v>
      </c>
      <c r="D7" s="552" t="s">
        <v>44</v>
      </c>
      <c r="E7" s="554" t="s">
        <v>54</v>
      </c>
      <c r="F7" s="555">
        <v>45940</v>
      </c>
      <c r="H7" s="541">
        <v>5</v>
      </c>
      <c r="I7" s="545"/>
      <c r="J7" s="543" t="s">
        <v>55</v>
      </c>
    </row>
    <row r="8" spans="2:10" ht="237.5" x14ac:dyDescent="0.35">
      <c r="H8" s="541">
        <v>6</v>
      </c>
      <c r="I8" s="546"/>
      <c r="J8" s="543" t="s">
        <v>56</v>
      </c>
    </row>
    <row r="9" spans="2:10" ht="112.5" x14ac:dyDescent="0.35">
      <c r="H9" s="541">
        <v>7</v>
      </c>
      <c r="I9" s="547"/>
      <c r="J9" s="543" t="s">
        <v>57</v>
      </c>
    </row>
    <row r="10" spans="2:10" ht="25" x14ac:dyDescent="0.35">
      <c r="E10" s="549"/>
      <c r="F10" s="549"/>
      <c r="H10" s="541">
        <v>8</v>
      </c>
      <c r="I10" s="543" t="s">
        <v>58</v>
      </c>
      <c r="J10" s="543" t="s">
        <v>59</v>
      </c>
    </row>
    <row r="11" spans="2:10" x14ac:dyDescent="0.35">
      <c r="E11" s="549"/>
      <c r="F11" s="549"/>
    </row>
    <row r="12" spans="2:10" x14ac:dyDescent="0.35">
      <c r="E12" s="549"/>
      <c r="F12" s="549"/>
    </row>
    <row r="13" spans="2:10" x14ac:dyDescent="0.35">
      <c r="E13" s="549"/>
      <c r="F13" s="549"/>
    </row>
    <row r="14" spans="2:10" x14ac:dyDescent="0.35">
      <c r="E14" s="549"/>
      <c r="F14" s="549"/>
    </row>
    <row r="15" spans="2:10" x14ac:dyDescent="0.35">
      <c r="E15" s="549"/>
      <c r="F15" s="549"/>
    </row>
    <row r="16" spans="2:10" x14ac:dyDescent="0.35">
      <c r="E16" s="549"/>
      <c r="F16" s="549"/>
    </row>
    <row r="17" spans="8:10" x14ac:dyDescent="0.35">
      <c r="H17" s="548"/>
      <c r="I17" s="548"/>
      <c r="J17" s="5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6"/>
  <sheetViews>
    <sheetView workbookViewId="0"/>
  </sheetViews>
  <sheetFormatPr defaultRowHeight="14.5" x14ac:dyDescent="0.35"/>
  <sheetData>
    <row r="1" spans="1:26" ht="16" x14ac:dyDescent="0.35">
      <c r="B1" s="92"/>
      <c r="D1" s="68"/>
      <c r="E1" s="69"/>
    </row>
    <row r="2" spans="1:26" x14ac:dyDescent="0.35">
      <c r="D2" s="68"/>
      <c r="E2" s="69"/>
    </row>
    <row r="3" spans="1:26" ht="20" x14ac:dyDescent="0.35">
      <c r="A3" s="70" t="s">
        <v>60</v>
      </c>
      <c r="D3" s="68"/>
      <c r="E3" s="69"/>
    </row>
    <row r="4" spans="1:26" ht="15" x14ac:dyDescent="0.35">
      <c r="A4" s="550" t="s">
        <v>61</v>
      </c>
      <c r="D4" s="68"/>
      <c r="E4" s="69"/>
    </row>
    <row r="5" spans="1:26" ht="130" x14ac:dyDescent="0.35">
      <c r="A5" s="1280" t="s">
        <v>36</v>
      </c>
      <c r="B5" s="1280" t="s">
        <v>62</v>
      </c>
      <c r="C5" s="1281" t="s">
        <v>63</v>
      </c>
      <c r="D5" s="1280" t="s">
        <v>64</v>
      </c>
      <c r="E5" s="1283" t="s">
        <v>65</v>
      </c>
      <c r="F5" s="1290" t="s">
        <v>66</v>
      </c>
      <c r="G5" s="864" t="s">
        <v>67</v>
      </c>
      <c r="H5" s="864"/>
      <c r="I5" s="864"/>
      <c r="J5" s="864"/>
      <c r="K5" s="864"/>
      <c r="L5" s="864"/>
      <c r="M5" s="864"/>
      <c r="N5" s="864"/>
      <c r="O5" s="864"/>
      <c r="P5" s="864"/>
      <c r="Q5" s="864"/>
      <c r="R5" s="864"/>
      <c r="S5" s="864"/>
      <c r="T5" s="864"/>
      <c r="U5" s="1278" t="s">
        <v>68</v>
      </c>
      <c r="V5" s="1279" t="s">
        <v>69</v>
      </c>
      <c r="W5" s="865" t="s">
        <v>70</v>
      </c>
      <c r="X5" s="865"/>
      <c r="Y5" s="865"/>
    </row>
    <row r="6" spans="1:26" ht="117" x14ac:dyDescent="0.35">
      <c r="A6" s="1280"/>
      <c r="B6" s="1280"/>
      <c r="C6" s="1282"/>
      <c r="D6" s="1280"/>
      <c r="E6" s="1283"/>
      <c r="F6" s="1291"/>
      <c r="G6" s="864" t="s">
        <v>71</v>
      </c>
      <c r="H6" s="864" t="s">
        <v>72</v>
      </c>
      <c r="I6" s="864" t="s">
        <v>73</v>
      </c>
      <c r="J6" s="864" t="s">
        <v>74</v>
      </c>
      <c r="K6" s="864" t="s">
        <v>75</v>
      </c>
      <c r="L6" s="864" t="s">
        <v>76</v>
      </c>
      <c r="M6" s="864" t="s">
        <v>77</v>
      </c>
      <c r="N6" s="864" t="s">
        <v>78</v>
      </c>
      <c r="O6" s="864" t="s">
        <v>79</v>
      </c>
      <c r="P6" s="864" t="s">
        <v>80</v>
      </c>
      <c r="Q6" s="864" t="s">
        <v>81</v>
      </c>
      <c r="R6" s="864" t="s">
        <v>82</v>
      </c>
      <c r="S6" s="864" t="s">
        <v>83</v>
      </c>
      <c r="T6" s="864" t="s">
        <v>84</v>
      </c>
      <c r="U6" s="1278"/>
      <c r="V6" s="1279"/>
      <c r="W6" s="865" t="s">
        <v>85</v>
      </c>
      <c r="X6" s="865" t="s">
        <v>86</v>
      </c>
      <c r="Y6" s="865" t="s">
        <v>87</v>
      </c>
    </row>
    <row r="7" spans="1:26" x14ac:dyDescent="0.35">
      <c r="A7" s="866" t="s">
        <v>88</v>
      </c>
      <c r="B7" s="867" t="s">
        <v>89</v>
      </c>
      <c r="C7" s="866"/>
      <c r="D7" s="868"/>
      <c r="E7" s="869"/>
      <c r="F7" s="866"/>
      <c r="G7" s="866"/>
      <c r="H7" s="866"/>
      <c r="I7" s="866"/>
      <c r="J7" s="866"/>
      <c r="K7" s="866"/>
      <c r="L7" s="866"/>
      <c r="M7" s="866"/>
      <c r="N7" s="866"/>
      <c r="O7" s="866"/>
      <c r="P7" s="866"/>
      <c r="Q7" s="866"/>
      <c r="R7" s="866"/>
      <c r="S7" s="866"/>
      <c r="T7" s="866"/>
      <c r="U7" s="866"/>
      <c r="V7" s="866"/>
      <c r="W7" s="866"/>
      <c r="X7" s="866"/>
      <c r="Y7" s="866"/>
    </row>
    <row r="8" spans="1:26" ht="87.5" x14ac:dyDescent="0.35">
      <c r="A8" s="870">
        <v>1</v>
      </c>
      <c r="B8" s="1284" t="s">
        <v>90</v>
      </c>
      <c r="C8" s="71" t="s">
        <v>91</v>
      </c>
      <c r="D8" s="871"/>
      <c r="E8" s="869"/>
      <c r="F8" s="872"/>
      <c r="G8" s="872"/>
      <c r="H8" s="872"/>
      <c r="I8" s="872"/>
      <c r="J8" s="872"/>
      <c r="K8" s="872"/>
      <c r="L8" s="872"/>
      <c r="M8" s="872"/>
      <c r="N8" s="872"/>
      <c r="O8" s="872"/>
      <c r="P8" s="872"/>
      <c r="Q8" s="872"/>
      <c r="R8" s="872"/>
      <c r="S8" s="872"/>
      <c r="T8" s="872"/>
      <c r="U8" s="872"/>
      <c r="V8" s="872"/>
      <c r="W8" s="872"/>
      <c r="X8" s="872"/>
      <c r="Y8" s="872"/>
    </row>
    <row r="9" spans="1:26" ht="100" x14ac:dyDescent="0.35">
      <c r="A9" s="1287"/>
      <c r="B9" s="1285"/>
      <c r="C9" s="113" t="s">
        <v>92</v>
      </c>
      <c r="D9" s="871"/>
      <c r="E9" s="869"/>
      <c r="F9" s="872"/>
      <c r="G9" s="872"/>
      <c r="H9" s="872"/>
      <c r="I9" s="872"/>
      <c r="J9" s="872"/>
      <c r="K9" s="872"/>
      <c r="L9" s="872"/>
      <c r="M9" s="872"/>
      <c r="N9" s="872"/>
      <c r="O9" s="872"/>
      <c r="P9" s="872"/>
      <c r="Q9" s="872"/>
      <c r="R9" s="872"/>
      <c r="S9" s="872"/>
      <c r="T9" s="872"/>
      <c r="U9" s="872"/>
      <c r="V9" s="872"/>
      <c r="W9" s="872"/>
      <c r="X9" s="872"/>
      <c r="Y9" s="872"/>
    </row>
    <row r="10" spans="1:26" ht="75" x14ac:dyDescent="0.35">
      <c r="A10" s="1287"/>
      <c r="B10" s="1285"/>
      <c r="C10" s="113" t="s">
        <v>93</v>
      </c>
      <c r="D10" s="871"/>
      <c r="E10" s="869"/>
      <c r="F10" s="872"/>
      <c r="G10" s="872"/>
      <c r="H10" s="872"/>
      <c r="I10" s="872"/>
      <c r="J10" s="872"/>
      <c r="K10" s="872"/>
      <c r="L10" s="872"/>
      <c r="M10" s="872"/>
      <c r="N10" s="872"/>
      <c r="O10" s="872"/>
      <c r="P10" s="872"/>
      <c r="Q10" s="872"/>
      <c r="R10" s="872"/>
      <c r="S10" s="872"/>
      <c r="T10" s="872"/>
      <c r="U10" s="872"/>
      <c r="V10" s="872"/>
      <c r="W10" s="872"/>
      <c r="X10" s="872"/>
      <c r="Y10" s="872"/>
    </row>
    <row r="11" spans="1:26" ht="100" x14ac:dyDescent="0.35">
      <c r="A11" s="1288"/>
      <c r="B11" s="1286"/>
      <c r="C11" s="113" t="s">
        <v>94</v>
      </c>
      <c r="D11" s="871"/>
      <c r="E11" s="869"/>
      <c r="F11" s="872"/>
      <c r="G11" s="872"/>
      <c r="H11" s="872"/>
      <c r="I11" s="872"/>
      <c r="J11" s="872"/>
      <c r="K11" s="872"/>
      <c r="L11" s="872"/>
      <c r="M11" s="872"/>
      <c r="N11" s="872"/>
      <c r="O11" s="872"/>
      <c r="P11" s="872"/>
      <c r="Q11" s="872"/>
      <c r="R11" s="872"/>
      <c r="S11" s="872"/>
      <c r="T11" s="872"/>
      <c r="U11" s="872"/>
      <c r="V11" s="872"/>
      <c r="W11" s="872"/>
      <c r="X11" s="872"/>
      <c r="Y11" s="872"/>
    </row>
    <row r="12" spans="1:26" ht="50" x14ac:dyDescent="0.35">
      <c r="A12" s="870">
        <v>2</v>
      </c>
      <c r="B12" s="873" t="s">
        <v>95</v>
      </c>
      <c r="C12" s="97" t="s">
        <v>96</v>
      </c>
      <c r="D12" s="871"/>
      <c r="E12" s="869"/>
      <c r="F12" s="872"/>
      <c r="G12" s="872"/>
      <c r="H12" s="872"/>
      <c r="I12" s="872"/>
      <c r="J12" s="872"/>
      <c r="K12" s="872"/>
      <c r="L12" s="872"/>
      <c r="M12" s="872"/>
      <c r="N12" s="872"/>
      <c r="O12" s="872"/>
      <c r="P12" s="872"/>
      <c r="Q12" s="872"/>
      <c r="R12" s="872"/>
      <c r="S12" s="872"/>
      <c r="T12" s="872"/>
      <c r="U12" s="872"/>
      <c r="V12" s="872"/>
      <c r="W12" s="872"/>
      <c r="X12" s="872"/>
      <c r="Y12" s="872"/>
    </row>
    <row r="13" spans="1:26" ht="62.5" x14ac:dyDescent="0.35">
      <c r="A13" s="1288"/>
      <c r="B13" s="1289"/>
      <c r="C13" s="97" t="s">
        <v>97</v>
      </c>
      <c r="D13" s="871"/>
      <c r="E13" s="869"/>
      <c r="F13" s="872"/>
      <c r="G13" s="872"/>
      <c r="H13" s="872"/>
      <c r="I13" s="872"/>
      <c r="J13" s="872"/>
      <c r="K13" s="872"/>
      <c r="L13" s="872"/>
      <c r="M13" s="872"/>
      <c r="N13" s="872"/>
      <c r="O13" s="872"/>
      <c r="P13" s="872"/>
      <c r="Q13" s="872"/>
      <c r="R13" s="872"/>
      <c r="S13" s="872"/>
      <c r="T13" s="872"/>
      <c r="U13" s="872"/>
      <c r="V13" s="872"/>
      <c r="W13" s="872"/>
      <c r="X13" s="872"/>
      <c r="Y13" s="872"/>
    </row>
    <row r="14" spans="1:26" x14ac:dyDescent="0.35">
      <c r="A14" s="866" t="s">
        <v>98</v>
      </c>
      <c r="B14" s="867" t="s">
        <v>99</v>
      </c>
      <c r="C14" s="866"/>
      <c r="D14" s="868"/>
      <c r="E14" s="869"/>
      <c r="F14" s="866"/>
      <c r="G14" s="866"/>
      <c r="H14" s="866"/>
      <c r="I14" s="866"/>
      <c r="J14" s="866"/>
      <c r="K14" s="866"/>
      <c r="L14" s="866"/>
      <c r="M14" s="866"/>
      <c r="N14" s="866"/>
      <c r="O14" s="866"/>
      <c r="P14" s="866"/>
      <c r="Q14" s="866"/>
      <c r="R14" s="866"/>
      <c r="S14" s="866"/>
      <c r="T14" s="866"/>
      <c r="U14" s="866"/>
      <c r="V14" s="866"/>
      <c r="W14" s="866"/>
      <c r="X14" s="866"/>
      <c r="Y14" s="866"/>
    </row>
    <row r="15" spans="1:26" ht="62.5" x14ac:dyDescent="0.35">
      <c r="A15" s="872">
        <v>1</v>
      </c>
      <c r="B15" s="874" t="s">
        <v>100</v>
      </c>
      <c r="C15" s="113" t="s">
        <v>101</v>
      </c>
      <c r="D15" s="871"/>
      <c r="E15" s="869"/>
      <c r="F15" s="872"/>
      <c r="G15" s="872"/>
      <c r="H15" s="872"/>
      <c r="I15" s="872"/>
      <c r="J15" s="872"/>
      <c r="K15" s="872"/>
      <c r="L15" s="872"/>
      <c r="M15" s="872"/>
      <c r="N15" s="872"/>
      <c r="O15" s="872"/>
      <c r="P15" s="872"/>
      <c r="Q15" s="872"/>
      <c r="R15" s="872"/>
      <c r="S15" s="872"/>
      <c r="T15" s="872"/>
      <c r="U15" s="872"/>
      <c r="V15" s="872"/>
      <c r="W15" s="872"/>
      <c r="X15" s="872"/>
      <c r="Y15" s="872"/>
    </row>
    <row r="16" spans="1:26" ht="175" x14ac:dyDescent="0.35">
      <c r="A16" s="872">
        <v>2</v>
      </c>
      <c r="B16" s="874" t="s">
        <v>102</v>
      </c>
      <c r="C16" s="113" t="s">
        <v>103</v>
      </c>
      <c r="D16" s="871"/>
      <c r="E16" s="869"/>
      <c r="F16" s="872"/>
      <c r="G16" s="872"/>
      <c r="H16" s="872"/>
      <c r="I16" s="872"/>
      <c r="J16" s="872"/>
      <c r="K16" s="872"/>
      <c r="L16" s="872"/>
      <c r="M16" s="872"/>
      <c r="N16" s="872"/>
      <c r="O16" s="872"/>
      <c r="P16" s="872"/>
      <c r="Q16" s="872"/>
      <c r="R16" s="872"/>
      <c r="S16" s="872"/>
      <c r="T16" s="872"/>
      <c r="U16" s="872"/>
      <c r="V16" s="872"/>
      <c r="W16" s="872"/>
      <c r="X16" s="872"/>
      <c r="Y16" s="872"/>
      <c r="Z16" s="71"/>
    </row>
    <row r="17" spans="1:25" ht="175" x14ac:dyDescent="0.35">
      <c r="A17" s="872">
        <v>3</v>
      </c>
      <c r="B17" s="872" t="s">
        <v>104</v>
      </c>
      <c r="C17" s="113" t="s">
        <v>105</v>
      </c>
      <c r="D17" s="871"/>
      <c r="E17" s="869"/>
      <c r="F17" s="872"/>
      <c r="G17" s="872"/>
      <c r="H17" s="872"/>
      <c r="I17" s="872"/>
      <c r="J17" s="872"/>
      <c r="K17" s="872"/>
      <c r="L17" s="872"/>
      <c r="M17" s="872"/>
      <c r="N17" s="872"/>
      <c r="O17" s="872"/>
      <c r="P17" s="872"/>
      <c r="Q17" s="872"/>
      <c r="R17" s="872"/>
      <c r="S17" s="872"/>
      <c r="T17" s="872"/>
      <c r="U17" s="872"/>
      <c r="V17" s="872"/>
      <c r="W17" s="872"/>
      <c r="X17" s="872"/>
      <c r="Y17" s="872"/>
    </row>
    <row r="18" spans="1:25" x14ac:dyDescent="0.35">
      <c r="A18" s="866" t="s">
        <v>106</v>
      </c>
      <c r="B18" s="867" t="s">
        <v>107</v>
      </c>
      <c r="C18" s="254"/>
      <c r="D18" s="868"/>
      <c r="E18" s="869"/>
      <c r="F18" s="866"/>
      <c r="G18" s="866"/>
      <c r="H18" s="866"/>
      <c r="I18" s="866"/>
      <c r="J18" s="866"/>
      <c r="K18" s="866"/>
      <c r="L18" s="866"/>
      <c r="M18" s="866"/>
      <c r="N18" s="866"/>
      <c r="O18" s="866"/>
      <c r="P18" s="866"/>
      <c r="Q18" s="866"/>
      <c r="R18" s="866"/>
      <c r="S18" s="866"/>
      <c r="T18" s="866"/>
      <c r="U18" s="866"/>
      <c r="V18" s="866"/>
      <c r="W18" s="866"/>
      <c r="X18" s="866"/>
      <c r="Y18" s="866"/>
    </row>
    <row r="19" spans="1:25" ht="39" x14ac:dyDescent="0.35">
      <c r="A19" s="866" t="s">
        <v>108</v>
      </c>
      <c r="B19" s="866" t="s">
        <v>109</v>
      </c>
      <c r="C19" s="254"/>
      <c r="D19" s="868"/>
      <c r="E19" s="869"/>
      <c r="F19" s="866"/>
      <c r="G19" s="866"/>
      <c r="H19" s="866"/>
      <c r="I19" s="866"/>
      <c r="J19" s="866"/>
      <c r="K19" s="866"/>
      <c r="L19" s="866"/>
      <c r="M19" s="866"/>
      <c r="N19" s="866"/>
      <c r="O19" s="866"/>
      <c r="P19" s="866"/>
      <c r="Q19" s="866"/>
      <c r="R19" s="866"/>
      <c r="S19" s="866"/>
      <c r="T19" s="866"/>
      <c r="U19" s="866"/>
      <c r="V19" s="866"/>
      <c r="W19" s="866"/>
      <c r="X19" s="866"/>
      <c r="Y19" s="866"/>
    </row>
    <row r="20" spans="1:25" ht="287.5" x14ac:dyDescent="0.35">
      <c r="A20" s="872">
        <v>1</v>
      </c>
      <c r="B20" s="874" t="s">
        <v>110</v>
      </c>
      <c r="C20" s="113" t="s">
        <v>111</v>
      </c>
      <c r="D20" s="871"/>
      <c r="E20" s="869"/>
      <c r="F20" s="872"/>
      <c r="G20" s="872"/>
      <c r="H20" s="872"/>
      <c r="I20" s="872"/>
      <c r="J20" s="872"/>
      <c r="K20" s="872"/>
      <c r="L20" s="872"/>
      <c r="M20" s="872"/>
      <c r="N20" s="872"/>
      <c r="O20" s="872"/>
      <c r="P20" s="872"/>
      <c r="Q20" s="872"/>
      <c r="R20" s="872"/>
      <c r="S20" s="872"/>
      <c r="T20" s="872"/>
      <c r="U20" s="872"/>
      <c r="V20" s="872"/>
      <c r="W20" s="872"/>
      <c r="X20" s="872"/>
      <c r="Y20" s="872"/>
    </row>
    <row r="21" spans="1:25" ht="200" x14ac:dyDescent="0.35">
      <c r="A21" s="872">
        <v>2</v>
      </c>
      <c r="B21" s="872" t="s">
        <v>112</v>
      </c>
      <c r="C21" s="113" t="s">
        <v>113</v>
      </c>
      <c r="D21" s="871"/>
      <c r="E21" s="869"/>
      <c r="F21" s="872"/>
      <c r="G21" s="872"/>
      <c r="H21" s="872"/>
      <c r="I21" s="872"/>
      <c r="J21" s="872"/>
      <c r="K21" s="872"/>
      <c r="L21" s="872"/>
      <c r="M21" s="872"/>
      <c r="N21" s="872"/>
      <c r="O21" s="872"/>
      <c r="P21" s="872"/>
      <c r="Q21" s="872"/>
      <c r="R21" s="872"/>
      <c r="S21" s="872"/>
      <c r="T21" s="872"/>
      <c r="U21" s="872"/>
      <c r="V21" s="872"/>
      <c r="W21" s="872"/>
      <c r="X21" s="872"/>
      <c r="Y21" s="872"/>
    </row>
    <row r="22" spans="1:25" ht="137.5" x14ac:dyDescent="0.35">
      <c r="A22" s="872">
        <v>3</v>
      </c>
      <c r="B22" s="872" t="s">
        <v>114</v>
      </c>
      <c r="C22" s="113" t="s">
        <v>115</v>
      </c>
      <c r="D22" s="871"/>
      <c r="E22" s="869"/>
      <c r="F22" s="872"/>
      <c r="G22" s="872"/>
      <c r="H22" s="872"/>
      <c r="I22" s="872"/>
      <c r="J22" s="872"/>
      <c r="K22" s="872"/>
      <c r="L22" s="872"/>
      <c r="M22" s="872"/>
      <c r="N22" s="872"/>
      <c r="O22" s="872"/>
      <c r="P22" s="872"/>
      <c r="Q22" s="872"/>
      <c r="R22" s="872"/>
      <c r="S22" s="872"/>
      <c r="T22" s="872"/>
      <c r="U22" s="872"/>
      <c r="V22" s="872"/>
      <c r="W22" s="872"/>
      <c r="X22" s="872"/>
      <c r="Y22" s="872"/>
    </row>
    <row r="23" spans="1:25" ht="312.5" x14ac:dyDescent="0.35">
      <c r="A23" s="872">
        <v>4</v>
      </c>
      <c r="B23" s="872" t="s">
        <v>116</v>
      </c>
      <c r="C23" s="113" t="s">
        <v>117</v>
      </c>
      <c r="D23" s="871"/>
      <c r="E23" s="869"/>
      <c r="F23" s="872"/>
      <c r="G23" s="872"/>
      <c r="H23" s="872"/>
      <c r="I23" s="872"/>
      <c r="J23" s="872"/>
      <c r="K23" s="872"/>
      <c r="L23" s="872"/>
      <c r="M23" s="872"/>
      <c r="N23" s="872"/>
      <c r="O23" s="872"/>
      <c r="P23" s="872"/>
      <c r="Q23" s="872"/>
      <c r="R23" s="872"/>
      <c r="S23" s="872"/>
      <c r="T23" s="872"/>
      <c r="U23" s="872"/>
      <c r="V23" s="872"/>
      <c r="W23" s="872"/>
      <c r="X23" s="872"/>
      <c r="Y23" s="872"/>
    </row>
    <row r="24" spans="1:25" ht="39" x14ac:dyDescent="0.35">
      <c r="A24" s="866" t="s">
        <v>118</v>
      </c>
      <c r="B24" s="866" t="s">
        <v>119</v>
      </c>
      <c r="C24" s="254"/>
      <c r="D24" s="868"/>
      <c r="E24" s="869"/>
      <c r="F24" s="866"/>
      <c r="G24" s="866"/>
      <c r="H24" s="866"/>
      <c r="I24" s="866"/>
      <c r="J24" s="866"/>
      <c r="K24" s="866"/>
      <c r="L24" s="866"/>
      <c r="M24" s="866"/>
      <c r="N24" s="866"/>
      <c r="O24" s="866"/>
      <c r="P24" s="866"/>
      <c r="Q24" s="866"/>
      <c r="R24" s="866"/>
      <c r="S24" s="866"/>
      <c r="T24" s="866"/>
      <c r="U24" s="866"/>
      <c r="V24" s="866"/>
      <c r="W24" s="866"/>
      <c r="X24" s="866"/>
      <c r="Y24" s="866"/>
    </row>
    <row r="25" spans="1:25" ht="387.5" x14ac:dyDescent="0.35">
      <c r="A25" s="872">
        <v>1</v>
      </c>
      <c r="B25" s="872" t="s">
        <v>120</v>
      </c>
      <c r="C25" s="113" t="s">
        <v>121</v>
      </c>
      <c r="D25" s="871"/>
      <c r="E25" s="869"/>
      <c r="F25" s="872"/>
      <c r="G25" s="872"/>
      <c r="H25" s="872"/>
      <c r="I25" s="872"/>
      <c r="J25" s="872"/>
      <c r="K25" s="872"/>
      <c r="L25" s="872"/>
      <c r="M25" s="872"/>
      <c r="N25" s="872"/>
      <c r="O25" s="872"/>
      <c r="P25" s="872"/>
      <c r="Q25" s="872"/>
      <c r="R25" s="872"/>
      <c r="S25" s="872"/>
      <c r="T25" s="872"/>
      <c r="U25" s="872"/>
      <c r="V25" s="872"/>
      <c r="W25" s="872"/>
      <c r="X25" s="872"/>
      <c r="Y25" s="872"/>
    </row>
    <row r="26" spans="1:25" ht="112.5" x14ac:dyDescent="0.35">
      <c r="A26" s="872">
        <v>2</v>
      </c>
      <c r="B26" s="872" t="s">
        <v>122</v>
      </c>
      <c r="C26" s="113" t="s">
        <v>123</v>
      </c>
      <c r="D26" s="871"/>
      <c r="E26" s="869"/>
      <c r="F26" s="872"/>
      <c r="G26" s="872"/>
      <c r="H26" s="872"/>
      <c r="I26" s="872"/>
      <c r="J26" s="872"/>
      <c r="K26" s="872"/>
      <c r="L26" s="872"/>
      <c r="M26" s="872"/>
      <c r="N26" s="872"/>
      <c r="O26" s="872"/>
      <c r="P26" s="872"/>
      <c r="Q26" s="872"/>
      <c r="R26" s="872"/>
      <c r="S26" s="872"/>
      <c r="T26" s="872"/>
      <c r="U26" s="872"/>
      <c r="V26" s="872"/>
      <c r="W26" s="872"/>
      <c r="X26" s="872"/>
      <c r="Y26" s="872"/>
    </row>
    <row r="27" spans="1:25" ht="39" x14ac:dyDescent="0.35">
      <c r="A27" s="866" t="s">
        <v>124</v>
      </c>
      <c r="B27" s="866" t="s">
        <v>125</v>
      </c>
      <c r="C27" s="254"/>
      <c r="D27" s="868"/>
      <c r="E27" s="869"/>
      <c r="F27" s="866"/>
      <c r="G27" s="866"/>
      <c r="H27" s="866"/>
      <c r="I27" s="866"/>
      <c r="J27" s="866"/>
      <c r="K27" s="866"/>
      <c r="L27" s="866"/>
      <c r="M27" s="866"/>
      <c r="N27" s="866"/>
      <c r="O27" s="866"/>
      <c r="P27" s="866"/>
      <c r="Q27" s="866"/>
      <c r="R27" s="866"/>
      <c r="S27" s="866"/>
      <c r="T27" s="866"/>
      <c r="U27" s="866"/>
      <c r="V27" s="866"/>
      <c r="W27" s="866"/>
      <c r="X27" s="866"/>
      <c r="Y27" s="866"/>
    </row>
    <row r="28" spans="1:25" ht="212.5" x14ac:dyDescent="0.35">
      <c r="A28" s="875">
        <v>1</v>
      </c>
      <c r="B28" s="872" t="s">
        <v>126</v>
      </c>
      <c r="C28" s="113" t="s">
        <v>127</v>
      </c>
      <c r="D28" s="871"/>
      <c r="E28" s="869"/>
      <c r="F28" s="872"/>
      <c r="G28" s="872"/>
      <c r="H28" s="872"/>
      <c r="I28" s="872"/>
      <c r="J28" s="872"/>
      <c r="K28" s="872"/>
      <c r="L28" s="872"/>
      <c r="M28" s="872"/>
      <c r="N28" s="872"/>
      <c r="O28" s="872"/>
      <c r="P28" s="872"/>
      <c r="Q28" s="872"/>
      <c r="R28" s="872"/>
      <c r="S28" s="872"/>
      <c r="T28" s="872"/>
      <c r="U28" s="872"/>
      <c r="V28" s="872"/>
      <c r="W28" s="872"/>
      <c r="X28" s="872"/>
      <c r="Y28" s="872"/>
    </row>
    <row r="29" spans="1:25" ht="150" x14ac:dyDescent="0.35">
      <c r="A29" s="870">
        <v>2</v>
      </c>
      <c r="B29" s="876" t="s">
        <v>128</v>
      </c>
      <c r="C29" s="113" t="s">
        <v>129</v>
      </c>
      <c r="D29" s="871"/>
      <c r="E29" s="869"/>
      <c r="F29" s="872"/>
      <c r="G29" s="872"/>
      <c r="H29" s="872"/>
      <c r="I29" s="872"/>
      <c r="J29" s="872"/>
      <c r="K29" s="872"/>
      <c r="L29" s="872"/>
      <c r="M29" s="872"/>
      <c r="N29" s="872"/>
      <c r="O29" s="872"/>
      <c r="P29" s="872"/>
      <c r="Q29" s="872"/>
      <c r="R29" s="872"/>
      <c r="S29" s="872"/>
      <c r="T29" s="872"/>
      <c r="U29" s="872"/>
      <c r="V29" s="872"/>
      <c r="W29" s="872"/>
      <c r="X29" s="872"/>
      <c r="Y29" s="872"/>
    </row>
    <row r="30" spans="1:25" ht="237.5" x14ac:dyDescent="0.35">
      <c r="A30" s="870">
        <v>3</v>
      </c>
      <c r="B30" s="873" t="s">
        <v>130</v>
      </c>
      <c r="C30" s="113" t="s">
        <v>131</v>
      </c>
      <c r="D30" s="871"/>
      <c r="E30" s="869"/>
      <c r="F30" s="872"/>
      <c r="G30" s="872"/>
      <c r="H30" s="872"/>
      <c r="I30" s="872"/>
      <c r="J30" s="872"/>
      <c r="K30" s="872"/>
      <c r="L30" s="872"/>
      <c r="M30" s="872"/>
      <c r="N30" s="872"/>
      <c r="O30" s="872"/>
      <c r="P30" s="872"/>
      <c r="Q30" s="872"/>
      <c r="R30" s="872"/>
      <c r="S30" s="872"/>
      <c r="T30" s="872"/>
      <c r="U30" s="872"/>
      <c r="V30" s="872"/>
      <c r="W30" s="872"/>
      <c r="X30" s="872"/>
      <c r="Y30" s="872"/>
    </row>
    <row r="31" spans="1:25" ht="137.5" x14ac:dyDescent="0.35">
      <c r="A31" s="875">
        <v>4</v>
      </c>
      <c r="B31" s="872" t="s">
        <v>132</v>
      </c>
      <c r="C31" s="113" t="s">
        <v>133</v>
      </c>
      <c r="D31" s="871"/>
      <c r="E31" s="869"/>
      <c r="F31" s="872"/>
      <c r="G31" s="872"/>
      <c r="H31" s="872"/>
      <c r="I31" s="872"/>
      <c r="J31" s="872"/>
      <c r="K31" s="872"/>
      <c r="L31" s="872"/>
      <c r="M31" s="872"/>
      <c r="N31" s="872"/>
      <c r="O31" s="872"/>
      <c r="P31" s="872"/>
      <c r="Q31" s="872"/>
      <c r="R31" s="872"/>
      <c r="S31" s="872"/>
      <c r="T31" s="872"/>
      <c r="U31" s="872"/>
      <c r="V31" s="872"/>
      <c r="W31" s="872"/>
      <c r="X31" s="872"/>
      <c r="Y31" s="872"/>
    </row>
    <row r="32" spans="1:25" ht="26" x14ac:dyDescent="0.35">
      <c r="A32" s="866" t="s">
        <v>134</v>
      </c>
      <c r="B32" s="866" t="s">
        <v>135</v>
      </c>
      <c r="C32" s="254"/>
      <c r="D32" s="868"/>
      <c r="E32" s="869"/>
      <c r="F32" s="866"/>
      <c r="G32" s="866"/>
      <c r="H32" s="866"/>
      <c r="I32" s="866"/>
      <c r="J32" s="866"/>
      <c r="K32" s="866"/>
      <c r="L32" s="866"/>
      <c r="M32" s="866"/>
      <c r="N32" s="866"/>
      <c r="O32" s="866"/>
      <c r="P32" s="866"/>
      <c r="Q32" s="866"/>
      <c r="R32" s="866"/>
      <c r="S32" s="866"/>
      <c r="T32" s="866"/>
      <c r="U32" s="866"/>
      <c r="V32" s="866"/>
      <c r="W32" s="866"/>
      <c r="X32" s="866"/>
      <c r="Y32" s="866"/>
    </row>
    <row r="33" spans="1:25" ht="150" x14ac:dyDescent="0.35">
      <c r="A33" s="872">
        <v>1</v>
      </c>
      <c r="B33" s="872" t="s">
        <v>136</v>
      </c>
      <c r="C33" s="113" t="s">
        <v>137</v>
      </c>
      <c r="D33" s="871"/>
      <c r="E33" s="869"/>
      <c r="F33" s="872"/>
      <c r="G33" s="872"/>
      <c r="H33" s="872"/>
      <c r="I33" s="872"/>
      <c r="J33" s="872"/>
      <c r="K33" s="872"/>
      <c r="L33" s="872"/>
      <c r="M33" s="872"/>
      <c r="N33" s="872"/>
      <c r="O33" s="872"/>
      <c r="P33" s="872"/>
      <c r="Q33" s="872"/>
      <c r="R33" s="872"/>
      <c r="S33" s="872"/>
      <c r="T33" s="872"/>
      <c r="U33" s="872"/>
      <c r="V33" s="872"/>
      <c r="W33" s="872"/>
      <c r="X33" s="872"/>
      <c r="Y33" s="872"/>
    </row>
    <row r="34" spans="1:25" ht="409.5" x14ac:dyDescent="0.35">
      <c r="A34" s="872">
        <v>2</v>
      </c>
      <c r="B34" s="872" t="s">
        <v>138</v>
      </c>
      <c r="C34" s="113" t="s">
        <v>139</v>
      </c>
      <c r="D34" s="871"/>
      <c r="E34" s="869"/>
      <c r="F34" s="872"/>
      <c r="G34" s="872"/>
      <c r="H34" s="872"/>
      <c r="I34" s="872"/>
      <c r="J34" s="872"/>
      <c r="K34" s="872"/>
      <c r="L34" s="872"/>
      <c r="M34" s="872"/>
      <c r="N34" s="872"/>
      <c r="O34" s="872"/>
      <c r="P34" s="872"/>
      <c r="Q34" s="872"/>
      <c r="R34" s="872"/>
      <c r="S34" s="872"/>
      <c r="T34" s="872"/>
      <c r="U34" s="872"/>
      <c r="V34" s="872"/>
      <c r="W34" s="872"/>
      <c r="X34" s="872"/>
      <c r="Y34" s="872"/>
    </row>
    <row r="35" spans="1:25" ht="39" x14ac:dyDescent="0.35">
      <c r="A35" s="866" t="s">
        <v>140</v>
      </c>
      <c r="B35" s="866" t="s">
        <v>141</v>
      </c>
      <c r="C35" s="254"/>
      <c r="D35" s="868"/>
      <c r="E35" s="869"/>
      <c r="F35" s="866"/>
      <c r="G35" s="866"/>
      <c r="H35" s="866"/>
      <c r="I35" s="866"/>
      <c r="J35" s="866"/>
      <c r="K35" s="866"/>
      <c r="L35" s="866"/>
      <c r="M35" s="866"/>
      <c r="N35" s="866"/>
      <c r="O35" s="866"/>
      <c r="P35" s="866"/>
      <c r="Q35" s="866"/>
      <c r="R35" s="866"/>
      <c r="S35" s="866"/>
      <c r="T35" s="866"/>
      <c r="U35" s="866"/>
      <c r="V35" s="866"/>
      <c r="W35" s="866"/>
      <c r="X35" s="866"/>
      <c r="Y35" s="866"/>
    </row>
    <row r="36" spans="1:25" ht="150" x14ac:dyDescent="0.35">
      <c r="A36" s="872">
        <v>1</v>
      </c>
      <c r="B36" s="872" t="s">
        <v>142</v>
      </c>
      <c r="C36" s="97" t="s">
        <v>143</v>
      </c>
      <c r="D36" s="871"/>
      <c r="E36" s="869"/>
      <c r="F36" s="872"/>
      <c r="G36" s="872"/>
      <c r="H36" s="872"/>
      <c r="I36" s="872"/>
      <c r="J36" s="872"/>
      <c r="K36" s="872"/>
      <c r="L36" s="872"/>
      <c r="M36" s="872"/>
      <c r="N36" s="872"/>
      <c r="O36" s="872"/>
      <c r="P36" s="872"/>
      <c r="Q36" s="872"/>
      <c r="R36" s="872"/>
      <c r="S36" s="872"/>
      <c r="T36" s="872"/>
      <c r="U36" s="872"/>
      <c r="V36" s="872"/>
      <c r="W36" s="872"/>
      <c r="X36" s="872"/>
      <c r="Y36" s="87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66"/>
  <sheetViews>
    <sheetView workbookViewId="0"/>
  </sheetViews>
  <sheetFormatPr defaultRowHeight="14.5" x14ac:dyDescent="0.35"/>
  <sheetData>
    <row r="1" spans="2:22" ht="16" x14ac:dyDescent="0.35">
      <c r="B1" s="92"/>
      <c r="F1" s="818"/>
    </row>
    <row r="2" spans="2:22" x14ac:dyDescent="0.35">
      <c r="D2" s="137"/>
      <c r="E2" s="137"/>
      <c r="F2" s="23"/>
      <c r="G2" s="137"/>
      <c r="S2" s="23"/>
    </row>
    <row r="3" spans="2:22" ht="15.5" x14ac:dyDescent="0.35">
      <c r="B3" s="62" t="s">
        <v>144</v>
      </c>
      <c r="C3" s="12"/>
      <c r="D3" s="12"/>
      <c r="E3" s="12"/>
      <c r="F3" s="817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89" t="s">
        <v>145</v>
      </c>
      <c r="T3" s="17"/>
    </row>
    <row r="4" spans="2:22" ht="39" x14ac:dyDescent="0.35">
      <c r="B4" s="187" t="s">
        <v>36</v>
      </c>
      <c r="C4" s="187" t="s">
        <v>146</v>
      </c>
      <c r="D4" s="171" t="s">
        <v>227</v>
      </c>
      <c r="E4" s="171" t="s">
        <v>147</v>
      </c>
      <c r="F4" s="116" t="s">
        <v>148</v>
      </c>
      <c r="G4" s="116" t="s">
        <v>149</v>
      </c>
      <c r="H4" s="116" t="s">
        <v>150</v>
      </c>
      <c r="I4" s="116" t="s">
        <v>151</v>
      </c>
      <c r="J4" s="116" t="s">
        <v>152</v>
      </c>
      <c r="K4" s="116" t="s">
        <v>153</v>
      </c>
      <c r="L4" s="116" t="s">
        <v>154</v>
      </c>
      <c r="M4" s="116" t="s">
        <v>155</v>
      </c>
      <c r="N4" s="116" t="s">
        <v>156</v>
      </c>
      <c r="O4" s="116" t="s">
        <v>157</v>
      </c>
      <c r="P4" s="116" t="s">
        <v>158</v>
      </c>
      <c r="Q4" s="116" t="s">
        <v>159</v>
      </c>
      <c r="R4" s="116" t="s">
        <v>160</v>
      </c>
      <c r="S4" s="116" t="s">
        <v>2147</v>
      </c>
      <c r="T4" s="37"/>
      <c r="U4" s="27" t="s">
        <v>228</v>
      </c>
    </row>
    <row r="5" spans="2:22" ht="52" x14ac:dyDescent="0.35">
      <c r="B5" s="28" t="s">
        <v>162</v>
      </c>
      <c r="C5" s="29" t="s">
        <v>163</v>
      </c>
      <c r="D5" s="755">
        <f>D6+D7+D8</f>
        <v>0</v>
      </c>
      <c r="E5" s="755">
        <f>E6+E7+E8</f>
        <v>0</v>
      </c>
      <c r="F5" s="748">
        <f>F6+F7+F8</f>
        <v>0</v>
      </c>
      <c r="G5" s="30">
        <f>G6+G7+G8</f>
        <v>0</v>
      </c>
      <c r="H5" s="30">
        <f t="shared" ref="H5:R5" si="0">H6+H7+H8</f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>SUM(G5:R5)</f>
        <v>0</v>
      </c>
      <c r="T5" s="1051"/>
      <c r="V5" s="48"/>
    </row>
    <row r="6" spans="2:22" ht="25" x14ac:dyDescent="0.35">
      <c r="B6" s="33" t="s">
        <v>164</v>
      </c>
      <c r="C6" s="34" t="s">
        <v>2164</v>
      </c>
      <c r="D6" s="756"/>
      <c r="E6" s="756"/>
      <c r="F6" s="749"/>
      <c r="G6" s="35">
        <f>'KH DAY DAI'!E23</f>
        <v>0</v>
      </c>
      <c r="H6" s="35">
        <f>'KH DAY DAI'!F23</f>
        <v>0</v>
      </c>
      <c r="I6" s="35">
        <f>'KH DAY DAI'!G23</f>
        <v>0</v>
      </c>
      <c r="J6" s="35">
        <f>'KH DAY DAI'!H23</f>
        <v>0</v>
      </c>
      <c r="K6" s="35">
        <f>'KH DAY DAI'!I23</f>
        <v>0</v>
      </c>
      <c r="L6" s="35">
        <f>'KH DAY DAI'!J23</f>
        <v>0</v>
      </c>
      <c r="M6" s="35">
        <f>'KH DAY DAI'!K23</f>
        <v>0</v>
      </c>
      <c r="N6" s="35">
        <f>'KH DAY DAI'!L23</f>
        <v>0</v>
      </c>
      <c r="O6" s="35">
        <f>'KH DAY DAI'!M23</f>
        <v>0</v>
      </c>
      <c r="P6" s="35">
        <f>'KH DAY DAI'!N23</f>
        <v>0</v>
      </c>
      <c r="Q6" s="35">
        <f>'KH DAY DAI'!O23</f>
        <v>0</v>
      </c>
      <c r="R6" s="35">
        <f>'KH DAY DAI'!P23</f>
        <v>0</v>
      </c>
      <c r="S6" s="35">
        <f t="shared" ref="S6:S51" si="1">SUM(G6:R6)</f>
        <v>0</v>
      </c>
      <c r="T6" s="1052"/>
      <c r="U6" s="1047"/>
    </row>
    <row r="7" spans="2:22" x14ac:dyDescent="0.35">
      <c r="B7" s="33" t="s">
        <v>166</v>
      </c>
      <c r="C7" s="34"/>
      <c r="D7" s="756"/>
      <c r="E7" s="756"/>
      <c r="F7" s="749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>
        <f t="shared" si="1"/>
        <v>0</v>
      </c>
      <c r="T7" s="1052"/>
    </row>
    <row r="8" spans="2:22" x14ac:dyDescent="0.35">
      <c r="B8" s="33" t="s">
        <v>168</v>
      </c>
      <c r="C8" s="34"/>
      <c r="D8" s="756"/>
      <c r="E8" s="756"/>
      <c r="F8" s="749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>
        <f t="shared" si="1"/>
        <v>0</v>
      </c>
      <c r="T8" s="1052"/>
    </row>
    <row r="9" spans="2:22" ht="26" x14ac:dyDescent="0.35">
      <c r="B9" s="65">
        <v>2</v>
      </c>
      <c r="C9" s="66" t="s">
        <v>170</v>
      </c>
      <c r="D9" s="757">
        <f>D10+D11+D12+D13</f>
        <v>0</v>
      </c>
      <c r="E9" s="757">
        <f>E10+E11+E12+E13</f>
        <v>0</v>
      </c>
      <c r="F9" s="750">
        <f>F10+F11+F12+F13</f>
        <v>0</v>
      </c>
      <c r="G9" s="67">
        <f t="shared" ref="G9:R9" si="2">G10+G11+G12+G13</f>
        <v>0</v>
      </c>
      <c r="H9" s="67">
        <f t="shared" si="2"/>
        <v>0</v>
      </c>
      <c r="I9" s="67">
        <f t="shared" si="2"/>
        <v>0</v>
      </c>
      <c r="J9" s="67">
        <f t="shared" si="2"/>
        <v>0</v>
      </c>
      <c r="K9" s="67">
        <f t="shared" si="2"/>
        <v>0</v>
      </c>
      <c r="L9" s="67">
        <f t="shared" si="2"/>
        <v>0</v>
      </c>
      <c r="M9" s="67">
        <f t="shared" si="2"/>
        <v>0</v>
      </c>
      <c r="N9" s="67">
        <f t="shared" si="2"/>
        <v>0</v>
      </c>
      <c r="O9" s="67">
        <f t="shared" si="2"/>
        <v>0</v>
      </c>
      <c r="P9" s="67">
        <f t="shared" si="2"/>
        <v>0</v>
      </c>
      <c r="Q9" s="67">
        <f t="shared" si="2"/>
        <v>0</v>
      </c>
      <c r="R9" s="67">
        <f t="shared" si="2"/>
        <v>0</v>
      </c>
      <c r="S9" s="67">
        <f t="shared" si="1"/>
        <v>0</v>
      </c>
      <c r="U9" s="247"/>
    </row>
    <row r="10" spans="2:22" ht="25" x14ac:dyDescent="0.35">
      <c r="B10" s="41" t="s">
        <v>171</v>
      </c>
      <c r="C10" s="34" t="s">
        <v>2164</v>
      </c>
      <c r="D10" s="758"/>
      <c r="E10" s="758"/>
      <c r="F10" s="751"/>
      <c r="G10" s="42">
        <f>'KH DAY DAI'!E24</f>
        <v>0</v>
      </c>
      <c r="H10" s="42">
        <f>'KH DAY DAI'!F24</f>
        <v>0</v>
      </c>
      <c r="I10" s="42">
        <f>'KH DAY DAI'!G24</f>
        <v>0</v>
      </c>
      <c r="J10" s="42">
        <f>'KH DAY DAI'!H24</f>
        <v>0</v>
      </c>
      <c r="K10" s="42">
        <f>'KH DAY DAI'!I24</f>
        <v>0</v>
      </c>
      <c r="L10" s="42">
        <f>'KH DAY DAI'!J24</f>
        <v>0</v>
      </c>
      <c r="M10" s="42">
        <f>'KH DAY DAI'!K24</f>
        <v>0</v>
      </c>
      <c r="N10" s="42">
        <f>'KH DAY DAI'!L24</f>
        <v>0</v>
      </c>
      <c r="O10" s="42">
        <f>'KH DAY DAI'!M24</f>
        <v>0</v>
      </c>
      <c r="P10" s="42">
        <f>'KH DAY DAI'!N24</f>
        <v>0</v>
      </c>
      <c r="Q10" s="42">
        <f>'KH DAY DAI'!O24</f>
        <v>0</v>
      </c>
      <c r="R10" s="42">
        <f>'KH DAY DAI'!P24</f>
        <v>0</v>
      </c>
      <c r="S10" s="42">
        <f t="shared" si="1"/>
        <v>0</v>
      </c>
      <c r="U10" s="32"/>
    </row>
    <row r="11" spans="2:22" x14ac:dyDescent="0.35">
      <c r="B11" s="41" t="s">
        <v>172</v>
      </c>
      <c r="C11" s="34"/>
      <c r="D11" s="758"/>
      <c r="E11" s="758"/>
      <c r="F11" s="751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U11" s="32"/>
    </row>
    <row r="12" spans="2:22" x14ac:dyDescent="0.35">
      <c r="B12" s="41" t="s">
        <v>173</v>
      </c>
      <c r="C12" s="34"/>
      <c r="D12" s="758"/>
      <c r="E12" s="758"/>
      <c r="F12" s="751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U12" s="32"/>
    </row>
    <row r="13" spans="2:22" x14ac:dyDescent="0.35">
      <c r="B13" s="41" t="s">
        <v>174</v>
      </c>
      <c r="C13" s="43" t="s">
        <v>175</v>
      </c>
      <c r="D13" s="758"/>
      <c r="E13" s="758"/>
      <c r="F13" s="751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>
        <f t="shared" si="1"/>
        <v>0</v>
      </c>
      <c r="U13" s="32"/>
    </row>
    <row r="14" spans="2:22" x14ac:dyDescent="0.35">
      <c r="B14" s="38">
        <v>3</v>
      </c>
      <c r="C14" s="39" t="s">
        <v>176</v>
      </c>
      <c r="D14" s="759">
        <f>D15+D23</f>
        <v>0</v>
      </c>
      <c r="E14" s="759">
        <f>E15+E23</f>
        <v>0</v>
      </c>
      <c r="F14" s="747"/>
      <c r="G14" s="40">
        <f>G15+G23</f>
        <v>0</v>
      </c>
      <c r="H14" s="40">
        <f t="shared" ref="H14:Q14" si="3">H15+H23</f>
        <v>0</v>
      </c>
      <c r="I14" s="40">
        <f t="shared" si="3"/>
        <v>0</v>
      </c>
      <c r="J14" s="40">
        <f t="shared" si="3"/>
        <v>0</v>
      </c>
      <c r="K14" s="40">
        <f t="shared" si="3"/>
        <v>0</v>
      </c>
      <c r="L14" s="40">
        <f t="shared" si="3"/>
        <v>0</v>
      </c>
      <c r="M14" s="40">
        <f t="shared" si="3"/>
        <v>0</v>
      </c>
      <c r="N14" s="40">
        <f t="shared" si="3"/>
        <v>0</v>
      </c>
      <c r="O14" s="40">
        <f t="shared" si="3"/>
        <v>0</v>
      </c>
      <c r="P14" s="40">
        <f t="shared" si="3"/>
        <v>0</v>
      </c>
      <c r="Q14" s="40">
        <f t="shared" si="3"/>
        <v>0</v>
      </c>
      <c r="R14" s="40">
        <f>R15+R23</f>
        <v>0</v>
      </c>
      <c r="S14" s="40">
        <f t="shared" si="1"/>
        <v>0</v>
      </c>
      <c r="U14" s="32"/>
    </row>
    <row r="15" spans="2:22" ht="39" x14ac:dyDescent="0.35">
      <c r="B15" s="44">
        <v>3.1</v>
      </c>
      <c r="C15" s="45" t="s">
        <v>177</v>
      </c>
      <c r="D15" s="759">
        <f>D16+D20+D21+D22</f>
        <v>0</v>
      </c>
      <c r="E15" s="759">
        <f>E16+E20+E21+E22</f>
        <v>0</v>
      </c>
      <c r="F15" s="747"/>
      <c r="G15" s="40">
        <f>G16+G20+G21+G22</f>
        <v>0</v>
      </c>
      <c r="H15" s="40">
        <f t="shared" ref="H15:Q15" si="4">H16+H20+H21+H22</f>
        <v>0</v>
      </c>
      <c r="I15" s="40">
        <f t="shared" si="4"/>
        <v>0</v>
      </c>
      <c r="J15" s="40">
        <f t="shared" si="4"/>
        <v>0</v>
      </c>
      <c r="K15" s="40">
        <f>K16+K20+K21+K22</f>
        <v>0</v>
      </c>
      <c r="L15" s="40">
        <f>L16+L20+L21+L22</f>
        <v>0</v>
      </c>
      <c r="M15" s="40">
        <f t="shared" si="4"/>
        <v>0</v>
      </c>
      <c r="N15" s="40">
        <f t="shared" si="4"/>
        <v>0</v>
      </c>
      <c r="O15" s="40">
        <f t="shared" si="4"/>
        <v>0</v>
      </c>
      <c r="P15" s="40">
        <f t="shared" si="4"/>
        <v>0</v>
      </c>
      <c r="Q15" s="40">
        <f t="shared" si="4"/>
        <v>0</v>
      </c>
      <c r="R15" s="40">
        <f>R16+R20+R21+R22</f>
        <v>0</v>
      </c>
      <c r="S15" s="40">
        <f>SUM(G15:R15)</f>
        <v>0</v>
      </c>
      <c r="U15" s="32"/>
    </row>
    <row r="16" spans="2:22" ht="75" x14ac:dyDescent="0.35">
      <c r="B16" s="46" t="s">
        <v>178</v>
      </c>
      <c r="C16" s="47" t="s">
        <v>179</v>
      </c>
      <c r="D16" s="758"/>
      <c r="E16" s="758"/>
      <c r="F16" s="751"/>
      <c r="G16" s="42">
        <f>SUM('KH DAY DAI'!E25:E26,'KH DAY DAI'!E33)</f>
        <v>0</v>
      </c>
      <c r="H16" s="42">
        <f>SUM('KH DAY DAI'!F25:F26,'KH DAY DAI'!F33)</f>
        <v>0</v>
      </c>
      <c r="I16" s="42">
        <f>SUM('KH DAY DAI'!G25:G26,'KH DAY DAI'!G33)</f>
        <v>0</v>
      </c>
      <c r="J16" s="42">
        <f>SUM('KH DAY DAI'!H25:H26,'KH DAY DAI'!H33)</f>
        <v>0</v>
      </c>
      <c r="K16" s="42">
        <f>SUM('KH DAY DAI'!I25:I26,'KH DAY DAI'!I33)</f>
        <v>0</v>
      </c>
      <c r="L16" s="42">
        <f>SUM('KH DAY DAI'!J25:J26,'KH DAY DAI'!J33)</f>
        <v>0</v>
      </c>
      <c r="M16" s="42">
        <f>SUM('KH DAY DAI'!K25:K26,'KH DAY DAI'!K33)</f>
        <v>0</v>
      </c>
      <c r="N16" s="42">
        <f>SUM('KH DAY DAI'!L25:L26,'KH DAY DAI'!L33)</f>
        <v>0</v>
      </c>
      <c r="O16" s="42">
        <f>SUM('KH DAY DAI'!M25:M26,'KH DAY DAI'!M33)</f>
        <v>0</v>
      </c>
      <c r="P16" s="42">
        <f>SUM('KH DAY DAI'!N25:N26,'KH DAY DAI'!N33)</f>
        <v>0</v>
      </c>
      <c r="Q16" s="42">
        <f>SUM('KH DAY DAI'!O25:O26,'KH DAY DAI'!O33)</f>
        <v>0</v>
      </c>
      <c r="R16" s="42">
        <f>SUM('KH DAY DAI'!P25:P26,'KH DAY DAI'!P33)</f>
        <v>0</v>
      </c>
      <c r="S16" s="42">
        <f>SUM(G16:R16)</f>
        <v>0</v>
      </c>
      <c r="U16" s="247"/>
    </row>
    <row r="17" spans="2:25" ht="65" x14ac:dyDescent="0.35">
      <c r="B17" s="51" t="s">
        <v>180</v>
      </c>
      <c r="C17" s="52" t="s">
        <v>181</v>
      </c>
      <c r="D17" s="760"/>
      <c r="E17" s="760"/>
      <c r="F17" s="752"/>
      <c r="G17" s="53">
        <f>SUM('KH DAY DAI'!E26,'KH DAY DAI'!E33)</f>
        <v>0</v>
      </c>
      <c r="H17" s="53">
        <f>SUM('KH DAY DAI'!F26,'KH DAY DAI'!F33)</f>
        <v>0</v>
      </c>
      <c r="I17" s="53">
        <f>SUM('KH DAY DAI'!G26,'KH DAY DAI'!G33)</f>
        <v>0</v>
      </c>
      <c r="J17" s="53">
        <f>SUM('KH DAY DAI'!H26,'KH DAY DAI'!H33)</f>
        <v>0</v>
      </c>
      <c r="K17" s="53">
        <f>SUM('KH DAY DAI'!I26,'KH DAY DAI'!I33)</f>
        <v>0</v>
      </c>
      <c r="L17" s="53">
        <f>SUM('KH DAY DAI'!J26,'KH DAY DAI'!J33)</f>
        <v>0</v>
      </c>
      <c r="M17" s="53">
        <f>SUM('KH DAY DAI'!K26,'KH DAY DAI'!K33)</f>
        <v>0</v>
      </c>
      <c r="N17" s="53">
        <f>SUM('KH DAY DAI'!L26,'KH DAY DAI'!L33)</f>
        <v>0</v>
      </c>
      <c r="O17" s="53">
        <f>SUM('KH DAY DAI'!M26,'KH DAY DAI'!M33)</f>
        <v>0</v>
      </c>
      <c r="P17" s="53">
        <f>SUM('KH DAY DAI'!N26,'KH DAY DAI'!N33)</f>
        <v>0</v>
      </c>
      <c r="Q17" s="53">
        <f>SUM('KH DAY DAI'!O26,'KH DAY DAI'!O33)</f>
        <v>0</v>
      </c>
      <c r="R17" s="53">
        <f>SUM('KH DAY DAI'!P26,'KH DAY DAI'!P33)</f>
        <v>0</v>
      </c>
      <c r="S17" s="53">
        <f>SUM(G17:R17)</f>
        <v>0</v>
      </c>
      <c r="U17" s="247"/>
    </row>
    <row r="18" spans="2:25" ht="52" x14ac:dyDescent="0.35">
      <c r="B18" s="51"/>
      <c r="C18" s="52" t="s">
        <v>182</v>
      </c>
      <c r="D18" s="760"/>
      <c r="E18" s="760"/>
      <c r="F18" s="752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>
        <f>SUM(G18:R18)</f>
        <v>0</v>
      </c>
      <c r="U18" s="248"/>
    </row>
    <row r="19" spans="2:25" ht="65" x14ac:dyDescent="0.35">
      <c r="B19" s="76" t="s">
        <v>183</v>
      </c>
      <c r="C19" s="73" t="s">
        <v>184</v>
      </c>
      <c r="D19" s="761">
        <f>IFERROR(D16/$F$9,0)</f>
        <v>0</v>
      </c>
      <c r="E19" s="761">
        <f>IFERROR(E16/$F$9,0)</f>
        <v>0</v>
      </c>
      <c r="F19" s="753">
        <f>IFERROR(F16/$F$9,0)</f>
        <v>0</v>
      </c>
      <c r="G19" s="74" t="e">
        <f>G16/G9</f>
        <v>#DIV/0!</v>
      </c>
      <c r="H19" s="74" t="e">
        <f t="shared" ref="H19:S19" si="5">H16/H9</f>
        <v>#DIV/0!</v>
      </c>
      <c r="I19" s="74" t="e">
        <f t="shared" si="5"/>
        <v>#DIV/0!</v>
      </c>
      <c r="J19" s="74" t="e">
        <f t="shared" si="5"/>
        <v>#DIV/0!</v>
      </c>
      <c r="K19" s="74" t="e">
        <f>K16/K9</f>
        <v>#DIV/0!</v>
      </c>
      <c r="L19" s="74" t="e">
        <f t="shared" si="5"/>
        <v>#DIV/0!</v>
      </c>
      <c r="M19" s="74" t="e">
        <f t="shared" si="5"/>
        <v>#DIV/0!</v>
      </c>
      <c r="N19" s="74" t="e">
        <f t="shared" si="5"/>
        <v>#DIV/0!</v>
      </c>
      <c r="O19" s="74" t="e">
        <f t="shared" si="5"/>
        <v>#DIV/0!</v>
      </c>
      <c r="P19" s="74" t="e">
        <f t="shared" si="5"/>
        <v>#DIV/0!</v>
      </c>
      <c r="Q19" s="74" t="e">
        <f t="shared" si="5"/>
        <v>#DIV/0!</v>
      </c>
      <c r="R19" s="74" t="e">
        <f t="shared" si="5"/>
        <v>#DIV/0!</v>
      </c>
      <c r="S19" s="74" t="e">
        <f t="shared" si="5"/>
        <v>#DIV/0!</v>
      </c>
      <c r="T19" s="1044"/>
    </row>
    <row r="20" spans="2:25" ht="37.5" x14ac:dyDescent="0.35">
      <c r="B20" s="1055" t="s">
        <v>185</v>
      </c>
      <c r="C20" s="43" t="s">
        <v>186</v>
      </c>
      <c r="D20" s="758"/>
      <c r="E20" s="758"/>
      <c r="F20" s="751"/>
      <c r="G20" s="42">
        <f>'KH DAY DAI'!E27</f>
        <v>0</v>
      </c>
      <c r="H20" s="42">
        <f>'KH DAY DAI'!F27</f>
        <v>0</v>
      </c>
      <c r="I20" s="42">
        <f>'KH DAY DAI'!G27</f>
        <v>0</v>
      </c>
      <c r="J20" s="42">
        <f>'KH DAY DAI'!H27</f>
        <v>0</v>
      </c>
      <c r="K20" s="42">
        <f>'KH DAY DAI'!I27</f>
        <v>0</v>
      </c>
      <c r="L20" s="42">
        <f>'KH DAY DAI'!J27</f>
        <v>0</v>
      </c>
      <c r="M20" s="42">
        <f>'KH DAY DAI'!K27</f>
        <v>0</v>
      </c>
      <c r="N20" s="42">
        <f>'KH DAY DAI'!L27</f>
        <v>0</v>
      </c>
      <c r="O20" s="42">
        <f>'KH DAY DAI'!M27</f>
        <v>0</v>
      </c>
      <c r="P20" s="42">
        <f>'KH DAY DAI'!N27</f>
        <v>0</v>
      </c>
      <c r="Q20" s="42">
        <f>'KH DAY DAI'!O27</f>
        <v>0</v>
      </c>
      <c r="R20" s="42">
        <f>'KH DAY DAI'!P27</f>
        <v>0</v>
      </c>
      <c r="S20" s="42">
        <f>SUM(G20:R20)</f>
        <v>0</v>
      </c>
      <c r="U20" s="511"/>
    </row>
    <row r="21" spans="2:25" ht="25" x14ac:dyDescent="0.35">
      <c r="B21" s="1055" t="s">
        <v>187</v>
      </c>
      <c r="C21" s="43" t="s">
        <v>188</v>
      </c>
      <c r="D21" s="758"/>
      <c r="E21" s="758"/>
      <c r="F21" s="751"/>
      <c r="G21" s="42">
        <f>'KH DAY DAI'!E28</f>
        <v>0</v>
      </c>
      <c r="H21" s="42">
        <f>'KH DAY DAI'!F28</f>
        <v>0</v>
      </c>
      <c r="I21" s="42">
        <f>'KH DAY DAI'!G28</f>
        <v>0</v>
      </c>
      <c r="J21" s="42">
        <f>'KH DAY DAI'!H28</f>
        <v>0</v>
      </c>
      <c r="K21" s="42">
        <f>'KH DAY DAI'!I28</f>
        <v>0</v>
      </c>
      <c r="L21" s="42">
        <f>'KH DAY DAI'!J28</f>
        <v>0</v>
      </c>
      <c r="M21" s="42">
        <f>'KH DAY DAI'!K28</f>
        <v>0</v>
      </c>
      <c r="N21" s="42">
        <f>'KH DAY DAI'!L28</f>
        <v>0</v>
      </c>
      <c r="O21" s="42">
        <f>'KH DAY DAI'!M28</f>
        <v>0</v>
      </c>
      <c r="P21" s="42">
        <f>'KH DAY DAI'!N28</f>
        <v>0</v>
      </c>
      <c r="Q21" s="42">
        <f>'KH DAY DAI'!O28</f>
        <v>0</v>
      </c>
      <c r="R21" s="42">
        <f>'KH DAY DAI'!P28</f>
        <v>0</v>
      </c>
      <c r="S21" s="42">
        <f t="shared" si="1"/>
        <v>0</v>
      </c>
      <c r="U21" s="511"/>
      <c r="V21" s="48"/>
    </row>
    <row r="22" spans="2:25" ht="37.5" x14ac:dyDescent="0.35">
      <c r="B22" s="1055" t="s">
        <v>189</v>
      </c>
      <c r="C22" s="43" t="s">
        <v>190</v>
      </c>
      <c r="D22" s="758"/>
      <c r="E22" s="758"/>
      <c r="F22" s="751"/>
      <c r="G22" s="42">
        <f>'KH DAY DAI'!E29</f>
        <v>0</v>
      </c>
      <c r="H22" s="42">
        <f>'KH DAY DAI'!F29</f>
        <v>0</v>
      </c>
      <c r="I22" s="42">
        <f>'KH DAY DAI'!G29</f>
        <v>0</v>
      </c>
      <c r="J22" s="42">
        <f>'KH DAY DAI'!H29</f>
        <v>0</v>
      </c>
      <c r="K22" s="42">
        <f>'KH DAY DAI'!I29</f>
        <v>0</v>
      </c>
      <c r="L22" s="42">
        <f>'KH DAY DAI'!J29</f>
        <v>0</v>
      </c>
      <c r="M22" s="42">
        <f>'KH DAY DAI'!K29</f>
        <v>0</v>
      </c>
      <c r="N22" s="42">
        <f>'KH DAY DAI'!L29</f>
        <v>0</v>
      </c>
      <c r="O22" s="42">
        <f>'KH DAY DAI'!M29</f>
        <v>0</v>
      </c>
      <c r="P22" s="42">
        <f>'KH DAY DAI'!N29</f>
        <v>0</v>
      </c>
      <c r="Q22" s="42">
        <f>'KH DAY DAI'!O29</f>
        <v>0</v>
      </c>
      <c r="R22" s="42">
        <f>'KH DAY DAI'!P29</f>
        <v>0</v>
      </c>
      <c r="S22" s="42">
        <f t="shared" si="1"/>
        <v>0</v>
      </c>
      <c r="U22" s="511"/>
      <c r="V22" s="48"/>
    </row>
    <row r="23" spans="2:25" ht="39" x14ac:dyDescent="0.35">
      <c r="B23" s="44">
        <v>3.2</v>
      </c>
      <c r="C23" s="45" t="s">
        <v>191</v>
      </c>
      <c r="D23" s="759">
        <f>D24</f>
        <v>0</v>
      </c>
      <c r="E23" s="759">
        <f>E24</f>
        <v>0</v>
      </c>
      <c r="F23" s="747">
        <f>F24</f>
        <v>0</v>
      </c>
      <c r="G23" s="40">
        <f t="shared" ref="G23:R23" si="6">G24</f>
        <v>0</v>
      </c>
      <c r="H23" s="40">
        <f t="shared" si="6"/>
        <v>0</v>
      </c>
      <c r="I23" s="40">
        <f t="shared" si="6"/>
        <v>0</v>
      </c>
      <c r="J23" s="40">
        <f t="shared" si="6"/>
        <v>0</v>
      </c>
      <c r="K23" s="40">
        <f t="shared" si="6"/>
        <v>0</v>
      </c>
      <c r="L23" s="40">
        <f t="shared" si="6"/>
        <v>0</v>
      </c>
      <c r="M23" s="40">
        <f t="shared" si="6"/>
        <v>0</v>
      </c>
      <c r="N23" s="40">
        <f t="shared" si="6"/>
        <v>0</v>
      </c>
      <c r="O23" s="40">
        <f t="shared" si="6"/>
        <v>0</v>
      </c>
      <c r="P23" s="40">
        <f t="shared" si="6"/>
        <v>0</v>
      </c>
      <c r="Q23" s="40">
        <f t="shared" si="6"/>
        <v>0</v>
      </c>
      <c r="R23" s="40">
        <f t="shared" si="6"/>
        <v>0</v>
      </c>
      <c r="S23" s="40">
        <f t="shared" si="1"/>
        <v>0</v>
      </c>
      <c r="T23" s="22"/>
      <c r="U23" s="247"/>
    </row>
    <row r="24" spans="2:25" ht="37.5" x14ac:dyDescent="0.35">
      <c r="B24" s="46"/>
      <c r="C24" s="47" t="s">
        <v>192</v>
      </c>
      <c r="D24" s="758"/>
      <c r="E24" s="758"/>
      <c r="F24" s="751"/>
      <c r="G24" s="42">
        <f>'KH DAY DAI'!E36</f>
        <v>0</v>
      </c>
      <c r="H24" s="42">
        <f>'KH DAY DAI'!F36</f>
        <v>0</v>
      </c>
      <c r="I24" s="42">
        <f>'KH DAY DAI'!G36</f>
        <v>0</v>
      </c>
      <c r="J24" s="42">
        <f>'KH DAY DAI'!H36</f>
        <v>0</v>
      </c>
      <c r="K24" s="42">
        <f>'KH DAY DAI'!I36</f>
        <v>0</v>
      </c>
      <c r="L24" s="42">
        <f>'KH DAY DAI'!J36</f>
        <v>0</v>
      </c>
      <c r="M24" s="42">
        <f>'KH DAY DAI'!K36</f>
        <v>0</v>
      </c>
      <c r="N24" s="42">
        <f>'KH DAY DAI'!L36</f>
        <v>0</v>
      </c>
      <c r="O24" s="42">
        <f>'KH DAY DAI'!M36</f>
        <v>0</v>
      </c>
      <c r="P24" s="42">
        <f>'KH DAY DAI'!N36</f>
        <v>0</v>
      </c>
      <c r="Q24" s="42">
        <f>'KH DAY DAI'!O36</f>
        <v>0</v>
      </c>
      <c r="R24" s="42">
        <f>'KH DAY DAI'!P36</f>
        <v>0</v>
      </c>
      <c r="S24" s="42">
        <f t="shared" si="1"/>
        <v>0</v>
      </c>
      <c r="V24" s="48"/>
    </row>
    <row r="25" spans="2:25" ht="26" x14ac:dyDescent="0.35">
      <c r="B25" s="65">
        <v>4</v>
      </c>
      <c r="C25" s="66" t="s">
        <v>193</v>
      </c>
      <c r="D25" s="757">
        <f>D9-D14</f>
        <v>0</v>
      </c>
      <c r="E25" s="757">
        <f>E9-E14</f>
        <v>0</v>
      </c>
      <c r="F25" s="750">
        <f>F9-F14</f>
        <v>0</v>
      </c>
      <c r="G25" s="67">
        <f>G9-G14</f>
        <v>0</v>
      </c>
      <c r="H25" s="67">
        <f t="shared" ref="H25:R25" si="7">H9-H14</f>
        <v>0</v>
      </c>
      <c r="I25" s="67">
        <f t="shared" si="7"/>
        <v>0</v>
      </c>
      <c r="J25" s="67">
        <f>J9-J14</f>
        <v>0</v>
      </c>
      <c r="K25" s="67">
        <f>K9-K14</f>
        <v>0</v>
      </c>
      <c r="L25" s="67">
        <f t="shared" si="7"/>
        <v>0</v>
      </c>
      <c r="M25" s="67">
        <f t="shared" si="7"/>
        <v>0</v>
      </c>
      <c r="N25" s="67">
        <f t="shared" si="7"/>
        <v>0</v>
      </c>
      <c r="O25" s="67">
        <f t="shared" si="7"/>
        <v>0</v>
      </c>
      <c r="P25" s="67">
        <f t="shared" si="7"/>
        <v>0</v>
      </c>
      <c r="Q25" s="67">
        <f t="shared" si="7"/>
        <v>0</v>
      </c>
      <c r="R25" s="67">
        <f t="shared" si="7"/>
        <v>0</v>
      </c>
      <c r="S25" s="67">
        <f t="shared" si="1"/>
        <v>0</v>
      </c>
    </row>
    <row r="26" spans="2:25" ht="52" x14ac:dyDescent="0.35">
      <c r="B26" s="72" t="s">
        <v>194</v>
      </c>
      <c r="C26" s="73" t="s">
        <v>195</v>
      </c>
      <c r="D26" s="761">
        <f>IFERROR(D23/$F$9,0)</f>
        <v>0</v>
      </c>
      <c r="E26" s="761">
        <f>IFERROR(E23/$F$9,0)</f>
        <v>0</v>
      </c>
      <c r="F26" s="753">
        <f>IFERROR(F23/$F$9,0)</f>
        <v>0</v>
      </c>
      <c r="G26" s="74" t="e">
        <f>G25/G9</f>
        <v>#DIV/0!</v>
      </c>
      <c r="H26" s="74" t="e">
        <f t="shared" ref="H26:S26" si="8">H25/H9</f>
        <v>#DIV/0!</v>
      </c>
      <c r="I26" s="74" t="e">
        <f t="shared" si="8"/>
        <v>#DIV/0!</v>
      </c>
      <c r="J26" s="74" t="e">
        <f t="shared" si="8"/>
        <v>#DIV/0!</v>
      </c>
      <c r="K26" s="74" t="e">
        <f t="shared" si="8"/>
        <v>#DIV/0!</v>
      </c>
      <c r="L26" s="74" t="e">
        <f t="shared" si="8"/>
        <v>#DIV/0!</v>
      </c>
      <c r="M26" s="74" t="e">
        <f t="shared" si="8"/>
        <v>#DIV/0!</v>
      </c>
      <c r="N26" s="74" t="e">
        <f t="shared" si="8"/>
        <v>#DIV/0!</v>
      </c>
      <c r="O26" s="74" t="e">
        <f t="shared" si="8"/>
        <v>#DIV/0!</v>
      </c>
      <c r="P26" s="74" t="e">
        <f t="shared" si="8"/>
        <v>#DIV/0!</v>
      </c>
      <c r="Q26" s="74" t="e">
        <f t="shared" si="8"/>
        <v>#DIV/0!</v>
      </c>
      <c r="R26" s="74" t="e">
        <f t="shared" si="8"/>
        <v>#DIV/0!</v>
      </c>
      <c r="S26" s="74" t="e">
        <f t="shared" si="8"/>
        <v>#DIV/0!</v>
      </c>
      <c r="T26" s="1044"/>
    </row>
    <row r="27" spans="2:25" ht="52" x14ac:dyDescent="0.35">
      <c r="B27" s="44">
        <v>5</v>
      </c>
      <c r="C27" s="45" t="s">
        <v>196</v>
      </c>
      <c r="D27" s="759">
        <f>D28+D29+D30</f>
        <v>0</v>
      </c>
      <c r="E27" s="759">
        <f>E28+E29+E30</f>
        <v>0</v>
      </c>
      <c r="F27" s="747">
        <f>F28+F29+F30</f>
        <v>0</v>
      </c>
      <c r="G27" s="40">
        <f>G28+G29+G30</f>
        <v>0</v>
      </c>
      <c r="H27" s="40">
        <f t="shared" ref="H27:R27" si="9">H28+H29+H30</f>
        <v>0</v>
      </c>
      <c r="I27" s="40">
        <f t="shared" si="9"/>
        <v>0</v>
      </c>
      <c r="J27" s="40">
        <f t="shared" si="9"/>
        <v>0</v>
      </c>
      <c r="K27" s="40">
        <f t="shared" si="9"/>
        <v>0</v>
      </c>
      <c r="L27" s="40">
        <f t="shared" si="9"/>
        <v>0</v>
      </c>
      <c r="M27" s="40">
        <f t="shared" si="9"/>
        <v>0</v>
      </c>
      <c r="N27" s="40">
        <f t="shared" si="9"/>
        <v>0</v>
      </c>
      <c r="O27" s="40">
        <f t="shared" si="9"/>
        <v>0</v>
      </c>
      <c r="P27" s="40">
        <f t="shared" si="9"/>
        <v>0</v>
      </c>
      <c r="Q27" s="40">
        <f t="shared" si="9"/>
        <v>0</v>
      </c>
      <c r="R27" s="40">
        <f t="shared" si="9"/>
        <v>0</v>
      </c>
      <c r="S27" s="40">
        <f t="shared" si="1"/>
        <v>0</v>
      </c>
      <c r="T27" s="22"/>
    </row>
    <row r="28" spans="2:25" ht="37.5" x14ac:dyDescent="0.35">
      <c r="B28" s="46" t="s">
        <v>229</v>
      </c>
      <c r="C28" s="43" t="s">
        <v>197</v>
      </c>
      <c r="D28" s="758"/>
      <c r="E28" s="758"/>
      <c r="F28" s="751"/>
      <c r="G28" s="42">
        <f>'KH DAY DAI'!E31</f>
        <v>0</v>
      </c>
      <c r="H28" s="42">
        <f>'KH DAY DAI'!F31</f>
        <v>0</v>
      </c>
      <c r="I28" s="42">
        <f>'KH DAY DAI'!G31</f>
        <v>0</v>
      </c>
      <c r="J28" s="42">
        <f>'KH DAY DAI'!H31</f>
        <v>0</v>
      </c>
      <c r="K28" s="42">
        <f>'KH DAY DAI'!I31</f>
        <v>0</v>
      </c>
      <c r="L28" s="42">
        <f>'KH DAY DAI'!J31</f>
        <v>0</v>
      </c>
      <c r="M28" s="42">
        <f>'KH DAY DAI'!K31</f>
        <v>0</v>
      </c>
      <c r="N28" s="42">
        <f>'KH DAY DAI'!L31</f>
        <v>0</v>
      </c>
      <c r="O28" s="42">
        <f>'KH DAY DAI'!M31</f>
        <v>0</v>
      </c>
      <c r="P28" s="42">
        <f>'KH DAY DAI'!N31</f>
        <v>0</v>
      </c>
      <c r="Q28" s="42">
        <f>'KH DAY DAI'!O31</f>
        <v>0</v>
      </c>
      <c r="R28" s="42">
        <f>'KH DAY DAI'!P31</f>
        <v>0</v>
      </c>
      <c r="S28" s="42">
        <f>SUM(G28:R28)</f>
        <v>0</v>
      </c>
      <c r="V28" s="48"/>
    </row>
    <row r="29" spans="2:25" ht="37.5" x14ac:dyDescent="0.35">
      <c r="B29" s="46" t="s">
        <v>230</v>
      </c>
      <c r="C29" s="43" t="s">
        <v>132</v>
      </c>
      <c r="D29" s="758"/>
      <c r="E29" s="758"/>
      <c r="F29" s="751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>
        <f t="shared" si="1"/>
        <v>0</v>
      </c>
      <c r="V29" s="48"/>
    </row>
    <row r="30" spans="2:25" ht="100" x14ac:dyDescent="0.35">
      <c r="B30" s="46" t="s">
        <v>231</v>
      </c>
      <c r="C30" s="43" t="s">
        <v>198</v>
      </c>
      <c r="D30" s="758"/>
      <c r="E30" s="758"/>
      <c r="F30" s="751"/>
      <c r="G30" s="42">
        <f>SUM('KH DAY DAI'!E30)</f>
        <v>0</v>
      </c>
      <c r="H30" s="42">
        <f>SUM('KH DAY DAI'!F30)</f>
        <v>0</v>
      </c>
      <c r="I30" s="42">
        <f>SUM('KH DAY DAI'!G30)</f>
        <v>0</v>
      </c>
      <c r="J30" s="42">
        <f>SUM('KH DAY DAI'!H30)</f>
        <v>0</v>
      </c>
      <c r="K30" s="42">
        <f>SUM('KH DAY DAI'!I30)</f>
        <v>0</v>
      </c>
      <c r="L30" s="42">
        <f>SUM('KH DAY DAI'!J30)</f>
        <v>0</v>
      </c>
      <c r="M30" s="42">
        <f>SUM('KH DAY DAI'!K30)</f>
        <v>0</v>
      </c>
      <c r="N30" s="42">
        <f>SUM('KH DAY DAI'!L30)</f>
        <v>0</v>
      </c>
      <c r="O30" s="42">
        <f>SUM('KH DAY DAI'!M30)</f>
        <v>0</v>
      </c>
      <c r="P30" s="42">
        <f>SUM('KH DAY DAI'!N30)</f>
        <v>0</v>
      </c>
      <c r="Q30" s="42">
        <f>SUM('KH DAY DAI'!O30)</f>
        <v>0</v>
      </c>
      <c r="R30" s="42">
        <f>SUM('KH DAY DAI'!P30)</f>
        <v>0</v>
      </c>
      <c r="S30" s="42">
        <f>SUM(G30:R30)</f>
        <v>0</v>
      </c>
      <c r="Y30" s="48"/>
    </row>
    <row r="31" spans="2:25" ht="52" x14ac:dyDescent="0.35">
      <c r="B31" s="44">
        <v>6</v>
      </c>
      <c r="C31" s="39" t="s">
        <v>199</v>
      </c>
      <c r="D31" s="759"/>
      <c r="E31" s="759"/>
      <c r="F31" s="747"/>
      <c r="G31" s="40">
        <f>'KH DAY DAI'!E32</f>
        <v>0</v>
      </c>
      <c r="H31" s="40">
        <f>'KH DAY DAI'!F32</f>
        <v>0</v>
      </c>
      <c r="I31" s="40">
        <f>'KH DAY DAI'!G32</f>
        <v>0</v>
      </c>
      <c r="J31" s="40">
        <f>'KH DAY DAI'!H32</f>
        <v>0</v>
      </c>
      <c r="K31" s="40">
        <f>'KH DAY DAI'!I32</f>
        <v>0</v>
      </c>
      <c r="L31" s="40">
        <f>'KH DAY DAI'!J32</f>
        <v>0</v>
      </c>
      <c r="M31" s="40">
        <f>'KH DAY DAI'!K32</f>
        <v>0</v>
      </c>
      <c r="N31" s="40">
        <f>'KH DAY DAI'!L32</f>
        <v>0</v>
      </c>
      <c r="O31" s="40">
        <f>'KH DAY DAI'!M32</f>
        <v>0</v>
      </c>
      <c r="P31" s="40">
        <f>'KH DAY DAI'!N32</f>
        <v>0</v>
      </c>
      <c r="Q31" s="40">
        <f>'KH DAY DAI'!O32</f>
        <v>0</v>
      </c>
      <c r="R31" s="40">
        <f>'KH DAY DAI'!P32</f>
        <v>0</v>
      </c>
      <c r="S31" s="40">
        <f t="shared" si="1"/>
        <v>0</v>
      </c>
    </row>
    <row r="32" spans="2:25" ht="39" x14ac:dyDescent="0.35">
      <c r="B32" s="65">
        <v>7</v>
      </c>
      <c r="C32" s="66" t="s">
        <v>200</v>
      </c>
      <c r="D32" s="757">
        <f>D25-D27-D31</f>
        <v>0</v>
      </c>
      <c r="E32" s="757">
        <f>E25-E27-E31</f>
        <v>0</v>
      </c>
      <c r="F32" s="750">
        <f>F25-F27-F31</f>
        <v>0</v>
      </c>
      <c r="G32" s="67">
        <f t="shared" ref="G32:R32" si="10">G25-G27-G31</f>
        <v>0</v>
      </c>
      <c r="H32" s="67">
        <f t="shared" si="10"/>
        <v>0</v>
      </c>
      <c r="I32" s="67">
        <f t="shared" si="10"/>
        <v>0</v>
      </c>
      <c r="J32" s="67">
        <f t="shared" si="10"/>
        <v>0</v>
      </c>
      <c r="K32" s="67">
        <f>K25-K27-K31</f>
        <v>0</v>
      </c>
      <c r="L32" s="67">
        <f t="shared" si="10"/>
        <v>0</v>
      </c>
      <c r="M32" s="67">
        <f t="shared" si="10"/>
        <v>0</v>
      </c>
      <c r="N32" s="67">
        <f t="shared" si="10"/>
        <v>0</v>
      </c>
      <c r="O32" s="67">
        <f t="shared" si="10"/>
        <v>0</v>
      </c>
      <c r="P32" s="67">
        <f t="shared" si="10"/>
        <v>0</v>
      </c>
      <c r="Q32" s="67">
        <f t="shared" si="10"/>
        <v>0</v>
      </c>
      <c r="R32" s="67">
        <f t="shared" si="10"/>
        <v>0</v>
      </c>
      <c r="S32" s="67">
        <f t="shared" si="1"/>
        <v>0</v>
      </c>
    </row>
    <row r="33" spans="2:22" ht="39" x14ac:dyDescent="0.35">
      <c r="B33" s="72" t="s">
        <v>201</v>
      </c>
      <c r="C33" s="73" t="s">
        <v>202</v>
      </c>
      <c r="D33" s="761">
        <f>IFERROR(D30/$F$9,0)</f>
        <v>0</v>
      </c>
      <c r="E33" s="761">
        <f>IFERROR(E30/$F$9,0)</f>
        <v>0</v>
      </c>
      <c r="F33" s="753">
        <f>IFERROR(F30/$F$9,0)</f>
        <v>0</v>
      </c>
      <c r="G33" s="74" t="e">
        <f t="shared" ref="G33:S33" si="11">G32/G9</f>
        <v>#DIV/0!</v>
      </c>
      <c r="H33" s="74" t="e">
        <f t="shared" si="11"/>
        <v>#DIV/0!</v>
      </c>
      <c r="I33" s="74" t="e">
        <f t="shared" si="11"/>
        <v>#DIV/0!</v>
      </c>
      <c r="J33" s="74" t="e">
        <f t="shared" si="11"/>
        <v>#DIV/0!</v>
      </c>
      <c r="K33" s="74" t="e">
        <f t="shared" si="11"/>
        <v>#DIV/0!</v>
      </c>
      <c r="L33" s="74" t="e">
        <f t="shared" si="11"/>
        <v>#DIV/0!</v>
      </c>
      <c r="M33" s="74" t="e">
        <f t="shared" si="11"/>
        <v>#DIV/0!</v>
      </c>
      <c r="N33" s="74" t="e">
        <f t="shared" si="11"/>
        <v>#DIV/0!</v>
      </c>
      <c r="O33" s="74" t="e">
        <f t="shared" si="11"/>
        <v>#DIV/0!</v>
      </c>
      <c r="P33" s="74" t="e">
        <f t="shared" si="11"/>
        <v>#DIV/0!</v>
      </c>
      <c r="Q33" s="74" t="e">
        <f t="shared" si="11"/>
        <v>#DIV/0!</v>
      </c>
      <c r="R33" s="74" t="e">
        <f t="shared" si="11"/>
        <v>#DIV/0!</v>
      </c>
      <c r="S33" s="74" t="e">
        <f t="shared" si="11"/>
        <v>#DIV/0!</v>
      </c>
      <c r="T33" s="1044"/>
    </row>
    <row r="34" spans="2:22" ht="65" x14ac:dyDescent="0.35">
      <c r="B34" s="44">
        <v>8</v>
      </c>
      <c r="C34" s="39" t="s">
        <v>203</v>
      </c>
      <c r="D34" s="759">
        <f>D35+D36+D37</f>
        <v>0</v>
      </c>
      <c r="E34" s="759">
        <f>E35+E36+E37</f>
        <v>0</v>
      </c>
      <c r="F34" s="747">
        <f>F35+F36+F37</f>
        <v>0</v>
      </c>
      <c r="G34" s="40">
        <f t="shared" ref="G34:R34" si="12">G35+G36+G37</f>
        <v>0</v>
      </c>
      <c r="H34" s="40">
        <f t="shared" si="12"/>
        <v>0</v>
      </c>
      <c r="I34" s="40">
        <f t="shared" si="12"/>
        <v>0</v>
      </c>
      <c r="J34" s="40">
        <f t="shared" si="12"/>
        <v>0</v>
      </c>
      <c r="K34" s="40">
        <f t="shared" si="12"/>
        <v>0</v>
      </c>
      <c r="L34" s="40">
        <f t="shared" si="12"/>
        <v>0</v>
      </c>
      <c r="M34" s="40">
        <f t="shared" si="12"/>
        <v>0</v>
      </c>
      <c r="N34" s="40">
        <f t="shared" si="12"/>
        <v>0</v>
      </c>
      <c r="O34" s="40">
        <f t="shared" si="12"/>
        <v>0</v>
      </c>
      <c r="P34" s="40">
        <f t="shared" si="12"/>
        <v>0</v>
      </c>
      <c r="Q34" s="40">
        <f t="shared" si="12"/>
        <v>0</v>
      </c>
      <c r="R34" s="40">
        <f t="shared" si="12"/>
        <v>0</v>
      </c>
      <c r="S34" s="40">
        <f t="shared" si="1"/>
        <v>0</v>
      </c>
      <c r="U34" s="75"/>
      <c r="V34" s="75"/>
    </row>
    <row r="35" spans="2:22" x14ac:dyDescent="0.35">
      <c r="B35" s="46" t="s">
        <v>232</v>
      </c>
      <c r="C35" s="43" t="s">
        <v>204</v>
      </c>
      <c r="D35" s="758"/>
      <c r="E35" s="758"/>
      <c r="F35" s="751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>
        <f t="shared" si="1"/>
        <v>0</v>
      </c>
      <c r="U35" s="75"/>
      <c r="V35" s="75"/>
    </row>
    <row r="36" spans="2:22" ht="62.5" x14ac:dyDescent="0.35">
      <c r="B36" s="46" t="s">
        <v>233</v>
      </c>
      <c r="C36" s="43" t="s">
        <v>205</v>
      </c>
      <c r="D36" s="758"/>
      <c r="E36" s="758"/>
      <c r="F36" s="751"/>
      <c r="G36" s="42">
        <f>SUM('KH DAY DAI'!E34:E35)</f>
        <v>0</v>
      </c>
      <c r="H36" s="42">
        <f>SUM('KH DAY DAI'!F34:F35)</f>
        <v>0</v>
      </c>
      <c r="I36" s="42">
        <f>SUM('KH DAY DAI'!G34:G35)</f>
        <v>0</v>
      </c>
      <c r="J36" s="42">
        <f>SUM('KH DAY DAI'!H34:H35)</f>
        <v>0</v>
      </c>
      <c r="K36" s="42">
        <f>SUM('KH DAY DAI'!I34:I35)</f>
        <v>0</v>
      </c>
      <c r="L36" s="42">
        <f>SUM('KH DAY DAI'!J34:J35)</f>
        <v>0</v>
      </c>
      <c r="M36" s="42">
        <f>SUM('KH DAY DAI'!K34:K35)</f>
        <v>0</v>
      </c>
      <c r="N36" s="42">
        <f>SUM('KH DAY DAI'!L34:L35)</f>
        <v>0</v>
      </c>
      <c r="O36" s="42">
        <f>SUM('KH DAY DAI'!M34:M35)</f>
        <v>0</v>
      </c>
      <c r="P36" s="42">
        <f>SUM('KH DAY DAI'!N34:N35)</f>
        <v>0</v>
      </c>
      <c r="Q36" s="42">
        <f>SUM('KH DAY DAI'!O34:O35)</f>
        <v>0</v>
      </c>
      <c r="R36" s="42">
        <f>SUM('KH DAY DAI'!P34:P35)</f>
        <v>0</v>
      </c>
      <c r="S36" s="42">
        <f t="shared" si="1"/>
        <v>0</v>
      </c>
      <c r="U36" s="75"/>
      <c r="V36" s="75"/>
    </row>
    <row r="37" spans="2:22" ht="37.5" x14ac:dyDescent="0.35">
      <c r="B37" s="46" t="s">
        <v>234</v>
      </c>
      <c r="C37" s="43" t="s">
        <v>206</v>
      </c>
      <c r="D37" s="758"/>
      <c r="E37" s="758"/>
      <c r="F37" s="751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>
        <f t="shared" si="1"/>
        <v>0</v>
      </c>
      <c r="U37" s="75"/>
      <c r="V37" s="75"/>
    </row>
    <row r="38" spans="2:22" ht="39" x14ac:dyDescent="0.35">
      <c r="B38" s="44">
        <v>9</v>
      </c>
      <c r="C38" s="39" t="s">
        <v>207</v>
      </c>
      <c r="D38" s="759">
        <f>D39+D40+D41</f>
        <v>0</v>
      </c>
      <c r="E38" s="759">
        <f>E39+E40+E41</f>
        <v>0</v>
      </c>
      <c r="F38" s="747">
        <f>F39+F40+F41</f>
        <v>0</v>
      </c>
      <c r="G38" s="40">
        <f t="shared" ref="G38:R38" si="13">G39+G40+G41</f>
        <v>0</v>
      </c>
      <c r="H38" s="40">
        <f t="shared" si="13"/>
        <v>0</v>
      </c>
      <c r="I38" s="40">
        <f t="shared" si="13"/>
        <v>0</v>
      </c>
      <c r="J38" s="40">
        <f t="shared" si="13"/>
        <v>0</v>
      </c>
      <c r="K38" s="40">
        <f t="shared" si="13"/>
        <v>0</v>
      </c>
      <c r="L38" s="40">
        <f t="shared" si="13"/>
        <v>0</v>
      </c>
      <c r="M38" s="40">
        <f t="shared" si="13"/>
        <v>0</v>
      </c>
      <c r="N38" s="40">
        <f t="shared" si="13"/>
        <v>0</v>
      </c>
      <c r="O38" s="40">
        <f t="shared" si="13"/>
        <v>0</v>
      </c>
      <c r="P38" s="40">
        <f t="shared" si="13"/>
        <v>0</v>
      </c>
      <c r="Q38" s="40">
        <f t="shared" si="13"/>
        <v>0</v>
      </c>
      <c r="R38" s="40">
        <f t="shared" si="13"/>
        <v>0</v>
      </c>
      <c r="S38" s="40">
        <f t="shared" si="1"/>
        <v>0</v>
      </c>
      <c r="T38" s="22"/>
      <c r="U38" s="75"/>
      <c r="V38" s="75"/>
    </row>
    <row r="39" spans="2:22" x14ac:dyDescent="0.35">
      <c r="B39" s="46" t="s">
        <v>235</v>
      </c>
      <c r="C39" s="47" t="s">
        <v>204</v>
      </c>
      <c r="D39" s="758"/>
      <c r="E39" s="758"/>
      <c r="F39" s="751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>
        <f>SUM(G39:R39)</f>
        <v>0</v>
      </c>
      <c r="U39" s="75"/>
      <c r="V39" s="75"/>
    </row>
    <row r="40" spans="2:22" ht="62.5" x14ac:dyDescent="0.35">
      <c r="B40" s="46" t="s">
        <v>236</v>
      </c>
      <c r="C40" s="47" t="s">
        <v>208</v>
      </c>
      <c r="D40" s="758"/>
      <c r="E40" s="758"/>
      <c r="F40" s="751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>
        <f t="shared" si="1"/>
        <v>0</v>
      </c>
      <c r="U40" s="75"/>
      <c r="V40" s="75"/>
    </row>
    <row r="41" spans="2:22" ht="37.5" x14ac:dyDescent="0.35">
      <c r="B41" s="46" t="s">
        <v>237</v>
      </c>
      <c r="C41" s="47" t="s">
        <v>206</v>
      </c>
      <c r="D41" s="758"/>
      <c r="E41" s="758"/>
      <c r="F41" s="751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>
        <f t="shared" si="1"/>
        <v>0</v>
      </c>
      <c r="U41" s="75"/>
      <c r="V41" s="75"/>
    </row>
    <row r="42" spans="2:22" ht="52" x14ac:dyDescent="0.35">
      <c r="B42" s="44">
        <v>10</v>
      </c>
      <c r="C42" s="45" t="s">
        <v>209</v>
      </c>
      <c r="D42" s="758"/>
      <c r="E42" s="758"/>
      <c r="F42" s="751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>
        <f t="shared" si="1"/>
        <v>0</v>
      </c>
      <c r="U42" s="215" t="s">
        <v>238</v>
      </c>
    </row>
    <row r="43" spans="2:22" ht="104" x14ac:dyDescent="0.35">
      <c r="B43" s="65">
        <v>11</v>
      </c>
      <c r="C43" s="66" t="s">
        <v>210</v>
      </c>
      <c r="D43" s="757">
        <f>D32-D34-D38+D42</f>
        <v>0</v>
      </c>
      <c r="E43" s="757">
        <f>E32-E34-E38+E42</f>
        <v>0</v>
      </c>
      <c r="F43" s="750">
        <f>F32-F34-F38+F42</f>
        <v>0</v>
      </c>
      <c r="G43" s="67">
        <f>G32-G34-G38+G42</f>
        <v>0</v>
      </c>
      <c r="H43" s="67">
        <f t="shared" ref="H43:R43" si="14">H32-H34-H38+H42</f>
        <v>0</v>
      </c>
      <c r="I43" s="67">
        <f t="shared" si="14"/>
        <v>0</v>
      </c>
      <c r="J43" s="67">
        <f t="shared" si="14"/>
        <v>0</v>
      </c>
      <c r="K43" s="67">
        <f t="shared" si="14"/>
        <v>0</v>
      </c>
      <c r="L43" s="67">
        <f>L32-L34-L38+L42</f>
        <v>0</v>
      </c>
      <c r="M43" s="67">
        <f t="shared" si="14"/>
        <v>0</v>
      </c>
      <c r="N43" s="67">
        <f t="shared" si="14"/>
        <v>0</v>
      </c>
      <c r="O43" s="67">
        <f t="shared" si="14"/>
        <v>0</v>
      </c>
      <c r="P43" s="67">
        <f t="shared" si="14"/>
        <v>0</v>
      </c>
      <c r="Q43" s="67">
        <f t="shared" si="14"/>
        <v>0</v>
      </c>
      <c r="R43" s="67">
        <f t="shared" si="14"/>
        <v>0</v>
      </c>
      <c r="S43" s="67">
        <f>SUM(G43:R43)</f>
        <v>0</v>
      </c>
      <c r="T43" s="37">
        <f>S9-S14-S27-S34-S31</f>
        <v>0</v>
      </c>
    </row>
    <row r="44" spans="2:22" ht="39" x14ac:dyDescent="0.35">
      <c r="B44" s="44">
        <v>12</v>
      </c>
      <c r="C44" s="45" t="s">
        <v>211</v>
      </c>
      <c r="D44" s="759"/>
      <c r="E44" s="759"/>
      <c r="F44" s="747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>
        <f t="shared" si="1"/>
        <v>0</v>
      </c>
      <c r="U44" s="215" t="s">
        <v>238</v>
      </c>
    </row>
    <row r="45" spans="2:22" ht="39" x14ac:dyDescent="0.35">
      <c r="B45" s="44">
        <v>13</v>
      </c>
      <c r="C45" s="45" t="s">
        <v>212</v>
      </c>
      <c r="D45" s="759"/>
      <c r="E45" s="759"/>
      <c r="F45" s="747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>
        <f t="shared" si="1"/>
        <v>0</v>
      </c>
      <c r="U45" s="215" t="s">
        <v>238</v>
      </c>
    </row>
    <row r="46" spans="2:22" ht="52" x14ac:dyDescent="0.35">
      <c r="B46" s="51" t="s">
        <v>239</v>
      </c>
      <c r="C46" s="52" t="s">
        <v>213</v>
      </c>
      <c r="D46" s="759"/>
      <c r="E46" s="759"/>
      <c r="F46" s="747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>
        <f t="shared" si="1"/>
        <v>0</v>
      </c>
    </row>
    <row r="47" spans="2:22" ht="52" x14ac:dyDescent="0.35">
      <c r="B47" s="65">
        <v>14</v>
      </c>
      <c r="C47" s="66" t="s">
        <v>214</v>
      </c>
      <c r="D47" s="757">
        <f>D43+D44-D45</f>
        <v>0</v>
      </c>
      <c r="E47" s="757">
        <f>E43+E44-E45</f>
        <v>0</v>
      </c>
      <c r="F47" s="750">
        <f>F43+F44-F45</f>
        <v>0</v>
      </c>
      <c r="G47" s="67">
        <f t="shared" ref="G47:R47" si="15">G43+G44-G45</f>
        <v>0</v>
      </c>
      <c r="H47" s="67">
        <f t="shared" si="15"/>
        <v>0</v>
      </c>
      <c r="I47" s="67">
        <f t="shared" si="15"/>
        <v>0</v>
      </c>
      <c r="J47" s="67">
        <f>J43+J44-J45</f>
        <v>0</v>
      </c>
      <c r="K47" s="67">
        <f>K43+K44-K45</f>
        <v>0</v>
      </c>
      <c r="L47" s="67">
        <f t="shared" si="15"/>
        <v>0</v>
      </c>
      <c r="M47" s="67">
        <f t="shared" si="15"/>
        <v>0</v>
      </c>
      <c r="N47" s="67">
        <f t="shared" si="15"/>
        <v>0</v>
      </c>
      <c r="O47" s="67">
        <f t="shared" si="15"/>
        <v>0</v>
      </c>
      <c r="P47" s="67">
        <f t="shared" si="15"/>
        <v>0</v>
      </c>
      <c r="Q47" s="67">
        <f t="shared" si="15"/>
        <v>0</v>
      </c>
      <c r="R47" s="67">
        <f t="shared" si="15"/>
        <v>0</v>
      </c>
      <c r="S47" s="67">
        <f t="shared" si="1"/>
        <v>0</v>
      </c>
    </row>
    <row r="48" spans="2:22" ht="25" x14ac:dyDescent="0.35">
      <c r="B48" s="46">
        <v>15</v>
      </c>
      <c r="C48" s="47" t="s">
        <v>215</v>
      </c>
      <c r="D48" s="759"/>
      <c r="E48" s="759"/>
      <c r="F48" s="747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>
        <f t="shared" si="1"/>
        <v>0</v>
      </c>
      <c r="U48" s="215" t="s">
        <v>238</v>
      </c>
    </row>
    <row r="49" spans="2:20" ht="52" x14ac:dyDescent="0.35">
      <c r="B49" s="65">
        <v>16</v>
      </c>
      <c r="C49" s="66" t="s">
        <v>216</v>
      </c>
      <c r="D49" s="757">
        <f>D47-D48</f>
        <v>0</v>
      </c>
      <c r="E49" s="757">
        <f>E47-E48</f>
        <v>0</v>
      </c>
      <c r="F49" s="750">
        <f>F47-F48</f>
        <v>0</v>
      </c>
      <c r="G49" s="67">
        <f t="shared" ref="G49:R49" si="16">G47-G48</f>
        <v>0</v>
      </c>
      <c r="H49" s="67">
        <f t="shared" si="16"/>
        <v>0</v>
      </c>
      <c r="I49" s="67">
        <f t="shared" si="16"/>
        <v>0</v>
      </c>
      <c r="J49" s="67">
        <f t="shared" si="16"/>
        <v>0</v>
      </c>
      <c r="K49" s="67">
        <f>K47-K48</f>
        <v>0</v>
      </c>
      <c r="L49" s="67">
        <f t="shared" si="16"/>
        <v>0</v>
      </c>
      <c r="M49" s="67">
        <f t="shared" si="16"/>
        <v>0</v>
      </c>
      <c r="N49" s="67">
        <f t="shared" si="16"/>
        <v>0</v>
      </c>
      <c r="O49" s="67">
        <f t="shared" si="16"/>
        <v>0</v>
      </c>
      <c r="P49" s="67">
        <f t="shared" si="16"/>
        <v>0</v>
      </c>
      <c r="Q49" s="67">
        <f t="shared" si="16"/>
        <v>0</v>
      </c>
      <c r="R49" s="67">
        <f t="shared" si="16"/>
        <v>0</v>
      </c>
      <c r="S49" s="67">
        <f t="shared" si="1"/>
        <v>0</v>
      </c>
    </row>
    <row r="50" spans="2:20" ht="39" x14ac:dyDescent="0.35">
      <c r="B50" s="78" t="s">
        <v>217</v>
      </c>
      <c r="C50" s="73" t="s">
        <v>218</v>
      </c>
      <c r="D50" s="761">
        <f>IFERROR(D47/$F$9,0)</f>
        <v>0</v>
      </c>
      <c r="E50" s="761">
        <f>IFERROR(E47/$F$9,0)</f>
        <v>0</v>
      </c>
      <c r="F50" s="753">
        <f>IFERROR(F47/$F$9,0)</f>
        <v>0</v>
      </c>
      <c r="G50" s="74" t="e">
        <f>G49/G9</f>
        <v>#DIV/0!</v>
      </c>
      <c r="H50" s="74" t="e">
        <f t="shared" ref="H50:S50" si="17">H49/H9</f>
        <v>#DIV/0!</v>
      </c>
      <c r="I50" s="74" t="e">
        <f t="shared" si="17"/>
        <v>#DIV/0!</v>
      </c>
      <c r="J50" s="74" t="e">
        <f t="shared" si="17"/>
        <v>#DIV/0!</v>
      </c>
      <c r="K50" s="74" t="e">
        <f t="shared" si="17"/>
        <v>#DIV/0!</v>
      </c>
      <c r="L50" s="74" t="e">
        <f t="shared" si="17"/>
        <v>#DIV/0!</v>
      </c>
      <c r="M50" s="74" t="e">
        <f t="shared" si="17"/>
        <v>#DIV/0!</v>
      </c>
      <c r="N50" s="74" t="e">
        <f t="shared" si="17"/>
        <v>#DIV/0!</v>
      </c>
      <c r="O50" s="74" t="e">
        <f t="shared" si="17"/>
        <v>#DIV/0!</v>
      </c>
      <c r="P50" s="74" t="e">
        <f t="shared" si="17"/>
        <v>#DIV/0!</v>
      </c>
      <c r="Q50" s="74" t="e">
        <f t="shared" si="17"/>
        <v>#DIV/0!</v>
      </c>
      <c r="R50" s="74" t="e">
        <f t="shared" si="17"/>
        <v>#DIV/0!</v>
      </c>
      <c r="S50" s="74" t="e">
        <f t="shared" si="17"/>
        <v>#DIV/0!</v>
      </c>
      <c r="T50" s="1044"/>
    </row>
    <row r="51" spans="2:20" ht="37.5" x14ac:dyDescent="0.35">
      <c r="B51" s="46">
        <v>17</v>
      </c>
      <c r="C51" s="47" t="s">
        <v>206</v>
      </c>
      <c r="D51" s="758"/>
      <c r="E51" s="758"/>
      <c r="F51" s="751"/>
      <c r="G51" s="42">
        <f>G31</f>
        <v>0</v>
      </c>
      <c r="H51" s="42">
        <f t="shared" ref="H51:R51" si="18">H31</f>
        <v>0</v>
      </c>
      <c r="I51" s="42">
        <f t="shared" si="18"/>
        <v>0</v>
      </c>
      <c r="J51" s="42">
        <f t="shared" si="18"/>
        <v>0</v>
      </c>
      <c r="K51" s="42">
        <f t="shared" si="18"/>
        <v>0</v>
      </c>
      <c r="L51" s="42">
        <f t="shared" si="18"/>
        <v>0</v>
      </c>
      <c r="M51" s="42">
        <f t="shared" si="18"/>
        <v>0</v>
      </c>
      <c r="N51" s="42">
        <f t="shared" si="18"/>
        <v>0</v>
      </c>
      <c r="O51" s="42">
        <f t="shared" si="18"/>
        <v>0</v>
      </c>
      <c r="P51" s="42">
        <f t="shared" si="18"/>
        <v>0</v>
      </c>
      <c r="Q51" s="42">
        <f t="shared" si="18"/>
        <v>0</v>
      </c>
      <c r="R51" s="42">
        <f t="shared" si="18"/>
        <v>0</v>
      </c>
      <c r="S51" s="42">
        <f t="shared" si="1"/>
        <v>0</v>
      </c>
    </row>
    <row r="52" spans="2:20" ht="104" x14ac:dyDescent="0.35">
      <c r="B52" s="65">
        <v>18</v>
      </c>
      <c r="C52" s="66" t="s">
        <v>219</v>
      </c>
      <c r="D52" s="757">
        <f t="shared" ref="D52:I52" si="19">D49+D51</f>
        <v>0</v>
      </c>
      <c r="E52" s="757">
        <f t="shared" si="19"/>
        <v>0</v>
      </c>
      <c r="F52" s="750">
        <f t="shared" si="19"/>
        <v>0</v>
      </c>
      <c r="G52" s="67">
        <f t="shared" si="19"/>
        <v>0</v>
      </c>
      <c r="H52" s="67">
        <f t="shared" si="19"/>
        <v>0</v>
      </c>
      <c r="I52" s="67">
        <f t="shared" si="19"/>
        <v>0</v>
      </c>
      <c r="J52" s="67">
        <f>J49+J51</f>
        <v>0</v>
      </c>
      <c r="K52" s="67">
        <f t="shared" ref="K52:R52" si="20">K49+K51</f>
        <v>0</v>
      </c>
      <c r="L52" s="67">
        <f t="shared" si="20"/>
        <v>0</v>
      </c>
      <c r="M52" s="67">
        <f t="shared" si="20"/>
        <v>0</v>
      </c>
      <c r="N52" s="67">
        <f t="shared" si="20"/>
        <v>0</v>
      </c>
      <c r="O52" s="67">
        <f t="shared" si="20"/>
        <v>0</v>
      </c>
      <c r="P52" s="67">
        <f t="shared" si="20"/>
        <v>0</v>
      </c>
      <c r="Q52" s="67">
        <f t="shared" si="20"/>
        <v>0</v>
      </c>
      <c r="R52" s="67">
        <f t="shared" si="20"/>
        <v>0</v>
      </c>
      <c r="S52" s="67">
        <f>SUM(G52:R52)</f>
        <v>0</v>
      </c>
    </row>
    <row r="53" spans="2:20" ht="78" x14ac:dyDescent="0.35">
      <c r="B53" s="78" t="s">
        <v>220</v>
      </c>
      <c r="C53" s="73" t="s">
        <v>221</v>
      </c>
      <c r="D53" s="761">
        <f>IFERROR(D50/$F$9,0)</f>
        <v>0</v>
      </c>
      <c r="E53" s="761">
        <f>IFERROR(E50/$F$9,0)</f>
        <v>0</v>
      </c>
      <c r="F53" s="753">
        <f>IFERROR(F50/$F$9,0)</f>
        <v>0</v>
      </c>
      <c r="G53" s="74" t="e">
        <f t="shared" ref="G53:S53" si="21">G52/G9</f>
        <v>#DIV/0!</v>
      </c>
      <c r="H53" s="74" t="e">
        <f t="shared" si="21"/>
        <v>#DIV/0!</v>
      </c>
      <c r="I53" s="74" t="e">
        <f t="shared" si="21"/>
        <v>#DIV/0!</v>
      </c>
      <c r="J53" s="74" t="e">
        <f t="shared" si="21"/>
        <v>#DIV/0!</v>
      </c>
      <c r="K53" s="74" t="e">
        <f t="shared" si="21"/>
        <v>#DIV/0!</v>
      </c>
      <c r="L53" s="74" t="e">
        <f t="shared" si="21"/>
        <v>#DIV/0!</v>
      </c>
      <c r="M53" s="74" t="e">
        <f t="shared" si="21"/>
        <v>#DIV/0!</v>
      </c>
      <c r="N53" s="74" t="e">
        <f t="shared" si="21"/>
        <v>#DIV/0!</v>
      </c>
      <c r="O53" s="74" t="e">
        <f t="shared" si="21"/>
        <v>#DIV/0!</v>
      </c>
      <c r="P53" s="74" t="e">
        <f t="shared" si="21"/>
        <v>#DIV/0!</v>
      </c>
      <c r="Q53" s="74" t="e">
        <f t="shared" si="21"/>
        <v>#DIV/0!</v>
      </c>
      <c r="R53" s="74" t="e">
        <f t="shared" si="21"/>
        <v>#DIV/0!</v>
      </c>
      <c r="S53" s="74" t="e">
        <f t="shared" si="21"/>
        <v>#DIV/0!</v>
      </c>
      <c r="T53" s="1044"/>
    </row>
    <row r="54" spans="2:20" x14ac:dyDescent="0.35">
      <c r="B54" s="55"/>
      <c r="C54" s="56"/>
      <c r="D54" s="762"/>
      <c r="E54" s="762"/>
      <c r="F54" s="754"/>
      <c r="G54" s="765"/>
      <c r="H54" s="763"/>
      <c r="I54" s="763"/>
      <c r="J54" s="763"/>
      <c r="K54" s="763"/>
      <c r="L54" s="763"/>
      <c r="M54" s="763"/>
      <c r="N54" s="763"/>
      <c r="O54" s="764"/>
      <c r="P54" s="763"/>
      <c r="Q54" s="763"/>
      <c r="R54" s="763"/>
      <c r="S54" s="763"/>
      <c r="T54" s="50"/>
    </row>
    <row r="56" spans="2:20" ht="39" x14ac:dyDescent="0.35">
      <c r="B56" s="138" t="s">
        <v>222</v>
      </c>
      <c r="C56" s="61"/>
      <c r="D56" s="516" t="str">
        <f>D4</f>
        <v>Thực tế năm 2023</v>
      </c>
      <c r="E56" s="516" t="str">
        <f>E4</f>
        <v>Thực tế năm 2024</v>
      </c>
      <c r="F56" s="516" t="str">
        <f>F4</f>
        <v>KQKD 2025</v>
      </c>
      <c r="G56" s="139" t="str">
        <f>G4</f>
        <v>T1</v>
      </c>
      <c r="H56" s="139" t="str">
        <f t="shared" ref="H56:S56" si="22">H4</f>
        <v>T2</v>
      </c>
      <c r="I56" s="139" t="str">
        <f t="shared" si="22"/>
        <v>T3</v>
      </c>
      <c r="J56" s="139" t="str">
        <f t="shared" si="22"/>
        <v>T4</v>
      </c>
      <c r="K56" s="139" t="str">
        <f t="shared" si="22"/>
        <v>T5</v>
      </c>
      <c r="L56" s="139" t="str">
        <f t="shared" si="22"/>
        <v>T6</v>
      </c>
      <c r="M56" s="139" t="str">
        <f t="shared" si="22"/>
        <v>T7</v>
      </c>
      <c r="N56" s="139" t="str">
        <f t="shared" si="22"/>
        <v>T8</v>
      </c>
      <c r="O56" s="139" t="str">
        <f t="shared" si="22"/>
        <v>T9</v>
      </c>
      <c r="P56" s="139" t="str">
        <f t="shared" si="22"/>
        <v>T10</v>
      </c>
      <c r="Q56" s="139" t="str">
        <f t="shared" si="22"/>
        <v>T11</v>
      </c>
      <c r="R56" s="139" t="str">
        <f t="shared" si="22"/>
        <v>T12</v>
      </c>
      <c r="S56" s="139" t="str">
        <f t="shared" si="22"/>
        <v>KH 2026</v>
      </c>
    </row>
    <row r="57" spans="2:20" x14ac:dyDescent="0.35">
      <c r="B57" s="17" t="s">
        <v>223</v>
      </c>
      <c r="D57" s="537">
        <f>IFERROR(D$58*(1+(D$17+D$18)/D$16),0)</f>
        <v>0</v>
      </c>
      <c r="E57" s="537">
        <f>IFERROR(E$58*(1+(E$17+E$18)/E$16),0)</f>
        <v>0</v>
      </c>
      <c r="F57" s="537">
        <f>IFERROR(F$58*(1+(F$17+F$18)/F$16),0)</f>
        <v>0</v>
      </c>
      <c r="G57" s="140" t="e">
        <f>G$58*(1+(G$17+G$18)/G$16)</f>
        <v>#DIV/0!</v>
      </c>
      <c r="H57" s="140" t="e">
        <f t="shared" ref="H57:S57" si="23">H$58*(1+(H$17+H$18)/H$16)</f>
        <v>#DIV/0!</v>
      </c>
      <c r="I57" s="140" t="e">
        <f t="shared" si="23"/>
        <v>#DIV/0!</v>
      </c>
      <c r="J57" s="140" t="e">
        <f>J$58*(1+(J$17+J$18)/J$16)</f>
        <v>#DIV/0!</v>
      </c>
      <c r="K57" s="140" t="e">
        <f>K$58*(1+(K$17+K$18)/K$16)</f>
        <v>#DIV/0!</v>
      </c>
      <c r="L57" s="140" t="e">
        <f t="shared" si="23"/>
        <v>#DIV/0!</v>
      </c>
      <c r="M57" s="140" t="e">
        <f t="shared" si="23"/>
        <v>#DIV/0!</v>
      </c>
      <c r="N57" s="140" t="e">
        <f t="shared" si="23"/>
        <v>#DIV/0!</v>
      </c>
      <c r="O57" s="140" t="e">
        <f t="shared" si="23"/>
        <v>#DIV/0!</v>
      </c>
      <c r="P57" s="140" t="e">
        <f t="shared" si="23"/>
        <v>#DIV/0!</v>
      </c>
      <c r="Q57" s="140" t="e">
        <f t="shared" si="23"/>
        <v>#DIV/0!</v>
      </c>
      <c r="R57" s="140" t="e">
        <f t="shared" si="23"/>
        <v>#DIV/0!</v>
      </c>
      <c r="S57" s="140" t="e">
        <f t="shared" si="23"/>
        <v>#DIV/0!</v>
      </c>
    </row>
    <row r="58" spans="2:20" x14ac:dyDescent="0.35">
      <c r="B58" s="17" t="s">
        <v>224</v>
      </c>
      <c r="C58" s="60"/>
      <c r="D58" s="537">
        <f>IFERROR((D$27+D$31+D$34+D$38)/(D$25/D$5),0)</f>
        <v>0</v>
      </c>
      <c r="E58" s="537">
        <f>IFERROR((E$27+E$31+E$34+E$38)/(E$25/E$5),0)</f>
        <v>0</v>
      </c>
      <c r="F58" s="537">
        <f>IFERROR((F$27+F$31+F$34+F$38)/(F$25/F$5),0)</f>
        <v>0</v>
      </c>
      <c r="G58" s="140" t="e">
        <f>(G$27+G$31+G$34+G$38)/(G$25/G$5)</f>
        <v>#DIV/0!</v>
      </c>
      <c r="H58" s="140" t="e">
        <f t="shared" ref="H58:S58" si="24">(H$27+H$31+H$34+H$38)/(H$25/H$5)</f>
        <v>#DIV/0!</v>
      </c>
      <c r="I58" s="140" t="e">
        <f t="shared" si="24"/>
        <v>#DIV/0!</v>
      </c>
      <c r="J58" s="140" t="e">
        <f>(J$27+J$31+J$34+J$38)/(J$25/J$5)</f>
        <v>#DIV/0!</v>
      </c>
      <c r="K58" s="140" t="e">
        <f t="shared" si="24"/>
        <v>#DIV/0!</v>
      </c>
      <c r="L58" s="140" t="e">
        <f t="shared" si="24"/>
        <v>#DIV/0!</v>
      </c>
      <c r="M58" s="140" t="e">
        <f t="shared" si="24"/>
        <v>#DIV/0!</v>
      </c>
      <c r="N58" s="140" t="e">
        <f t="shared" si="24"/>
        <v>#DIV/0!</v>
      </c>
      <c r="O58" s="140" t="e">
        <f t="shared" si="24"/>
        <v>#DIV/0!</v>
      </c>
      <c r="P58" s="140" t="e">
        <f t="shared" si="24"/>
        <v>#DIV/0!</v>
      </c>
      <c r="Q58" s="140" t="e">
        <f t="shared" si="24"/>
        <v>#DIV/0!</v>
      </c>
      <c r="R58" s="140" t="e">
        <f t="shared" si="24"/>
        <v>#DIV/0!</v>
      </c>
      <c r="S58" s="140" t="e">
        <f t="shared" si="24"/>
        <v>#DIV/0!</v>
      </c>
    </row>
    <row r="59" spans="2:20" x14ac:dyDescent="0.35">
      <c r="B59" s="17" t="s">
        <v>225</v>
      </c>
      <c r="D59" s="538">
        <f>IFERROR(D$58*(D$9/D$5),0)</f>
        <v>0</v>
      </c>
      <c r="E59" s="538">
        <f>IFERROR(E$58*(E$9/E$5),0)</f>
        <v>0</v>
      </c>
      <c r="F59" s="538">
        <f>IFERROR(F$58*(F$9/F$5),0)</f>
        <v>0</v>
      </c>
      <c r="G59" s="24" t="e">
        <f>G$58*(G$9/G$5)</f>
        <v>#DIV/0!</v>
      </c>
      <c r="H59" s="24" t="e">
        <f t="shared" ref="H59:S59" si="25">H$58*(H$9/H$5)</f>
        <v>#DIV/0!</v>
      </c>
      <c r="I59" s="24" t="e">
        <f t="shared" si="25"/>
        <v>#DIV/0!</v>
      </c>
      <c r="J59" s="24" t="e">
        <f t="shared" si="25"/>
        <v>#DIV/0!</v>
      </c>
      <c r="K59" s="24" t="e">
        <f t="shared" si="25"/>
        <v>#DIV/0!</v>
      </c>
      <c r="L59" s="24" t="e">
        <f t="shared" si="25"/>
        <v>#DIV/0!</v>
      </c>
      <c r="M59" s="24" t="e">
        <f t="shared" si="25"/>
        <v>#DIV/0!</v>
      </c>
      <c r="N59" s="24" t="e">
        <f t="shared" si="25"/>
        <v>#DIV/0!</v>
      </c>
      <c r="O59" s="24" t="e">
        <f t="shared" si="25"/>
        <v>#DIV/0!</v>
      </c>
      <c r="P59" s="24" t="e">
        <f t="shared" si="25"/>
        <v>#DIV/0!</v>
      </c>
      <c r="Q59" s="24" t="e">
        <f t="shared" si="25"/>
        <v>#DIV/0!</v>
      </c>
      <c r="R59" s="24" t="e">
        <f t="shared" si="25"/>
        <v>#DIV/0!</v>
      </c>
      <c r="S59" s="24" t="e">
        <f t="shared" si="25"/>
        <v>#DIV/0!</v>
      </c>
    </row>
    <row r="60" spans="2:20" ht="39" x14ac:dyDescent="0.35">
      <c r="B60" s="138" t="s">
        <v>226</v>
      </c>
      <c r="C60" s="61"/>
      <c r="D60" s="517" t="str">
        <f>D56</f>
        <v>Thực tế năm 2023</v>
      </c>
      <c r="E60" s="517" t="str">
        <f>E56</f>
        <v>Thực tế năm 2024</v>
      </c>
      <c r="F60" s="517" t="str">
        <f>F56</f>
        <v>KQKD 2025</v>
      </c>
      <c r="G60" s="141" t="str">
        <f>G56</f>
        <v>T1</v>
      </c>
      <c r="H60" s="141" t="str">
        <f t="shared" ref="H60:S60" si="26">H56</f>
        <v>T2</v>
      </c>
      <c r="I60" s="141" t="str">
        <f t="shared" si="26"/>
        <v>T3</v>
      </c>
      <c r="J60" s="141" t="str">
        <f t="shared" si="26"/>
        <v>T4</v>
      </c>
      <c r="K60" s="141" t="str">
        <f t="shared" si="26"/>
        <v>T5</v>
      </c>
      <c r="L60" s="141" t="str">
        <f t="shared" si="26"/>
        <v>T6</v>
      </c>
      <c r="M60" s="141" t="str">
        <f t="shared" si="26"/>
        <v>T7</v>
      </c>
      <c r="N60" s="141" t="str">
        <f t="shared" si="26"/>
        <v>T8</v>
      </c>
      <c r="O60" s="141" t="str">
        <f t="shared" si="26"/>
        <v>T9</v>
      </c>
      <c r="P60" s="141" t="str">
        <f t="shared" si="26"/>
        <v>T10</v>
      </c>
      <c r="Q60" s="141" t="str">
        <f t="shared" si="26"/>
        <v>T11</v>
      </c>
      <c r="R60" s="141" t="str">
        <f t="shared" si="26"/>
        <v>T12</v>
      </c>
      <c r="S60" s="141" t="str">
        <f t="shared" si="26"/>
        <v>KH 2026</v>
      </c>
    </row>
    <row r="61" spans="2:20" x14ac:dyDescent="0.35">
      <c r="B61" s="17" t="s">
        <v>223</v>
      </c>
      <c r="D61" s="537">
        <f>IFERROR(D$62*(1+(D$17+D$18)/D$16),0)</f>
        <v>0</v>
      </c>
      <c r="E61" s="537">
        <f>IFERROR(E$62*(1+(E$17+E$18)/E$16),0)</f>
        <v>0</v>
      </c>
      <c r="F61" s="537">
        <f>IFERROR(F$62*(1+(F$17+F$18)/F$16),0)</f>
        <v>0</v>
      </c>
      <c r="G61" s="140" t="e">
        <f>G$62*(1+(G$17+G$18)/G$16)</f>
        <v>#DIV/0!</v>
      </c>
      <c r="H61" s="140" t="e">
        <f t="shared" ref="H61:S61" si="27">H$62*(1+(H$17+H$18)/H$16)</f>
        <v>#DIV/0!</v>
      </c>
      <c r="I61" s="140" t="e">
        <f t="shared" si="27"/>
        <v>#DIV/0!</v>
      </c>
      <c r="J61" s="140" t="e">
        <f>J$62*(1+(J$17+J$18)/J$16)</f>
        <v>#DIV/0!</v>
      </c>
      <c r="K61" s="140" t="e">
        <f>K$62*(1+(K$17+K$18)/K$16)</f>
        <v>#DIV/0!</v>
      </c>
      <c r="L61" s="140" t="e">
        <f t="shared" si="27"/>
        <v>#DIV/0!</v>
      </c>
      <c r="M61" s="140" t="e">
        <f t="shared" si="27"/>
        <v>#DIV/0!</v>
      </c>
      <c r="N61" s="140" t="e">
        <f t="shared" si="27"/>
        <v>#DIV/0!</v>
      </c>
      <c r="O61" s="140" t="e">
        <f t="shared" si="27"/>
        <v>#DIV/0!</v>
      </c>
      <c r="P61" s="140" t="e">
        <f t="shared" si="27"/>
        <v>#DIV/0!</v>
      </c>
      <c r="Q61" s="140" t="e">
        <f t="shared" si="27"/>
        <v>#DIV/0!</v>
      </c>
      <c r="R61" s="140" t="e">
        <f t="shared" si="27"/>
        <v>#DIV/0!</v>
      </c>
      <c r="S61" s="140" t="e">
        <f t="shared" si="27"/>
        <v>#DIV/0!</v>
      </c>
    </row>
    <row r="62" spans="2:20" x14ac:dyDescent="0.35">
      <c r="B62" s="17" t="s">
        <v>224</v>
      </c>
      <c r="C62" s="60"/>
      <c r="D62" s="537">
        <f>IFERROR((D$27+D$31+D$34+D$38-D51)/(D$25/D$5),0)</f>
        <v>0</v>
      </c>
      <c r="E62" s="537">
        <f>IFERROR((E$27+E$31+E$34+E$38-E51)/(E$25/E$5),0)</f>
        <v>0</v>
      </c>
      <c r="F62" s="537">
        <f>IFERROR((F$27+F$31+F$34+F$38-F51)/(F$25/F$5),0)</f>
        <v>0</v>
      </c>
      <c r="G62" s="140" t="e">
        <f>(G$27+G$31+G$34+G$38-G51)/(G$25/G$5)</f>
        <v>#DIV/0!</v>
      </c>
      <c r="H62" s="140" t="e">
        <f t="shared" ref="H62:S62" si="28">(H$27+H$31+H$34+H$38-H51)/(H$25/H$5)</f>
        <v>#DIV/0!</v>
      </c>
      <c r="I62" s="140" t="e">
        <f t="shared" si="28"/>
        <v>#DIV/0!</v>
      </c>
      <c r="J62" s="140" t="e">
        <f>(J$27+J$31+J$34+J$38-J51)/(J$25/J$5)</f>
        <v>#DIV/0!</v>
      </c>
      <c r="K62" s="140" t="e">
        <f t="shared" si="28"/>
        <v>#DIV/0!</v>
      </c>
      <c r="L62" s="140" t="e">
        <f t="shared" si="28"/>
        <v>#DIV/0!</v>
      </c>
      <c r="M62" s="140" t="e">
        <f t="shared" si="28"/>
        <v>#DIV/0!</v>
      </c>
      <c r="N62" s="140" t="e">
        <f t="shared" si="28"/>
        <v>#DIV/0!</v>
      </c>
      <c r="O62" s="140" t="e">
        <f t="shared" si="28"/>
        <v>#DIV/0!</v>
      </c>
      <c r="P62" s="140" t="e">
        <f t="shared" si="28"/>
        <v>#DIV/0!</v>
      </c>
      <c r="Q62" s="140" t="e">
        <f t="shared" si="28"/>
        <v>#DIV/0!</v>
      </c>
      <c r="R62" s="140" t="e">
        <f t="shared" si="28"/>
        <v>#DIV/0!</v>
      </c>
      <c r="S62" s="140" t="e">
        <f t="shared" si="28"/>
        <v>#DIV/0!</v>
      </c>
    </row>
    <row r="63" spans="2:20" x14ac:dyDescent="0.35">
      <c r="B63" s="17" t="s">
        <v>225</v>
      </c>
      <c r="D63" s="538">
        <f>IFERROR(D$62*(D$9/D$5),0)</f>
        <v>0</v>
      </c>
      <c r="E63" s="538">
        <f>IFERROR(E$62*(E$9/E$5),0)</f>
        <v>0</v>
      </c>
      <c r="F63" s="538">
        <f>IFERROR(F$62*(F$9/F$5),0)</f>
        <v>0</v>
      </c>
      <c r="G63" s="24" t="e">
        <f>G$62*(G$9/G$5)</f>
        <v>#DIV/0!</v>
      </c>
      <c r="H63" s="24" t="e">
        <f t="shared" ref="H63:S63" si="29">H$62*(H$9/H$5)</f>
        <v>#DIV/0!</v>
      </c>
      <c r="I63" s="24" t="e">
        <f t="shared" si="29"/>
        <v>#DIV/0!</v>
      </c>
      <c r="J63" s="24" t="e">
        <f t="shared" si="29"/>
        <v>#DIV/0!</v>
      </c>
      <c r="K63" s="24" t="e">
        <f>K$62*(K$9/K$5)</f>
        <v>#DIV/0!</v>
      </c>
      <c r="L63" s="24" t="e">
        <f t="shared" si="29"/>
        <v>#DIV/0!</v>
      </c>
      <c r="M63" s="24" t="e">
        <f t="shared" si="29"/>
        <v>#DIV/0!</v>
      </c>
      <c r="N63" s="24" t="e">
        <f t="shared" si="29"/>
        <v>#DIV/0!</v>
      </c>
      <c r="O63" s="24" t="e">
        <f t="shared" si="29"/>
        <v>#DIV/0!</v>
      </c>
      <c r="P63" s="24" t="e">
        <f t="shared" si="29"/>
        <v>#DIV/0!</v>
      </c>
      <c r="Q63" s="24" t="e">
        <f t="shared" si="29"/>
        <v>#DIV/0!</v>
      </c>
      <c r="R63" s="24" t="e">
        <f t="shared" si="29"/>
        <v>#DIV/0!</v>
      </c>
      <c r="S63" s="24" t="e">
        <f t="shared" si="29"/>
        <v>#DIV/0!</v>
      </c>
    </row>
    <row r="64" spans="2:20" x14ac:dyDescent="0.35">
      <c r="F64" s="539"/>
    </row>
    <row r="65" spans="7:18" x14ac:dyDescent="0.35">
      <c r="G65" s="17"/>
      <c r="H65" s="17"/>
      <c r="I65" s="17"/>
      <c r="J65" s="17"/>
      <c r="K65" s="17"/>
      <c r="L65" s="17"/>
      <c r="M65" s="115"/>
      <c r="N65" s="115"/>
      <c r="O65" s="115"/>
      <c r="P65" s="115"/>
      <c r="Q65" s="115"/>
      <c r="R65" s="115"/>
    </row>
    <row r="66" spans="7:18" x14ac:dyDescent="0.35">
      <c r="G66" s="17"/>
      <c r="H66" s="17"/>
      <c r="I66" s="17"/>
      <c r="J66" s="17"/>
      <c r="K66" s="17"/>
      <c r="L66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46"/>
  <sheetViews>
    <sheetView workbookViewId="0"/>
  </sheetViews>
  <sheetFormatPr defaultRowHeight="14.5" x14ac:dyDescent="0.35"/>
  <sheetData>
    <row r="2" spans="2:18" x14ac:dyDescent="0.35">
      <c r="B2" s="1100" t="s">
        <v>2165</v>
      </c>
    </row>
    <row r="4" spans="2:18" x14ac:dyDescent="0.35">
      <c r="B4" s="1102" t="s">
        <v>36</v>
      </c>
      <c r="C4" s="1103" t="s">
        <v>37</v>
      </c>
      <c r="D4" s="1103" t="s">
        <v>525</v>
      </c>
      <c r="E4" s="1103">
        <v>1</v>
      </c>
      <c r="F4" s="1103">
        <f t="shared" ref="F4:P4" si="0">+E4+1</f>
        <v>2</v>
      </c>
      <c r="G4" s="1103">
        <f t="shared" si="0"/>
        <v>3</v>
      </c>
      <c r="H4" s="1103">
        <f t="shared" si="0"/>
        <v>4</v>
      </c>
      <c r="I4" s="1103">
        <f t="shared" si="0"/>
        <v>5</v>
      </c>
      <c r="J4" s="1103">
        <f t="shared" si="0"/>
        <v>6</v>
      </c>
      <c r="K4" s="1103">
        <f t="shared" si="0"/>
        <v>7</v>
      </c>
      <c r="L4" s="1103">
        <f t="shared" si="0"/>
        <v>8</v>
      </c>
      <c r="M4" s="1103">
        <f t="shared" si="0"/>
        <v>9</v>
      </c>
      <c r="N4" s="1103">
        <f t="shared" si="0"/>
        <v>10</v>
      </c>
      <c r="O4" s="1103">
        <f t="shared" si="0"/>
        <v>11</v>
      </c>
      <c r="P4" s="1104">
        <f t="shared" si="0"/>
        <v>12</v>
      </c>
    </row>
    <row r="5" spans="2:18" ht="16" x14ac:dyDescent="0.4">
      <c r="B5" s="1105">
        <v>1</v>
      </c>
      <c r="C5" s="1105" t="s">
        <v>2166</v>
      </c>
      <c r="D5" s="1105"/>
      <c r="E5" s="1105">
        <f t="shared" ref="E5:P5" si="1">300*16*30/10^3</f>
        <v>144</v>
      </c>
      <c r="F5" s="1105">
        <f t="shared" si="1"/>
        <v>144</v>
      </c>
      <c r="G5" s="1105">
        <f t="shared" si="1"/>
        <v>144</v>
      </c>
      <c r="H5" s="1105">
        <f t="shared" si="1"/>
        <v>144</v>
      </c>
      <c r="I5" s="1105">
        <f t="shared" si="1"/>
        <v>144</v>
      </c>
      <c r="J5" s="1105">
        <f t="shared" si="1"/>
        <v>144</v>
      </c>
      <c r="K5" s="1105">
        <f t="shared" si="1"/>
        <v>144</v>
      </c>
      <c r="L5" s="1105">
        <f t="shared" si="1"/>
        <v>144</v>
      </c>
      <c r="M5" s="1105">
        <f t="shared" si="1"/>
        <v>144</v>
      </c>
      <c r="N5" s="1105">
        <f t="shared" si="1"/>
        <v>144</v>
      </c>
      <c r="O5" s="1105">
        <f t="shared" si="1"/>
        <v>144</v>
      </c>
      <c r="P5" s="1105">
        <f t="shared" si="1"/>
        <v>144</v>
      </c>
      <c r="Q5" s="1101">
        <f>400</f>
        <v>400</v>
      </c>
    </row>
    <row r="6" spans="2:18" x14ac:dyDescent="0.35">
      <c r="B6" s="1106">
        <v>2</v>
      </c>
      <c r="C6" s="1106" t="s">
        <v>2167</v>
      </c>
      <c r="D6" s="1106"/>
      <c r="E6" s="1107">
        <v>19000</v>
      </c>
      <c r="F6" s="1107">
        <v>19000</v>
      </c>
      <c r="G6" s="1107">
        <v>19000</v>
      </c>
      <c r="H6" s="1107">
        <v>19000</v>
      </c>
      <c r="I6" s="1107">
        <v>19000</v>
      </c>
      <c r="J6" s="1107">
        <v>19000</v>
      </c>
      <c r="K6" s="1107">
        <v>19000</v>
      </c>
      <c r="L6" s="1107">
        <v>19000</v>
      </c>
      <c r="M6" s="1107">
        <v>19000</v>
      </c>
      <c r="N6" s="1107">
        <v>19000</v>
      </c>
      <c r="O6" s="1107">
        <v>19000</v>
      </c>
      <c r="P6" s="1107">
        <v>19000</v>
      </c>
    </row>
    <row r="7" spans="2:18" x14ac:dyDescent="0.35">
      <c r="B7" s="1108">
        <v>3</v>
      </c>
      <c r="C7" s="1108" t="s">
        <v>2168</v>
      </c>
      <c r="D7" s="1108"/>
      <c r="E7" s="1109">
        <f>SUM(E8,E12:E21)</f>
        <v>17207.84643100929</v>
      </c>
      <c r="F7" s="1109">
        <f t="shared" ref="F7:P7" si="2">SUM(F8,F12:F21)</f>
        <v>17207.84643100929</v>
      </c>
      <c r="G7" s="1109">
        <f t="shared" si="2"/>
        <v>17207.84643100929</v>
      </c>
      <c r="H7" s="1109">
        <f t="shared" si="2"/>
        <v>17207.84643100929</v>
      </c>
      <c r="I7" s="1109">
        <f t="shared" si="2"/>
        <v>17207.84643100929</v>
      </c>
      <c r="J7" s="1109">
        <f t="shared" si="2"/>
        <v>17207.84643100929</v>
      </c>
      <c r="K7" s="1109">
        <f t="shared" si="2"/>
        <v>17207.84643100929</v>
      </c>
      <c r="L7" s="1109">
        <f t="shared" si="2"/>
        <v>17207.84643100929</v>
      </c>
      <c r="M7" s="1109">
        <f t="shared" si="2"/>
        <v>17207.84643100929</v>
      </c>
      <c r="N7" s="1109">
        <f t="shared" si="2"/>
        <v>17207.84643100929</v>
      </c>
      <c r="O7" s="1109">
        <f t="shared" si="2"/>
        <v>17207.84643100929</v>
      </c>
      <c r="P7" s="1109">
        <f t="shared" si="2"/>
        <v>17207.84643100929</v>
      </c>
    </row>
    <row r="8" spans="2:18" ht="16" x14ac:dyDescent="0.4">
      <c r="B8" s="1110" t="s">
        <v>370</v>
      </c>
      <c r="C8" s="1111" t="s">
        <v>109</v>
      </c>
      <c r="D8" s="1111"/>
      <c r="E8" s="1112">
        <f>+SUM(E9:E11)</f>
        <v>8840</v>
      </c>
      <c r="F8" s="1112">
        <f t="shared" ref="F8:P8" si="3">+SUM(F9:F11)</f>
        <v>8840</v>
      </c>
      <c r="G8" s="1112">
        <f t="shared" si="3"/>
        <v>8840</v>
      </c>
      <c r="H8" s="1112">
        <f t="shared" si="3"/>
        <v>8840</v>
      </c>
      <c r="I8" s="1112">
        <f t="shared" si="3"/>
        <v>8840</v>
      </c>
      <c r="J8" s="1112">
        <f t="shared" si="3"/>
        <v>8840</v>
      </c>
      <c r="K8" s="1112">
        <f t="shared" si="3"/>
        <v>8840</v>
      </c>
      <c r="L8" s="1112">
        <f t="shared" si="3"/>
        <v>8840</v>
      </c>
      <c r="M8" s="1112">
        <f t="shared" si="3"/>
        <v>8840</v>
      </c>
      <c r="N8" s="1112">
        <f t="shared" si="3"/>
        <v>8840</v>
      </c>
      <c r="O8" s="1112">
        <f t="shared" si="3"/>
        <v>8840</v>
      </c>
      <c r="P8" s="1112">
        <f t="shared" si="3"/>
        <v>8840</v>
      </c>
    </row>
    <row r="9" spans="2:18" x14ac:dyDescent="0.35">
      <c r="B9" s="1113"/>
      <c r="C9" s="1114" t="s">
        <v>2169</v>
      </c>
      <c r="D9" s="1115">
        <v>0.5</v>
      </c>
      <c r="E9" s="1116">
        <f t="shared" ref="E9:P9" si="4">8000*$D9</f>
        <v>4000</v>
      </c>
      <c r="F9" s="1116">
        <f t="shared" si="4"/>
        <v>4000</v>
      </c>
      <c r="G9" s="1116">
        <f t="shared" si="4"/>
        <v>4000</v>
      </c>
      <c r="H9" s="1116">
        <f t="shared" si="4"/>
        <v>4000</v>
      </c>
      <c r="I9" s="1116">
        <f t="shared" si="4"/>
        <v>4000</v>
      </c>
      <c r="J9" s="1116">
        <f t="shared" si="4"/>
        <v>4000</v>
      </c>
      <c r="K9" s="1116">
        <f t="shared" si="4"/>
        <v>4000</v>
      </c>
      <c r="L9" s="1116">
        <f t="shared" si="4"/>
        <v>4000</v>
      </c>
      <c r="M9" s="1116">
        <f t="shared" si="4"/>
        <v>4000</v>
      </c>
      <c r="N9" s="1116">
        <f t="shared" si="4"/>
        <v>4000</v>
      </c>
      <c r="O9" s="1116">
        <f t="shared" si="4"/>
        <v>4000</v>
      </c>
      <c r="P9" s="1116">
        <f t="shared" si="4"/>
        <v>4000</v>
      </c>
    </row>
    <row r="10" spans="2:18" x14ac:dyDescent="0.35">
      <c r="B10" s="1113"/>
      <c r="C10" s="1114" t="s">
        <v>2170</v>
      </c>
      <c r="D10" s="1115">
        <v>0.35</v>
      </c>
      <c r="E10" s="1116">
        <v>2800</v>
      </c>
      <c r="F10" s="1116">
        <v>2800</v>
      </c>
      <c r="G10" s="1116">
        <v>2800</v>
      </c>
      <c r="H10" s="1116">
        <v>2800</v>
      </c>
      <c r="I10" s="1116">
        <v>2800</v>
      </c>
      <c r="J10" s="1116">
        <v>2800</v>
      </c>
      <c r="K10" s="1116">
        <v>2800</v>
      </c>
      <c r="L10" s="1116">
        <v>2800</v>
      </c>
      <c r="M10" s="1116">
        <v>2800</v>
      </c>
      <c r="N10" s="1116">
        <v>2800</v>
      </c>
      <c r="O10" s="1116">
        <v>2800</v>
      </c>
      <c r="P10" s="1116">
        <v>2800</v>
      </c>
    </row>
    <row r="11" spans="2:18" x14ac:dyDescent="0.35">
      <c r="B11" s="1113"/>
      <c r="C11" s="1114" t="s">
        <v>2171</v>
      </c>
      <c r="D11" s="1115">
        <v>0.15</v>
      </c>
      <c r="E11" s="1116">
        <v>2040</v>
      </c>
      <c r="F11" s="1116">
        <v>2040</v>
      </c>
      <c r="G11" s="1116">
        <v>2040</v>
      </c>
      <c r="H11" s="1116">
        <v>2040</v>
      </c>
      <c r="I11" s="1116">
        <v>2040</v>
      </c>
      <c r="J11" s="1116">
        <v>2040</v>
      </c>
      <c r="K11" s="1116">
        <v>2040</v>
      </c>
      <c r="L11" s="1116">
        <v>2040</v>
      </c>
      <c r="M11" s="1116">
        <v>2040</v>
      </c>
      <c r="N11" s="1116">
        <v>2040</v>
      </c>
      <c r="O11" s="1116">
        <v>2040</v>
      </c>
      <c r="P11" s="1116">
        <v>2040</v>
      </c>
    </row>
    <row r="12" spans="2:18" ht="16" x14ac:dyDescent="0.4">
      <c r="B12" s="1110" t="s">
        <v>371</v>
      </c>
      <c r="C12" s="1111" t="s">
        <v>2172</v>
      </c>
      <c r="D12" s="1117"/>
      <c r="E12" s="1112">
        <v>365.39083841359241</v>
      </c>
      <c r="F12" s="1112">
        <v>365.39083841359241</v>
      </c>
      <c r="G12" s="1112">
        <v>365.39083841359241</v>
      </c>
      <c r="H12" s="1112">
        <v>365.39083841359241</v>
      </c>
      <c r="I12" s="1112">
        <v>365.39083841359241</v>
      </c>
      <c r="J12" s="1112">
        <v>365.39083841359241</v>
      </c>
      <c r="K12" s="1112">
        <v>365.39083841359241</v>
      </c>
      <c r="L12" s="1112">
        <v>365.39083841359241</v>
      </c>
      <c r="M12" s="1112">
        <v>365.39083841359241</v>
      </c>
      <c r="N12" s="1112">
        <v>365.39083841359241</v>
      </c>
      <c r="O12" s="1112">
        <v>365.39083841359241</v>
      </c>
      <c r="P12" s="1112">
        <v>365.39083841359241</v>
      </c>
    </row>
    <row r="13" spans="2:18" ht="16" x14ac:dyDescent="0.4">
      <c r="B13" s="1110" t="s">
        <v>373</v>
      </c>
      <c r="C13" s="1111" t="s">
        <v>2173</v>
      </c>
      <c r="D13" s="1111"/>
      <c r="E13" s="1112">
        <v>36.243780000000001</v>
      </c>
      <c r="F13" s="1112">
        <v>36.243780000000001</v>
      </c>
      <c r="G13" s="1112">
        <v>36.243780000000001</v>
      </c>
      <c r="H13" s="1112">
        <v>36.243780000000001</v>
      </c>
      <c r="I13" s="1112">
        <v>36.243780000000001</v>
      </c>
      <c r="J13" s="1112">
        <v>36.243780000000001</v>
      </c>
      <c r="K13" s="1112">
        <v>36.243780000000001</v>
      </c>
      <c r="L13" s="1112">
        <v>36.243780000000001</v>
      </c>
      <c r="M13" s="1112">
        <v>36.243780000000001</v>
      </c>
      <c r="N13" s="1112">
        <v>36.243780000000001</v>
      </c>
      <c r="O13" s="1112">
        <v>36.243780000000001</v>
      </c>
      <c r="P13" s="1112">
        <v>36.243780000000001</v>
      </c>
    </row>
    <row r="14" spans="2:18" ht="16" x14ac:dyDescent="0.4">
      <c r="B14" s="1110" t="s">
        <v>375</v>
      </c>
      <c r="C14" s="1111" t="s">
        <v>2174</v>
      </c>
      <c r="D14" s="1111"/>
      <c r="E14" s="1112">
        <v>212.12234036247537</v>
      </c>
      <c r="F14" s="1112">
        <v>212.12234036247537</v>
      </c>
      <c r="G14" s="1112">
        <v>212.12234036247537</v>
      </c>
      <c r="H14" s="1112">
        <v>212.12234036247537</v>
      </c>
      <c r="I14" s="1112">
        <v>212.12234036247537</v>
      </c>
      <c r="J14" s="1112">
        <v>212.12234036247537</v>
      </c>
      <c r="K14" s="1112">
        <v>212.12234036247537</v>
      </c>
      <c r="L14" s="1112">
        <v>212.12234036247537</v>
      </c>
      <c r="M14" s="1112">
        <v>212.12234036247537</v>
      </c>
      <c r="N14" s="1112">
        <v>212.12234036247537</v>
      </c>
      <c r="O14" s="1112">
        <v>212.12234036247537</v>
      </c>
      <c r="P14" s="1112">
        <v>212.12234036247537</v>
      </c>
    </row>
    <row r="15" spans="2:18" ht="16" x14ac:dyDescent="0.4">
      <c r="B15" s="1110" t="s">
        <v>2175</v>
      </c>
      <c r="C15" s="1111" t="s">
        <v>190</v>
      </c>
      <c r="D15" s="1111"/>
      <c r="E15" s="1112">
        <v>240.68287476059055</v>
      </c>
      <c r="F15" s="1112">
        <v>240.68287476059055</v>
      </c>
      <c r="G15" s="1112">
        <v>240.68287476059055</v>
      </c>
      <c r="H15" s="1112">
        <v>240.68287476059055</v>
      </c>
      <c r="I15" s="1112">
        <v>240.68287476059055</v>
      </c>
      <c r="J15" s="1112">
        <v>240.68287476059055</v>
      </c>
      <c r="K15" s="1112">
        <v>240.68287476059055</v>
      </c>
      <c r="L15" s="1112">
        <v>240.68287476059055</v>
      </c>
      <c r="M15" s="1112">
        <v>240.68287476059055</v>
      </c>
      <c r="N15" s="1112">
        <v>240.68287476059055</v>
      </c>
      <c r="O15" s="1112">
        <v>240.68287476059055</v>
      </c>
      <c r="P15" s="1112">
        <v>240.68287476059055</v>
      </c>
      <c r="Q15" s="1101">
        <f>48000*2</f>
        <v>96000</v>
      </c>
      <c r="R15" s="1101">
        <f>Q15/Q5</f>
        <v>240</v>
      </c>
    </row>
    <row r="16" spans="2:18" ht="16" x14ac:dyDescent="0.4">
      <c r="B16" s="1110" t="s">
        <v>2176</v>
      </c>
      <c r="C16" s="1111" t="s">
        <v>2177</v>
      </c>
      <c r="D16" s="1111"/>
      <c r="E16" s="1112">
        <v>58.638978683730187</v>
      </c>
      <c r="F16" s="1112">
        <v>58.638978683730187</v>
      </c>
      <c r="G16" s="1112">
        <v>58.638978683730187</v>
      </c>
      <c r="H16" s="1112">
        <v>58.638978683730187</v>
      </c>
      <c r="I16" s="1112">
        <v>58.638978683730187</v>
      </c>
      <c r="J16" s="1112">
        <v>58.638978683730187</v>
      </c>
      <c r="K16" s="1112">
        <v>58.638978683730187</v>
      </c>
      <c r="L16" s="1112">
        <v>58.638978683730187</v>
      </c>
      <c r="M16" s="1112">
        <v>58.638978683730187</v>
      </c>
      <c r="N16" s="1112">
        <v>58.638978683730187</v>
      </c>
      <c r="O16" s="1112">
        <v>58.638978683730187</v>
      </c>
      <c r="P16" s="1112">
        <v>58.638978683730187</v>
      </c>
    </row>
    <row r="17" spans="2:18" ht="16" x14ac:dyDescent="0.4">
      <c r="B17" s="1110" t="s">
        <v>2178</v>
      </c>
      <c r="C17" s="1111" t="s">
        <v>2179</v>
      </c>
      <c r="D17" s="1111"/>
      <c r="E17" s="1112">
        <v>217.51578294879687</v>
      </c>
      <c r="F17" s="1112">
        <v>217.51578294879687</v>
      </c>
      <c r="G17" s="1112">
        <v>217.51578294879687</v>
      </c>
      <c r="H17" s="1112">
        <v>217.51578294879687</v>
      </c>
      <c r="I17" s="1112">
        <v>217.51578294879687</v>
      </c>
      <c r="J17" s="1112">
        <v>217.51578294879687</v>
      </c>
      <c r="K17" s="1112">
        <v>217.51578294879687</v>
      </c>
      <c r="L17" s="1112">
        <v>217.51578294879687</v>
      </c>
      <c r="M17" s="1112">
        <v>217.51578294879687</v>
      </c>
      <c r="N17" s="1112">
        <v>217.51578294879687</v>
      </c>
      <c r="O17" s="1112">
        <v>217.51578294879687</v>
      </c>
      <c r="P17" s="1112">
        <v>217.51578294879687</v>
      </c>
    </row>
    <row r="18" spans="2:18" ht="16" x14ac:dyDescent="0.4">
      <c r="B18" s="1110" t="s">
        <v>2180</v>
      </c>
      <c r="C18" s="1111" t="s">
        <v>2181</v>
      </c>
      <c r="D18" s="1111"/>
      <c r="E18" s="1112">
        <v>421.56543464743834</v>
      </c>
      <c r="F18" s="1112">
        <v>421.56543464743834</v>
      </c>
      <c r="G18" s="1112">
        <v>421.56543464743834</v>
      </c>
      <c r="H18" s="1112">
        <v>421.56543464743834</v>
      </c>
      <c r="I18" s="1112">
        <v>421.56543464743834</v>
      </c>
      <c r="J18" s="1112">
        <v>421.56543464743834</v>
      </c>
      <c r="K18" s="1112">
        <v>421.56543464743834</v>
      </c>
      <c r="L18" s="1112">
        <v>421.56543464743834</v>
      </c>
      <c r="M18" s="1112">
        <v>421.56543464743834</v>
      </c>
      <c r="N18" s="1112">
        <v>421.56543464743834</v>
      </c>
      <c r="O18" s="1112">
        <v>421.56543464743834</v>
      </c>
      <c r="P18" s="1112">
        <v>421.56543464743834</v>
      </c>
      <c r="Q18" s="1118">
        <f>6200000000/12/12</f>
        <v>43055555.55555556</v>
      </c>
      <c r="R18" s="1119">
        <f>Q18/E5</f>
        <v>298996.91358024697</v>
      </c>
    </row>
    <row r="19" spans="2:18" ht="16" x14ac:dyDescent="0.4">
      <c r="B19" s="1110"/>
      <c r="C19" s="1111" t="s">
        <v>2182</v>
      </c>
      <c r="D19" s="1117">
        <v>0.04</v>
      </c>
      <c r="E19" s="1120">
        <f t="shared" ref="E19:P19" si="5">+SUM(E9:E18)*$D19</f>
        <v>415.68640119266496</v>
      </c>
      <c r="F19" s="1120">
        <f t="shared" si="5"/>
        <v>415.68640119266496</v>
      </c>
      <c r="G19" s="1120">
        <f t="shared" si="5"/>
        <v>415.68640119266496</v>
      </c>
      <c r="H19" s="1120">
        <f t="shared" si="5"/>
        <v>415.68640119266496</v>
      </c>
      <c r="I19" s="1120">
        <f t="shared" si="5"/>
        <v>415.68640119266496</v>
      </c>
      <c r="J19" s="1120">
        <f t="shared" si="5"/>
        <v>415.68640119266496</v>
      </c>
      <c r="K19" s="1120">
        <f t="shared" si="5"/>
        <v>415.68640119266496</v>
      </c>
      <c r="L19" s="1120">
        <f t="shared" si="5"/>
        <v>415.68640119266496</v>
      </c>
      <c r="M19" s="1120">
        <f t="shared" si="5"/>
        <v>415.68640119266496</v>
      </c>
      <c r="N19" s="1120">
        <f t="shared" si="5"/>
        <v>415.68640119266496</v>
      </c>
      <c r="O19" s="1120">
        <f t="shared" si="5"/>
        <v>415.68640119266496</v>
      </c>
      <c r="P19" s="1120">
        <f t="shared" si="5"/>
        <v>415.68640119266496</v>
      </c>
    </row>
    <row r="20" spans="2:18" ht="16" x14ac:dyDescent="0.4">
      <c r="B20" s="1111"/>
      <c r="C20" s="1111" t="s">
        <v>2183</v>
      </c>
      <c r="D20" s="1111"/>
      <c r="E20" s="1112">
        <v>5000</v>
      </c>
      <c r="F20" s="1112">
        <v>5000</v>
      </c>
      <c r="G20" s="1112">
        <v>5000</v>
      </c>
      <c r="H20" s="1112">
        <v>5000</v>
      </c>
      <c r="I20" s="1112">
        <v>5000</v>
      </c>
      <c r="J20" s="1112">
        <v>5000</v>
      </c>
      <c r="K20" s="1112">
        <v>5000</v>
      </c>
      <c r="L20" s="1112">
        <v>5000</v>
      </c>
      <c r="M20" s="1112">
        <v>5000</v>
      </c>
      <c r="N20" s="1112">
        <v>5000</v>
      </c>
      <c r="O20" s="1112">
        <v>5000</v>
      </c>
      <c r="P20" s="1112">
        <v>5000</v>
      </c>
    </row>
    <row r="21" spans="2:18" ht="16" x14ac:dyDescent="0.4">
      <c r="B21" s="1121"/>
      <c r="C21" s="1121" t="s">
        <v>1666</v>
      </c>
      <c r="D21" s="1122">
        <f>E21/E$6</f>
        <v>7.3684210526315783E-2</v>
      </c>
      <c r="E21" s="1123">
        <f t="shared" ref="E21:P21" si="6">(E6-5000)*10%</f>
        <v>1400</v>
      </c>
      <c r="F21" s="1123">
        <f t="shared" si="6"/>
        <v>1400</v>
      </c>
      <c r="G21" s="1123">
        <f t="shared" si="6"/>
        <v>1400</v>
      </c>
      <c r="H21" s="1123">
        <f t="shared" si="6"/>
        <v>1400</v>
      </c>
      <c r="I21" s="1123">
        <f t="shared" si="6"/>
        <v>1400</v>
      </c>
      <c r="J21" s="1123">
        <f t="shared" si="6"/>
        <v>1400</v>
      </c>
      <c r="K21" s="1123">
        <f t="shared" si="6"/>
        <v>1400</v>
      </c>
      <c r="L21" s="1123">
        <f t="shared" si="6"/>
        <v>1400</v>
      </c>
      <c r="M21" s="1123">
        <f t="shared" si="6"/>
        <v>1400</v>
      </c>
      <c r="N21" s="1123">
        <f t="shared" si="6"/>
        <v>1400</v>
      </c>
      <c r="O21" s="1123">
        <f t="shared" si="6"/>
        <v>1400</v>
      </c>
      <c r="P21" s="1123">
        <f t="shared" si="6"/>
        <v>1400</v>
      </c>
    </row>
    <row r="22" spans="2:18" ht="16" x14ac:dyDescent="0.4">
      <c r="E22" s="1124"/>
    </row>
    <row r="23" spans="2:18" ht="16" x14ac:dyDescent="0.4">
      <c r="C23" s="1101" t="s">
        <v>2184</v>
      </c>
      <c r="E23" s="1125"/>
      <c r="F23" s="1125"/>
      <c r="G23" s="1125"/>
      <c r="H23" s="1125"/>
      <c r="I23" s="1125"/>
      <c r="J23" s="1125"/>
      <c r="K23" s="1125"/>
      <c r="L23" s="1125"/>
      <c r="M23" s="1125"/>
      <c r="N23" s="1125"/>
      <c r="O23" s="1125"/>
      <c r="P23" s="1125"/>
      <c r="Q23" s="1125"/>
    </row>
    <row r="24" spans="2:18" ht="16" x14ac:dyDescent="0.4">
      <c r="C24" s="1101" t="s">
        <v>2185</v>
      </c>
      <c r="E24" s="1126"/>
      <c r="F24" s="1126"/>
      <c r="G24" s="1126"/>
      <c r="H24" s="1126"/>
      <c r="I24" s="1126"/>
      <c r="J24" s="1126"/>
      <c r="K24" s="1126"/>
      <c r="L24" s="1126"/>
      <c r="M24" s="1126"/>
      <c r="N24" s="1126"/>
      <c r="O24" s="1126"/>
      <c r="P24" s="1126"/>
      <c r="Q24" s="1125"/>
    </row>
    <row r="25" spans="2:18" ht="16" x14ac:dyDescent="0.4">
      <c r="C25" s="1101" t="s">
        <v>2186</v>
      </c>
      <c r="E25" s="1126"/>
      <c r="F25" s="1126"/>
      <c r="G25" s="1126"/>
      <c r="H25" s="1126"/>
      <c r="I25" s="1126"/>
      <c r="J25" s="1126"/>
      <c r="K25" s="1126"/>
      <c r="L25" s="1126"/>
      <c r="M25" s="1126"/>
      <c r="N25" s="1126"/>
      <c r="O25" s="1126"/>
      <c r="P25" s="1126"/>
      <c r="Q25" s="1129"/>
    </row>
    <row r="26" spans="2:18" ht="16" x14ac:dyDescent="0.4">
      <c r="C26" s="1101" t="s">
        <v>549</v>
      </c>
      <c r="E26" s="1126"/>
      <c r="F26" s="1126"/>
      <c r="G26" s="1126"/>
      <c r="H26" s="1126"/>
      <c r="I26" s="1126"/>
      <c r="J26" s="1126"/>
      <c r="K26" s="1126"/>
      <c r="L26" s="1126"/>
      <c r="M26" s="1126"/>
      <c r="N26" s="1126"/>
      <c r="O26" s="1126"/>
      <c r="P26" s="1126"/>
      <c r="Q26" s="1129"/>
    </row>
    <row r="27" spans="2:18" ht="16" x14ac:dyDescent="0.4">
      <c r="C27" s="1101" t="s">
        <v>322</v>
      </c>
      <c r="E27" s="1126"/>
      <c r="F27" s="1126"/>
      <c r="G27" s="1126"/>
      <c r="H27" s="1126"/>
      <c r="I27" s="1126"/>
      <c r="J27" s="1126"/>
      <c r="K27" s="1126"/>
      <c r="L27" s="1126"/>
      <c r="M27" s="1126"/>
      <c r="N27" s="1126"/>
      <c r="O27" s="1126"/>
      <c r="P27" s="1126"/>
      <c r="Q27" s="1125"/>
    </row>
    <row r="28" spans="2:18" ht="16" x14ac:dyDescent="0.4">
      <c r="C28" s="1101" t="s">
        <v>2174</v>
      </c>
      <c r="E28" s="1126"/>
      <c r="F28" s="1126"/>
      <c r="G28" s="1126"/>
      <c r="H28" s="1126"/>
      <c r="I28" s="1126"/>
      <c r="J28" s="1126"/>
      <c r="K28" s="1126"/>
      <c r="L28" s="1126"/>
      <c r="M28" s="1126"/>
      <c r="N28" s="1126"/>
      <c r="O28" s="1126"/>
      <c r="P28" s="1126"/>
      <c r="Q28" s="1129"/>
    </row>
    <row r="29" spans="2:18" ht="16" x14ac:dyDescent="0.4">
      <c r="C29" s="1101" t="s">
        <v>190</v>
      </c>
      <c r="E29" s="1126"/>
      <c r="F29" s="1126"/>
      <c r="G29" s="1126"/>
      <c r="H29" s="1126"/>
      <c r="I29" s="1126"/>
      <c r="J29" s="1126"/>
      <c r="K29" s="1126"/>
      <c r="L29" s="1126"/>
      <c r="M29" s="1126"/>
      <c r="N29" s="1126"/>
      <c r="O29" s="1126"/>
      <c r="P29" s="1126"/>
      <c r="Q29" s="1129"/>
    </row>
    <row r="30" spans="2:18" ht="16" x14ac:dyDescent="0.4">
      <c r="C30" s="1101" t="s">
        <v>2177</v>
      </c>
      <c r="E30" s="1126"/>
      <c r="F30" s="1126"/>
      <c r="G30" s="1126"/>
      <c r="H30" s="1126"/>
      <c r="I30" s="1126"/>
      <c r="J30" s="1126"/>
      <c r="K30" s="1126"/>
      <c r="L30" s="1126"/>
      <c r="M30" s="1126"/>
      <c r="N30" s="1126"/>
      <c r="O30" s="1126"/>
      <c r="P30" s="1126"/>
      <c r="Q30" s="1129"/>
    </row>
    <row r="31" spans="2:18" ht="16" x14ac:dyDescent="0.4">
      <c r="C31" s="1101" t="s">
        <v>2179</v>
      </c>
      <c r="E31" s="1126"/>
      <c r="F31" s="1126"/>
      <c r="G31" s="1126"/>
      <c r="H31" s="1126"/>
      <c r="I31" s="1126"/>
      <c r="J31" s="1126"/>
      <c r="K31" s="1126"/>
      <c r="L31" s="1126"/>
      <c r="M31" s="1126"/>
      <c r="N31" s="1126"/>
      <c r="O31" s="1126"/>
      <c r="P31" s="1126"/>
      <c r="Q31" s="1129"/>
    </row>
    <row r="32" spans="2:18" ht="16" x14ac:dyDescent="0.4">
      <c r="C32" s="1101" t="s">
        <v>2181</v>
      </c>
      <c r="E32" s="1126"/>
      <c r="F32" s="1126"/>
      <c r="G32" s="1126"/>
      <c r="H32" s="1126"/>
      <c r="I32" s="1126"/>
      <c r="J32" s="1126"/>
      <c r="K32" s="1126"/>
      <c r="L32" s="1126"/>
      <c r="M32" s="1126"/>
      <c r="N32" s="1126"/>
      <c r="O32" s="1126"/>
      <c r="P32" s="1126"/>
      <c r="Q32" s="1129"/>
    </row>
    <row r="33" spans="3:17" ht="16" x14ac:dyDescent="0.4">
      <c r="C33" s="1101" t="s">
        <v>2182</v>
      </c>
      <c r="E33" s="1126"/>
      <c r="F33" s="1126"/>
      <c r="G33" s="1126"/>
      <c r="H33" s="1126"/>
      <c r="I33" s="1126"/>
      <c r="J33" s="1126"/>
      <c r="K33" s="1126"/>
      <c r="L33" s="1126"/>
      <c r="M33" s="1126"/>
      <c r="N33" s="1126"/>
      <c r="O33" s="1126"/>
      <c r="P33" s="1126"/>
      <c r="Q33" s="1129"/>
    </row>
    <row r="34" spans="3:17" ht="16" x14ac:dyDescent="0.4">
      <c r="C34" s="1101" t="s">
        <v>2183</v>
      </c>
      <c r="E34" s="1126"/>
      <c r="F34" s="1126"/>
      <c r="G34" s="1126"/>
      <c r="H34" s="1126"/>
      <c r="I34" s="1126"/>
      <c r="J34" s="1126"/>
      <c r="K34" s="1126"/>
      <c r="L34" s="1126"/>
      <c r="M34" s="1126"/>
      <c r="N34" s="1126"/>
      <c r="O34" s="1126"/>
      <c r="P34" s="1126"/>
      <c r="Q34" s="1129"/>
    </row>
    <row r="35" spans="3:17" ht="16" x14ac:dyDescent="0.4">
      <c r="C35" s="1101" t="s">
        <v>1666</v>
      </c>
      <c r="E35" s="1126"/>
      <c r="F35" s="1126"/>
      <c r="G35" s="1126"/>
      <c r="H35" s="1126"/>
      <c r="I35" s="1126"/>
      <c r="J35" s="1126"/>
      <c r="K35" s="1126"/>
      <c r="L35" s="1126"/>
      <c r="M35" s="1126"/>
      <c r="N35" s="1126"/>
      <c r="O35" s="1126"/>
      <c r="P35" s="1126"/>
      <c r="Q35" s="1129"/>
    </row>
    <row r="36" spans="3:17" ht="16" x14ac:dyDescent="0.4">
      <c r="C36" s="1101" t="s">
        <v>2188</v>
      </c>
      <c r="E36" s="1126"/>
      <c r="F36" s="1126"/>
      <c r="G36" s="1126"/>
      <c r="H36" s="1126"/>
      <c r="I36" s="1126"/>
      <c r="J36" s="1126"/>
      <c r="K36" s="1126"/>
      <c r="L36" s="1126"/>
      <c r="M36" s="1126"/>
      <c r="N36" s="1126"/>
      <c r="O36" s="1126"/>
      <c r="P36" s="1126"/>
      <c r="Q36" s="1129"/>
    </row>
    <row r="37" spans="3:17" ht="16" x14ac:dyDescent="0.4">
      <c r="C37" s="1101" t="s">
        <v>2187</v>
      </c>
      <c r="E37" s="1126"/>
      <c r="F37" s="1126"/>
      <c r="G37" s="1126"/>
      <c r="H37" s="1126"/>
      <c r="I37" s="1126"/>
      <c r="J37" s="1126"/>
      <c r="K37" s="1126"/>
      <c r="L37" s="1126"/>
      <c r="M37" s="1126"/>
      <c r="N37" s="1126"/>
      <c r="O37" s="1126"/>
      <c r="P37" s="1126"/>
      <c r="Q37" s="1129"/>
    </row>
    <row r="38" spans="3:17" ht="16" x14ac:dyDescent="0.4">
      <c r="E38" s="1126"/>
      <c r="F38" s="1126"/>
      <c r="G38" s="1126"/>
      <c r="H38" s="1126"/>
      <c r="I38" s="1126"/>
      <c r="J38" s="1126"/>
      <c r="K38" s="1126"/>
      <c r="L38" s="1126"/>
      <c r="M38" s="1126"/>
      <c r="N38" s="1126"/>
      <c r="O38" s="1126"/>
      <c r="P38" s="1126"/>
    </row>
    <row r="39" spans="3:17" ht="16" x14ac:dyDescent="0.4">
      <c r="C39" s="1101" t="s">
        <v>2193</v>
      </c>
      <c r="E39" s="1126"/>
      <c r="F39" s="1126"/>
      <c r="G39" s="1126"/>
      <c r="H39" s="1126"/>
      <c r="I39" s="1126"/>
      <c r="J39" s="1126"/>
      <c r="K39" s="1126"/>
      <c r="L39" s="1126"/>
      <c r="M39" s="1126"/>
      <c r="N39" s="1126"/>
      <c r="O39" s="1126"/>
      <c r="P39" s="1126"/>
    </row>
    <row r="40" spans="3:17" ht="16" x14ac:dyDescent="0.4">
      <c r="C40" s="1101" t="s">
        <v>2189</v>
      </c>
      <c r="E40" s="1126"/>
      <c r="F40" s="1126"/>
      <c r="G40" s="1126"/>
      <c r="H40" s="1126"/>
      <c r="I40" s="1126"/>
      <c r="J40" s="1126"/>
      <c r="K40" s="1126"/>
      <c r="L40" s="1126"/>
      <c r="M40" s="1126"/>
      <c r="N40" s="1126"/>
      <c r="O40" s="1126"/>
      <c r="P40" s="1126"/>
    </row>
    <row r="41" spans="3:17" ht="16" x14ac:dyDescent="0.4">
      <c r="C41" s="1101" t="s">
        <v>2191</v>
      </c>
      <c r="E41" s="1126"/>
      <c r="F41" s="1126"/>
      <c r="G41" s="1126"/>
      <c r="H41" s="1126"/>
      <c r="I41" s="1126"/>
      <c r="J41" s="1126"/>
      <c r="K41" s="1126"/>
      <c r="L41" s="1126"/>
      <c r="M41" s="1126"/>
      <c r="N41" s="1126"/>
      <c r="O41" s="1126"/>
      <c r="P41" s="1126"/>
    </row>
    <row r="42" spans="3:17" ht="16" x14ac:dyDescent="0.4">
      <c r="C42" s="1101" t="s">
        <v>2190</v>
      </c>
      <c r="E42" s="1126"/>
      <c r="F42" s="1126"/>
      <c r="G42" s="1126"/>
      <c r="H42" s="1126"/>
      <c r="I42" s="1126"/>
      <c r="J42" s="1126"/>
      <c r="K42" s="1126"/>
      <c r="L42" s="1126"/>
      <c r="M42" s="1126"/>
      <c r="N42" s="1126"/>
      <c r="O42" s="1126"/>
      <c r="P42" s="1126"/>
    </row>
    <row r="43" spans="3:17" ht="16" x14ac:dyDescent="0.4">
      <c r="C43" s="1101" t="s">
        <v>2170</v>
      </c>
      <c r="D43" s="1130">
        <v>0.15</v>
      </c>
      <c r="E43" s="1126"/>
      <c r="F43" s="1126"/>
      <c r="G43" s="1126"/>
      <c r="H43" s="1126"/>
      <c r="I43" s="1126"/>
      <c r="J43" s="1126"/>
      <c r="K43" s="1126"/>
      <c r="L43" s="1126"/>
      <c r="M43" s="1126"/>
      <c r="N43" s="1126"/>
      <c r="O43" s="1126"/>
      <c r="P43" s="1126"/>
    </row>
    <row r="44" spans="3:17" ht="16" x14ac:dyDescent="0.4">
      <c r="C44" s="1101" t="s">
        <v>2192</v>
      </c>
      <c r="E44" s="1126"/>
      <c r="F44" s="1126"/>
      <c r="G44" s="1126"/>
      <c r="H44" s="1126"/>
      <c r="I44" s="1126"/>
      <c r="J44" s="1126"/>
      <c r="K44" s="1126"/>
      <c r="L44" s="1126"/>
      <c r="M44" s="1126"/>
      <c r="N44" s="1126"/>
      <c r="O44" s="1126"/>
      <c r="P44" s="1126"/>
    </row>
    <row r="45" spans="3:17" ht="16" x14ac:dyDescent="0.4">
      <c r="E45" s="1126"/>
      <c r="F45" s="1126"/>
      <c r="G45" s="1126"/>
      <c r="H45" s="1126"/>
      <c r="I45" s="1126"/>
      <c r="J45" s="1126"/>
      <c r="K45" s="1126"/>
      <c r="L45" s="1126"/>
      <c r="M45" s="1126"/>
      <c r="N45" s="1126"/>
      <c r="O45" s="1126"/>
      <c r="P45" s="1126"/>
    </row>
    <row r="46" spans="3:17" ht="16" x14ac:dyDescent="0.4">
      <c r="E46" s="1126"/>
      <c r="F46" s="1126"/>
      <c r="G46" s="1126"/>
      <c r="H46" s="1126"/>
      <c r="I46" s="1126"/>
      <c r="J46" s="1126"/>
      <c r="K46" s="1126"/>
      <c r="L46" s="1126"/>
      <c r="M46" s="1126"/>
      <c r="N46" s="1126"/>
      <c r="O46" s="1126"/>
      <c r="P46" s="11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R122"/>
  <sheetViews>
    <sheetView topLeftCell="A118" workbookViewId="0">
      <selection activeCell="E120" sqref="E120"/>
    </sheetView>
  </sheetViews>
  <sheetFormatPr defaultRowHeight="14.5" x14ac:dyDescent="0.35"/>
  <cols>
    <col min="3" max="3" width="41.81640625" customWidth="1"/>
    <col min="4" max="4" width="11" bestFit="1" customWidth="1"/>
    <col min="6" max="6" width="10" customWidth="1"/>
    <col min="7" max="7" width="11.81640625" bestFit="1" customWidth="1"/>
  </cols>
  <sheetData>
    <row r="1" spans="2:12" ht="16" x14ac:dyDescent="0.35">
      <c r="B1" s="92"/>
    </row>
    <row r="3" spans="2:12" x14ac:dyDescent="0.35">
      <c r="B3" s="63" t="s">
        <v>240</v>
      </c>
    </row>
    <row r="4" spans="2:12" x14ac:dyDescent="0.35">
      <c r="B4" s="11" t="s">
        <v>241</v>
      </c>
      <c r="E4" s="11" t="s">
        <v>2130</v>
      </c>
      <c r="F4" s="18" t="s">
        <v>2131</v>
      </c>
      <c r="H4" s="11" t="s">
        <v>2132</v>
      </c>
    </row>
    <row r="5" spans="2:12" ht="65" x14ac:dyDescent="0.35">
      <c r="B5" s="116" t="s">
        <v>36</v>
      </c>
      <c r="C5" s="909" t="s">
        <v>242</v>
      </c>
      <c r="D5" s="116" t="s">
        <v>243</v>
      </c>
      <c r="E5" s="116" t="s">
        <v>244</v>
      </c>
      <c r="F5" s="172" t="s">
        <v>245</v>
      </c>
      <c r="G5" s="116" t="s">
        <v>246</v>
      </c>
      <c r="H5" s="116" t="s">
        <v>247</v>
      </c>
      <c r="I5" s="116" t="s">
        <v>248</v>
      </c>
      <c r="J5" s="116" t="s">
        <v>249</v>
      </c>
      <c r="K5" s="909" t="s">
        <v>250</v>
      </c>
    </row>
    <row r="6" spans="2:12" ht="25" x14ac:dyDescent="0.35">
      <c r="B6" s="120">
        <v>1</v>
      </c>
      <c r="C6" s="97" t="s">
        <v>251</v>
      </c>
      <c r="D6" s="93">
        <v>1500</v>
      </c>
      <c r="E6" s="93">
        <v>1500</v>
      </c>
      <c r="F6" s="93">
        <v>1500</v>
      </c>
      <c r="G6" s="94" t="s">
        <v>252</v>
      </c>
      <c r="H6" s="93">
        <v>1100</v>
      </c>
      <c r="I6" s="93">
        <v>1400</v>
      </c>
      <c r="J6" s="93"/>
      <c r="K6" s="910">
        <f>D6*(100%-$D$14)</f>
        <v>1335</v>
      </c>
      <c r="L6" s="12"/>
    </row>
    <row r="7" spans="2:12" ht="25" x14ac:dyDescent="0.35">
      <c r="B7" s="120">
        <v>2</v>
      </c>
      <c r="C7" s="97" t="s">
        <v>253</v>
      </c>
      <c r="D7" s="93">
        <v>1400</v>
      </c>
      <c r="E7" s="93">
        <v>1200</v>
      </c>
      <c r="F7" s="93">
        <v>1200</v>
      </c>
      <c r="G7" s="94">
        <f>D7*95%</f>
        <v>1330</v>
      </c>
      <c r="H7" s="94">
        <f>D7*90%</f>
        <v>1260</v>
      </c>
      <c r="I7" s="93">
        <v>1300</v>
      </c>
      <c r="J7" s="95"/>
      <c r="K7" s="910">
        <f>E15</f>
        <v>1246</v>
      </c>
    </row>
    <row r="8" spans="2:12" ht="25" x14ac:dyDescent="0.35">
      <c r="B8" s="120">
        <v>3</v>
      </c>
      <c r="C8" s="97" t="s">
        <v>254</v>
      </c>
      <c r="D8" s="93">
        <v>2</v>
      </c>
      <c r="E8" s="93">
        <v>2</v>
      </c>
      <c r="F8" s="96">
        <f>4+1</f>
        <v>5</v>
      </c>
      <c r="G8" s="93">
        <v>1</v>
      </c>
      <c r="H8" s="96">
        <f>5</f>
        <v>5</v>
      </c>
      <c r="I8" s="93">
        <f>1</f>
        <v>1</v>
      </c>
      <c r="J8" s="96">
        <v>2</v>
      </c>
      <c r="K8" s="910">
        <f>SUM(D8:J8)</f>
        <v>18</v>
      </c>
    </row>
    <row r="9" spans="2:12" x14ac:dyDescent="0.35">
      <c r="B9" s="120"/>
      <c r="C9" s="121" t="s">
        <v>255</v>
      </c>
      <c r="D9" s="113"/>
      <c r="E9" s="97"/>
      <c r="F9" s="98"/>
      <c r="G9" s="98"/>
      <c r="H9" s="97"/>
      <c r="I9" s="97"/>
      <c r="J9" s="97"/>
      <c r="K9" s="101"/>
    </row>
    <row r="10" spans="2:12" x14ac:dyDescent="0.35">
      <c r="E10" s="14"/>
      <c r="F10" s="20"/>
      <c r="G10" s="20"/>
      <c r="H10" s="14"/>
      <c r="I10" s="14"/>
    </row>
    <row r="11" spans="2:12" x14ac:dyDescent="0.35">
      <c r="B11" s="118" t="s">
        <v>36</v>
      </c>
      <c r="C11" s="118" t="s">
        <v>256</v>
      </c>
      <c r="D11" s="118" t="s">
        <v>257</v>
      </c>
      <c r="E11" s="118" t="s">
        <v>258</v>
      </c>
      <c r="F11" s="118" t="s">
        <v>259</v>
      </c>
      <c r="G11" s="118" t="s">
        <v>260</v>
      </c>
      <c r="H11" s="118" t="s">
        <v>261</v>
      </c>
      <c r="I11" s="118" t="s">
        <v>262</v>
      </c>
    </row>
    <row r="12" spans="2:12" x14ac:dyDescent="0.35">
      <c r="B12" s="255">
        <v>1</v>
      </c>
      <c r="C12" s="121" t="s">
        <v>263</v>
      </c>
      <c r="D12" s="121" t="s">
        <v>264</v>
      </c>
      <c r="E12" s="93">
        <f>K8</f>
        <v>18</v>
      </c>
      <c r="F12" s="93">
        <f>$E12</f>
        <v>18</v>
      </c>
      <c r="G12" s="93">
        <f>$F12*1.5</f>
        <v>27</v>
      </c>
      <c r="H12" s="93">
        <f>$F12*2</f>
        <v>36</v>
      </c>
      <c r="I12" s="93">
        <f>$G12*2</f>
        <v>54</v>
      </c>
    </row>
    <row r="13" spans="2:12" x14ac:dyDescent="0.35">
      <c r="B13" s="255">
        <v>2</v>
      </c>
      <c r="C13" s="121" t="s">
        <v>265</v>
      </c>
      <c r="D13" s="121" t="s">
        <v>266</v>
      </c>
      <c r="E13" s="93">
        <f>D7</f>
        <v>1400</v>
      </c>
      <c r="F13" s="93">
        <f>$E13*8</f>
        <v>11200</v>
      </c>
      <c r="G13" s="93">
        <f>$F13*1.5</f>
        <v>16800</v>
      </c>
      <c r="H13" s="93">
        <f>$F13*2</f>
        <v>22400</v>
      </c>
      <c r="I13" s="93">
        <f>$G13*2</f>
        <v>33600</v>
      </c>
      <c r="J13" s="105"/>
    </row>
    <row r="14" spans="2:12" x14ac:dyDescent="0.35">
      <c r="B14" s="255">
        <v>3</v>
      </c>
      <c r="C14" s="121" t="s">
        <v>267</v>
      </c>
      <c r="D14" s="911">
        <f>'2.Hao hut &amp; % chai '!$N$8</f>
        <v>0.11</v>
      </c>
      <c r="E14" s="93">
        <f>E13*$D$14</f>
        <v>154</v>
      </c>
      <c r="F14" s="93">
        <f>$E14*8</f>
        <v>1232</v>
      </c>
      <c r="G14" s="93">
        <f>$E14*12</f>
        <v>1848</v>
      </c>
      <c r="H14" s="93">
        <f>$F14*2</f>
        <v>2464</v>
      </c>
      <c r="I14" s="93">
        <f>$G14*2</f>
        <v>3696</v>
      </c>
    </row>
    <row r="15" spans="2:12" x14ac:dyDescent="0.35">
      <c r="B15" s="255">
        <v>4</v>
      </c>
      <c r="C15" s="121" t="s">
        <v>268</v>
      </c>
      <c r="D15" s="121" t="s">
        <v>266</v>
      </c>
      <c r="E15" s="912">
        <f>E13-E14</f>
        <v>1246</v>
      </c>
      <c r="F15" s="93">
        <f>$E15*8</f>
        <v>9968</v>
      </c>
      <c r="G15" s="93">
        <f>$F15*1.5</f>
        <v>14952</v>
      </c>
      <c r="H15" s="93">
        <f>$F15*2</f>
        <v>19936</v>
      </c>
      <c r="I15" s="93">
        <f>$G15*2</f>
        <v>29904</v>
      </c>
    </row>
    <row r="16" spans="2:12" x14ac:dyDescent="0.35">
      <c r="B16" s="255">
        <v>5</v>
      </c>
      <c r="C16" s="121" t="s">
        <v>269</v>
      </c>
      <c r="D16" s="121" t="s">
        <v>270</v>
      </c>
      <c r="E16" s="93">
        <f>E15/K8</f>
        <v>69.222222222222229</v>
      </c>
      <c r="F16" s="93">
        <f>$E16*8</f>
        <v>553.77777777777783</v>
      </c>
      <c r="G16" s="93">
        <f>$F16*1.5</f>
        <v>830.66666666666674</v>
      </c>
      <c r="H16" s="93">
        <f>$F16*2</f>
        <v>1107.5555555555557</v>
      </c>
      <c r="I16" s="93">
        <f>$G16*2</f>
        <v>1661.3333333333335</v>
      </c>
    </row>
    <row r="18" spans="2:12" x14ac:dyDescent="0.35">
      <c r="B18" s="11" t="s">
        <v>271</v>
      </c>
      <c r="F18" s="18"/>
    </row>
    <row r="19" spans="2:12" ht="65" x14ac:dyDescent="0.35">
      <c r="B19" s="116" t="s">
        <v>36</v>
      </c>
      <c r="C19" s="909" t="s">
        <v>242</v>
      </c>
      <c r="D19" s="116" t="s">
        <v>243</v>
      </c>
      <c r="E19" s="116" t="s">
        <v>272</v>
      </c>
      <c r="F19" s="172" t="s">
        <v>245</v>
      </c>
      <c r="G19" s="116" t="s">
        <v>246</v>
      </c>
      <c r="H19" s="116" t="s">
        <v>247</v>
      </c>
      <c r="I19" s="116" t="s">
        <v>248</v>
      </c>
      <c r="J19" s="116" t="s">
        <v>249</v>
      </c>
      <c r="K19" s="909" t="s">
        <v>250</v>
      </c>
    </row>
    <row r="20" spans="2:12" ht="25" x14ac:dyDescent="0.35">
      <c r="B20" s="120">
        <v>1</v>
      </c>
      <c r="C20" s="97" t="s">
        <v>251</v>
      </c>
      <c r="D20" s="93">
        <v>1500</v>
      </c>
      <c r="E20" s="93"/>
      <c r="F20" s="93">
        <v>1500</v>
      </c>
      <c r="G20" s="94" t="s">
        <v>252</v>
      </c>
      <c r="H20" s="93">
        <v>1100</v>
      </c>
      <c r="I20" s="93">
        <v>1400</v>
      </c>
      <c r="J20" s="93"/>
      <c r="K20" s="910">
        <f>D20*(100%-$D$14)</f>
        <v>1335</v>
      </c>
    </row>
    <row r="21" spans="2:12" ht="25" x14ac:dyDescent="0.35">
      <c r="B21" s="120">
        <v>2</v>
      </c>
      <c r="C21" s="97" t="s">
        <v>253</v>
      </c>
      <c r="D21" s="93">
        <v>1400</v>
      </c>
      <c r="E21" s="95">
        <f>D21</f>
        <v>1400</v>
      </c>
      <c r="F21" s="95">
        <f>E21</f>
        <v>1400</v>
      </c>
      <c r="G21" s="94">
        <f>F21</f>
        <v>1400</v>
      </c>
      <c r="H21" s="94">
        <f>G21</f>
        <v>1400</v>
      </c>
      <c r="I21" s="95">
        <v>1300</v>
      </c>
      <c r="J21" s="95"/>
      <c r="K21" s="99">
        <f>E29</f>
        <v>1218</v>
      </c>
      <c r="L21" s="19"/>
    </row>
    <row r="22" spans="2:12" ht="25" x14ac:dyDescent="0.35">
      <c r="B22" s="120">
        <v>3</v>
      </c>
      <c r="C22" s="97" t="s">
        <v>254</v>
      </c>
      <c r="D22" s="96">
        <v>2</v>
      </c>
      <c r="E22" s="96">
        <v>2</v>
      </c>
      <c r="F22" s="96">
        <f>3+1+1</f>
        <v>5</v>
      </c>
      <c r="G22" s="96">
        <v>1</v>
      </c>
      <c r="H22" s="96">
        <v>6</v>
      </c>
      <c r="I22" s="96">
        <f>1+1</f>
        <v>2</v>
      </c>
      <c r="J22" s="96">
        <v>2</v>
      </c>
      <c r="K22" s="100">
        <f>SUM(D22:J22)</f>
        <v>20</v>
      </c>
      <c r="L22" s="19"/>
    </row>
    <row r="23" spans="2:12" x14ac:dyDescent="0.35">
      <c r="B23" s="120"/>
      <c r="C23" s="121" t="s">
        <v>255</v>
      </c>
      <c r="D23" s="113"/>
      <c r="E23" s="97"/>
      <c r="F23" s="104"/>
      <c r="G23" s="104"/>
      <c r="H23" s="97"/>
      <c r="I23" s="97"/>
      <c r="J23" s="97"/>
      <c r="K23" s="101"/>
      <c r="L23" s="115"/>
    </row>
    <row r="24" spans="2:12" x14ac:dyDescent="0.35">
      <c r="E24" s="14"/>
      <c r="F24" s="20"/>
      <c r="G24" s="20"/>
      <c r="H24" s="14"/>
      <c r="I24" s="14"/>
    </row>
    <row r="25" spans="2:12" x14ac:dyDescent="0.35">
      <c r="B25" s="118" t="s">
        <v>36</v>
      </c>
      <c r="C25" s="118" t="s">
        <v>256</v>
      </c>
      <c r="D25" s="913" t="s">
        <v>257</v>
      </c>
      <c r="E25" s="913" t="s">
        <v>258</v>
      </c>
      <c r="F25" s="913" t="s">
        <v>259</v>
      </c>
      <c r="G25" s="913" t="s">
        <v>260</v>
      </c>
      <c r="H25" s="913" t="s">
        <v>261</v>
      </c>
      <c r="I25" s="913" t="s">
        <v>262</v>
      </c>
    </row>
    <row r="26" spans="2:12" x14ac:dyDescent="0.35">
      <c r="B26" s="255">
        <v>1</v>
      </c>
      <c r="C26" s="121" t="s">
        <v>263</v>
      </c>
      <c r="D26" s="21" t="s">
        <v>264</v>
      </c>
      <c r="E26" s="93">
        <f>K22</f>
        <v>20</v>
      </c>
      <c r="F26" s="93">
        <f>$E26</f>
        <v>20</v>
      </c>
      <c r="G26" s="93">
        <f>$F26*1.5</f>
        <v>30</v>
      </c>
      <c r="H26" s="93">
        <f>$F26*2</f>
        <v>40</v>
      </c>
      <c r="I26" s="93">
        <f>$G26*2</f>
        <v>60</v>
      </c>
    </row>
    <row r="27" spans="2:12" x14ac:dyDescent="0.35">
      <c r="B27" s="255">
        <v>2</v>
      </c>
      <c r="C27" s="121" t="s">
        <v>265</v>
      </c>
      <c r="D27" s="21" t="s">
        <v>266</v>
      </c>
      <c r="E27" s="93">
        <f>G21</f>
        <v>1400</v>
      </c>
      <c r="F27" s="93">
        <f>$E27*8</f>
        <v>11200</v>
      </c>
      <c r="G27" s="93">
        <f>$F27*1.5</f>
        <v>16800</v>
      </c>
      <c r="H27" s="93">
        <f>$F27*2</f>
        <v>22400</v>
      </c>
      <c r="I27" s="93">
        <f>$G27*2</f>
        <v>33600</v>
      </c>
    </row>
    <row r="28" spans="2:12" x14ac:dyDescent="0.35">
      <c r="B28" s="255">
        <v>3</v>
      </c>
      <c r="C28" s="121" t="s">
        <v>267</v>
      </c>
      <c r="D28" s="151">
        <f>'2.Hao hut &amp; % chai '!$N$14</f>
        <v>0.13</v>
      </c>
      <c r="E28" s="93">
        <f>E27*$D$28</f>
        <v>182</v>
      </c>
      <c r="F28" s="93">
        <f>$E28*8</f>
        <v>1456</v>
      </c>
      <c r="G28" s="93">
        <f>$F28*1.5</f>
        <v>2184</v>
      </c>
      <c r="H28" s="93">
        <f>$F28*2</f>
        <v>2912</v>
      </c>
      <c r="I28" s="93">
        <f>$G28*2</f>
        <v>4368</v>
      </c>
    </row>
    <row r="29" spans="2:12" x14ac:dyDescent="0.35">
      <c r="B29" s="255">
        <v>4</v>
      </c>
      <c r="C29" s="121" t="s">
        <v>268</v>
      </c>
      <c r="D29" s="21" t="s">
        <v>266</v>
      </c>
      <c r="E29" s="912">
        <f>E27-E28</f>
        <v>1218</v>
      </c>
      <c r="F29" s="93">
        <f>$E29*8</f>
        <v>9744</v>
      </c>
      <c r="G29" s="93">
        <f>$F29*1.5</f>
        <v>14616</v>
      </c>
      <c r="H29" s="93">
        <f>$F29*2</f>
        <v>19488</v>
      </c>
      <c r="I29" s="93">
        <f>$G29*2</f>
        <v>29232</v>
      </c>
    </row>
    <row r="30" spans="2:12" x14ac:dyDescent="0.35">
      <c r="B30" s="255">
        <v>5</v>
      </c>
      <c r="C30" s="121" t="s">
        <v>269</v>
      </c>
      <c r="D30" s="21" t="s">
        <v>270</v>
      </c>
      <c r="E30" s="93">
        <f>E29/K22</f>
        <v>60.9</v>
      </c>
      <c r="F30" s="93">
        <f>$E30*8</f>
        <v>487.2</v>
      </c>
      <c r="G30" s="93">
        <f>$F30*1.5</f>
        <v>730.8</v>
      </c>
      <c r="H30" s="93">
        <f>$F30*2</f>
        <v>974.4</v>
      </c>
      <c r="I30" s="93">
        <f>$G30*2</f>
        <v>1461.6</v>
      </c>
    </row>
    <row r="31" spans="2:12" x14ac:dyDescent="0.35">
      <c r="B31" s="13"/>
    </row>
    <row r="32" spans="2:12" x14ac:dyDescent="0.35">
      <c r="B32" s="11" t="s">
        <v>273</v>
      </c>
      <c r="F32" s="18"/>
    </row>
    <row r="33" spans="2:18" ht="65" x14ac:dyDescent="0.35">
      <c r="B33" s="116" t="s">
        <v>36</v>
      </c>
      <c r="C33" s="909" t="s">
        <v>242</v>
      </c>
      <c r="D33" s="116" t="s">
        <v>243</v>
      </c>
      <c r="E33" s="116" t="s">
        <v>244</v>
      </c>
      <c r="F33" s="172" t="s">
        <v>245</v>
      </c>
      <c r="G33" s="116" t="s">
        <v>246</v>
      </c>
      <c r="H33" s="116" t="s">
        <v>247</v>
      </c>
      <c r="I33" s="116" t="s">
        <v>248</v>
      </c>
      <c r="J33" s="116" t="s">
        <v>249</v>
      </c>
      <c r="K33" s="909" t="s">
        <v>250</v>
      </c>
    </row>
    <row r="34" spans="2:18" ht="25" x14ac:dyDescent="0.35">
      <c r="B34" s="120">
        <v>1</v>
      </c>
      <c r="C34" s="97" t="s">
        <v>251</v>
      </c>
      <c r="D34" s="93">
        <v>2000</v>
      </c>
      <c r="E34" s="93">
        <v>2000</v>
      </c>
      <c r="F34" s="93">
        <v>1500</v>
      </c>
      <c r="G34" s="94" t="s">
        <v>274</v>
      </c>
      <c r="H34" s="93">
        <v>1000</v>
      </c>
      <c r="I34" s="93">
        <v>1400</v>
      </c>
      <c r="J34" s="93"/>
      <c r="K34" s="910">
        <v>1300</v>
      </c>
    </row>
    <row r="35" spans="2:18" ht="25" x14ac:dyDescent="0.35">
      <c r="B35" s="120">
        <v>2</v>
      </c>
      <c r="C35" s="97" t="s">
        <v>253</v>
      </c>
      <c r="D35" s="93">
        <v>2000</v>
      </c>
      <c r="E35" s="93">
        <v>2000</v>
      </c>
      <c r="F35" s="93">
        <v>1500</v>
      </c>
      <c r="G35" s="94">
        <v>1000</v>
      </c>
      <c r="H35" s="94">
        <v>900</v>
      </c>
      <c r="I35" s="93">
        <v>1300</v>
      </c>
      <c r="J35" s="95"/>
      <c r="K35" s="910">
        <f>E43</f>
        <v>1926</v>
      </c>
    </row>
    <row r="36" spans="2:18" ht="25" x14ac:dyDescent="0.35">
      <c r="B36" s="120">
        <v>3</v>
      </c>
      <c r="C36" s="97" t="s">
        <v>254</v>
      </c>
      <c r="D36" s="93">
        <v>2</v>
      </c>
      <c r="E36" s="93"/>
      <c r="F36" s="96">
        <v>2</v>
      </c>
      <c r="G36" s="93">
        <v>1</v>
      </c>
      <c r="H36" s="96">
        <v>2</v>
      </c>
      <c r="I36" s="93">
        <v>2</v>
      </c>
      <c r="J36" s="96">
        <v>2</v>
      </c>
      <c r="K36" s="910">
        <f>SUM(D36:J36)</f>
        <v>11</v>
      </c>
    </row>
    <row r="37" spans="2:18" x14ac:dyDescent="0.35">
      <c r="B37" s="120"/>
      <c r="C37" s="121" t="s">
        <v>255</v>
      </c>
      <c r="D37" s="113"/>
      <c r="E37" s="97"/>
      <c r="F37" s="98"/>
      <c r="G37" s="98"/>
      <c r="H37" s="97"/>
      <c r="I37" s="97"/>
      <c r="J37" s="97"/>
      <c r="K37" s="101"/>
    </row>
    <row r="38" spans="2:18" x14ac:dyDescent="0.35">
      <c r="E38" s="14"/>
      <c r="F38" s="20"/>
      <c r="G38" s="20"/>
      <c r="H38" s="14"/>
      <c r="I38" s="14"/>
    </row>
    <row r="39" spans="2:18" x14ac:dyDescent="0.35">
      <c r="B39" s="118" t="s">
        <v>36</v>
      </c>
      <c r="C39" s="118" t="s">
        <v>256</v>
      </c>
      <c r="D39" s="118" t="s">
        <v>257</v>
      </c>
      <c r="E39" s="118" t="s">
        <v>258</v>
      </c>
      <c r="F39" s="118" t="s">
        <v>259</v>
      </c>
      <c r="G39" s="118" t="s">
        <v>260</v>
      </c>
      <c r="H39" s="118" t="s">
        <v>261</v>
      </c>
      <c r="I39" s="118" t="s">
        <v>262</v>
      </c>
    </row>
    <row r="40" spans="2:18" x14ac:dyDescent="0.35">
      <c r="B40" s="255">
        <v>1</v>
      </c>
      <c r="C40" s="121" t="s">
        <v>263</v>
      </c>
      <c r="D40" s="121" t="s">
        <v>264</v>
      </c>
      <c r="E40" s="93">
        <f>K36</f>
        <v>11</v>
      </c>
      <c r="F40" s="93">
        <f>$E40</f>
        <v>11</v>
      </c>
      <c r="G40" s="93">
        <f>$F40*1.5</f>
        <v>16.5</v>
      </c>
      <c r="H40" s="93">
        <f>$F40*2</f>
        <v>22</v>
      </c>
      <c r="I40" s="93">
        <f>$G40*2</f>
        <v>33</v>
      </c>
    </row>
    <row r="41" spans="2:18" x14ac:dyDescent="0.35">
      <c r="B41" s="255">
        <v>2</v>
      </c>
      <c r="C41" s="121" t="s">
        <v>265</v>
      </c>
      <c r="D41" s="121" t="s">
        <v>266</v>
      </c>
      <c r="E41" s="93">
        <f>$E$35</f>
        <v>2000</v>
      </c>
      <c r="F41" s="93">
        <f>$E41*8</f>
        <v>16000</v>
      </c>
      <c r="G41" s="93">
        <f>$F41*1.5</f>
        <v>24000</v>
      </c>
      <c r="H41" s="93">
        <f>$F41*2</f>
        <v>32000</v>
      </c>
      <c r="I41" s="93">
        <f>$G41*2</f>
        <v>48000</v>
      </c>
      <c r="J41" s="105"/>
    </row>
    <row r="42" spans="2:18" x14ac:dyDescent="0.35">
      <c r="B42" s="255">
        <v>3</v>
      </c>
      <c r="C42" s="121" t="s">
        <v>267</v>
      </c>
      <c r="D42" s="914">
        <f>'2.Hao hut &amp; % chai '!$G$20</f>
        <v>3.6999999999999998E-2</v>
      </c>
      <c r="E42" s="93">
        <f>E41*$D$42</f>
        <v>74</v>
      </c>
      <c r="F42" s="93">
        <f>$E42*8</f>
        <v>592</v>
      </c>
      <c r="G42" s="93">
        <f>$E42*12</f>
        <v>888</v>
      </c>
      <c r="H42" s="93">
        <f>$F42*2</f>
        <v>1184</v>
      </c>
      <c r="I42" s="93">
        <f>$G42*2</f>
        <v>1776</v>
      </c>
    </row>
    <row r="43" spans="2:18" x14ac:dyDescent="0.35">
      <c r="B43" s="255">
        <v>4</v>
      </c>
      <c r="C43" s="121" t="s">
        <v>268</v>
      </c>
      <c r="D43" s="121" t="s">
        <v>266</v>
      </c>
      <c r="E43" s="912">
        <f>E41-E42</f>
        <v>1926</v>
      </c>
      <c r="F43" s="93">
        <f>$E43*8</f>
        <v>15408</v>
      </c>
      <c r="G43" s="93">
        <f>$F43*1.5</f>
        <v>23112</v>
      </c>
      <c r="H43" s="93">
        <f>$F43*2</f>
        <v>30816</v>
      </c>
      <c r="I43" s="93">
        <f>$G43*2</f>
        <v>46224</v>
      </c>
      <c r="J43" s="117"/>
    </row>
    <row r="44" spans="2:18" x14ac:dyDescent="0.35">
      <c r="B44" s="255">
        <v>5</v>
      </c>
      <c r="C44" s="121" t="s">
        <v>269</v>
      </c>
      <c r="D44" s="121" t="s">
        <v>270</v>
      </c>
      <c r="E44" s="93">
        <f>E43/K36</f>
        <v>175.09090909090909</v>
      </c>
      <c r="F44" s="93">
        <f>$E44*8</f>
        <v>1400.7272727272727</v>
      </c>
      <c r="G44" s="93">
        <f>$F44*1.5</f>
        <v>2101.090909090909</v>
      </c>
      <c r="H44" s="93">
        <f>$F44*2</f>
        <v>2801.4545454545455</v>
      </c>
      <c r="I44" s="93">
        <f>$G44*2</f>
        <v>4202.181818181818</v>
      </c>
    </row>
    <row r="46" spans="2:18" x14ac:dyDescent="0.35">
      <c r="B46" s="11" t="s">
        <v>275</v>
      </c>
      <c r="E46" s="13"/>
      <c r="F46" s="13"/>
      <c r="G46" s="13"/>
      <c r="H46" s="13"/>
      <c r="I46" s="13"/>
      <c r="J46" s="13"/>
      <c r="K46" s="13"/>
      <c r="L46" s="13"/>
      <c r="M46" s="13"/>
    </row>
    <row r="47" spans="2:18" ht="26" x14ac:dyDescent="0.35">
      <c r="B47" s="118">
        <v>1</v>
      </c>
      <c r="C47" s="119" t="s">
        <v>276</v>
      </c>
      <c r="D47" s="119"/>
      <c r="E47" s="118" t="s">
        <v>277</v>
      </c>
      <c r="F47" s="116" t="s">
        <v>149</v>
      </c>
      <c r="G47" s="116" t="s">
        <v>150</v>
      </c>
      <c r="H47" s="116" t="s">
        <v>151</v>
      </c>
      <c r="I47" s="116" t="s">
        <v>152</v>
      </c>
      <c r="J47" s="116" t="s">
        <v>153</v>
      </c>
      <c r="K47" s="116" t="s">
        <v>154</v>
      </c>
      <c r="L47" s="116" t="s">
        <v>155</v>
      </c>
      <c r="M47" s="116" t="s">
        <v>156</v>
      </c>
      <c r="N47" s="116" t="s">
        <v>157</v>
      </c>
      <c r="O47" s="116" t="s">
        <v>158</v>
      </c>
      <c r="P47" s="116" t="s">
        <v>159</v>
      </c>
      <c r="Q47" s="116" t="s">
        <v>160</v>
      </c>
      <c r="R47" s="116" t="s">
        <v>161</v>
      </c>
    </row>
    <row r="48" spans="2:18" x14ac:dyDescent="0.35">
      <c r="B48" s="120" t="s">
        <v>278</v>
      </c>
      <c r="C48" s="121" t="s">
        <v>279</v>
      </c>
      <c r="D48" s="121" t="s">
        <v>264</v>
      </c>
      <c r="E48" s="122">
        <f>E12</f>
        <v>18</v>
      </c>
      <c r="F48" s="93">
        <f>E48</f>
        <v>18</v>
      </c>
      <c r="G48" s="93">
        <f>F48</f>
        <v>18</v>
      </c>
      <c r="H48" s="93">
        <f>G48</f>
        <v>18</v>
      </c>
      <c r="I48" s="93">
        <f>H48</f>
        <v>18</v>
      </c>
      <c r="J48" s="93">
        <f>E48</f>
        <v>18</v>
      </c>
      <c r="K48" s="93">
        <f t="shared" ref="K48:Q49" si="0">J48</f>
        <v>18</v>
      </c>
      <c r="L48" s="93">
        <f t="shared" si="0"/>
        <v>18</v>
      </c>
      <c r="M48" s="93">
        <f t="shared" si="0"/>
        <v>18</v>
      </c>
      <c r="N48" s="93">
        <f>M48</f>
        <v>18</v>
      </c>
      <c r="O48" s="93">
        <f t="shared" si="0"/>
        <v>18</v>
      </c>
      <c r="P48" s="93">
        <f t="shared" si="0"/>
        <v>18</v>
      </c>
      <c r="Q48" s="93">
        <f t="shared" si="0"/>
        <v>18</v>
      </c>
      <c r="R48" s="93"/>
    </row>
    <row r="49" spans="2:18" x14ac:dyDescent="0.35">
      <c r="B49" s="120" t="s">
        <v>280</v>
      </c>
      <c r="C49" s="121" t="s">
        <v>281</v>
      </c>
      <c r="D49" s="121" t="s">
        <v>266</v>
      </c>
      <c r="E49" s="122">
        <f>E15</f>
        <v>1246</v>
      </c>
      <c r="F49" s="93">
        <f t="shared" ref="F49:G58" si="1">E49</f>
        <v>1246</v>
      </c>
      <c r="G49" s="93">
        <f t="shared" si="1"/>
        <v>1246</v>
      </c>
      <c r="H49" s="93">
        <f t="shared" ref="H49:I49" si="2">G49</f>
        <v>1246</v>
      </c>
      <c r="I49" s="93">
        <f t="shared" si="2"/>
        <v>1246</v>
      </c>
      <c r="J49" s="93">
        <f>E49</f>
        <v>1246</v>
      </c>
      <c r="K49" s="93">
        <f>J49</f>
        <v>1246</v>
      </c>
      <c r="L49" s="93">
        <f>K49</f>
        <v>1246</v>
      </c>
      <c r="M49" s="93">
        <f>L49</f>
        <v>1246</v>
      </c>
      <c r="N49" s="93">
        <f>M49</f>
        <v>1246</v>
      </c>
      <c r="O49" s="93">
        <f>N49</f>
        <v>1246</v>
      </c>
      <c r="P49" s="93">
        <f t="shared" si="0"/>
        <v>1246</v>
      </c>
      <c r="Q49" s="93">
        <f t="shared" si="0"/>
        <v>1246</v>
      </c>
      <c r="R49" s="93"/>
    </row>
    <row r="50" spans="2:18" x14ac:dyDescent="0.35">
      <c r="B50" s="120" t="s">
        <v>282</v>
      </c>
      <c r="C50" s="121" t="s">
        <v>122</v>
      </c>
      <c r="D50" s="121" t="s">
        <v>270</v>
      </c>
      <c r="E50" s="93">
        <f>E49/E48</f>
        <v>69.222222222222229</v>
      </c>
      <c r="F50" s="93">
        <f t="shared" si="1"/>
        <v>69.222222222222229</v>
      </c>
      <c r="G50" s="93">
        <f t="shared" si="1"/>
        <v>69.222222222222229</v>
      </c>
      <c r="H50" s="93">
        <f t="shared" ref="H50:I50" si="3">G50</f>
        <v>69.222222222222229</v>
      </c>
      <c r="I50" s="93">
        <f t="shared" si="3"/>
        <v>69.222222222222229</v>
      </c>
      <c r="J50" s="93">
        <f>J49/J48</f>
        <v>69.222222222222229</v>
      </c>
      <c r="K50" s="93">
        <f t="shared" ref="K50:Q50" si="4">K49/K48</f>
        <v>69.222222222222229</v>
      </c>
      <c r="L50" s="93">
        <f>L49/L48</f>
        <v>69.222222222222229</v>
      </c>
      <c r="M50" s="93">
        <f t="shared" si="4"/>
        <v>69.222222222222229</v>
      </c>
      <c r="N50" s="93">
        <f t="shared" si="4"/>
        <v>69.222222222222229</v>
      </c>
      <c r="O50" s="93">
        <f t="shared" si="4"/>
        <v>69.222222222222229</v>
      </c>
      <c r="P50" s="93">
        <f t="shared" si="4"/>
        <v>69.222222222222229</v>
      </c>
      <c r="Q50" s="93">
        <f t="shared" si="4"/>
        <v>69.222222222222229</v>
      </c>
      <c r="R50" s="93"/>
    </row>
    <row r="51" spans="2:18" x14ac:dyDescent="0.35">
      <c r="B51" s="118">
        <v>2</v>
      </c>
      <c r="C51" s="119" t="s">
        <v>283</v>
      </c>
      <c r="D51" s="119"/>
      <c r="E51" s="119"/>
      <c r="F51" s="123">
        <f t="shared" si="1"/>
        <v>0</v>
      </c>
      <c r="G51" s="123">
        <f t="shared" si="1"/>
        <v>0</v>
      </c>
      <c r="H51" s="123">
        <f t="shared" ref="H51:I51" si="5">G51</f>
        <v>0</v>
      </c>
      <c r="I51" s="123">
        <f t="shared" si="5"/>
        <v>0</v>
      </c>
      <c r="J51" s="123"/>
      <c r="K51" s="119"/>
      <c r="L51" s="119"/>
      <c r="M51" s="119"/>
      <c r="N51" s="119"/>
      <c r="O51" s="119"/>
      <c r="P51" s="119"/>
      <c r="Q51" s="119"/>
      <c r="R51" s="119"/>
    </row>
    <row r="52" spans="2:18" x14ac:dyDescent="0.35">
      <c r="B52" s="120" t="s">
        <v>278</v>
      </c>
      <c r="C52" s="121" t="s">
        <v>279</v>
      </c>
      <c r="D52" s="121" t="s">
        <v>264</v>
      </c>
      <c r="E52" s="122">
        <f>E26</f>
        <v>20</v>
      </c>
      <c r="F52" s="93">
        <f t="shared" si="1"/>
        <v>20</v>
      </c>
      <c r="G52" s="93">
        <f t="shared" si="1"/>
        <v>20</v>
      </c>
      <c r="H52" s="93">
        <f t="shared" ref="H52:I52" si="6">G52</f>
        <v>20</v>
      </c>
      <c r="I52" s="93">
        <f t="shared" si="6"/>
        <v>20</v>
      </c>
      <c r="J52" s="93">
        <f>E52</f>
        <v>20</v>
      </c>
      <c r="K52" s="93">
        <f t="shared" ref="K52:Q52" si="7">J52</f>
        <v>20</v>
      </c>
      <c r="L52" s="93">
        <f t="shared" si="7"/>
        <v>20</v>
      </c>
      <c r="M52" s="93">
        <f t="shared" si="7"/>
        <v>20</v>
      </c>
      <c r="N52" s="93">
        <f t="shared" si="7"/>
        <v>20</v>
      </c>
      <c r="O52" s="93">
        <f t="shared" si="7"/>
        <v>20</v>
      </c>
      <c r="P52" s="93">
        <f t="shared" si="7"/>
        <v>20</v>
      </c>
      <c r="Q52" s="93">
        <f t="shared" si="7"/>
        <v>20</v>
      </c>
      <c r="R52" s="93"/>
    </row>
    <row r="53" spans="2:18" x14ac:dyDescent="0.35">
      <c r="B53" s="120" t="s">
        <v>280</v>
      </c>
      <c r="C53" s="121" t="s">
        <v>284</v>
      </c>
      <c r="D53" s="121" t="s">
        <v>266</v>
      </c>
      <c r="E53" s="122">
        <f>E29</f>
        <v>1218</v>
      </c>
      <c r="F53" s="93">
        <f t="shared" si="1"/>
        <v>1218</v>
      </c>
      <c r="G53" s="93">
        <f t="shared" si="1"/>
        <v>1218</v>
      </c>
      <c r="H53" s="93">
        <f t="shared" ref="H53:I53" si="8">G53</f>
        <v>1218</v>
      </c>
      <c r="I53" s="93">
        <f t="shared" si="8"/>
        <v>1218</v>
      </c>
      <c r="J53" s="93">
        <f>E53</f>
        <v>1218</v>
      </c>
      <c r="K53" s="93">
        <f t="shared" ref="K53:Q53" si="9">J53</f>
        <v>1218</v>
      </c>
      <c r="L53" s="93">
        <f t="shared" si="9"/>
        <v>1218</v>
      </c>
      <c r="M53" s="93">
        <f t="shared" si="9"/>
        <v>1218</v>
      </c>
      <c r="N53" s="93">
        <f t="shared" si="9"/>
        <v>1218</v>
      </c>
      <c r="O53" s="93">
        <f t="shared" si="9"/>
        <v>1218</v>
      </c>
      <c r="P53" s="93">
        <f t="shared" si="9"/>
        <v>1218</v>
      </c>
      <c r="Q53" s="93">
        <f t="shared" si="9"/>
        <v>1218</v>
      </c>
      <c r="R53" s="93"/>
    </row>
    <row r="54" spans="2:18" x14ac:dyDescent="0.35">
      <c r="B54" s="120" t="s">
        <v>282</v>
      </c>
      <c r="C54" s="121" t="s">
        <v>285</v>
      </c>
      <c r="D54" s="121" t="s">
        <v>270</v>
      </c>
      <c r="E54" s="93">
        <f>E53/E52</f>
        <v>60.9</v>
      </c>
      <c r="F54" s="93">
        <f t="shared" si="1"/>
        <v>60.9</v>
      </c>
      <c r="G54" s="93">
        <f t="shared" si="1"/>
        <v>60.9</v>
      </c>
      <c r="H54" s="93">
        <f t="shared" ref="H54:I54" si="10">G54</f>
        <v>60.9</v>
      </c>
      <c r="I54" s="93">
        <f t="shared" si="10"/>
        <v>60.9</v>
      </c>
      <c r="J54" s="93">
        <f>J53/J52</f>
        <v>60.9</v>
      </c>
      <c r="K54" s="93">
        <f t="shared" ref="K54:Q54" si="11">K53/K52</f>
        <v>60.9</v>
      </c>
      <c r="L54" s="93">
        <f t="shared" si="11"/>
        <v>60.9</v>
      </c>
      <c r="M54" s="93">
        <f t="shared" si="11"/>
        <v>60.9</v>
      </c>
      <c r="N54" s="93">
        <f t="shared" si="11"/>
        <v>60.9</v>
      </c>
      <c r="O54" s="93">
        <f t="shared" si="11"/>
        <v>60.9</v>
      </c>
      <c r="P54" s="93">
        <f t="shared" si="11"/>
        <v>60.9</v>
      </c>
      <c r="Q54" s="93">
        <f t="shared" si="11"/>
        <v>60.9</v>
      </c>
      <c r="R54" s="93"/>
    </row>
    <row r="55" spans="2:18" x14ac:dyDescent="0.35">
      <c r="B55" s="118">
        <v>3</v>
      </c>
      <c r="C55" s="119" t="s">
        <v>286</v>
      </c>
      <c r="D55" s="119"/>
      <c r="E55" s="119"/>
      <c r="F55" s="123">
        <f t="shared" si="1"/>
        <v>0</v>
      </c>
      <c r="G55" s="123">
        <f t="shared" si="1"/>
        <v>0</v>
      </c>
      <c r="H55" s="123">
        <f t="shared" ref="H55:I55" si="12">G55</f>
        <v>0</v>
      </c>
      <c r="I55" s="123">
        <f t="shared" si="12"/>
        <v>0</v>
      </c>
      <c r="J55" s="123"/>
      <c r="K55" s="119"/>
      <c r="L55" s="119"/>
      <c r="M55" s="119"/>
      <c r="N55" s="119"/>
      <c r="O55" s="119"/>
      <c r="P55" s="119"/>
      <c r="Q55" s="119"/>
      <c r="R55" s="119"/>
    </row>
    <row r="56" spans="2:18" x14ac:dyDescent="0.35">
      <c r="B56" s="120" t="s">
        <v>278</v>
      </c>
      <c r="C56" s="121" t="s">
        <v>279</v>
      </c>
      <c r="D56" s="121" t="s">
        <v>264</v>
      </c>
      <c r="E56" s="122">
        <f>E40</f>
        <v>11</v>
      </c>
      <c r="F56" s="93">
        <f t="shared" si="1"/>
        <v>11</v>
      </c>
      <c r="G56" s="93">
        <f t="shared" si="1"/>
        <v>11</v>
      </c>
      <c r="H56" s="93">
        <f t="shared" ref="H56:I56" si="13">G56</f>
        <v>11</v>
      </c>
      <c r="I56" s="93">
        <f t="shared" si="13"/>
        <v>11</v>
      </c>
      <c r="J56" s="93">
        <f>E56</f>
        <v>11</v>
      </c>
      <c r="K56" s="93">
        <f t="shared" ref="K56:Q56" si="14">J56</f>
        <v>11</v>
      </c>
      <c r="L56" s="93">
        <f t="shared" si="14"/>
        <v>11</v>
      </c>
      <c r="M56" s="93">
        <f t="shared" si="14"/>
        <v>11</v>
      </c>
      <c r="N56" s="93">
        <f t="shared" si="14"/>
        <v>11</v>
      </c>
      <c r="O56" s="93">
        <f t="shared" si="14"/>
        <v>11</v>
      </c>
      <c r="P56" s="93">
        <f t="shared" si="14"/>
        <v>11</v>
      </c>
      <c r="Q56" s="93">
        <f t="shared" si="14"/>
        <v>11</v>
      </c>
      <c r="R56" s="93"/>
    </row>
    <row r="57" spans="2:18" x14ac:dyDescent="0.35">
      <c r="B57" s="120" t="s">
        <v>280</v>
      </c>
      <c r="C57" s="121" t="s">
        <v>284</v>
      </c>
      <c r="D57" s="121" t="s">
        <v>266</v>
      </c>
      <c r="E57" s="122">
        <f>E43</f>
        <v>1926</v>
      </c>
      <c r="F57" s="93">
        <f t="shared" si="1"/>
        <v>1926</v>
      </c>
      <c r="G57" s="93">
        <f t="shared" si="1"/>
        <v>1926</v>
      </c>
      <c r="H57" s="93">
        <f t="shared" ref="H57:I57" si="15">G57</f>
        <v>1926</v>
      </c>
      <c r="I57" s="93">
        <f t="shared" si="15"/>
        <v>1926</v>
      </c>
      <c r="J57" s="93">
        <f>E57</f>
        <v>1926</v>
      </c>
      <c r="K57" s="93">
        <f t="shared" ref="K57:Q57" si="16">J57</f>
        <v>1926</v>
      </c>
      <c r="L57" s="93">
        <f t="shared" si="16"/>
        <v>1926</v>
      </c>
      <c r="M57" s="93">
        <f t="shared" si="16"/>
        <v>1926</v>
      </c>
      <c r="N57" s="93">
        <f t="shared" si="16"/>
        <v>1926</v>
      </c>
      <c r="O57" s="93">
        <f t="shared" si="16"/>
        <v>1926</v>
      </c>
      <c r="P57" s="93">
        <f t="shared" si="16"/>
        <v>1926</v>
      </c>
      <c r="Q57" s="93">
        <f t="shared" si="16"/>
        <v>1926</v>
      </c>
      <c r="R57" s="93"/>
    </row>
    <row r="58" spans="2:18" x14ac:dyDescent="0.35">
      <c r="B58" s="120" t="s">
        <v>282</v>
      </c>
      <c r="C58" s="121" t="s">
        <v>285</v>
      </c>
      <c r="D58" s="121" t="s">
        <v>270</v>
      </c>
      <c r="E58" s="93">
        <f>E57/E56</f>
        <v>175.09090909090909</v>
      </c>
      <c r="F58" s="93">
        <f t="shared" si="1"/>
        <v>175.09090909090909</v>
      </c>
      <c r="G58" s="93">
        <f t="shared" si="1"/>
        <v>175.09090909090909</v>
      </c>
      <c r="H58" s="93">
        <f t="shared" ref="H58:I58" si="17">G58</f>
        <v>175.09090909090909</v>
      </c>
      <c r="I58" s="93">
        <f t="shared" si="17"/>
        <v>175.09090909090909</v>
      </c>
      <c r="J58" s="93">
        <f>J57/J56</f>
        <v>175.09090909090909</v>
      </c>
      <c r="K58" s="93">
        <f t="shared" ref="K58:Q58" si="18">K57/K56</f>
        <v>175.09090909090909</v>
      </c>
      <c r="L58" s="93">
        <f t="shared" si="18"/>
        <v>175.09090909090909</v>
      </c>
      <c r="M58" s="93">
        <f t="shared" si="18"/>
        <v>175.09090909090909</v>
      </c>
      <c r="N58" s="93">
        <f t="shared" si="18"/>
        <v>175.09090909090909</v>
      </c>
      <c r="O58" s="93">
        <f t="shared" si="18"/>
        <v>175.09090909090909</v>
      </c>
      <c r="P58" s="93">
        <f t="shared" si="18"/>
        <v>175.09090909090909</v>
      </c>
      <c r="Q58" s="93">
        <f t="shared" si="18"/>
        <v>175.09090909090909</v>
      </c>
      <c r="R58" s="93"/>
    </row>
    <row r="59" spans="2:18" x14ac:dyDescent="0.35">
      <c r="F59" s="10"/>
      <c r="J59" s="17"/>
      <c r="N59" s="11"/>
    </row>
    <row r="60" spans="2:18" x14ac:dyDescent="0.35">
      <c r="B60" s="11" t="s">
        <v>287</v>
      </c>
      <c r="F60" s="10"/>
      <c r="J60" s="17"/>
      <c r="N60" s="11"/>
    </row>
    <row r="61" spans="2:18" ht="26" x14ac:dyDescent="0.35">
      <c r="B61" s="118" t="s">
        <v>288</v>
      </c>
      <c r="C61" s="119" t="s">
        <v>289</v>
      </c>
      <c r="D61" s="119" t="s">
        <v>266</v>
      </c>
      <c r="E61" s="118" t="s">
        <v>277</v>
      </c>
      <c r="F61" s="116" t="s">
        <v>149</v>
      </c>
      <c r="G61" s="116" t="s">
        <v>150</v>
      </c>
      <c r="H61" s="116" t="s">
        <v>151</v>
      </c>
      <c r="I61" s="116" t="s">
        <v>152</v>
      </c>
      <c r="J61" s="116" t="s">
        <v>153</v>
      </c>
      <c r="K61" s="116" t="s">
        <v>154</v>
      </c>
      <c r="L61" s="116" t="s">
        <v>155</v>
      </c>
      <c r="M61" s="116" t="s">
        <v>156</v>
      </c>
      <c r="N61" s="116" t="s">
        <v>157</v>
      </c>
      <c r="O61" s="116" t="s">
        <v>158</v>
      </c>
      <c r="P61" s="116" t="s">
        <v>159</v>
      </c>
      <c r="Q61" s="116" t="s">
        <v>160</v>
      </c>
      <c r="R61" s="116" t="s">
        <v>161</v>
      </c>
    </row>
    <row r="62" spans="2:18" x14ac:dyDescent="0.35">
      <c r="B62" s="120">
        <v>1</v>
      </c>
      <c r="C62" s="124" t="s">
        <v>290</v>
      </c>
      <c r="D62" s="121" t="s">
        <v>291</v>
      </c>
      <c r="E62" s="147">
        <f>$E$13+$E$27*90%+$E$41*10%</f>
        <v>2860</v>
      </c>
      <c r="F62" s="147">
        <f>$E$13+$E$27*95%+$E$41*5%</f>
        <v>2830</v>
      </c>
      <c r="G62" s="147">
        <f t="shared" ref="G62:Q62" si="19">$E$13+$E$27*95%+$E$41*5%</f>
        <v>2830</v>
      </c>
      <c r="H62" s="147">
        <f t="shared" si="19"/>
        <v>2830</v>
      </c>
      <c r="I62" s="147">
        <f t="shared" si="19"/>
        <v>2830</v>
      </c>
      <c r="J62" s="147">
        <f t="shared" si="19"/>
        <v>2830</v>
      </c>
      <c r="K62" s="147">
        <f t="shared" si="19"/>
        <v>2830</v>
      </c>
      <c r="L62" s="147">
        <f t="shared" si="19"/>
        <v>2830</v>
      </c>
      <c r="M62" s="147">
        <f t="shared" si="19"/>
        <v>2830</v>
      </c>
      <c r="N62" s="147">
        <f t="shared" si="19"/>
        <v>2830</v>
      </c>
      <c r="O62" s="147">
        <f t="shared" si="19"/>
        <v>2830</v>
      </c>
      <c r="P62" s="147">
        <f t="shared" si="19"/>
        <v>2830</v>
      </c>
      <c r="Q62" s="147">
        <f t="shared" si="19"/>
        <v>2830</v>
      </c>
      <c r="R62" s="147"/>
    </row>
    <row r="63" spans="2:18" x14ac:dyDescent="0.35">
      <c r="B63" s="120">
        <v>2</v>
      </c>
      <c r="C63" s="124" t="s">
        <v>292</v>
      </c>
      <c r="D63" s="121" t="s">
        <v>291</v>
      </c>
      <c r="E63" s="147">
        <f>$E$49+$E$53*80%+$E$57*20%</f>
        <v>2605.6000000000004</v>
      </c>
      <c r="F63" s="147">
        <f t="shared" ref="F63:I63" si="20">$E$49+$E$53*80%+$E$57*20%</f>
        <v>2605.6000000000004</v>
      </c>
      <c r="G63" s="147">
        <f t="shared" si="20"/>
        <v>2605.6000000000004</v>
      </c>
      <c r="H63" s="147">
        <f t="shared" si="20"/>
        <v>2605.6000000000004</v>
      </c>
      <c r="I63" s="147">
        <f t="shared" si="20"/>
        <v>2605.6000000000004</v>
      </c>
      <c r="J63" s="147">
        <f>$E$49+$E$53*80%+$E$57*20%</f>
        <v>2605.6000000000004</v>
      </c>
      <c r="K63" s="147">
        <f t="shared" ref="K63:Q63" si="21">$E$49+$E$53*80%+$E$57*20%</f>
        <v>2605.6000000000004</v>
      </c>
      <c r="L63" s="147">
        <f t="shared" si="21"/>
        <v>2605.6000000000004</v>
      </c>
      <c r="M63" s="147">
        <f t="shared" si="21"/>
        <v>2605.6000000000004</v>
      </c>
      <c r="N63" s="147">
        <f t="shared" si="21"/>
        <v>2605.6000000000004</v>
      </c>
      <c r="O63" s="147">
        <f t="shared" si="21"/>
        <v>2605.6000000000004</v>
      </c>
      <c r="P63" s="147">
        <f t="shared" si="21"/>
        <v>2605.6000000000004</v>
      </c>
      <c r="Q63" s="147">
        <f t="shared" si="21"/>
        <v>2605.6000000000004</v>
      </c>
      <c r="R63" s="147"/>
    </row>
    <row r="64" spans="2:18" x14ac:dyDescent="0.35">
      <c r="B64" s="118" t="s">
        <v>293</v>
      </c>
      <c r="C64" s="119" t="s">
        <v>294</v>
      </c>
      <c r="D64" s="119" t="s">
        <v>295</v>
      </c>
      <c r="E64" s="118" t="s">
        <v>277</v>
      </c>
      <c r="F64" s="118"/>
      <c r="G64" s="118"/>
      <c r="H64" s="118"/>
      <c r="I64" s="118"/>
      <c r="J64" s="118" t="s">
        <v>153</v>
      </c>
      <c r="K64" s="118" t="s">
        <v>154</v>
      </c>
      <c r="L64" s="118" t="s">
        <v>155</v>
      </c>
      <c r="M64" s="118" t="s">
        <v>156</v>
      </c>
      <c r="N64" s="118" t="s">
        <v>157</v>
      </c>
      <c r="O64" s="118" t="s">
        <v>158</v>
      </c>
      <c r="P64" s="118" t="s">
        <v>159</v>
      </c>
      <c r="Q64" s="118" t="s">
        <v>160</v>
      </c>
      <c r="R64" s="118"/>
    </row>
    <row r="65" spans="2:18" x14ac:dyDescent="0.35">
      <c r="B65" s="120">
        <v>1</v>
      </c>
      <c r="C65" s="124" t="s">
        <v>290</v>
      </c>
      <c r="D65" s="121" t="s">
        <v>296</v>
      </c>
      <c r="E65" s="145">
        <f>E62*7*2*30</f>
        <v>1201200</v>
      </c>
      <c r="F65" s="145">
        <f t="shared" ref="F65:Q65" si="22">F62*7*2*30</f>
        <v>1188600</v>
      </c>
      <c r="G65" s="145">
        <f t="shared" si="22"/>
        <v>1188600</v>
      </c>
      <c r="H65" s="145">
        <f t="shared" si="22"/>
        <v>1188600</v>
      </c>
      <c r="I65" s="145">
        <f t="shared" si="22"/>
        <v>1188600</v>
      </c>
      <c r="J65" s="145">
        <f t="shared" si="22"/>
        <v>1188600</v>
      </c>
      <c r="K65" s="145">
        <f t="shared" si="22"/>
        <v>1188600</v>
      </c>
      <c r="L65" s="145">
        <f t="shared" si="22"/>
        <v>1188600</v>
      </c>
      <c r="M65" s="145">
        <f t="shared" si="22"/>
        <v>1188600</v>
      </c>
      <c r="N65" s="145">
        <f t="shared" si="22"/>
        <v>1188600</v>
      </c>
      <c r="O65" s="145">
        <f t="shared" si="22"/>
        <v>1188600</v>
      </c>
      <c r="P65" s="145">
        <f t="shared" si="22"/>
        <v>1188600</v>
      </c>
      <c r="Q65" s="145">
        <f t="shared" si="22"/>
        <v>1188600</v>
      </c>
      <c r="R65" s="145"/>
    </row>
    <row r="66" spans="2:18" x14ac:dyDescent="0.35">
      <c r="B66" s="120">
        <v>2</v>
      </c>
      <c r="C66" s="124" t="s">
        <v>292</v>
      </c>
      <c r="D66" s="121" t="s">
        <v>296</v>
      </c>
      <c r="E66" s="145">
        <f>E63*7*2*30</f>
        <v>1094352.0000000002</v>
      </c>
      <c r="F66" s="145">
        <f t="shared" ref="F66:Q66" si="23">F63*7*2*30</f>
        <v>1094352.0000000002</v>
      </c>
      <c r="G66" s="145">
        <f t="shared" si="23"/>
        <v>1094352.0000000002</v>
      </c>
      <c r="H66" s="145">
        <f t="shared" si="23"/>
        <v>1094352.0000000002</v>
      </c>
      <c r="I66" s="145">
        <f t="shared" si="23"/>
        <v>1094352.0000000002</v>
      </c>
      <c r="J66" s="145">
        <f t="shared" si="23"/>
        <v>1094352.0000000002</v>
      </c>
      <c r="K66" s="145">
        <f t="shared" si="23"/>
        <v>1094352.0000000002</v>
      </c>
      <c r="L66" s="145">
        <f t="shared" si="23"/>
        <v>1094352.0000000002</v>
      </c>
      <c r="M66" s="145">
        <f t="shared" si="23"/>
        <v>1094352.0000000002</v>
      </c>
      <c r="N66" s="145">
        <f t="shared" si="23"/>
        <v>1094352.0000000002</v>
      </c>
      <c r="O66" s="145">
        <f t="shared" si="23"/>
        <v>1094352.0000000002</v>
      </c>
      <c r="P66" s="145">
        <f t="shared" si="23"/>
        <v>1094352.0000000002</v>
      </c>
      <c r="Q66" s="145">
        <f t="shared" si="23"/>
        <v>1094352.0000000002</v>
      </c>
      <c r="R66" s="145"/>
    </row>
    <row r="67" spans="2:18" x14ac:dyDescent="0.35">
      <c r="B67" s="118" t="s">
        <v>297</v>
      </c>
      <c r="C67" s="119" t="s">
        <v>298</v>
      </c>
      <c r="D67" s="119"/>
      <c r="E67" s="118" t="s">
        <v>277</v>
      </c>
      <c r="F67" s="118"/>
      <c r="G67" s="118"/>
      <c r="H67" s="118"/>
      <c r="I67" s="118"/>
      <c r="J67" s="118" t="s">
        <v>153</v>
      </c>
      <c r="K67" s="118" t="s">
        <v>154</v>
      </c>
      <c r="L67" s="118" t="s">
        <v>155</v>
      </c>
      <c r="M67" s="118" t="s">
        <v>156</v>
      </c>
      <c r="N67" s="118" t="s">
        <v>157</v>
      </c>
      <c r="O67" s="118" t="s">
        <v>158</v>
      </c>
      <c r="P67" s="118" t="s">
        <v>159</v>
      </c>
      <c r="Q67" s="118" t="s">
        <v>160</v>
      </c>
      <c r="R67" s="118"/>
    </row>
    <row r="68" spans="2:18" ht="25" x14ac:dyDescent="0.35">
      <c r="B68" s="120">
        <v>1</v>
      </c>
      <c r="C68" s="124" t="s">
        <v>299</v>
      </c>
      <c r="D68" s="97" t="s">
        <v>300</v>
      </c>
      <c r="E68" s="148">
        <f>E69/30</f>
        <v>251.9226519337017</v>
      </c>
      <c r="F68" s="148">
        <f t="shared" ref="F68:I68" si="24">F69/30</f>
        <v>251.9226519337017</v>
      </c>
      <c r="G68" s="148">
        <f t="shared" si="24"/>
        <v>251.9226519337017</v>
      </c>
      <c r="H68" s="148">
        <f t="shared" si="24"/>
        <v>251.9226519337017</v>
      </c>
      <c r="I68" s="148">
        <f t="shared" si="24"/>
        <v>251.9226519337017</v>
      </c>
      <c r="J68" s="148">
        <f t="shared" ref="J68:Q68" si="25">J69/30</f>
        <v>251.9226519337017</v>
      </c>
      <c r="K68" s="148">
        <f t="shared" si="25"/>
        <v>251.9226519337017</v>
      </c>
      <c r="L68" s="148">
        <f t="shared" si="25"/>
        <v>251.9226519337017</v>
      </c>
      <c r="M68" s="148">
        <f t="shared" si="25"/>
        <v>251.9226519337017</v>
      </c>
      <c r="N68" s="148">
        <f t="shared" si="25"/>
        <v>251.9226519337017</v>
      </c>
      <c r="O68" s="148">
        <f t="shared" si="25"/>
        <v>251.9226519337017</v>
      </c>
      <c r="P68" s="148">
        <f t="shared" si="25"/>
        <v>251.9226519337017</v>
      </c>
      <c r="Q68" s="148">
        <f t="shared" si="25"/>
        <v>251.9226519337017</v>
      </c>
      <c r="R68" s="148"/>
    </row>
    <row r="69" spans="2:18" ht="25" x14ac:dyDescent="0.35">
      <c r="B69" s="120">
        <v>2</v>
      </c>
      <c r="C69" s="124" t="s">
        <v>301</v>
      </c>
      <c r="D69" s="97" t="s">
        <v>302</v>
      </c>
      <c r="E69" s="146">
        <f>E66/(E48+E52*80%+E56*20%)/4</f>
        <v>7557.6795580110511</v>
      </c>
      <c r="F69" s="146">
        <f t="shared" ref="F69:I69" si="26">F66/(F48+F52*80%+F56*20%)/4</f>
        <v>7557.6795580110511</v>
      </c>
      <c r="G69" s="146">
        <f t="shared" si="26"/>
        <v>7557.6795580110511</v>
      </c>
      <c r="H69" s="146">
        <f t="shared" si="26"/>
        <v>7557.6795580110511</v>
      </c>
      <c r="I69" s="146">
        <f t="shared" si="26"/>
        <v>7557.6795580110511</v>
      </c>
      <c r="J69" s="146">
        <f t="shared" ref="J69:Q69" si="27">J66/(J48+J52*80%+J56*20%)/4</f>
        <v>7557.6795580110511</v>
      </c>
      <c r="K69" s="146">
        <f t="shared" si="27"/>
        <v>7557.6795580110511</v>
      </c>
      <c r="L69" s="146">
        <f>L66/(L48+L52*80%+L56*20%)/4</f>
        <v>7557.6795580110511</v>
      </c>
      <c r="M69" s="146">
        <f t="shared" si="27"/>
        <v>7557.6795580110511</v>
      </c>
      <c r="N69" s="146">
        <f t="shared" si="27"/>
        <v>7557.6795580110511</v>
      </c>
      <c r="O69" s="146">
        <f t="shared" si="27"/>
        <v>7557.6795580110511</v>
      </c>
      <c r="P69" s="146">
        <f t="shared" si="27"/>
        <v>7557.6795580110511</v>
      </c>
      <c r="Q69" s="146">
        <f t="shared" si="27"/>
        <v>7557.6795580110511</v>
      </c>
      <c r="R69" s="146"/>
    </row>
    <row r="70" spans="2:18" ht="16" x14ac:dyDescent="0.35">
      <c r="B70" s="11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</row>
    <row r="71" spans="2:18" x14ac:dyDescent="0.35">
      <c r="B71" s="213" t="s">
        <v>2246</v>
      </c>
      <c r="F71" s="18"/>
    </row>
    <row r="72" spans="2:18" ht="65" x14ac:dyDescent="0.35">
      <c r="B72" s="116" t="s">
        <v>36</v>
      </c>
      <c r="C72" s="909" t="s">
        <v>242</v>
      </c>
      <c r="D72" s="116" t="s">
        <v>243</v>
      </c>
      <c r="E72" s="116" t="s">
        <v>304</v>
      </c>
      <c r="F72" s="116" t="s">
        <v>304</v>
      </c>
      <c r="G72" s="116" t="s">
        <v>304</v>
      </c>
      <c r="H72" s="116" t="s">
        <v>304</v>
      </c>
      <c r="I72" s="116" t="s">
        <v>305</v>
      </c>
      <c r="J72" s="116" t="s">
        <v>304</v>
      </c>
      <c r="K72" s="909" t="s">
        <v>250</v>
      </c>
    </row>
    <row r="73" spans="2:18" ht="25" x14ac:dyDescent="0.35">
      <c r="B73" s="120">
        <v>1</v>
      </c>
      <c r="C73" s="97" t="s">
        <v>251</v>
      </c>
      <c r="D73" s="93">
        <v>7000</v>
      </c>
      <c r="E73" s="93"/>
      <c r="F73" s="93"/>
      <c r="G73" s="94"/>
      <c r="H73" s="93"/>
      <c r="I73" s="93"/>
      <c r="J73" s="93"/>
      <c r="K73" s="910">
        <f>D73*(100%-$D$97)</f>
        <v>6580</v>
      </c>
    </row>
    <row r="74" spans="2:18" ht="25" x14ac:dyDescent="0.35">
      <c r="B74" s="120">
        <v>2</v>
      </c>
      <c r="C74" s="97" t="s">
        <v>253</v>
      </c>
      <c r="D74" s="93">
        <v>700</v>
      </c>
      <c r="E74" s="95">
        <f>D74</f>
        <v>700</v>
      </c>
      <c r="F74" s="95">
        <f>E74</f>
        <v>700</v>
      </c>
      <c r="G74" s="94">
        <f>F74</f>
        <v>700</v>
      </c>
      <c r="H74" s="94">
        <f>G74</f>
        <v>700</v>
      </c>
      <c r="I74" s="95">
        <v>1300</v>
      </c>
      <c r="J74" s="95"/>
      <c r="K74" s="910">
        <f>D74*(100%-$D$81)</f>
        <v>630</v>
      </c>
      <c r="L74" s="19"/>
    </row>
    <row r="75" spans="2:18" ht="25" x14ac:dyDescent="0.35">
      <c r="B75" s="120">
        <v>3</v>
      </c>
      <c r="C75" s="97" t="s">
        <v>254</v>
      </c>
      <c r="D75" s="96">
        <v>1</v>
      </c>
      <c r="E75" s="96"/>
      <c r="F75" s="96">
        <v>1</v>
      </c>
      <c r="G75" s="96"/>
      <c r="H75" s="96"/>
      <c r="I75" s="96">
        <v>1</v>
      </c>
      <c r="J75" s="96"/>
      <c r="K75" s="100">
        <f>SUM(D75:J75)</f>
        <v>3</v>
      </c>
      <c r="L75" s="19"/>
    </row>
    <row r="76" spans="2:18" x14ac:dyDescent="0.35">
      <c r="B76" s="120"/>
      <c r="C76" s="121" t="s">
        <v>255</v>
      </c>
      <c r="D76" s="113"/>
      <c r="E76" s="97"/>
      <c r="F76" s="104"/>
      <c r="G76" s="104"/>
      <c r="H76" s="97"/>
      <c r="I76" s="97"/>
      <c r="J76" s="97"/>
      <c r="K76" s="101"/>
      <c r="L76" s="115"/>
    </row>
    <row r="77" spans="2:18" x14ac:dyDescent="0.35">
      <c r="E77" s="14"/>
      <c r="F77" s="20"/>
      <c r="G77" s="20"/>
      <c r="H77" s="14"/>
      <c r="I77" s="14"/>
    </row>
    <row r="78" spans="2:18" x14ac:dyDescent="0.35">
      <c r="B78" s="118" t="s">
        <v>36</v>
      </c>
      <c r="C78" s="118" t="s">
        <v>256</v>
      </c>
      <c r="D78" s="913" t="s">
        <v>257</v>
      </c>
      <c r="E78" s="913" t="s">
        <v>258</v>
      </c>
      <c r="F78" s="913" t="s">
        <v>259</v>
      </c>
      <c r="G78" s="913" t="s">
        <v>260</v>
      </c>
      <c r="H78" s="913" t="s">
        <v>261</v>
      </c>
      <c r="I78" s="913" t="s">
        <v>262</v>
      </c>
    </row>
    <row r="79" spans="2:18" x14ac:dyDescent="0.35">
      <c r="B79" s="255">
        <v>1</v>
      </c>
      <c r="C79" s="121" t="s">
        <v>263</v>
      </c>
      <c r="D79" s="21" t="s">
        <v>264</v>
      </c>
      <c r="E79" s="93">
        <f>K75</f>
        <v>3</v>
      </c>
      <c r="F79" s="93">
        <f>$E79</f>
        <v>3</v>
      </c>
      <c r="G79" s="93">
        <f>$F79*1.5</f>
        <v>4.5</v>
      </c>
      <c r="H79" s="93">
        <f>$F79*2</f>
        <v>6</v>
      </c>
      <c r="I79" s="93">
        <f>$G79*2</f>
        <v>9</v>
      </c>
    </row>
    <row r="80" spans="2:18" x14ac:dyDescent="0.35">
      <c r="B80" s="255">
        <v>2</v>
      </c>
      <c r="C80" s="121" t="s">
        <v>265</v>
      </c>
      <c r="D80" s="21" t="s">
        <v>266</v>
      </c>
      <c r="E80" s="93">
        <f>D74</f>
        <v>700</v>
      </c>
      <c r="F80" s="93">
        <f>$E80*8</f>
        <v>5600</v>
      </c>
      <c r="G80" s="93">
        <f>$F80*1.5</f>
        <v>8400</v>
      </c>
      <c r="H80" s="93">
        <f>$F80*2</f>
        <v>11200</v>
      </c>
      <c r="I80" s="93">
        <f>$G80*2</f>
        <v>16800</v>
      </c>
    </row>
    <row r="81" spans="2:17" x14ac:dyDescent="0.35">
      <c r="B81" s="255">
        <v>3</v>
      </c>
      <c r="C81" s="121" t="s">
        <v>267</v>
      </c>
      <c r="D81" s="151">
        <f>'2.Hao hut &amp; % chai '!H43</f>
        <v>0.1</v>
      </c>
      <c r="E81" s="93">
        <f>E80*D81</f>
        <v>70</v>
      </c>
      <c r="F81" s="93">
        <f>$E81*8</f>
        <v>560</v>
      </c>
      <c r="G81" s="93">
        <f>$F81*1.5</f>
        <v>840</v>
      </c>
      <c r="H81" s="93">
        <f>$F81*2</f>
        <v>1120</v>
      </c>
      <c r="I81" s="93">
        <f>$G81*2</f>
        <v>1680</v>
      </c>
    </row>
    <row r="82" spans="2:17" x14ac:dyDescent="0.35">
      <c r="B82" s="255">
        <v>4</v>
      </c>
      <c r="C82" s="121" t="s">
        <v>268</v>
      </c>
      <c r="D82" s="21" t="s">
        <v>266</v>
      </c>
      <c r="E82" s="912">
        <f>E80-E81</f>
        <v>630</v>
      </c>
      <c r="F82" s="93">
        <f>$E82*8</f>
        <v>5040</v>
      </c>
      <c r="G82" s="93">
        <f>$F82*1.5</f>
        <v>7560</v>
      </c>
      <c r="H82" s="93">
        <f>$F82*2</f>
        <v>10080</v>
      </c>
      <c r="I82" s="93">
        <f>$G82*2</f>
        <v>15120</v>
      </c>
    </row>
    <row r="83" spans="2:17" x14ac:dyDescent="0.35">
      <c r="B83" s="255">
        <v>5</v>
      </c>
      <c r="C83" s="121" t="s">
        <v>269</v>
      </c>
      <c r="D83" s="21" t="s">
        <v>270</v>
      </c>
      <c r="E83" s="93">
        <f>E82/K75</f>
        <v>210</v>
      </c>
      <c r="F83" s="93">
        <f>$E83*8</f>
        <v>1680</v>
      </c>
      <c r="G83" s="93">
        <f>$F83*1.5</f>
        <v>2520</v>
      </c>
      <c r="H83" s="93">
        <f>$F83*2</f>
        <v>3360</v>
      </c>
      <c r="I83" s="93">
        <f>$G83*2</f>
        <v>5040</v>
      </c>
    </row>
    <row r="84" spans="2:17" x14ac:dyDescent="0.35">
      <c r="B84" s="13"/>
    </row>
    <row r="85" spans="2:17" x14ac:dyDescent="0.35">
      <c r="E85" s="17"/>
      <c r="G85" s="17"/>
      <c r="H85" s="17"/>
      <c r="I85" s="17"/>
      <c r="J85" s="17"/>
      <c r="K85" s="17"/>
      <c r="L85" s="17"/>
      <c r="M85" s="17"/>
    </row>
    <row r="86" spans="2:17" ht="16" x14ac:dyDescent="0.35">
      <c r="B86" s="11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</row>
    <row r="87" spans="2:17" x14ac:dyDescent="0.35">
      <c r="B87" s="213" t="s">
        <v>2196</v>
      </c>
      <c r="F87" s="18"/>
    </row>
    <row r="88" spans="2:17" ht="65" x14ac:dyDescent="0.35">
      <c r="B88" s="116" t="s">
        <v>36</v>
      </c>
      <c r="C88" s="909" t="s">
        <v>242</v>
      </c>
      <c r="D88" s="116" t="s">
        <v>243</v>
      </c>
      <c r="E88" s="116" t="s">
        <v>304</v>
      </c>
      <c r="F88" s="116" t="s">
        <v>304</v>
      </c>
      <c r="G88" s="116" t="s">
        <v>304</v>
      </c>
      <c r="H88" s="116" t="s">
        <v>304</v>
      </c>
      <c r="I88" s="116" t="s">
        <v>305</v>
      </c>
      <c r="J88" s="116" t="s">
        <v>304</v>
      </c>
      <c r="K88" s="909" t="s">
        <v>250</v>
      </c>
    </row>
    <row r="89" spans="2:17" ht="25" x14ac:dyDescent="0.35">
      <c r="B89" s="120">
        <v>1</v>
      </c>
      <c r="C89" s="97" t="s">
        <v>251</v>
      </c>
      <c r="D89" s="93">
        <v>1500</v>
      </c>
      <c r="E89" s="93"/>
      <c r="F89" s="93"/>
      <c r="G89" s="94"/>
      <c r="H89" s="93"/>
      <c r="I89" s="93"/>
      <c r="J89" s="93"/>
      <c r="K89" s="910">
        <f>D89*(100%-$D$97)</f>
        <v>1410</v>
      </c>
    </row>
    <row r="90" spans="2:17" ht="25" x14ac:dyDescent="0.35">
      <c r="B90" s="120">
        <v>2</v>
      </c>
      <c r="C90" s="97" t="s">
        <v>253</v>
      </c>
      <c r="D90" s="93">
        <v>1500</v>
      </c>
      <c r="E90" s="95">
        <f>D90</f>
        <v>1500</v>
      </c>
      <c r="F90" s="95">
        <f>E90</f>
        <v>1500</v>
      </c>
      <c r="G90" s="94">
        <f>F90</f>
        <v>1500</v>
      </c>
      <c r="H90" s="94">
        <f>G90</f>
        <v>1500</v>
      </c>
      <c r="I90" s="95">
        <v>1300</v>
      </c>
      <c r="J90" s="95"/>
      <c r="K90" s="910">
        <f>D90*(100%-$D$97)</f>
        <v>1410</v>
      </c>
      <c r="L90" s="19"/>
    </row>
    <row r="91" spans="2:17" ht="25" x14ac:dyDescent="0.35">
      <c r="B91" s="120">
        <v>3</v>
      </c>
      <c r="C91" s="97" t="s">
        <v>254</v>
      </c>
      <c r="D91" s="96">
        <v>1</v>
      </c>
      <c r="E91" s="96"/>
      <c r="F91" s="96">
        <v>1</v>
      </c>
      <c r="G91" s="96"/>
      <c r="H91" s="96"/>
      <c r="I91" s="96">
        <v>1</v>
      </c>
      <c r="J91" s="96"/>
      <c r="K91" s="100">
        <f>SUM(D91:J91)</f>
        <v>3</v>
      </c>
      <c r="L91" s="19"/>
    </row>
    <row r="92" spans="2:17" x14ac:dyDescent="0.35">
      <c r="B92" s="120"/>
      <c r="C92" s="121" t="s">
        <v>255</v>
      </c>
      <c r="D92" s="113"/>
      <c r="E92" s="97"/>
      <c r="F92" s="104"/>
      <c r="G92" s="104"/>
      <c r="H92" s="97"/>
      <c r="I92" s="97"/>
      <c r="J92" s="97"/>
      <c r="K92" s="101"/>
      <c r="L92" s="115"/>
    </row>
    <row r="93" spans="2:17" x14ac:dyDescent="0.35">
      <c r="E93" s="14"/>
      <c r="F93" s="20"/>
      <c r="G93" s="20"/>
      <c r="H93" s="14"/>
      <c r="I93" s="14"/>
    </row>
    <row r="94" spans="2:17" x14ac:dyDescent="0.35">
      <c r="B94" s="118" t="s">
        <v>36</v>
      </c>
      <c r="C94" s="118" t="s">
        <v>256</v>
      </c>
      <c r="D94" s="913" t="s">
        <v>257</v>
      </c>
      <c r="E94" s="913" t="s">
        <v>258</v>
      </c>
      <c r="F94" s="913" t="s">
        <v>259</v>
      </c>
      <c r="G94" s="913" t="s">
        <v>260</v>
      </c>
      <c r="H94" s="913" t="s">
        <v>261</v>
      </c>
      <c r="I94" s="913" t="s">
        <v>262</v>
      </c>
    </row>
    <row r="95" spans="2:17" x14ac:dyDescent="0.35">
      <c r="B95" s="255">
        <v>1</v>
      </c>
      <c r="C95" s="121" t="s">
        <v>263</v>
      </c>
      <c r="D95" s="21" t="s">
        <v>264</v>
      </c>
      <c r="E95" s="93">
        <f>K91</f>
        <v>3</v>
      </c>
      <c r="F95" s="93">
        <f>$E95</f>
        <v>3</v>
      </c>
      <c r="G95" s="93">
        <f>$F95*1.5</f>
        <v>4.5</v>
      </c>
      <c r="H95" s="93">
        <f>$F95*2</f>
        <v>6</v>
      </c>
      <c r="I95" s="93">
        <f>$G95*2</f>
        <v>9</v>
      </c>
    </row>
    <row r="96" spans="2:17" x14ac:dyDescent="0.35">
      <c r="B96" s="255">
        <v>2</v>
      </c>
      <c r="C96" s="121" t="s">
        <v>265</v>
      </c>
      <c r="D96" s="21" t="s">
        <v>266</v>
      </c>
      <c r="E96" s="93">
        <f>D90</f>
        <v>1500</v>
      </c>
      <c r="F96" s="93">
        <f>$E96*8</f>
        <v>12000</v>
      </c>
      <c r="G96" s="93">
        <f>$F96*1.5</f>
        <v>18000</v>
      </c>
      <c r="H96" s="93">
        <f>$F96*2</f>
        <v>24000</v>
      </c>
      <c r="I96" s="93">
        <f>$G96*2</f>
        <v>36000</v>
      </c>
    </row>
    <row r="97" spans="2:13" x14ac:dyDescent="0.35">
      <c r="B97" s="255">
        <v>3</v>
      </c>
      <c r="C97" s="121" t="s">
        <v>267</v>
      </c>
      <c r="D97" s="151">
        <f>'2.Hao hut &amp; % chai '!H27</f>
        <v>0.06</v>
      </c>
      <c r="E97" s="93">
        <f>E96*D97</f>
        <v>90</v>
      </c>
      <c r="F97" s="93">
        <f>$E97*8</f>
        <v>720</v>
      </c>
      <c r="G97" s="93">
        <f>$F97*1.5</f>
        <v>1080</v>
      </c>
      <c r="H97" s="93">
        <f>$F97*2</f>
        <v>1440</v>
      </c>
      <c r="I97" s="93">
        <f>$G97*2</f>
        <v>2160</v>
      </c>
    </row>
    <row r="98" spans="2:13" x14ac:dyDescent="0.35">
      <c r="B98" s="255">
        <v>4</v>
      </c>
      <c r="C98" s="121" t="s">
        <v>268</v>
      </c>
      <c r="D98" s="21" t="s">
        <v>266</v>
      </c>
      <c r="E98" s="912">
        <f>E96-E97</f>
        <v>1410</v>
      </c>
      <c r="F98" s="93">
        <f>$E98*8</f>
        <v>11280</v>
      </c>
      <c r="G98" s="93">
        <f>$F98*1.5</f>
        <v>16920</v>
      </c>
      <c r="H98" s="93">
        <f>$F98*2</f>
        <v>22560</v>
      </c>
      <c r="I98" s="93">
        <f>$G98*2</f>
        <v>33840</v>
      </c>
    </row>
    <row r="99" spans="2:13" x14ac:dyDescent="0.35">
      <c r="B99" s="255">
        <v>5</v>
      </c>
      <c r="C99" s="121" t="s">
        <v>269</v>
      </c>
      <c r="D99" s="21" t="s">
        <v>270</v>
      </c>
      <c r="E99" s="93">
        <f>E98/K91</f>
        <v>470</v>
      </c>
      <c r="F99" s="93">
        <f>$E99*8</f>
        <v>3760</v>
      </c>
      <c r="G99" s="93">
        <f>$F99*1.5</f>
        <v>5640</v>
      </c>
      <c r="H99" s="93">
        <f>$F99*2</f>
        <v>7520</v>
      </c>
      <c r="I99" s="93">
        <f>$G99*2</f>
        <v>11280</v>
      </c>
    </row>
    <row r="100" spans="2:13" x14ac:dyDescent="0.35">
      <c r="B100" s="13"/>
    </row>
    <row r="101" spans="2:13" x14ac:dyDescent="0.35">
      <c r="E101" s="17"/>
      <c r="G101" s="17"/>
      <c r="H101" s="17"/>
      <c r="I101" s="17"/>
      <c r="J101" s="17"/>
      <c r="K101" s="17"/>
      <c r="L101" s="17"/>
      <c r="M101" s="17"/>
    </row>
    <row r="102" spans="2:13" x14ac:dyDescent="0.35">
      <c r="B102" s="213" t="s">
        <v>2154</v>
      </c>
      <c r="F102" s="18"/>
    </row>
    <row r="103" spans="2:13" ht="65" x14ac:dyDescent="0.35">
      <c r="B103" s="116" t="s">
        <v>36</v>
      </c>
      <c r="C103" s="909" t="s">
        <v>242</v>
      </c>
      <c r="D103" s="116" t="s">
        <v>243</v>
      </c>
      <c r="E103" s="116" t="s">
        <v>304</v>
      </c>
      <c r="F103" s="116" t="s">
        <v>304</v>
      </c>
      <c r="G103" s="116" t="s">
        <v>304</v>
      </c>
      <c r="H103" s="116" t="s">
        <v>304</v>
      </c>
      <c r="I103" s="116" t="s">
        <v>305</v>
      </c>
      <c r="J103" s="116" t="s">
        <v>304</v>
      </c>
      <c r="K103" s="909" t="s">
        <v>250</v>
      </c>
    </row>
    <row r="104" spans="2:13" ht="25" x14ac:dyDescent="0.35">
      <c r="B104" s="120">
        <v>1</v>
      </c>
      <c r="C104" s="97" t="s">
        <v>251</v>
      </c>
      <c r="D104" s="93">
        <v>300</v>
      </c>
      <c r="E104" s="93"/>
      <c r="F104" s="93"/>
      <c r="G104" s="94"/>
      <c r="H104" s="93"/>
      <c r="I104" s="93"/>
      <c r="J104" s="93"/>
      <c r="K104" s="910">
        <f>D104*(100%-$D$97)</f>
        <v>282</v>
      </c>
    </row>
    <row r="105" spans="2:13" ht="25" x14ac:dyDescent="0.35">
      <c r="B105" s="120">
        <v>2</v>
      </c>
      <c r="C105" s="97" t="s">
        <v>253</v>
      </c>
      <c r="D105" s="93">
        <v>300</v>
      </c>
      <c r="E105" s="95"/>
      <c r="F105" s="95"/>
      <c r="G105" s="94"/>
      <c r="H105" s="94"/>
      <c r="I105" s="95"/>
      <c r="J105" s="95"/>
      <c r="K105" s="910">
        <f>D105*(100%-$D$97)</f>
        <v>282</v>
      </c>
      <c r="L105" s="19"/>
    </row>
    <row r="106" spans="2:13" ht="25" x14ac:dyDescent="0.35">
      <c r="B106" s="120"/>
      <c r="C106" s="97" t="s">
        <v>2156</v>
      </c>
      <c r="D106" s="96">
        <v>1</v>
      </c>
      <c r="E106" s="96"/>
      <c r="F106" s="96"/>
      <c r="G106" s="96"/>
      <c r="H106" s="96"/>
      <c r="I106" s="96"/>
      <c r="J106" s="96"/>
      <c r="K106" s="100">
        <f>SUM(D106:J106)</f>
        <v>1</v>
      </c>
      <c r="L106" s="19"/>
    </row>
    <row r="107" spans="2:13" ht="25" x14ac:dyDescent="0.35">
      <c r="B107" s="120">
        <v>3</v>
      </c>
      <c r="C107" s="97" t="s">
        <v>2155</v>
      </c>
      <c r="D107" s="96">
        <v>2</v>
      </c>
      <c r="E107" s="96"/>
      <c r="F107" s="96"/>
      <c r="G107" s="96"/>
      <c r="H107" s="96"/>
      <c r="I107" s="96"/>
      <c r="J107" s="96"/>
      <c r="K107" s="100">
        <f>SUM(D107:J107)</f>
        <v>2</v>
      </c>
      <c r="L107" s="19"/>
    </row>
    <row r="108" spans="2:13" x14ac:dyDescent="0.35">
      <c r="B108" s="120"/>
      <c r="C108" s="121" t="s">
        <v>255</v>
      </c>
      <c r="D108" s="113"/>
      <c r="E108" s="97"/>
      <c r="F108" s="104"/>
      <c r="G108" s="104"/>
      <c r="H108" s="97"/>
      <c r="I108" s="97"/>
      <c r="J108" s="97"/>
      <c r="K108" s="101"/>
      <c r="L108" s="115"/>
    </row>
    <row r="109" spans="2:13" x14ac:dyDescent="0.35">
      <c r="E109" s="14"/>
      <c r="F109" s="20"/>
      <c r="G109" s="20"/>
      <c r="H109" s="14"/>
      <c r="I109" s="14"/>
    </row>
    <row r="110" spans="2:13" x14ac:dyDescent="0.35">
      <c r="B110" s="118" t="s">
        <v>36</v>
      </c>
      <c r="C110" s="118" t="s">
        <v>256</v>
      </c>
      <c r="D110" s="913" t="s">
        <v>257</v>
      </c>
      <c r="E110" s="913" t="s">
        <v>258</v>
      </c>
      <c r="F110" s="913" t="s">
        <v>259</v>
      </c>
      <c r="G110" s="913" t="s">
        <v>260</v>
      </c>
      <c r="H110" s="913" t="s">
        <v>261</v>
      </c>
      <c r="I110" s="913" t="s">
        <v>262</v>
      </c>
    </row>
    <row r="111" spans="2:13" x14ac:dyDescent="0.35">
      <c r="B111" s="255">
        <v>1</v>
      </c>
      <c r="C111" s="121" t="s">
        <v>263</v>
      </c>
      <c r="D111" s="21" t="s">
        <v>264</v>
      </c>
      <c r="E111" s="93">
        <v>3</v>
      </c>
      <c r="F111" s="93">
        <f>$E111</f>
        <v>3</v>
      </c>
      <c r="G111" s="93">
        <f>$F111*1.5</f>
        <v>4.5</v>
      </c>
      <c r="H111" s="93">
        <f>$F111*2</f>
        <v>6</v>
      </c>
      <c r="I111" s="93">
        <f>$G111*2</f>
        <v>9</v>
      </c>
    </row>
    <row r="112" spans="2:13" x14ac:dyDescent="0.35">
      <c r="B112" s="255">
        <v>2</v>
      </c>
      <c r="C112" s="121" t="s">
        <v>265</v>
      </c>
      <c r="D112" s="21" t="s">
        <v>266</v>
      </c>
      <c r="E112" s="93">
        <f>D105</f>
        <v>300</v>
      </c>
      <c r="F112" s="93">
        <f>$E112*8</f>
        <v>2400</v>
      </c>
      <c r="G112" s="93">
        <f>$F112*1.5</f>
        <v>3600</v>
      </c>
      <c r="H112" s="93">
        <f>$F112*2</f>
        <v>4800</v>
      </c>
      <c r="I112" s="93">
        <f>$G112*2</f>
        <v>7200</v>
      </c>
    </row>
    <row r="113" spans="2:12" x14ac:dyDescent="0.35">
      <c r="B113" s="255">
        <v>3</v>
      </c>
      <c r="C113" s="121" t="s">
        <v>267</v>
      </c>
      <c r="D113" s="151">
        <f>'2.Hao hut &amp; % chai '!T172</f>
        <v>0.04</v>
      </c>
      <c r="E113" s="93">
        <f>E112*$D$28</f>
        <v>39</v>
      </c>
      <c r="F113" s="93">
        <f>$E113*8</f>
        <v>312</v>
      </c>
      <c r="G113" s="93">
        <f>$F113*1.5</f>
        <v>468</v>
      </c>
      <c r="H113" s="93">
        <f>$F113*2</f>
        <v>624</v>
      </c>
      <c r="I113" s="93">
        <f>$G113*2</f>
        <v>936</v>
      </c>
    </row>
    <row r="114" spans="2:12" x14ac:dyDescent="0.35">
      <c r="B114" s="255">
        <v>4</v>
      </c>
      <c r="C114" s="121" t="s">
        <v>268</v>
      </c>
      <c r="D114" s="21" t="s">
        <v>266</v>
      </c>
      <c r="E114" s="912">
        <f>E112-E113</f>
        <v>261</v>
      </c>
      <c r="F114" s="93">
        <f>$E114*8</f>
        <v>2088</v>
      </c>
      <c r="G114" s="93">
        <f>$F114*1.5</f>
        <v>3132</v>
      </c>
      <c r="H114" s="93">
        <f>$F114*2</f>
        <v>4176</v>
      </c>
      <c r="I114" s="93">
        <f>$G114*2</f>
        <v>6264</v>
      </c>
    </row>
    <row r="115" spans="2:12" x14ac:dyDescent="0.35">
      <c r="B115" s="255">
        <v>5</v>
      </c>
      <c r="C115" s="121" t="s">
        <v>269</v>
      </c>
      <c r="D115" s="21" t="s">
        <v>270</v>
      </c>
      <c r="E115" s="93">
        <f>E114/K107</f>
        <v>130.5</v>
      </c>
      <c r="F115" s="93">
        <f>$E115*8</f>
        <v>1044</v>
      </c>
      <c r="G115" s="93">
        <f>$F115*1.5</f>
        <v>1566</v>
      </c>
      <c r="H115" s="93">
        <f>$F115*2</f>
        <v>2088</v>
      </c>
      <c r="I115" s="93">
        <f>$G115*2</f>
        <v>3132</v>
      </c>
    </row>
    <row r="116" spans="2:12" x14ac:dyDescent="0.35">
      <c r="B116" s="13"/>
    </row>
    <row r="117" spans="2:12" x14ac:dyDescent="0.35">
      <c r="B117" s="213" t="s">
        <v>303</v>
      </c>
      <c r="C117" s="11"/>
      <c r="D117" s="11"/>
      <c r="E117" s="11"/>
      <c r="F117" s="18"/>
      <c r="G117" s="11"/>
      <c r="H117" s="11"/>
      <c r="I117" s="11"/>
      <c r="K117" s="11"/>
      <c r="L117" s="11"/>
    </row>
    <row r="118" spans="2:12" ht="65" x14ac:dyDescent="0.35">
      <c r="B118" s="116" t="s">
        <v>36</v>
      </c>
      <c r="C118" s="909" t="s">
        <v>242</v>
      </c>
      <c r="D118" s="116" t="s">
        <v>243</v>
      </c>
      <c r="E118" s="116" t="s">
        <v>304</v>
      </c>
      <c r="F118" s="116" t="s">
        <v>304</v>
      </c>
      <c r="G118" s="116" t="s">
        <v>304</v>
      </c>
      <c r="H118" s="116" t="s">
        <v>304</v>
      </c>
      <c r="I118" s="116" t="s">
        <v>305</v>
      </c>
      <c r="J118" s="116" t="s">
        <v>304</v>
      </c>
      <c r="K118" s="909" t="s">
        <v>250</v>
      </c>
      <c r="L118" s="14"/>
    </row>
    <row r="119" spans="2:12" ht="25" x14ac:dyDescent="0.35">
      <c r="B119" s="120">
        <v>1</v>
      </c>
      <c r="C119" s="97" t="s">
        <v>251</v>
      </c>
      <c r="D119" s="93">
        <v>2000</v>
      </c>
      <c r="E119" s="93"/>
      <c r="F119" s="93">
        <v>1500</v>
      </c>
      <c r="G119" s="94" t="s">
        <v>252</v>
      </c>
      <c r="H119" s="93"/>
      <c r="I119" s="93"/>
      <c r="J119" s="93"/>
      <c r="K119" s="910">
        <f>D119*(100%-$D$97)</f>
        <v>1880</v>
      </c>
    </row>
    <row r="120" spans="2:12" ht="25" x14ac:dyDescent="0.35">
      <c r="B120" s="120">
        <v>2</v>
      </c>
      <c r="C120" s="97" t="s">
        <v>253</v>
      </c>
      <c r="D120" s="93">
        <v>600</v>
      </c>
      <c r="E120" s="95">
        <f>D120</f>
        <v>600</v>
      </c>
      <c r="F120" s="95">
        <f>E120</f>
        <v>600</v>
      </c>
      <c r="G120" s="94">
        <f>F120</f>
        <v>600</v>
      </c>
      <c r="H120" s="94">
        <f>G120</f>
        <v>600</v>
      </c>
      <c r="I120" s="95">
        <v>1300</v>
      </c>
      <c r="J120" s="95"/>
      <c r="K120" s="910">
        <f>D120*(100%-$D$97)</f>
        <v>564</v>
      </c>
      <c r="L120" s="19"/>
    </row>
    <row r="121" spans="2:12" ht="25" x14ac:dyDescent="0.35">
      <c r="B121" s="120">
        <v>3</v>
      </c>
      <c r="C121" s="97" t="s">
        <v>254</v>
      </c>
      <c r="D121" s="96">
        <v>1</v>
      </c>
      <c r="E121" s="96"/>
      <c r="F121" s="96">
        <v>1</v>
      </c>
      <c r="G121" s="96"/>
      <c r="H121" s="96"/>
      <c r="I121" s="96">
        <v>1</v>
      </c>
      <c r="J121" s="96"/>
      <c r="K121" s="100">
        <f>SUM(D121:J121)</f>
        <v>3</v>
      </c>
      <c r="L121" s="19"/>
    </row>
    <row r="122" spans="2:12" x14ac:dyDescent="0.35">
      <c r="B122" s="120"/>
      <c r="C122" s="121" t="s">
        <v>255</v>
      </c>
      <c r="D122" s="113"/>
      <c r="E122" s="97"/>
      <c r="F122" s="104"/>
      <c r="G122" s="104"/>
      <c r="H122" s="97"/>
      <c r="I122" s="97"/>
      <c r="J122" s="97"/>
      <c r="K122" s="101"/>
      <c r="L122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74"/>
  <sheetViews>
    <sheetView topLeftCell="A17" workbookViewId="0">
      <selection activeCell="C12" sqref="C12"/>
    </sheetView>
  </sheetViews>
  <sheetFormatPr defaultRowHeight="14.5" x14ac:dyDescent="0.35"/>
  <cols>
    <col min="3" max="3" width="33.7265625" customWidth="1"/>
    <col min="4" max="4" width="19.08984375" bestFit="1" customWidth="1"/>
    <col min="5" max="5" width="11" bestFit="1" customWidth="1"/>
    <col min="6" max="6" width="12.1796875" bestFit="1" customWidth="1"/>
    <col min="7" max="7" width="11.1796875" bestFit="1" customWidth="1"/>
    <col min="8" max="8" width="42.90625" bestFit="1" customWidth="1"/>
  </cols>
  <sheetData>
    <row r="1" spans="2:14" ht="16" x14ac:dyDescent="0.35">
      <c r="B1" s="92"/>
    </row>
    <row r="3" spans="2:14" ht="18" x14ac:dyDescent="0.35">
      <c r="B3" s="152" t="s">
        <v>306</v>
      </c>
    </row>
    <row r="4" spans="2:14" x14ac:dyDescent="0.35">
      <c r="B4" s="11" t="s">
        <v>307</v>
      </c>
      <c r="F4" s="18"/>
    </row>
    <row r="5" spans="2:14" ht="26" x14ac:dyDescent="0.35">
      <c r="B5" s="118" t="s">
        <v>36</v>
      </c>
      <c r="C5" s="118" t="s">
        <v>146</v>
      </c>
      <c r="D5" s="116" t="s">
        <v>257</v>
      </c>
      <c r="E5" s="116" t="s">
        <v>277</v>
      </c>
      <c r="F5" s="172" t="s">
        <v>308</v>
      </c>
      <c r="G5" s="116" t="s">
        <v>309</v>
      </c>
      <c r="H5" s="118" t="s">
        <v>255</v>
      </c>
    </row>
    <row r="6" spans="2:14" x14ac:dyDescent="0.35">
      <c r="B6" s="118"/>
      <c r="C6" s="119" t="s">
        <v>310</v>
      </c>
      <c r="D6" s="116"/>
      <c r="E6" s="172">
        <f>('Cong suat'!E29+'Cong suat'!E15)/2</f>
        <v>1232</v>
      </c>
      <c r="F6" s="172"/>
      <c r="G6" s="118"/>
      <c r="H6" s="118"/>
    </row>
    <row r="7" spans="2:14" ht="25" x14ac:dyDescent="0.35">
      <c r="B7" s="120">
        <v>1</v>
      </c>
      <c r="C7" s="97" t="s">
        <v>311</v>
      </c>
      <c r="D7" s="121"/>
      <c r="E7" s="915">
        <f>E8+E9</f>
        <v>128</v>
      </c>
      <c r="F7" s="93"/>
      <c r="G7" s="122"/>
      <c r="H7" s="121"/>
    </row>
    <row r="8" spans="2:14" x14ac:dyDescent="0.35">
      <c r="B8" s="700" t="s">
        <v>278</v>
      </c>
      <c r="C8" s="121" t="s">
        <v>312</v>
      </c>
      <c r="D8" s="121" t="s">
        <v>313</v>
      </c>
      <c r="E8" s="915">
        <f>7*8</f>
        <v>56</v>
      </c>
      <c r="F8" s="916"/>
      <c r="G8" s="93">
        <f>E8*F8/E6</f>
        <v>0</v>
      </c>
      <c r="H8" s="97"/>
    </row>
    <row r="9" spans="2:14" x14ac:dyDescent="0.35">
      <c r="B9" s="700" t="s">
        <v>280</v>
      </c>
      <c r="C9" s="121" t="s">
        <v>314</v>
      </c>
      <c r="D9" s="121" t="s">
        <v>313</v>
      </c>
      <c r="E9" s="915">
        <f>9*8</f>
        <v>72</v>
      </c>
      <c r="F9" s="917">
        <f>260000/8</f>
        <v>32500</v>
      </c>
      <c r="G9" s="820">
        <f>E9*F9/E6</f>
        <v>1899.3506493506493</v>
      </c>
      <c r="H9" s="97"/>
      <c r="N9" s="17"/>
    </row>
    <row r="10" spans="2:14" x14ac:dyDescent="0.35">
      <c r="B10" s="120" t="s">
        <v>282</v>
      </c>
      <c r="C10" s="121" t="s">
        <v>315</v>
      </c>
      <c r="D10" s="121" t="s">
        <v>316</v>
      </c>
      <c r="E10" s="915">
        <f>E7/8</f>
        <v>16</v>
      </c>
      <c r="F10" s="93">
        <f>25000</f>
        <v>25000</v>
      </c>
      <c r="G10" s="820">
        <f>(E10*F10)/($E$6*8)</f>
        <v>40.584415584415588</v>
      </c>
      <c r="H10" s="121"/>
    </row>
    <row r="11" spans="2:14" ht="25" x14ac:dyDescent="0.35">
      <c r="B11" s="120">
        <v>2</v>
      </c>
      <c r="C11" s="121" t="s">
        <v>188</v>
      </c>
      <c r="D11" s="97" t="s">
        <v>317</v>
      </c>
      <c r="E11" s="1268">
        <v>40</v>
      </c>
      <c r="F11" s="917">
        <f>ROUND(2100*1.05,-1)</f>
        <v>2210</v>
      </c>
      <c r="G11" s="1269">
        <f>E11*F11/E6</f>
        <v>71.753246753246756</v>
      </c>
      <c r="H11" s="97"/>
      <c r="I11" s="19"/>
    </row>
    <row r="12" spans="2:14" ht="25" x14ac:dyDescent="0.35">
      <c r="B12" s="120">
        <v>3</v>
      </c>
      <c r="C12" s="121" t="s">
        <v>318</v>
      </c>
      <c r="D12" s="97" t="s">
        <v>2215</v>
      </c>
      <c r="E12" s="145">
        <f>1700000</f>
        <v>1700000</v>
      </c>
      <c r="F12" s="93">
        <v>165000000</v>
      </c>
      <c r="G12" s="93">
        <f>F12/(E12*87%)</f>
        <v>111.56186612576064</v>
      </c>
      <c r="H12" s="97" t="s">
        <v>319</v>
      </c>
      <c r="I12" s="19"/>
    </row>
    <row r="13" spans="2:14" ht="25" x14ac:dyDescent="0.35">
      <c r="B13" s="120">
        <v>4</v>
      </c>
      <c r="C13" s="121" t="s">
        <v>320</v>
      </c>
      <c r="D13" s="97" t="s">
        <v>2217</v>
      </c>
      <c r="E13" s="186">
        <f>1.1*50%</f>
        <v>0.55000000000000004</v>
      </c>
      <c r="F13" s="93">
        <v>51000</v>
      </c>
      <c r="G13" s="93">
        <f>E13*F13/(1000*87%)+1</f>
        <v>33.241379310344833</v>
      </c>
      <c r="H13" s="97" t="s">
        <v>2213</v>
      </c>
    </row>
    <row r="14" spans="2:14" x14ac:dyDescent="0.35">
      <c r="B14" s="120">
        <v>5</v>
      </c>
      <c r="C14" s="919" t="s">
        <v>321</v>
      </c>
      <c r="D14" s="97"/>
      <c r="E14" s="186"/>
      <c r="F14" s="93"/>
      <c r="G14" s="93"/>
      <c r="H14" s="97"/>
      <c r="J14" s="512"/>
    </row>
    <row r="15" spans="2:14" x14ac:dyDescent="0.35">
      <c r="B15" s="120">
        <v>6</v>
      </c>
      <c r="C15" s="919" t="s">
        <v>322</v>
      </c>
      <c r="D15" s="97"/>
      <c r="E15" s="186"/>
      <c r="F15" s="93"/>
      <c r="G15" s="93"/>
      <c r="H15" s="97"/>
    </row>
    <row r="16" spans="2:14" x14ac:dyDescent="0.35">
      <c r="B16" s="120">
        <v>7</v>
      </c>
      <c r="C16" s="121" t="s">
        <v>323</v>
      </c>
      <c r="D16" s="121" t="s">
        <v>324</v>
      </c>
      <c r="E16" s="915">
        <v>1</v>
      </c>
      <c r="F16" s="917">
        <v>300</v>
      </c>
      <c r="G16" s="820">
        <f>(6.5%*1000)*F16/870</f>
        <v>22.413793103448278</v>
      </c>
      <c r="H16" s="97"/>
    </row>
    <row r="17" spans="2:9" x14ac:dyDescent="0.35">
      <c r="B17" s="120">
        <v>8</v>
      </c>
      <c r="C17" s="121" t="s">
        <v>325</v>
      </c>
      <c r="D17" s="97" t="s">
        <v>326</v>
      </c>
      <c r="E17" s="918">
        <f>2.5*85%</f>
        <v>2.125</v>
      </c>
      <c r="F17" s="93">
        <v>18000</v>
      </c>
      <c r="G17" s="93">
        <f>E17*F17/1100</f>
        <v>34.772727272727273</v>
      </c>
      <c r="H17" s="97" t="s">
        <v>2135</v>
      </c>
    </row>
    <row r="18" spans="2:9" x14ac:dyDescent="0.35">
      <c r="B18" s="120">
        <v>9</v>
      </c>
      <c r="C18" s="121" t="s">
        <v>192</v>
      </c>
      <c r="D18" s="98" t="s">
        <v>327</v>
      </c>
      <c r="E18" s="918">
        <v>1</v>
      </c>
      <c r="F18" s="93">
        <v>3200000</v>
      </c>
      <c r="G18" s="820">
        <f>F18/9000</f>
        <v>355.55555555555554</v>
      </c>
      <c r="H18" s="97"/>
    </row>
    <row r="19" spans="2:9" x14ac:dyDescent="0.35">
      <c r="B19" s="13"/>
    </row>
    <row r="20" spans="2:9" x14ac:dyDescent="0.35">
      <c r="B20" s="11" t="s">
        <v>2247</v>
      </c>
      <c r="F20" s="18"/>
    </row>
    <row r="21" spans="2:9" ht="26" x14ac:dyDescent="0.35">
      <c r="B21" s="118" t="s">
        <v>36</v>
      </c>
      <c r="C21" s="119" t="s">
        <v>146</v>
      </c>
      <c r="D21" s="116" t="s">
        <v>257</v>
      </c>
      <c r="E21" s="118" t="s">
        <v>258</v>
      </c>
      <c r="F21" s="172" t="s">
        <v>308</v>
      </c>
      <c r="G21" s="116" t="s">
        <v>309</v>
      </c>
      <c r="H21" s="118" t="s">
        <v>255</v>
      </c>
    </row>
    <row r="22" spans="2:9" x14ac:dyDescent="0.35">
      <c r="B22" s="118"/>
      <c r="C22" s="119" t="s">
        <v>329</v>
      </c>
      <c r="D22" s="116"/>
      <c r="E22" s="172">
        <f>'Cong suat'!E82</f>
        <v>630</v>
      </c>
      <c r="F22" s="172"/>
      <c r="G22" s="920"/>
      <c r="H22" s="118"/>
    </row>
    <row r="23" spans="2:9" x14ac:dyDescent="0.35">
      <c r="B23" s="120">
        <v>1</v>
      </c>
      <c r="C23" s="121" t="s">
        <v>330</v>
      </c>
      <c r="D23" s="121"/>
      <c r="E23" s="122">
        <f>SUM(E24:E25)</f>
        <v>24</v>
      </c>
      <c r="F23" s="93"/>
      <c r="G23" s="122"/>
      <c r="H23" s="121"/>
    </row>
    <row r="24" spans="2:9" x14ac:dyDescent="0.35">
      <c r="B24" s="921" t="s">
        <v>278</v>
      </c>
      <c r="C24" s="922" t="s">
        <v>312</v>
      </c>
      <c r="D24" s="922" t="s">
        <v>313</v>
      </c>
      <c r="E24" s="923">
        <f>3*8</f>
        <v>24</v>
      </c>
      <c r="F24" s="924"/>
      <c r="G24" s="924"/>
      <c r="H24" s="922"/>
    </row>
    <row r="25" spans="2:9" x14ac:dyDescent="0.35">
      <c r="B25" s="921" t="s">
        <v>280</v>
      </c>
      <c r="C25" s="922" t="s">
        <v>314</v>
      </c>
      <c r="D25" s="922" t="s">
        <v>313</v>
      </c>
      <c r="E25" s="923"/>
      <c r="F25" s="924"/>
      <c r="G25" s="924"/>
      <c r="H25" s="922"/>
    </row>
    <row r="26" spans="2:9" x14ac:dyDescent="0.35">
      <c r="B26" s="700" t="s">
        <v>282</v>
      </c>
      <c r="C26" s="121" t="s">
        <v>315</v>
      </c>
      <c r="D26" s="121" t="s">
        <v>316</v>
      </c>
      <c r="E26" s="122">
        <f>E23/8</f>
        <v>3</v>
      </c>
      <c r="F26" s="93">
        <f>25000</f>
        <v>25000</v>
      </c>
      <c r="G26" s="93">
        <f>(E26*F26)/($E$22*8)</f>
        <v>14.880952380952381</v>
      </c>
      <c r="H26" s="121"/>
    </row>
    <row r="27" spans="2:9" x14ac:dyDescent="0.35">
      <c r="B27" s="120">
        <v>2</v>
      </c>
      <c r="C27" s="121" t="s">
        <v>188</v>
      </c>
      <c r="D27" s="97" t="s">
        <v>2241</v>
      </c>
      <c r="E27" s="121">
        <v>70</v>
      </c>
      <c r="F27" s="93">
        <f>ROUND(2100*1.05,-1)</f>
        <v>2210</v>
      </c>
      <c r="G27" s="820">
        <f>E27*F27/$E$22</f>
        <v>245.55555555555554</v>
      </c>
      <c r="H27" s="97"/>
      <c r="I27" s="19"/>
    </row>
    <row r="28" spans="2:9" x14ac:dyDescent="0.35">
      <c r="B28" s="120">
        <v>3</v>
      </c>
      <c r="C28" s="10" t="s">
        <v>332</v>
      </c>
      <c r="D28" s="97" t="s">
        <v>2215</v>
      </c>
      <c r="E28" s="145">
        <v>200000</v>
      </c>
      <c r="F28" s="93">
        <v>44000000</v>
      </c>
      <c r="G28" s="820">
        <f>F28/(E28*90%)</f>
        <v>244.44444444444446</v>
      </c>
      <c r="H28" s="97" t="s">
        <v>333</v>
      </c>
      <c r="I28" s="19"/>
    </row>
    <row r="29" spans="2:9" x14ac:dyDescent="0.35">
      <c r="B29" s="120">
        <v>4</v>
      </c>
      <c r="C29" s="121" t="s">
        <v>320</v>
      </c>
      <c r="D29" s="97"/>
      <c r="E29" s="121"/>
      <c r="F29" s="93"/>
      <c r="G29" s="93"/>
      <c r="H29" s="97"/>
      <c r="I29" s="19"/>
    </row>
    <row r="30" spans="2:9" x14ac:dyDescent="0.35">
      <c r="B30" s="120">
        <v>5</v>
      </c>
      <c r="C30" s="121" t="s">
        <v>321</v>
      </c>
      <c r="D30" s="97" t="s">
        <v>2242</v>
      </c>
      <c r="E30" s="186">
        <v>350</v>
      </c>
      <c r="F30" s="93">
        <v>75000</v>
      </c>
      <c r="G30" s="820">
        <f>F30/(E30*2*0.9)</f>
        <v>119.04761904761905</v>
      </c>
      <c r="H30" s="97" t="s">
        <v>2243</v>
      </c>
    </row>
    <row r="31" spans="2:9" x14ac:dyDescent="0.35">
      <c r="B31" s="120">
        <v>6</v>
      </c>
      <c r="C31" s="121" t="s">
        <v>322</v>
      </c>
      <c r="D31" s="97"/>
      <c r="E31" s="121"/>
      <c r="F31" s="93"/>
      <c r="G31" s="93"/>
      <c r="H31" s="97"/>
      <c r="I31" s="19"/>
    </row>
    <row r="32" spans="2:9" x14ac:dyDescent="0.35">
      <c r="B32" s="120">
        <v>7</v>
      </c>
      <c r="C32" s="121" t="s">
        <v>334</v>
      </c>
      <c r="D32" s="121"/>
      <c r="E32" s="121"/>
      <c r="F32" s="93"/>
      <c r="G32" s="93">
        <f>SUM(G33:G35)</f>
        <v>269.52380952380952</v>
      </c>
      <c r="H32" s="121" t="s">
        <v>335</v>
      </c>
    </row>
    <row r="33" spans="2:9" x14ac:dyDescent="0.35">
      <c r="B33" s="821" t="s">
        <v>201</v>
      </c>
      <c r="C33" s="819" t="s">
        <v>336</v>
      </c>
      <c r="D33" s="121" t="s">
        <v>2244</v>
      </c>
      <c r="E33" s="121">
        <v>3</v>
      </c>
      <c r="F33" s="93">
        <v>11500</v>
      </c>
      <c r="G33" s="93">
        <f>E33*F33/$E$22</f>
        <v>54.761904761904759</v>
      </c>
      <c r="H33" s="121"/>
    </row>
    <row r="34" spans="2:9" x14ac:dyDescent="0.35">
      <c r="B34" s="120"/>
      <c r="C34" s="819" t="s">
        <v>337</v>
      </c>
      <c r="D34" s="121" t="s">
        <v>2244</v>
      </c>
      <c r="E34" s="121">
        <f>E33*80%</f>
        <v>2.4000000000000004</v>
      </c>
      <c r="F34" s="93">
        <v>9500</v>
      </c>
      <c r="G34" s="93">
        <f>E34*F34/$E$22</f>
        <v>36.190476190476197</v>
      </c>
      <c r="H34" s="121"/>
    </row>
    <row r="35" spans="2:9" x14ac:dyDescent="0.35">
      <c r="B35" s="120"/>
      <c r="C35" s="819" t="s">
        <v>338</v>
      </c>
      <c r="D35" s="121"/>
      <c r="E35" s="121">
        <f>'Cong suat'!D90*5%</f>
        <v>75</v>
      </c>
      <c r="F35" s="917">
        <v>1500</v>
      </c>
      <c r="G35" s="93">
        <f>E35*F35/$E$22</f>
        <v>178.57142857142858</v>
      </c>
      <c r="H35" s="121"/>
    </row>
    <row r="36" spans="2:9" x14ac:dyDescent="0.35">
      <c r="B36" s="120">
        <v>8</v>
      </c>
      <c r="C36" s="121" t="s">
        <v>325</v>
      </c>
      <c r="D36" s="97"/>
      <c r="E36" s="918">
        <f>2.5*60%</f>
        <v>1.5</v>
      </c>
      <c r="F36" s="93">
        <v>18000</v>
      </c>
      <c r="G36" s="93">
        <f>E36*F36/1100</f>
        <v>24.545454545454547</v>
      </c>
      <c r="H36" s="97" t="s">
        <v>2134</v>
      </c>
    </row>
    <row r="37" spans="2:9" x14ac:dyDescent="0.35">
      <c r="B37" s="120">
        <v>9</v>
      </c>
      <c r="C37" s="121" t="s">
        <v>192</v>
      </c>
      <c r="D37" s="98" t="s">
        <v>339</v>
      </c>
      <c r="E37" s="93">
        <v>10000</v>
      </c>
      <c r="F37" s="93">
        <v>3200000</v>
      </c>
      <c r="G37" s="93">
        <f>F37/E37</f>
        <v>320</v>
      </c>
      <c r="H37" s="97"/>
    </row>
    <row r="38" spans="2:9" x14ac:dyDescent="0.35">
      <c r="B38" s="13"/>
    </row>
    <row r="39" spans="2:9" x14ac:dyDescent="0.35">
      <c r="B39" s="11" t="s">
        <v>2201</v>
      </c>
      <c r="C39" s="11"/>
      <c r="D39" s="11"/>
      <c r="E39" s="11"/>
      <c r="F39" s="18"/>
      <c r="G39" s="11"/>
      <c r="H39" s="11"/>
    </row>
    <row r="40" spans="2:9" ht="26" x14ac:dyDescent="0.35">
      <c r="B40" s="118" t="s">
        <v>36</v>
      </c>
      <c r="C40" s="119" t="s">
        <v>146</v>
      </c>
      <c r="D40" s="116" t="s">
        <v>257</v>
      </c>
      <c r="E40" s="116" t="s">
        <v>277</v>
      </c>
      <c r="F40" s="172" t="s">
        <v>308</v>
      </c>
      <c r="G40" s="116" t="s">
        <v>309</v>
      </c>
      <c r="H40" s="118" t="s">
        <v>255</v>
      </c>
    </row>
    <row r="41" spans="2:9" x14ac:dyDescent="0.35">
      <c r="B41" s="118"/>
      <c r="C41" s="119" t="s">
        <v>340</v>
      </c>
      <c r="D41" s="116"/>
      <c r="E41" s="116">
        <f>'Cong suat'!K90</f>
        <v>1410</v>
      </c>
      <c r="F41" s="172"/>
      <c r="G41" s="116"/>
      <c r="H41" s="118"/>
    </row>
    <row r="42" spans="2:9" x14ac:dyDescent="0.35">
      <c r="B42" s="120">
        <v>1</v>
      </c>
      <c r="C42" s="121" t="s">
        <v>330</v>
      </c>
      <c r="D42" s="121"/>
      <c r="E42" s="122">
        <v>3</v>
      </c>
      <c r="F42" s="93">
        <v>50320</v>
      </c>
      <c r="G42" s="122"/>
      <c r="H42" s="121"/>
    </row>
    <row r="43" spans="2:9" x14ac:dyDescent="0.35">
      <c r="B43" s="921" t="s">
        <v>278</v>
      </c>
      <c r="C43" s="922" t="s">
        <v>312</v>
      </c>
      <c r="D43" s="922" t="s">
        <v>2245</v>
      </c>
      <c r="E43" s="122">
        <f>3*8</f>
        <v>24</v>
      </c>
      <c r="F43" s="93">
        <v>50320</v>
      </c>
      <c r="G43" s="820">
        <f>(E43*F43)/($E$41*8)</f>
        <v>107.06382978723404</v>
      </c>
      <c r="H43" s="922"/>
    </row>
    <row r="44" spans="2:9" x14ac:dyDescent="0.35">
      <c r="B44" s="921" t="s">
        <v>280</v>
      </c>
      <c r="C44" s="922" t="s">
        <v>314</v>
      </c>
      <c r="D44" s="922" t="s">
        <v>2245</v>
      </c>
      <c r="E44" s="923"/>
      <c r="F44" s="924"/>
      <c r="G44" s="924"/>
      <c r="H44" s="922"/>
    </row>
    <row r="45" spans="2:9" x14ac:dyDescent="0.35">
      <c r="B45" s="700" t="s">
        <v>282</v>
      </c>
      <c r="C45" s="121" t="s">
        <v>315</v>
      </c>
      <c r="D45" s="121" t="s">
        <v>316</v>
      </c>
      <c r="E45" s="121">
        <v>3</v>
      </c>
      <c r="F45" s="93">
        <f>25000</f>
        <v>25000</v>
      </c>
      <c r="G45" s="820">
        <f>E45*F45/($E$41*8)</f>
        <v>6.6489361702127656</v>
      </c>
      <c r="H45" s="121"/>
    </row>
    <row r="46" spans="2:9" x14ac:dyDescent="0.35">
      <c r="B46" s="120">
        <v>2</v>
      </c>
      <c r="C46" s="121" t="s">
        <v>188</v>
      </c>
      <c r="D46" s="97" t="s">
        <v>2241</v>
      </c>
      <c r="E46" s="121">
        <f>250*70%</f>
        <v>175</v>
      </c>
      <c r="F46" s="93">
        <f>ROUND(2100*1.05,-1)</f>
        <v>2210</v>
      </c>
      <c r="G46" s="820">
        <f>E46*F46/$E$41</f>
        <v>274.29078014184398</v>
      </c>
      <c r="H46" s="97"/>
      <c r="I46" s="19"/>
    </row>
    <row r="47" spans="2:9" x14ac:dyDescent="0.35">
      <c r="B47" s="120">
        <v>3</v>
      </c>
      <c r="C47" s="10" t="s">
        <v>341</v>
      </c>
      <c r="D47" s="97" t="s">
        <v>2215</v>
      </c>
      <c r="E47" s="145">
        <v>300000</v>
      </c>
      <c r="F47" s="93">
        <v>70000000</v>
      </c>
      <c r="G47" s="820">
        <f>F47/(E47*94%)</f>
        <v>248.22695035460993</v>
      </c>
      <c r="H47" s="97"/>
      <c r="I47" s="19"/>
    </row>
    <row r="48" spans="2:9" x14ac:dyDescent="0.35">
      <c r="B48" s="120">
        <v>4</v>
      </c>
      <c r="C48" s="121" t="s">
        <v>320</v>
      </c>
      <c r="D48" s="97"/>
      <c r="E48" s="121"/>
      <c r="F48" s="93"/>
      <c r="G48" s="93"/>
      <c r="H48" s="97"/>
      <c r="I48" s="19"/>
    </row>
    <row r="49" spans="2:9" x14ac:dyDescent="0.35">
      <c r="B49" s="120">
        <v>5</v>
      </c>
      <c r="C49" s="121" t="s">
        <v>321</v>
      </c>
      <c r="D49" s="97" t="s">
        <v>2242</v>
      </c>
      <c r="E49" s="93">
        <v>350</v>
      </c>
      <c r="F49" s="93">
        <v>75000</v>
      </c>
      <c r="G49" s="820">
        <f>F49/(E49*2*94%)</f>
        <v>113.98176291793312</v>
      </c>
      <c r="H49" s="97" t="s">
        <v>2243</v>
      </c>
    </row>
    <row r="50" spans="2:9" x14ac:dyDescent="0.35">
      <c r="B50" s="120">
        <v>6</v>
      </c>
      <c r="C50" s="121" t="s">
        <v>322</v>
      </c>
      <c r="D50" s="97"/>
      <c r="E50" s="121"/>
      <c r="F50" s="93"/>
      <c r="G50" s="93"/>
      <c r="H50" s="97"/>
      <c r="I50" s="19"/>
    </row>
    <row r="51" spans="2:9" x14ac:dyDescent="0.35">
      <c r="B51" s="821" t="s">
        <v>201</v>
      </c>
      <c r="C51" s="121" t="s">
        <v>336</v>
      </c>
      <c r="D51" s="121" t="s">
        <v>2244</v>
      </c>
      <c r="E51" s="121">
        <v>3</v>
      </c>
      <c r="F51" s="93">
        <v>11500</v>
      </c>
      <c r="G51" s="820">
        <f>E51*F51/$E$41</f>
        <v>24.468085106382979</v>
      </c>
      <c r="H51" s="97"/>
      <c r="I51" s="19"/>
    </row>
    <row r="52" spans="2:9" x14ac:dyDescent="0.35">
      <c r="B52" s="120">
        <v>7</v>
      </c>
      <c r="C52" s="121" t="s">
        <v>342</v>
      </c>
      <c r="D52" s="121" t="s">
        <v>2244</v>
      </c>
      <c r="E52" s="121">
        <f>E51*80%</f>
        <v>2.4000000000000004</v>
      </c>
      <c r="F52" s="93">
        <v>11500</v>
      </c>
      <c r="G52" s="820">
        <f>E52*F52/$E$41</f>
        <v>19.574468085106385</v>
      </c>
      <c r="H52" s="121"/>
    </row>
    <row r="53" spans="2:9" x14ac:dyDescent="0.35">
      <c r="B53" s="120"/>
      <c r="C53" s="819" t="s">
        <v>338</v>
      </c>
      <c r="D53" s="121"/>
      <c r="E53" s="121">
        <f>'Cong suat'!D90*3%</f>
        <v>45</v>
      </c>
      <c r="F53" s="917">
        <v>1500</v>
      </c>
      <c r="G53" s="820">
        <f>E53*F53/$E$41</f>
        <v>47.872340425531917</v>
      </c>
      <c r="H53" s="121"/>
    </row>
    <row r="54" spans="2:9" x14ac:dyDescent="0.35">
      <c r="B54" s="120">
        <v>8</v>
      </c>
      <c r="C54" s="121" t="s">
        <v>325</v>
      </c>
      <c r="D54" s="97"/>
      <c r="E54" s="918">
        <f>2.5*60%</f>
        <v>1.5</v>
      </c>
      <c r="F54" s="93">
        <v>18000</v>
      </c>
      <c r="G54" s="93">
        <f>E54*F54/1100</f>
        <v>24.545454545454547</v>
      </c>
      <c r="H54" s="97"/>
    </row>
    <row r="55" spans="2:9" x14ac:dyDescent="0.35">
      <c r="B55" s="120">
        <v>9</v>
      </c>
      <c r="C55" s="121" t="s">
        <v>192</v>
      </c>
      <c r="D55" s="98" t="s">
        <v>339</v>
      </c>
      <c r="E55" s="93">
        <v>10000</v>
      </c>
      <c r="F55" s="93">
        <v>3200000</v>
      </c>
      <c r="G55" s="93">
        <f>F55/E55</f>
        <v>320</v>
      </c>
      <c r="H55" s="97"/>
    </row>
    <row r="56" spans="2:9" x14ac:dyDescent="0.35">
      <c r="B56" s="13"/>
      <c r="F56" s="214"/>
      <c r="G56" s="214"/>
    </row>
    <row r="57" spans="2:9" x14ac:dyDescent="0.35">
      <c r="B57" s="13"/>
      <c r="F57" s="214"/>
      <c r="G57" s="214"/>
    </row>
    <row r="58" spans="2:9" x14ac:dyDescent="0.35">
      <c r="B58" s="13"/>
      <c r="F58" s="214"/>
      <c r="G58" s="214"/>
    </row>
    <row r="59" spans="2:9" x14ac:dyDescent="0.35">
      <c r="H59" s="154" t="s">
        <v>343</v>
      </c>
    </row>
    <row r="60" spans="2:9" x14ac:dyDescent="0.35">
      <c r="B60" s="155"/>
      <c r="C60" s="155" t="s">
        <v>344</v>
      </c>
      <c r="D60" s="155" t="s">
        <v>345</v>
      </c>
      <c r="E60" s="155" t="s">
        <v>345</v>
      </c>
      <c r="F60" s="155"/>
      <c r="G60" s="155" t="s">
        <v>345</v>
      </c>
      <c r="H60" s="155" t="s">
        <v>346</v>
      </c>
    </row>
    <row r="61" spans="2:9" x14ac:dyDescent="0.35">
      <c r="B61" s="156"/>
      <c r="C61" s="156" t="s">
        <v>347</v>
      </c>
      <c r="D61" s="156" t="s">
        <v>348</v>
      </c>
      <c r="E61" s="156" t="s">
        <v>349</v>
      </c>
      <c r="F61" s="156"/>
      <c r="G61" s="156" t="s">
        <v>350</v>
      </c>
      <c r="H61" s="156" t="s">
        <v>351</v>
      </c>
    </row>
    <row r="62" spans="2:9" x14ac:dyDescent="0.35">
      <c r="B62" s="153"/>
      <c r="C62" s="153"/>
      <c r="D62" s="153"/>
      <c r="E62" s="153"/>
      <c r="F62" s="153"/>
      <c r="G62" s="153"/>
      <c r="H62" s="153"/>
    </row>
    <row r="63" spans="2:9" x14ac:dyDescent="0.35">
      <c r="B63" s="153"/>
      <c r="C63" s="153"/>
      <c r="D63" s="153"/>
      <c r="E63" s="153"/>
      <c r="F63" s="153"/>
      <c r="G63" s="153"/>
      <c r="H63" s="153"/>
    </row>
    <row r="64" spans="2:9" x14ac:dyDescent="0.35">
      <c r="B64" s="153"/>
      <c r="C64" s="153"/>
      <c r="D64" s="153"/>
      <c r="E64" s="153"/>
      <c r="F64" s="153"/>
      <c r="G64" s="153"/>
      <c r="H64" s="153"/>
    </row>
    <row r="65" spans="2:9" x14ac:dyDescent="0.35">
      <c r="B65" s="153"/>
      <c r="C65" s="153"/>
      <c r="D65" s="153"/>
      <c r="E65" s="153"/>
      <c r="F65" s="153"/>
      <c r="G65" s="153"/>
      <c r="H65" s="153"/>
    </row>
    <row r="66" spans="2:9" x14ac:dyDescent="0.35">
      <c r="B66" s="156"/>
      <c r="C66" s="156"/>
      <c r="D66" s="156"/>
      <c r="E66" s="156"/>
      <c r="F66" s="156"/>
      <c r="G66" s="156"/>
      <c r="H66" s="156"/>
    </row>
    <row r="69" spans="2:9" x14ac:dyDescent="0.35">
      <c r="G69" s="156"/>
      <c r="H69" s="156"/>
      <c r="I69" s="156"/>
    </row>
    <row r="70" spans="2:9" x14ac:dyDescent="0.35">
      <c r="G70" s="153"/>
      <c r="H70" s="153"/>
      <c r="I70" s="153"/>
    </row>
    <row r="71" spans="2:9" x14ac:dyDescent="0.35">
      <c r="G71" s="153"/>
      <c r="H71" s="153"/>
      <c r="I71" s="153"/>
    </row>
    <row r="72" spans="2:9" x14ac:dyDescent="0.35">
      <c r="G72" s="153"/>
      <c r="H72" s="153"/>
      <c r="I72" s="153"/>
    </row>
    <row r="73" spans="2:9" x14ac:dyDescent="0.35">
      <c r="G73" s="153"/>
      <c r="H73" s="153"/>
      <c r="I73" s="153"/>
    </row>
    <row r="74" spans="2:9" x14ac:dyDescent="0.35">
      <c r="G74" s="156"/>
      <c r="H74" s="156"/>
      <c r="I74" s="15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74"/>
  <sheetViews>
    <sheetView workbookViewId="0"/>
  </sheetViews>
  <sheetFormatPr defaultRowHeight="14.5" x14ac:dyDescent="0.35"/>
  <sheetData>
    <row r="1" spans="2:14" ht="16" x14ac:dyDescent="0.35">
      <c r="B1" s="92"/>
    </row>
    <row r="3" spans="2:14" ht="18" x14ac:dyDescent="0.35">
      <c r="B3" s="152" t="s">
        <v>306</v>
      </c>
    </row>
    <row r="4" spans="2:14" x14ac:dyDescent="0.35">
      <c r="B4" s="11" t="s">
        <v>307</v>
      </c>
      <c r="F4" s="18"/>
    </row>
    <row r="5" spans="2:14" ht="52" x14ac:dyDescent="0.35">
      <c r="B5" s="118" t="s">
        <v>36</v>
      </c>
      <c r="C5" s="118" t="s">
        <v>146</v>
      </c>
      <c r="D5" s="116" t="s">
        <v>257</v>
      </c>
      <c r="E5" s="116" t="s">
        <v>277</v>
      </c>
      <c r="F5" s="172" t="s">
        <v>308</v>
      </c>
      <c r="G5" s="116" t="s">
        <v>309</v>
      </c>
      <c r="H5" s="118" t="s">
        <v>255</v>
      </c>
    </row>
    <row r="6" spans="2:14" x14ac:dyDescent="0.35">
      <c r="B6" s="118"/>
      <c r="C6" s="119" t="s">
        <v>310</v>
      </c>
      <c r="D6" s="116"/>
      <c r="E6" s="172">
        <f>('Cong suat'!E29+'Cong suat'!E15)/2</f>
        <v>1232</v>
      </c>
      <c r="F6" s="172"/>
      <c r="G6" s="118"/>
      <c r="H6" s="118"/>
    </row>
    <row r="7" spans="2:14" ht="87.5" x14ac:dyDescent="0.35">
      <c r="B7" s="120">
        <v>1</v>
      </c>
      <c r="C7" s="97" t="s">
        <v>311</v>
      </c>
      <c r="D7" s="121"/>
      <c r="E7" s="915">
        <f>E8+E9</f>
        <v>16</v>
      </c>
      <c r="F7" s="93">
        <f>(E8*F8+E9*F9)/E7</f>
        <v>18281.25</v>
      </c>
      <c r="G7" s="122">
        <f>G8+G9</f>
        <v>237.41883116883116</v>
      </c>
      <c r="H7" s="121"/>
    </row>
    <row r="8" spans="2:14" x14ac:dyDescent="0.35">
      <c r="B8" s="1260" t="s">
        <v>278</v>
      </c>
      <c r="C8" s="1254" t="s">
        <v>312</v>
      </c>
      <c r="D8" s="1254" t="s">
        <v>313</v>
      </c>
      <c r="E8" s="1256">
        <v>7</v>
      </c>
      <c r="F8" s="912"/>
      <c r="G8" s="912">
        <f>E8*F8/E6</f>
        <v>0</v>
      </c>
      <c r="H8" s="1255"/>
    </row>
    <row r="9" spans="2:14" x14ac:dyDescent="0.35">
      <c r="B9" s="1260" t="s">
        <v>280</v>
      </c>
      <c r="C9" s="1254" t="s">
        <v>314</v>
      </c>
      <c r="D9" s="1254" t="s">
        <v>313</v>
      </c>
      <c r="E9" s="1256">
        <v>9</v>
      </c>
      <c r="F9" s="912">
        <f>260000/8</f>
        <v>32500</v>
      </c>
      <c r="G9" s="1259">
        <f>E9*F9/E6</f>
        <v>237.41883116883116</v>
      </c>
      <c r="H9" s="1255"/>
      <c r="N9" s="17"/>
    </row>
    <row r="10" spans="2:14" x14ac:dyDescent="0.35">
      <c r="B10" s="120" t="s">
        <v>282</v>
      </c>
      <c r="C10" s="121" t="s">
        <v>315</v>
      </c>
      <c r="D10" s="121" t="s">
        <v>316</v>
      </c>
      <c r="E10" s="915">
        <f>E7</f>
        <v>16</v>
      </c>
      <c r="F10" s="93">
        <f>25000/8</f>
        <v>3125</v>
      </c>
      <c r="G10" s="820">
        <f>E10*F10/$E$6</f>
        <v>40.584415584415588</v>
      </c>
      <c r="H10" s="121"/>
    </row>
    <row r="11" spans="2:14" ht="37.5" x14ac:dyDescent="0.35">
      <c r="B11" s="120">
        <v>2</v>
      </c>
      <c r="C11" s="121" t="s">
        <v>188</v>
      </c>
      <c r="D11" s="97" t="s">
        <v>317</v>
      </c>
      <c r="E11" s="918">
        <v>40</v>
      </c>
      <c r="F11" s="93">
        <f>ROUND(2100*1.05,-1)</f>
        <v>2210</v>
      </c>
      <c r="G11" s="820">
        <f>E11*F11/E6</f>
        <v>71.753246753246756</v>
      </c>
      <c r="H11" s="97"/>
      <c r="I11" s="1253"/>
    </row>
    <row r="12" spans="2:14" ht="100" x14ac:dyDescent="0.35">
      <c r="B12" s="120">
        <v>3</v>
      </c>
      <c r="C12" s="121" t="s">
        <v>318</v>
      </c>
      <c r="D12" s="97" t="s">
        <v>2215</v>
      </c>
      <c r="E12" s="513">
        <f>1/1700000*(('Cong suat'!$E$13+'Cong suat'!$E$21)/2)</f>
        <v>8.2352941176470581E-4</v>
      </c>
      <c r="F12" s="93">
        <v>165000000</v>
      </c>
      <c r="G12" s="93">
        <f>E12*F12/$E$6</f>
        <v>110.2941176470588</v>
      </c>
      <c r="H12" s="97" t="s">
        <v>319</v>
      </c>
      <c r="I12" s="19" t="s">
        <v>2146</v>
      </c>
    </row>
    <row r="13" spans="2:14" ht="100" x14ac:dyDescent="0.35">
      <c r="B13" s="120">
        <v>4</v>
      </c>
      <c r="C13" s="1254" t="s">
        <v>320</v>
      </c>
      <c r="D13" s="1255"/>
      <c r="E13" s="1258">
        <f>0.3*50%</f>
        <v>0.15</v>
      </c>
      <c r="F13" s="912">
        <v>51000</v>
      </c>
      <c r="G13" s="912">
        <f>E13*F13/230</f>
        <v>33.260869565217391</v>
      </c>
      <c r="H13" s="1255" t="s">
        <v>2213</v>
      </c>
    </row>
    <row r="14" spans="2:14" x14ac:dyDescent="0.35">
      <c r="B14" s="120">
        <v>5</v>
      </c>
      <c r="C14" s="919" t="s">
        <v>321</v>
      </c>
      <c r="D14" s="97"/>
      <c r="E14" s="186"/>
      <c r="F14" s="93"/>
      <c r="G14" s="93"/>
      <c r="H14" s="97"/>
      <c r="J14" s="512"/>
    </row>
    <row r="15" spans="2:14" x14ac:dyDescent="0.35">
      <c r="B15" s="120">
        <v>6</v>
      </c>
      <c r="C15" s="919" t="s">
        <v>322</v>
      </c>
      <c r="D15" s="97"/>
      <c r="E15" s="186"/>
      <c r="F15" s="93"/>
      <c r="G15" s="93"/>
      <c r="H15" s="97"/>
    </row>
    <row r="16" spans="2:14" x14ac:dyDescent="0.35">
      <c r="B16" s="120">
        <v>7</v>
      </c>
      <c r="C16" s="121" t="s">
        <v>323</v>
      </c>
      <c r="D16" s="121" t="s">
        <v>324</v>
      </c>
      <c r="E16" s="915">
        <f>SUM('Cong suat'!E13,'Cong suat'!E27)/2*6.5%</f>
        <v>91</v>
      </c>
      <c r="F16" s="917">
        <v>300</v>
      </c>
      <c r="G16" s="820">
        <f>E16*F16/$E$6</f>
        <v>22.15909090909091</v>
      </c>
      <c r="H16" s="97"/>
    </row>
    <row r="17" spans="2:9" ht="75" x14ac:dyDescent="0.35">
      <c r="B17" s="120">
        <v>8</v>
      </c>
      <c r="C17" s="121" t="s">
        <v>325</v>
      </c>
      <c r="D17" s="97" t="s">
        <v>326</v>
      </c>
      <c r="E17" s="918">
        <f>2.5*85%</f>
        <v>2.125</v>
      </c>
      <c r="F17" s="93">
        <v>18000</v>
      </c>
      <c r="G17" s="93">
        <f>E17*F17/1100</f>
        <v>34.772727272727273</v>
      </c>
      <c r="H17" s="97" t="s">
        <v>2135</v>
      </c>
    </row>
    <row r="18" spans="2:9" ht="37.5" x14ac:dyDescent="0.35">
      <c r="B18" s="120">
        <v>9</v>
      </c>
      <c r="C18" s="121" t="s">
        <v>192</v>
      </c>
      <c r="D18" s="98" t="s">
        <v>327</v>
      </c>
      <c r="E18" s="918">
        <v>1</v>
      </c>
      <c r="F18" s="93">
        <v>3200000</v>
      </c>
      <c r="G18" s="820">
        <f>F18/9000</f>
        <v>355.55555555555554</v>
      </c>
      <c r="H18" s="97"/>
    </row>
    <row r="19" spans="2:9" x14ac:dyDescent="0.35">
      <c r="B19" s="13"/>
    </row>
    <row r="20" spans="2:9" x14ac:dyDescent="0.35">
      <c r="B20" s="11" t="s">
        <v>328</v>
      </c>
      <c r="F20" s="18"/>
    </row>
    <row r="21" spans="2:9" ht="52" x14ac:dyDescent="0.35">
      <c r="B21" s="118" t="s">
        <v>36</v>
      </c>
      <c r="C21" s="119" t="s">
        <v>146</v>
      </c>
      <c r="D21" s="116" t="s">
        <v>257</v>
      </c>
      <c r="E21" s="118" t="s">
        <v>258</v>
      </c>
      <c r="F21" s="172" t="s">
        <v>308</v>
      </c>
      <c r="G21" s="116" t="s">
        <v>309</v>
      </c>
      <c r="H21" s="118" t="s">
        <v>255</v>
      </c>
    </row>
    <row r="22" spans="2:9" x14ac:dyDescent="0.35">
      <c r="B22" s="118"/>
      <c r="C22" s="119" t="s">
        <v>329</v>
      </c>
      <c r="D22" s="116"/>
      <c r="E22" s="172">
        <f>'Cong suat'!$E$98</f>
        <v>1410</v>
      </c>
      <c r="F22" s="172"/>
      <c r="G22" s="920"/>
      <c r="H22" s="118"/>
    </row>
    <row r="23" spans="2:9" x14ac:dyDescent="0.35">
      <c r="B23" s="120">
        <v>1</v>
      </c>
      <c r="C23" s="121" t="s">
        <v>330</v>
      </c>
      <c r="D23" s="121"/>
      <c r="E23" s="122"/>
      <c r="F23" s="93"/>
      <c r="G23" s="122"/>
      <c r="H23" s="121"/>
    </row>
    <row r="24" spans="2:9" x14ac:dyDescent="0.35">
      <c r="B24" s="921" t="s">
        <v>278</v>
      </c>
      <c r="C24" s="922" t="s">
        <v>312</v>
      </c>
      <c r="D24" s="922" t="s">
        <v>313</v>
      </c>
      <c r="E24" s="923">
        <v>3</v>
      </c>
      <c r="F24" s="924"/>
      <c r="G24" s="924"/>
      <c r="H24" s="922"/>
    </row>
    <row r="25" spans="2:9" x14ac:dyDescent="0.35">
      <c r="B25" s="921" t="s">
        <v>280</v>
      </c>
      <c r="C25" s="922" t="s">
        <v>314</v>
      </c>
      <c r="D25" s="922" t="s">
        <v>313</v>
      </c>
      <c r="E25" s="923"/>
      <c r="F25" s="924"/>
      <c r="G25" s="924"/>
      <c r="H25" s="922"/>
    </row>
    <row r="26" spans="2:9" x14ac:dyDescent="0.35">
      <c r="B26" s="700" t="s">
        <v>282</v>
      </c>
      <c r="C26" s="121" t="s">
        <v>315</v>
      </c>
      <c r="D26" s="121" t="s">
        <v>331</v>
      </c>
      <c r="E26" s="122">
        <f>E23</f>
        <v>0</v>
      </c>
      <c r="F26" s="93">
        <f>25000/8</f>
        <v>3125</v>
      </c>
      <c r="G26" s="93">
        <f>E26*F26/$E$22</f>
        <v>0</v>
      </c>
      <c r="H26" s="121"/>
    </row>
    <row r="27" spans="2:9" ht="37.5" x14ac:dyDescent="0.35">
      <c r="B27" s="120">
        <v>2</v>
      </c>
      <c r="C27" s="121" t="s">
        <v>188</v>
      </c>
      <c r="D27" s="97" t="s">
        <v>317</v>
      </c>
      <c r="E27" s="121">
        <v>70</v>
      </c>
      <c r="F27" s="93">
        <f>ROUND(2100*1.05,-1)</f>
        <v>2210</v>
      </c>
      <c r="G27" s="820">
        <f>E27*F27/$E$22</f>
        <v>109.71631205673759</v>
      </c>
      <c r="H27" s="97"/>
      <c r="I27" s="19"/>
    </row>
    <row r="28" spans="2:9" ht="50" x14ac:dyDescent="0.35">
      <c r="B28" s="120">
        <v>3</v>
      </c>
      <c r="C28" s="10" t="s">
        <v>332</v>
      </c>
      <c r="D28" s="97"/>
      <c r="E28" s="513">
        <f>1/200000*'Cong suat'!$E$96</f>
        <v>7.5000000000000006E-3</v>
      </c>
      <c r="F28" s="93">
        <v>44000000</v>
      </c>
      <c r="G28" s="820">
        <f>E28*F28/$E$22</f>
        <v>234.04255319148936</v>
      </c>
      <c r="H28" s="97" t="s">
        <v>333</v>
      </c>
      <c r="I28" s="19"/>
    </row>
    <row r="29" spans="2:9" x14ac:dyDescent="0.35">
      <c r="B29" s="120">
        <v>4</v>
      </c>
      <c r="C29" s="121" t="s">
        <v>320</v>
      </c>
      <c r="D29" s="97"/>
      <c r="E29" s="121"/>
      <c r="F29" s="93"/>
      <c r="G29" s="93"/>
      <c r="H29" s="97"/>
      <c r="I29" s="19"/>
    </row>
    <row r="30" spans="2:9" x14ac:dyDescent="0.35">
      <c r="B30" s="120">
        <v>5</v>
      </c>
      <c r="C30" s="121" t="s">
        <v>321</v>
      </c>
      <c r="D30" s="97"/>
      <c r="E30" s="186">
        <f>E22/350*50%</f>
        <v>2.0142857142857142</v>
      </c>
      <c r="F30" s="93">
        <v>71000</v>
      </c>
      <c r="G30" s="820">
        <f>E30*F30/$E$22</f>
        <v>101.42857142857143</v>
      </c>
      <c r="H30" s="97"/>
    </row>
    <row r="31" spans="2:9" x14ac:dyDescent="0.35">
      <c r="B31" s="120">
        <v>6</v>
      </c>
      <c r="C31" s="121" t="s">
        <v>322</v>
      </c>
      <c r="D31" s="97"/>
      <c r="E31" s="121"/>
      <c r="F31" s="93"/>
      <c r="G31" s="93"/>
      <c r="H31" s="97"/>
      <c r="I31" s="19"/>
    </row>
    <row r="32" spans="2:9" x14ac:dyDescent="0.35">
      <c r="B32" s="120">
        <v>7</v>
      </c>
      <c r="C32" s="121" t="s">
        <v>334</v>
      </c>
      <c r="D32" s="121"/>
      <c r="E32" s="121"/>
      <c r="F32" s="93"/>
      <c r="G32" s="93">
        <f>SUM(G33:G35)</f>
        <v>120.42553191489363</v>
      </c>
      <c r="H32" s="121" t="s">
        <v>335</v>
      </c>
    </row>
    <row r="33" spans="2:9" x14ac:dyDescent="0.35">
      <c r="B33" s="821" t="s">
        <v>201</v>
      </c>
      <c r="C33" s="819" t="s">
        <v>336</v>
      </c>
      <c r="D33" s="121"/>
      <c r="E33" s="121">
        <v>3</v>
      </c>
      <c r="F33" s="93">
        <v>11500</v>
      </c>
      <c r="G33" s="93">
        <f>E33*F33/$E$22</f>
        <v>24.468085106382979</v>
      </c>
      <c r="H33" s="121"/>
    </row>
    <row r="34" spans="2:9" x14ac:dyDescent="0.35">
      <c r="B34" s="120"/>
      <c r="C34" s="819" t="s">
        <v>337</v>
      </c>
      <c r="D34" s="121"/>
      <c r="E34" s="121">
        <f>E33*80%</f>
        <v>2.4000000000000004</v>
      </c>
      <c r="F34" s="93">
        <v>9500</v>
      </c>
      <c r="G34" s="93">
        <f>E34*F34/$E$22</f>
        <v>16.170212765957448</v>
      </c>
      <c r="H34" s="121"/>
    </row>
    <row r="35" spans="2:9" x14ac:dyDescent="0.35">
      <c r="B35" s="120"/>
      <c r="C35" s="819" t="s">
        <v>338</v>
      </c>
      <c r="D35" s="121"/>
      <c r="E35" s="121">
        <f>'Cong suat'!D90*5%</f>
        <v>75</v>
      </c>
      <c r="F35" s="917">
        <v>1500</v>
      </c>
      <c r="G35" s="93">
        <f>E35*F35/$E$22</f>
        <v>79.787234042553195</v>
      </c>
      <c r="H35" s="121"/>
    </row>
    <row r="36" spans="2:9" ht="75" x14ac:dyDescent="0.35">
      <c r="B36" s="120">
        <v>8</v>
      </c>
      <c r="C36" s="121" t="s">
        <v>325</v>
      </c>
      <c r="D36" s="97"/>
      <c r="E36" s="918">
        <f>2.5*60%</f>
        <v>1.5</v>
      </c>
      <c r="F36" s="93">
        <v>18000</v>
      </c>
      <c r="G36" s="93">
        <f>E36*F36/1100</f>
        <v>24.545454545454547</v>
      </c>
      <c r="H36" s="97" t="s">
        <v>2134</v>
      </c>
    </row>
    <row r="37" spans="2:9" x14ac:dyDescent="0.35">
      <c r="B37" s="120">
        <v>9</v>
      </c>
      <c r="C37" s="121" t="s">
        <v>192</v>
      </c>
      <c r="D37" s="98" t="s">
        <v>339</v>
      </c>
      <c r="E37" s="93">
        <v>10000</v>
      </c>
      <c r="F37" s="93">
        <v>3200000</v>
      </c>
      <c r="G37" s="93">
        <f>F37/E37</f>
        <v>320</v>
      </c>
      <c r="H37" s="97"/>
    </row>
    <row r="38" spans="2:9" x14ac:dyDescent="0.35">
      <c r="B38" s="13"/>
    </row>
    <row r="39" spans="2:9" x14ac:dyDescent="0.35">
      <c r="B39" s="11" t="s">
        <v>2201</v>
      </c>
      <c r="C39" s="11"/>
      <c r="D39" s="11"/>
      <c r="E39" s="11"/>
      <c r="F39" s="18"/>
      <c r="G39" s="11"/>
      <c r="H39" s="11"/>
    </row>
    <row r="40" spans="2:9" ht="52" x14ac:dyDescent="0.35">
      <c r="B40" s="118" t="s">
        <v>36</v>
      </c>
      <c r="C40" s="119" t="s">
        <v>146</v>
      </c>
      <c r="D40" s="116" t="s">
        <v>257</v>
      </c>
      <c r="E40" s="116" t="s">
        <v>277</v>
      </c>
      <c r="F40" s="172" t="s">
        <v>308</v>
      </c>
      <c r="G40" s="116" t="s">
        <v>309</v>
      </c>
      <c r="H40" s="118" t="s">
        <v>255</v>
      </c>
    </row>
    <row r="41" spans="2:9" x14ac:dyDescent="0.35">
      <c r="B41" s="118"/>
      <c r="C41" s="119" t="s">
        <v>340</v>
      </c>
      <c r="D41" s="116"/>
      <c r="E41" s="116">
        <f>'Cong suat'!K90</f>
        <v>1410</v>
      </c>
      <c r="F41" s="172"/>
      <c r="G41" s="116"/>
      <c r="H41" s="118"/>
    </row>
    <row r="42" spans="2:9" x14ac:dyDescent="0.35">
      <c r="B42" s="120">
        <v>1</v>
      </c>
      <c r="C42" s="121" t="s">
        <v>330</v>
      </c>
      <c r="D42" s="121"/>
      <c r="E42" s="122">
        <v>3</v>
      </c>
      <c r="F42" s="93">
        <v>50320</v>
      </c>
      <c r="G42" s="122"/>
      <c r="H42" s="121"/>
    </row>
    <row r="43" spans="2:9" x14ac:dyDescent="0.35">
      <c r="B43" s="921" t="s">
        <v>278</v>
      </c>
      <c r="C43" s="922" t="s">
        <v>312</v>
      </c>
      <c r="D43" s="922"/>
      <c r="E43" s="122">
        <v>3</v>
      </c>
      <c r="F43" s="93">
        <v>50320</v>
      </c>
      <c r="G43" s="820">
        <f>E43*F43/$E$41</f>
        <v>107.06382978723404</v>
      </c>
      <c r="H43" s="922"/>
    </row>
    <row r="44" spans="2:9" x14ac:dyDescent="0.35">
      <c r="B44" s="921" t="s">
        <v>280</v>
      </c>
      <c r="C44" s="922" t="s">
        <v>314</v>
      </c>
      <c r="D44" s="922"/>
      <c r="E44" s="923"/>
      <c r="F44" s="924"/>
      <c r="G44" s="924"/>
      <c r="H44" s="922"/>
    </row>
    <row r="45" spans="2:9" x14ac:dyDescent="0.35">
      <c r="B45" s="700" t="s">
        <v>282</v>
      </c>
      <c r="C45" s="121" t="s">
        <v>315</v>
      </c>
      <c r="D45" s="121"/>
      <c r="E45" s="121">
        <v>3</v>
      </c>
      <c r="F45" s="93">
        <f>25000/8</f>
        <v>3125</v>
      </c>
      <c r="G45" s="820">
        <f>E45*F45/$E$41</f>
        <v>6.6489361702127656</v>
      </c>
      <c r="H45" s="121"/>
    </row>
    <row r="46" spans="2:9" x14ac:dyDescent="0.35">
      <c r="B46" s="120">
        <v>2</v>
      </c>
      <c r="C46" s="121" t="s">
        <v>188</v>
      </c>
      <c r="D46" s="97"/>
      <c r="E46" s="121">
        <f>250*75%</f>
        <v>187.5</v>
      </c>
      <c r="F46" s="93">
        <f>ROUND(2100*1.05,-1)</f>
        <v>2210</v>
      </c>
      <c r="G46" s="820">
        <f>E46*F46/$E$41</f>
        <v>293.88297872340428</v>
      </c>
      <c r="H46" s="97"/>
      <c r="I46" s="19"/>
    </row>
    <row r="47" spans="2:9" x14ac:dyDescent="0.35">
      <c r="B47" s="120">
        <v>3</v>
      </c>
      <c r="C47" s="10" t="s">
        <v>341</v>
      </c>
      <c r="D47" s="97"/>
      <c r="E47" s="121">
        <f>1/300000*'Cong suat'!D89</f>
        <v>5.0000000000000001E-3</v>
      </c>
      <c r="F47" s="93">
        <v>70000000</v>
      </c>
      <c r="G47" s="820">
        <f>E47*F47/$E$41</f>
        <v>248.22695035460993</v>
      </c>
      <c r="H47" s="97"/>
      <c r="I47" s="19"/>
    </row>
    <row r="48" spans="2:9" x14ac:dyDescent="0.35">
      <c r="B48" s="120">
        <v>4</v>
      </c>
      <c r="C48" s="121" t="s">
        <v>320</v>
      </c>
      <c r="D48" s="97"/>
      <c r="E48" s="121"/>
      <c r="F48" s="93"/>
      <c r="G48" s="93"/>
      <c r="H48" s="97"/>
      <c r="I48" s="19"/>
    </row>
    <row r="49" spans="2:9" x14ac:dyDescent="0.35">
      <c r="B49" s="120">
        <v>5</v>
      </c>
      <c r="C49" s="121" t="s">
        <v>321</v>
      </c>
      <c r="D49" s="97"/>
      <c r="E49" s="121">
        <f>1/350*E41*50%</f>
        <v>2.0142857142857142</v>
      </c>
      <c r="F49" s="93">
        <v>75000</v>
      </c>
      <c r="G49" s="820">
        <f>E49*F49/$E$41</f>
        <v>107.14285714285715</v>
      </c>
      <c r="H49" s="97"/>
    </row>
    <row r="50" spans="2:9" x14ac:dyDescent="0.35">
      <c r="B50" s="120">
        <v>6</v>
      </c>
      <c r="C50" s="121" t="s">
        <v>322</v>
      </c>
      <c r="D50" s="97"/>
      <c r="E50" s="121"/>
      <c r="F50" s="93"/>
      <c r="G50" s="93"/>
      <c r="H50" s="97"/>
      <c r="I50" s="19"/>
    </row>
    <row r="51" spans="2:9" x14ac:dyDescent="0.35">
      <c r="B51" s="821" t="s">
        <v>201</v>
      </c>
      <c r="C51" s="121" t="s">
        <v>336</v>
      </c>
      <c r="D51" s="121"/>
      <c r="E51" s="121">
        <v>3</v>
      </c>
      <c r="F51" s="93">
        <v>11500</v>
      </c>
      <c r="G51" s="820">
        <f>E51*F51/$E$41</f>
        <v>24.468085106382979</v>
      </c>
      <c r="H51" s="97"/>
      <c r="I51" s="19"/>
    </row>
    <row r="52" spans="2:9" x14ac:dyDescent="0.35">
      <c r="B52" s="120">
        <v>7</v>
      </c>
      <c r="C52" s="121" t="s">
        <v>342</v>
      </c>
      <c r="D52" s="121"/>
      <c r="E52" s="121">
        <f>E51*80%</f>
        <v>2.4000000000000004</v>
      </c>
      <c r="F52" s="93">
        <v>11500</v>
      </c>
      <c r="G52" s="820">
        <f>E52*F52/$E$41</f>
        <v>19.574468085106385</v>
      </c>
      <c r="H52" s="121"/>
    </row>
    <row r="53" spans="2:9" x14ac:dyDescent="0.35">
      <c r="B53" s="120"/>
      <c r="C53" s="819" t="s">
        <v>338</v>
      </c>
      <c r="D53" s="121"/>
      <c r="E53" s="121">
        <f>'Cong suat'!D90*3%</f>
        <v>45</v>
      </c>
      <c r="F53" s="917">
        <v>1500</v>
      </c>
      <c r="G53" s="820">
        <f>E53*F53/$E$41</f>
        <v>47.872340425531917</v>
      </c>
      <c r="H53" s="121"/>
    </row>
    <row r="54" spans="2:9" x14ac:dyDescent="0.35">
      <c r="B54" s="120">
        <v>8</v>
      </c>
      <c r="C54" s="121" t="s">
        <v>325</v>
      </c>
      <c r="D54" s="97"/>
      <c r="E54" s="918">
        <f>2.5*60%</f>
        <v>1.5</v>
      </c>
      <c r="F54" s="93">
        <v>18000</v>
      </c>
      <c r="G54" s="93">
        <f>E54*F54/1100</f>
        <v>24.545454545454547</v>
      </c>
      <c r="H54" s="97"/>
    </row>
    <row r="55" spans="2:9" x14ac:dyDescent="0.35">
      <c r="B55" s="120">
        <v>9</v>
      </c>
      <c r="C55" s="121" t="s">
        <v>192</v>
      </c>
      <c r="D55" s="98" t="s">
        <v>339</v>
      </c>
      <c r="E55" s="93">
        <v>10000</v>
      </c>
      <c r="F55" s="93">
        <v>3200000</v>
      </c>
      <c r="G55" s="93">
        <f>F55/E55</f>
        <v>320</v>
      </c>
      <c r="H55" s="97"/>
    </row>
    <row r="56" spans="2:9" x14ac:dyDescent="0.35">
      <c r="B56" s="13"/>
      <c r="F56" s="214"/>
      <c r="G56" s="214"/>
    </row>
    <row r="57" spans="2:9" x14ac:dyDescent="0.35">
      <c r="B57" s="13"/>
      <c r="F57" s="214"/>
      <c r="G57" s="214"/>
    </row>
    <row r="58" spans="2:9" x14ac:dyDescent="0.35">
      <c r="B58" s="13"/>
      <c r="F58" s="214"/>
      <c r="G58" s="214"/>
    </row>
    <row r="59" spans="2:9" x14ac:dyDescent="0.35">
      <c r="H59" s="154" t="s">
        <v>343</v>
      </c>
    </row>
    <row r="60" spans="2:9" x14ac:dyDescent="0.35">
      <c r="B60" s="155"/>
      <c r="C60" s="155" t="s">
        <v>344</v>
      </c>
      <c r="D60" s="155" t="s">
        <v>345</v>
      </c>
      <c r="E60" s="155" t="s">
        <v>345</v>
      </c>
      <c r="F60" s="155"/>
      <c r="G60" s="155" t="s">
        <v>345</v>
      </c>
      <c r="H60" s="155" t="s">
        <v>346</v>
      </c>
    </row>
    <row r="61" spans="2:9" x14ac:dyDescent="0.35">
      <c r="B61" s="156"/>
      <c r="C61" s="156" t="s">
        <v>347</v>
      </c>
      <c r="D61" s="156" t="s">
        <v>348</v>
      </c>
      <c r="E61" s="156" t="s">
        <v>349</v>
      </c>
      <c r="F61" s="156"/>
      <c r="G61" s="156" t="s">
        <v>350</v>
      </c>
      <c r="H61" s="156" t="s">
        <v>351</v>
      </c>
    </row>
    <row r="62" spans="2:9" x14ac:dyDescent="0.35">
      <c r="B62" s="153"/>
      <c r="C62" s="153"/>
      <c r="D62" s="153"/>
      <c r="E62" s="153"/>
      <c r="F62" s="153"/>
      <c r="G62" s="153"/>
      <c r="H62" s="153"/>
    </row>
    <row r="63" spans="2:9" x14ac:dyDescent="0.35">
      <c r="B63" s="153"/>
      <c r="C63" s="153"/>
      <c r="D63" s="153"/>
      <c r="E63" s="153"/>
      <c r="F63" s="153"/>
      <c r="G63" s="153"/>
      <c r="H63" s="153"/>
    </row>
    <row r="64" spans="2:9" x14ac:dyDescent="0.35">
      <c r="B64" s="153"/>
      <c r="C64" s="153"/>
      <c r="D64" s="153"/>
      <c r="E64" s="153"/>
      <c r="F64" s="153"/>
      <c r="G64" s="153"/>
      <c r="H64" s="153"/>
    </row>
    <row r="65" spans="2:9" x14ac:dyDescent="0.35">
      <c r="B65" s="153"/>
      <c r="C65" s="153"/>
      <c r="D65" s="153"/>
      <c r="E65" s="153"/>
      <c r="F65" s="153"/>
      <c r="G65" s="153"/>
      <c r="H65" s="153"/>
    </row>
    <row r="66" spans="2:9" x14ac:dyDescent="0.35">
      <c r="B66" s="156"/>
      <c r="C66" s="156"/>
      <c r="D66" s="156"/>
      <c r="E66" s="156"/>
      <c r="F66" s="156"/>
      <c r="G66" s="156"/>
      <c r="H66" s="156"/>
    </row>
    <row r="69" spans="2:9" x14ac:dyDescent="0.35">
      <c r="G69" s="156"/>
      <c r="H69" s="156"/>
      <c r="I69" s="156"/>
    </row>
    <row r="70" spans="2:9" x14ac:dyDescent="0.35">
      <c r="G70" s="153"/>
      <c r="H70" s="153"/>
      <c r="I70" s="153"/>
    </row>
    <row r="71" spans="2:9" x14ac:dyDescent="0.35">
      <c r="G71" s="153"/>
      <c r="H71" s="153"/>
      <c r="I71" s="153"/>
    </row>
    <row r="72" spans="2:9" x14ac:dyDescent="0.35">
      <c r="G72" s="153"/>
      <c r="H72" s="153"/>
      <c r="I72" s="153"/>
    </row>
    <row r="73" spans="2:9" x14ac:dyDescent="0.35">
      <c r="G73" s="153"/>
      <c r="H73" s="153"/>
      <c r="I73" s="153"/>
    </row>
    <row r="74" spans="2:9" x14ac:dyDescent="0.35">
      <c r="G74" s="156"/>
      <c r="H74" s="156"/>
      <c r="I74" s="15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91"/>
  <sheetViews>
    <sheetView topLeftCell="A3" workbookViewId="0"/>
  </sheetViews>
  <sheetFormatPr defaultRowHeight="14.5" x14ac:dyDescent="0.35"/>
  <sheetData>
    <row r="1" spans="1:21" ht="15.5" x14ac:dyDescent="0.35">
      <c r="B1" s="261" t="e">
        <v>#VALUE!</v>
      </c>
    </row>
    <row r="3" spans="1:21" ht="15.5" x14ac:dyDescent="0.35">
      <c r="B3" s="62" t="s">
        <v>352</v>
      </c>
      <c r="F3" s="1053"/>
      <c r="G3" s="1053"/>
      <c r="H3" s="1053"/>
      <c r="I3" s="1053"/>
      <c r="J3" s="1053"/>
      <c r="K3" s="1053"/>
      <c r="L3" s="1053"/>
      <c r="M3" s="1053"/>
      <c r="N3" s="1053"/>
      <c r="O3" s="1053"/>
      <c r="P3" s="1053"/>
      <c r="Q3" s="1053"/>
      <c r="R3" s="108" t="s">
        <v>353</v>
      </c>
    </row>
    <row r="4" spans="1:21" ht="26" x14ac:dyDescent="0.35">
      <c r="B4" s="536" t="s">
        <v>36</v>
      </c>
      <c r="C4" s="536" t="s">
        <v>354</v>
      </c>
      <c r="D4" s="536" t="s">
        <v>355</v>
      </c>
      <c r="E4" s="116" t="s">
        <v>148</v>
      </c>
      <c r="F4" s="116" t="s">
        <v>149</v>
      </c>
      <c r="G4" s="116" t="s">
        <v>150</v>
      </c>
      <c r="H4" s="116" t="s">
        <v>151</v>
      </c>
      <c r="I4" s="116" t="s">
        <v>152</v>
      </c>
      <c r="J4" s="116" t="s">
        <v>153</v>
      </c>
      <c r="K4" s="116" t="s">
        <v>154</v>
      </c>
      <c r="L4" s="116" t="s">
        <v>155</v>
      </c>
      <c r="M4" s="116" t="s">
        <v>156</v>
      </c>
      <c r="N4" s="116" t="s">
        <v>157</v>
      </c>
      <c r="O4" s="116" t="s">
        <v>158</v>
      </c>
      <c r="P4" s="116" t="s">
        <v>159</v>
      </c>
      <c r="Q4" s="116" t="s">
        <v>160</v>
      </c>
      <c r="R4" s="116" t="s">
        <v>2147</v>
      </c>
    </row>
    <row r="5" spans="1:21" x14ac:dyDescent="0.35">
      <c r="A5" s="11"/>
      <c r="B5" s="693">
        <v>1</v>
      </c>
      <c r="C5" s="694" t="s">
        <v>356</v>
      </c>
      <c r="D5" s="695">
        <v>642</v>
      </c>
      <c r="E5" s="696">
        <f t="shared" ref="E5:R5" si="0">E6+E7</f>
        <v>2</v>
      </c>
      <c r="F5" s="696">
        <f>SUM(F6:F7)</f>
        <v>2</v>
      </c>
      <c r="G5" s="696">
        <f t="shared" ref="G5:Q5" si="1">SUM(G6:G7)</f>
        <v>2</v>
      </c>
      <c r="H5" s="696">
        <f t="shared" si="1"/>
        <v>2</v>
      </c>
      <c r="I5" s="696">
        <f t="shared" si="1"/>
        <v>2</v>
      </c>
      <c r="J5" s="696">
        <f t="shared" si="1"/>
        <v>2</v>
      </c>
      <c r="K5" s="696">
        <f t="shared" si="1"/>
        <v>2</v>
      </c>
      <c r="L5" s="696">
        <f t="shared" si="1"/>
        <v>2</v>
      </c>
      <c r="M5" s="696">
        <f t="shared" si="1"/>
        <v>2</v>
      </c>
      <c r="N5" s="696">
        <f t="shared" si="1"/>
        <v>2</v>
      </c>
      <c r="O5" s="696">
        <f t="shared" si="1"/>
        <v>2</v>
      </c>
      <c r="P5" s="696">
        <f t="shared" si="1"/>
        <v>2</v>
      </c>
      <c r="Q5" s="696">
        <f t="shared" si="1"/>
        <v>2</v>
      </c>
      <c r="R5" s="696">
        <f t="shared" si="0"/>
        <v>2</v>
      </c>
      <c r="S5" s="283"/>
      <c r="T5" s="1048"/>
      <c r="U5" s="1048"/>
    </row>
    <row r="6" spans="1:21" x14ac:dyDescent="0.35">
      <c r="B6" s="120" t="s">
        <v>164</v>
      </c>
      <c r="C6" s="690" t="s">
        <v>357</v>
      </c>
      <c r="D6" s="691"/>
      <c r="E6" s="692">
        <v>1</v>
      </c>
      <c r="F6" s="121">
        <v>1</v>
      </c>
      <c r="G6" s="121">
        <v>1</v>
      </c>
      <c r="H6" s="121">
        <v>1</v>
      </c>
      <c r="I6" s="121">
        <v>1</v>
      </c>
      <c r="J6" s="121">
        <v>1</v>
      </c>
      <c r="K6" s="121">
        <v>1</v>
      </c>
      <c r="L6" s="121">
        <v>1</v>
      </c>
      <c r="M6" s="121">
        <v>1</v>
      </c>
      <c r="N6" s="121">
        <v>1</v>
      </c>
      <c r="O6" s="121">
        <v>1</v>
      </c>
      <c r="P6" s="121">
        <v>1</v>
      </c>
      <c r="Q6" s="121">
        <v>1</v>
      </c>
      <c r="R6" s="121">
        <f>Q6</f>
        <v>1</v>
      </c>
      <c r="T6" s="1049"/>
    </row>
    <row r="7" spans="1:21" x14ac:dyDescent="0.35">
      <c r="B7" s="120" t="s">
        <v>166</v>
      </c>
      <c r="C7" s="690" t="s">
        <v>358</v>
      </c>
      <c r="D7" s="691"/>
      <c r="E7" s="692">
        <v>1</v>
      </c>
      <c r="F7" s="121">
        <v>1</v>
      </c>
      <c r="G7" s="121">
        <v>1</v>
      </c>
      <c r="H7" s="121">
        <v>1</v>
      </c>
      <c r="I7" s="121">
        <v>1</v>
      </c>
      <c r="J7" s="121">
        <v>1</v>
      </c>
      <c r="K7" s="121">
        <v>1</v>
      </c>
      <c r="L7" s="121">
        <v>1</v>
      </c>
      <c r="M7" s="121">
        <v>1</v>
      </c>
      <c r="N7" s="121">
        <v>1</v>
      </c>
      <c r="O7" s="121">
        <v>1</v>
      </c>
      <c r="P7" s="121">
        <v>1</v>
      </c>
      <c r="Q7" s="121">
        <v>1</v>
      </c>
      <c r="R7" s="121">
        <f>Q7</f>
        <v>1</v>
      </c>
    </row>
    <row r="8" spans="1:21" x14ac:dyDescent="0.35">
      <c r="A8" s="11"/>
      <c r="B8" s="693">
        <v>2</v>
      </c>
      <c r="C8" s="694" t="s">
        <v>359</v>
      </c>
      <c r="D8" s="695">
        <v>642</v>
      </c>
      <c r="E8" s="696">
        <f t="shared" ref="E8" si="2">E9+E11+E12+E13+E14+E15</f>
        <v>2</v>
      </c>
      <c r="F8" s="696">
        <f>SUM(F9:F15)</f>
        <v>2</v>
      </c>
      <c r="G8" s="696">
        <f t="shared" ref="G8:Q8" si="3">SUM(G9:G15)</f>
        <v>2</v>
      </c>
      <c r="H8" s="696">
        <f t="shared" si="3"/>
        <v>2</v>
      </c>
      <c r="I8" s="696">
        <f t="shared" si="3"/>
        <v>2</v>
      </c>
      <c r="J8" s="696">
        <f t="shared" si="3"/>
        <v>2</v>
      </c>
      <c r="K8" s="696">
        <f t="shared" si="3"/>
        <v>2</v>
      </c>
      <c r="L8" s="696">
        <f t="shared" si="3"/>
        <v>2</v>
      </c>
      <c r="M8" s="696">
        <f t="shared" si="3"/>
        <v>2</v>
      </c>
      <c r="N8" s="696">
        <f t="shared" si="3"/>
        <v>2</v>
      </c>
      <c r="O8" s="696">
        <f t="shared" si="3"/>
        <v>2</v>
      </c>
      <c r="P8" s="696">
        <f t="shared" si="3"/>
        <v>2</v>
      </c>
      <c r="Q8" s="696">
        <f t="shared" si="3"/>
        <v>2</v>
      </c>
      <c r="R8" s="696">
        <f>SUM(R9:R15)</f>
        <v>2</v>
      </c>
      <c r="S8" s="283"/>
    </row>
    <row r="9" spans="1:21" x14ac:dyDescent="0.35">
      <c r="B9" s="120" t="s">
        <v>171</v>
      </c>
      <c r="C9" s="690" t="s">
        <v>360</v>
      </c>
      <c r="D9" s="691"/>
      <c r="E9" s="692">
        <v>1</v>
      </c>
      <c r="F9" s="121">
        <v>1</v>
      </c>
      <c r="G9" s="121">
        <v>1</v>
      </c>
      <c r="H9" s="121">
        <v>1</v>
      </c>
      <c r="I9" s="121">
        <v>1</v>
      </c>
      <c r="J9" s="121">
        <v>1</v>
      </c>
      <c r="K9" s="121">
        <v>1</v>
      </c>
      <c r="L9" s="121">
        <v>1</v>
      </c>
      <c r="M9" s="121">
        <v>1</v>
      </c>
      <c r="N9" s="121">
        <v>1</v>
      </c>
      <c r="O9" s="121">
        <v>1</v>
      </c>
      <c r="P9" s="121">
        <v>1</v>
      </c>
      <c r="Q9" s="121">
        <v>1</v>
      </c>
      <c r="R9" s="121">
        <f t="shared" ref="R9:R22" si="4">Q9</f>
        <v>1</v>
      </c>
    </row>
    <row r="10" spans="1:21" x14ac:dyDescent="0.35">
      <c r="B10" s="120" t="s">
        <v>171</v>
      </c>
      <c r="C10" s="690" t="s">
        <v>361</v>
      </c>
      <c r="D10" s="691"/>
      <c r="E10" s="692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>
        <f t="shared" si="4"/>
        <v>0</v>
      </c>
    </row>
    <row r="11" spans="1:21" x14ac:dyDescent="0.35">
      <c r="B11" s="120" t="s">
        <v>172</v>
      </c>
      <c r="C11" s="690" t="s">
        <v>362</v>
      </c>
      <c r="D11" s="691"/>
      <c r="E11" s="692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>
        <f t="shared" si="4"/>
        <v>0</v>
      </c>
    </row>
    <row r="12" spans="1:21" x14ac:dyDescent="0.35">
      <c r="B12" s="120" t="s">
        <v>173</v>
      </c>
      <c r="C12" s="690" t="s">
        <v>363</v>
      </c>
      <c r="D12" s="691"/>
      <c r="E12" s="692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>
        <f t="shared" si="4"/>
        <v>0</v>
      </c>
    </row>
    <row r="13" spans="1:21" x14ac:dyDescent="0.35">
      <c r="B13" s="120" t="s">
        <v>174</v>
      </c>
      <c r="C13" s="690" t="s">
        <v>364</v>
      </c>
      <c r="D13" s="691"/>
      <c r="E13" s="692">
        <v>1</v>
      </c>
      <c r="F13" s="121">
        <v>1</v>
      </c>
      <c r="G13" s="121">
        <v>1</v>
      </c>
      <c r="H13" s="121">
        <v>1</v>
      </c>
      <c r="I13" s="121">
        <v>1</v>
      </c>
      <c r="J13" s="121">
        <v>1</v>
      </c>
      <c r="K13" s="121">
        <v>1</v>
      </c>
      <c r="L13" s="121">
        <v>1</v>
      </c>
      <c r="M13" s="121">
        <v>1</v>
      </c>
      <c r="N13" s="121">
        <v>1</v>
      </c>
      <c r="O13" s="121">
        <v>1</v>
      </c>
      <c r="P13" s="121">
        <v>1</v>
      </c>
      <c r="Q13" s="121">
        <v>1</v>
      </c>
      <c r="R13" s="121">
        <f t="shared" si="4"/>
        <v>1</v>
      </c>
    </row>
    <row r="14" spans="1:21" x14ac:dyDescent="0.35">
      <c r="B14" s="120" t="s">
        <v>365</v>
      </c>
      <c r="C14" s="690" t="s">
        <v>366</v>
      </c>
      <c r="D14" s="691"/>
      <c r="E14" s="692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>
        <f t="shared" si="4"/>
        <v>0</v>
      </c>
    </row>
    <row r="15" spans="1:21" x14ac:dyDescent="0.35">
      <c r="B15" s="120" t="s">
        <v>367</v>
      </c>
      <c r="C15" s="690" t="s">
        <v>368</v>
      </c>
      <c r="D15" s="691"/>
      <c r="E15" s="692"/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>
        <f t="shared" si="4"/>
        <v>0</v>
      </c>
    </row>
    <row r="16" spans="1:21" x14ac:dyDescent="0.35">
      <c r="A16" s="11"/>
      <c r="B16" s="693">
        <v>3</v>
      </c>
      <c r="C16" s="694" t="s">
        <v>369</v>
      </c>
      <c r="D16" s="695">
        <v>642</v>
      </c>
      <c r="E16" s="696">
        <f>SUM(E17:E20)</f>
        <v>3</v>
      </c>
      <c r="F16" s="696">
        <f t="shared" ref="F16:R16" si="5">SUM(F17:F20)</f>
        <v>3</v>
      </c>
      <c r="G16" s="696">
        <f t="shared" si="5"/>
        <v>3</v>
      </c>
      <c r="H16" s="696">
        <f t="shared" si="5"/>
        <v>3</v>
      </c>
      <c r="I16" s="696">
        <f t="shared" si="5"/>
        <v>3</v>
      </c>
      <c r="J16" s="696">
        <f t="shared" si="5"/>
        <v>3</v>
      </c>
      <c r="K16" s="696">
        <f t="shared" si="5"/>
        <v>3</v>
      </c>
      <c r="L16" s="696">
        <f t="shared" si="5"/>
        <v>3</v>
      </c>
      <c r="M16" s="696">
        <f t="shared" si="5"/>
        <v>3</v>
      </c>
      <c r="N16" s="696">
        <f t="shared" si="5"/>
        <v>3</v>
      </c>
      <c r="O16" s="696">
        <f t="shared" si="5"/>
        <v>3</v>
      </c>
      <c r="P16" s="696">
        <f t="shared" si="5"/>
        <v>3</v>
      </c>
      <c r="Q16" s="696">
        <f t="shared" si="5"/>
        <v>3</v>
      </c>
      <c r="R16" s="697">
        <f t="shared" si="5"/>
        <v>3</v>
      </c>
      <c r="S16" s="283"/>
    </row>
    <row r="17" spans="1:19" x14ac:dyDescent="0.35">
      <c r="B17" s="120" t="s">
        <v>370</v>
      </c>
      <c r="C17" s="690" t="s">
        <v>351</v>
      </c>
      <c r="D17" s="691"/>
      <c r="E17" s="692">
        <v>1</v>
      </c>
      <c r="F17" s="121">
        <v>1</v>
      </c>
      <c r="G17" s="121">
        <v>1</v>
      </c>
      <c r="H17" s="121">
        <v>1</v>
      </c>
      <c r="I17" s="121">
        <v>1</v>
      </c>
      <c r="J17" s="121">
        <v>1</v>
      </c>
      <c r="K17" s="121">
        <v>1</v>
      </c>
      <c r="L17" s="121">
        <v>1</v>
      </c>
      <c r="M17" s="121">
        <v>1</v>
      </c>
      <c r="N17" s="121">
        <v>1</v>
      </c>
      <c r="O17" s="121">
        <v>1</v>
      </c>
      <c r="P17" s="121">
        <v>1</v>
      </c>
      <c r="Q17" s="121">
        <v>1</v>
      </c>
      <c r="R17" s="121">
        <f t="shared" si="4"/>
        <v>1</v>
      </c>
    </row>
    <row r="18" spans="1:19" x14ac:dyDescent="0.35">
      <c r="B18" s="120" t="s">
        <v>371</v>
      </c>
      <c r="C18" s="690" t="s">
        <v>372</v>
      </c>
      <c r="D18" s="691"/>
      <c r="E18" s="692">
        <v>1</v>
      </c>
      <c r="F18" s="121">
        <v>1</v>
      </c>
      <c r="G18" s="121">
        <v>1</v>
      </c>
      <c r="H18" s="121">
        <v>1</v>
      </c>
      <c r="I18" s="121">
        <v>1</v>
      </c>
      <c r="J18" s="121">
        <v>1</v>
      </c>
      <c r="K18" s="121">
        <v>1</v>
      </c>
      <c r="L18" s="121">
        <v>1</v>
      </c>
      <c r="M18" s="121">
        <v>1</v>
      </c>
      <c r="N18" s="121">
        <v>1</v>
      </c>
      <c r="O18" s="121">
        <v>1</v>
      </c>
      <c r="P18" s="121">
        <v>1</v>
      </c>
      <c r="Q18" s="121">
        <v>1</v>
      </c>
      <c r="R18" s="121">
        <f t="shared" si="4"/>
        <v>1</v>
      </c>
    </row>
    <row r="19" spans="1:19" x14ac:dyDescent="0.35">
      <c r="B19" s="120" t="s">
        <v>373</v>
      </c>
      <c r="C19" s="690" t="s">
        <v>374</v>
      </c>
      <c r="D19" s="691"/>
      <c r="E19" s="692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>
        <f t="shared" si="4"/>
        <v>0</v>
      </c>
    </row>
    <row r="20" spans="1:19" x14ac:dyDescent="0.35">
      <c r="B20" s="120" t="s">
        <v>375</v>
      </c>
      <c r="C20" s="690" t="s">
        <v>376</v>
      </c>
      <c r="D20" s="691"/>
      <c r="E20" s="692">
        <v>1</v>
      </c>
      <c r="F20" s="121">
        <v>1</v>
      </c>
      <c r="G20" s="121">
        <v>1</v>
      </c>
      <c r="H20" s="121">
        <v>1</v>
      </c>
      <c r="I20" s="121">
        <v>1</v>
      </c>
      <c r="J20" s="121">
        <v>1</v>
      </c>
      <c r="K20" s="121">
        <v>1</v>
      </c>
      <c r="L20" s="121">
        <v>1</v>
      </c>
      <c r="M20" s="121">
        <v>1</v>
      </c>
      <c r="N20" s="121">
        <v>1</v>
      </c>
      <c r="O20" s="121">
        <v>1</v>
      </c>
      <c r="P20" s="121">
        <v>1</v>
      </c>
      <c r="Q20" s="121">
        <v>1</v>
      </c>
      <c r="R20" s="121">
        <f t="shared" si="4"/>
        <v>1</v>
      </c>
    </row>
    <row r="21" spans="1:19" x14ac:dyDescent="0.35">
      <c r="A21" s="11"/>
      <c r="B21" s="693">
        <v>4</v>
      </c>
      <c r="C21" s="694" t="s">
        <v>377</v>
      </c>
      <c r="D21" s="695">
        <v>642</v>
      </c>
      <c r="E21" s="696">
        <f>E22</f>
        <v>1</v>
      </c>
      <c r="F21" s="696">
        <f t="shared" ref="F21:R21" si="6">F22</f>
        <v>1</v>
      </c>
      <c r="G21" s="696">
        <f t="shared" si="6"/>
        <v>1</v>
      </c>
      <c r="H21" s="696">
        <f t="shared" si="6"/>
        <v>1</v>
      </c>
      <c r="I21" s="696">
        <f t="shared" si="6"/>
        <v>1</v>
      </c>
      <c r="J21" s="696">
        <f t="shared" si="6"/>
        <v>1</v>
      </c>
      <c r="K21" s="696">
        <f t="shared" si="6"/>
        <v>1</v>
      </c>
      <c r="L21" s="696">
        <f t="shared" si="6"/>
        <v>1</v>
      </c>
      <c r="M21" s="696">
        <f t="shared" si="6"/>
        <v>1</v>
      </c>
      <c r="N21" s="696">
        <f t="shared" si="6"/>
        <v>1</v>
      </c>
      <c r="O21" s="696">
        <f t="shared" si="6"/>
        <v>1</v>
      </c>
      <c r="P21" s="696">
        <f t="shared" si="6"/>
        <v>1</v>
      </c>
      <c r="Q21" s="696">
        <f t="shared" si="6"/>
        <v>1</v>
      </c>
      <c r="R21" s="697">
        <f t="shared" si="6"/>
        <v>1</v>
      </c>
      <c r="S21" s="283"/>
    </row>
    <row r="22" spans="1:19" x14ac:dyDescent="0.35">
      <c r="B22" s="120" t="s">
        <v>194</v>
      </c>
      <c r="C22" s="690" t="s">
        <v>378</v>
      </c>
      <c r="D22" s="691"/>
      <c r="E22" s="692">
        <v>1</v>
      </c>
      <c r="F22" s="121">
        <v>1</v>
      </c>
      <c r="G22" s="121">
        <v>1</v>
      </c>
      <c r="H22" s="121">
        <v>1</v>
      </c>
      <c r="I22" s="121">
        <v>1</v>
      </c>
      <c r="J22" s="121">
        <v>1</v>
      </c>
      <c r="K22" s="121">
        <v>1</v>
      </c>
      <c r="L22" s="121">
        <v>1</v>
      </c>
      <c r="M22" s="121">
        <v>1</v>
      </c>
      <c r="N22" s="121">
        <v>1</v>
      </c>
      <c r="O22" s="121">
        <v>1</v>
      </c>
      <c r="P22" s="121">
        <v>1</v>
      </c>
      <c r="Q22" s="121">
        <v>1</v>
      </c>
      <c r="R22" s="121">
        <f t="shared" si="4"/>
        <v>1</v>
      </c>
    </row>
    <row r="23" spans="1:19" x14ac:dyDescent="0.35">
      <c r="A23" s="11"/>
      <c r="B23" s="693">
        <v>5</v>
      </c>
      <c r="C23" s="694" t="s">
        <v>379</v>
      </c>
      <c r="D23" s="695">
        <v>642</v>
      </c>
      <c r="E23" s="696">
        <f t="shared" ref="E23:Q23" si="7">E24</f>
        <v>0</v>
      </c>
      <c r="F23" s="696">
        <f t="shared" si="7"/>
        <v>0</v>
      </c>
      <c r="G23" s="696">
        <f t="shared" si="7"/>
        <v>0</v>
      </c>
      <c r="H23" s="696">
        <f t="shared" si="7"/>
        <v>0</v>
      </c>
      <c r="I23" s="696">
        <f t="shared" si="7"/>
        <v>0</v>
      </c>
      <c r="J23" s="696">
        <f t="shared" si="7"/>
        <v>0</v>
      </c>
      <c r="K23" s="696">
        <f t="shared" si="7"/>
        <v>0</v>
      </c>
      <c r="L23" s="696">
        <f t="shared" si="7"/>
        <v>0</v>
      </c>
      <c r="M23" s="696">
        <f t="shared" si="7"/>
        <v>0</v>
      </c>
      <c r="N23" s="696">
        <f t="shared" si="7"/>
        <v>0</v>
      </c>
      <c r="O23" s="696">
        <f t="shared" si="7"/>
        <v>0</v>
      </c>
      <c r="P23" s="696">
        <f t="shared" si="7"/>
        <v>0</v>
      </c>
      <c r="Q23" s="696">
        <f t="shared" si="7"/>
        <v>0</v>
      </c>
      <c r="R23" s="697"/>
      <c r="S23" s="283"/>
    </row>
    <row r="24" spans="1:19" x14ac:dyDescent="0.35">
      <c r="B24" s="120" t="s">
        <v>229</v>
      </c>
      <c r="C24" s="690" t="s">
        <v>380</v>
      </c>
      <c r="D24" s="691"/>
      <c r="E24" s="692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</row>
    <row r="25" spans="1:19" x14ac:dyDescent="0.35">
      <c r="A25" s="11"/>
      <c r="B25" s="693">
        <v>6</v>
      </c>
      <c r="C25" s="694" t="s">
        <v>381</v>
      </c>
      <c r="D25" s="695">
        <v>642</v>
      </c>
      <c r="E25" s="696">
        <f>E26</f>
        <v>0</v>
      </c>
      <c r="F25" s="696">
        <f>F26</f>
        <v>0</v>
      </c>
      <c r="G25" s="696">
        <f t="shared" ref="G25:Q25" si="8">G26</f>
        <v>0</v>
      </c>
      <c r="H25" s="696">
        <f t="shared" si="8"/>
        <v>0</v>
      </c>
      <c r="I25" s="696">
        <f t="shared" si="8"/>
        <v>0</v>
      </c>
      <c r="J25" s="696">
        <f t="shared" si="8"/>
        <v>0</v>
      </c>
      <c r="K25" s="696">
        <f t="shared" si="8"/>
        <v>0</v>
      </c>
      <c r="L25" s="696">
        <f t="shared" si="8"/>
        <v>0</v>
      </c>
      <c r="M25" s="696">
        <f t="shared" si="8"/>
        <v>0</v>
      </c>
      <c r="N25" s="696">
        <f t="shared" si="8"/>
        <v>0</v>
      </c>
      <c r="O25" s="696">
        <f t="shared" si="8"/>
        <v>0</v>
      </c>
      <c r="P25" s="696">
        <f t="shared" si="8"/>
        <v>0</v>
      </c>
      <c r="Q25" s="696">
        <f t="shared" si="8"/>
        <v>0</v>
      </c>
      <c r="R25" s="697"/>
      <c r="S25" s="283"/>
    </row>
    <row r="26" spans="1:19" x14ac:dyDescent="0.35">
      <c r="B26" s="120" t="s">
        <v>382</v>
      </c>
      <c r="C26" s="690" t="s">
        <v>383</v>
      </c>
      <c r="D26" s="691"/>
      <c r="E26" s="692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</row>
    <row r="27" spans="1:19" x14ac:dyDescent="0.35">
      <c r="A27" s="11"/>
      <c r="B27" s="693">
        <v>7</v>
      </c>
      <c r="C27" s="694" t="s">
        <v>384</v>
      </c>
      <c r="D27" s="695">
        <v>642</v>
      </c>
      <c r="E27" s="696">
        <f>SUM(E28:E30)</f>
        <v>5</v>
      </c>
      <c r="F27" s="696">
        <f>SUM(F28:F30)</f>
        <v>5</v>
      </c>
      <c r="G27" s="696">
        <f t="shared" ref="G27:R27" si="9">SUM(G28:G30)</f>
        <v>5</v>
      </c>
      <c r="H27" s="696">
        <f t="shared" si="9"/>
        <v>5</v>
      </c>
      <c r="I27" s="696">
        <f t="shared" si="9"/>
        <v>5</v>
      </c>
      <c r="J27" s="696">
        <f t="shared" si="9"/>
        <v>5</v>
      </c>
      <c r="K27" s="696">
        <f t="shared" si="9"/>
        <v>5</v>
      </c>
      <c r="L27" s="696">
        <f t="shared" si="9"/>
        <v>5</v>
      </c>
      <c r="M27" s="696">
        <f t="shared" si="9"/>
        <v>5</v>
      </c>
      <c r="N27" s="696">
        <f t="shared" si="9"/>
        <v>5</v>
      </c>
      <c r="O27" s="696">
        <f t="shared" si="9"/>
        <v>5</v>
      </c>
      <c r="P27" s="696">
        <f t="shared" si="9"/>
        <v>5</v>
      </c>
      <c r="Q27" s="696">
        <f t="shared" si="9"/>
        <v>5</v>
      </c>
      <c r="R27" s="696">
        <f t="shared" si="9"/>
        <v>5</v>
      </c>
      <c r="S27" s="283"/>
    </row>
    <row r="28" spans="1:19" x14ac:dyDescent="0.35">
      <c r="B28" s="120" t="s">
        <v>201</v>
      </c>
      <c r="C28" s="690" t="s">
        <v>385</v>
      </c>
      <c r="D28" s="691"/>
      <c r="E28" s="692">
        <v>1</v>
      </c>
      <c r="F28" s="121">
        <v>1</v>
      </c>
      <c r="G28" s="121">
        <v>1</v>
      </c>
      <c r="H28" s="121">
        <v>1</v>
      </c>
      <c r="I28" s="121">
        <v>1</v>
      </c>
      <c r="J28" s="121">
        <v>1</v>
      </c>
      <c r="K28" s="121">
        <v>1</v>
      </c>
      <c r="L28" s="121">
        <v>1</v>
      </c>
      <c r="M28" s="121">
        <v>1</v>
      </c>
      <c r="N28" s="121">
        <v>1</v>
      </c>
      <c r="O28" s="121">
        <v>1</v>
      </c>
      <c r="P28" s="121">
        <v>1</v>
      </c>
      <c r="Q28" s="121">
        <v>1</v>
      </c>
      <c r="R28" s="121">
        <f t="shared" ref="R28" si="10">Q28</f>
        <v>1</v>
      </c>
    </row>
    <row r="29" spans="1:19" x14ac:dyDescent="0.35">
      <c r="B29" s="120">
        <v>7.2</v>
      </c>
      <c r="C29" s="690" t="s">
        <v>386</v>
      </c>
      <c r="D29" s="691"/>
      <c r="E29" s="692">
        <v>3</v>
      </c>
      <c r="F29" s="121">
        <v>3</v>
      </c>
      <c r="G29" s="121">
        <v>3</v>
      </c>
      <c r="H29" s="121">
        <v>3</v>
      </c>
      <c r="I29" s="121">
        <v>3</v>
      </c>
      <c r="J29" s="121">
        <v>3</v>
      </c>
      <c r="K29" s="121">
        <v>3</v>
      </c>
      <c r="L29" s="121">
        <v>3</v>
      </c>
      <c r="M29" s="121">
        <v>3</v>
      </c>
      <c r="N29" s="121">
        <v>3</v>
      </c>
      <c r="O29" s="121">
        <v>3</v>
      </c>
      <c r="P29" s="121">
        <v>3</v>
      </c>
      <c r="Q29" s="121">
        <v>3</v>
      </c>
      <c r="R29" s="121">
        <v>3</v>
      </c>
    </row>
    <row r="30" spans="1:19" ht="75" x14ac:dyDescent="0.35">
      <c r="B30" s="120">
        <v>7.3</v>
      </c>
      <c r="C30" s="724" t="s">
        <v>2107</v>
      </c>
      <c r="D30" s="725"/>
      <c r="E30" s="726">
        <v>1</v>
      </c>
      <c r="F30" s="727">
        <v>1</v>
      </c>
      <c r="G30" s="727">
        <v>1</v>
      </c>
      <c r="H30" s="727">
        <v>1</v>
      </c>
      <c r="I30" s="727">
        <v>1</v>
      </c>
      <c r="J30" s="727">
        <v>1</v>
      </c>
      <c r="K30" s="727">
        <v>1</v>
      </c>
      <c r="L30" s="727">
        <v>1</v>
      </c>
      <c r="M30" s="727">
        <v>1</v>
      </c>
      <c r="N30" s="727">
        <v>1</v>
      </c>
      <c r="O30" s="727">
        <v>1</v>
      </c>
      <c r="P30" s="727">
        <v>1</v>
      </c>
      <c r="Q30" s="727">
        <v>1</v>
      </c>
      <c r="R30" s="727">
        <v>1</v>
      </c>
    </row>
    <row r="31" spans="1:19" x14ac:dyDescent="0.35">
      <c r="A31" s="11"/>
      <c r="B31" s="693">
        <v>8</v>
      </c>
      <c r="C31" s="694" t="s">
        <v>388</v>
      </c>
      <c r="D31" s="695">
        <v>642</v>
      </c>
      <c r="E31" s="696">
        <f t="shared" ref="E31:Q31" si="11">E32</f>
        <v>0</v>
      </c>
      <c r="F31" s="696">
        <f t="shared" si="11"/>
        <v>0</v>
      </c>
      <c r="G31" s="696">
        <f t="shared" si="11"/>
        <v>0</v>
      </c>
      <c r="H31" s="696">
        <f t="shared" si="11"/>
        <v>0</v>
      </c>
      <c r="I31" s="696">
        <f t="shared" si="11"/>
        <v>0</v>
      </c>
      <c r="J31" s="696">
        <f t="shared" si="11"/>
        <v>0</v>
      </c>
      <c r="K31" s="696">
        <f t="shared" si="11"/>
        <v>0</v>
      </c>
      <c r="L31" s="696">
        <f t="shared" si="11"/>
        <v>0</v>
      </c>
      <c r="M31" s="696">
        <f t="shared" si="11"/>
        <v>0</v>
      </c>
      <c r="N31" s="696">
        <f t="shared" si="11"/>
        <v>0</v>
      </c>
      <c r="O31" s="696">
        <f t="shared" si="11"/>
        <v>0</v>
      </c>
      <c r="P31" s="696">
        <f t="shared" si="11"/>
        <v>0</v>
      </c>
      <c r="Q31" s="696">
        <f t="shared" si="11"/>
        <v>0</v>
      </c>
      <c r="R31" s="697">
        <f t="shared" ref="R31:R38" si="12">Q31</f>
        <v>0</v>
      </c>
      <c r="S31" s="283"/>
    </row>
    <row r="32" spans="1:19" x14ac:dyDescent="0.35">
      <c r="B32" s="120" t="s">
        <v>232</v>
      </c>
      <c r="C32" s="690" t="s">
        <v>380</v>
      </c>
      <c r="D32" s="691"/>
      <c r="E32" s="692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>
        <f t="shared" si="12"/>
        <v>0</v>
      </c>
    </row>
    <row r="33" spans="1:19" x14ac:dyDescent="0.35">
      <c r="A33" s="11"/>
      <c r="B33" s="693">
        <v>9</v>
      </c>
      <c r="C33" s="694" t="s">
        <v>389</v>
      </c>
      <c r="D33" s="695">
        <v>642</v>
      </c>
      <c r="E33" s="696">
        <f t="shared" ref="E33:Q33" si="13">E34</f>
        <v>0</v>
      </c>
      <c r="F33" s="696">
        <f t="shared" si="13"/>
        <v>0</v>
      </c>
      <c r="G33" s="696">
        <f t="shared" si="13"/>
        <v>0</v>
      </c>
      <c r="H33" s="696">
        <f t="shared" si="13"/>
        <v>0</v>
      </c>
      <c r="I33" s="696">
        <f t="shared" si="13"/>
        <v>0</v>
      </c>
      <c r="J33" s="696">
        <f t="shared" si="13"/>
        <v>0</v>
      </c>
      <c r="K33" s="696">
        <f t="shared" si="13"/>
        <v>0</v>
      </c>
      <c r="L33" s="696">
        <f t="shared" si="13"/>
        <v>0</v>
      </c>
      <c r="M33" s="696">
        <f t="shared" si="13"/>
        <v>0</v>
      </c>
      <c r="N33" s="696">
        <f t="shared" si="13"/>
        <v>0</v>
      </c>
      <c r="O33" s="696">
        <f t="shared" si="13"/>
        <v>0</v>
      </c>
      <c r="P33" s="696">
        <f t="shared" si="13"/>
        <v>0</v>
      </c>
      <c r="Q33" s="696">
        <f t="shared" si="13"/>
        <v>0</v>
      </c>
      <c r="R33" s="697">
        <f t="shared" si="12"/>
        <v>0</v>
      </c>
      <c r="S33" s="283"/>
    </row>
    <row r="34" spans="1:19" x14ac:dyDescent="0.35">
      <c r="B34" s="120" t="s">
        <v>235</v>
      </c>
      <c r="C34" s="690" t="s">
        <v>378</v>
      </c>
      <c r="D34" s="691"/>
      <c r="E34" s="692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>
        <f t="shared" si="12"/>
        <v>0</v>
      </c>
    </row>
    <row r="35" spans="1:19" x14ac:dyDescent="0.35">
      <c r="A35" s="11"/>
      <c r="B35" s="693">
        <v>10</v>
      </c>
      <c r="C35" s="694" t="s">
        <v>390</v>
      </c>
      <c r="D35" s="695">
        <v>642</v>
      </c>
      <c r="E35" s="696">
        <f t="shared" ref="E35:Q35" si="14">E36</f>
        <v>0</v>
      </c>
      <c r="F35" s="696">
        <f t="shared" si="14"/>
        <v>0</v>
      </c>
      <c r="G35" s="696">
        <f t="shared" si="14"/>
        <v>0</v>
      </c>
      <c r="H35" s="696">
        <f t="shared" si="14"/>
        <v>0</v>
      </c>
      <c r="I35" s="696">
        <f t="shared" si="14"/>
        <v>0</v>
      </c>
      <c r="J35" s="696">
        <f t="shared" si="14"/>
        <v>0</v>
      </c>
      <c r="K35" s="696">
        <f t="shared" si="14"/>
        <v>0</v>
      </c>
      <c r="L35" s="696">
        <f t="shared" si="14"/>
        <v>0</v>
      </c>
      <c r="M35" s="696">
        <f t="shared" si="14"/>
        <v>0</v>
      </c>
      <c r="N35" s="696">
        <f t="shared" si="14"/>
        <v>0</v>
      </c>
      <c r="O35" s="696">
        <f t="shared" si="14"/>
        <v>0</v>
      </c>
      <c r="P35" s="696">
        <f t="shared" si="14"/>
        <v>0</v>
      </c>
      <c r="Q35" s="696">
        <f t="shared" si="14"/>
        <v>0</v>
      </c>
      <c r="R35" s="697">
        <f t="shared" si="12"/>
        <v>0</v>
      </c>
      <c r="S35" s="283"/>
    </row>
    <row r="36" spans="1:19" x14ac:dyDescent="0.35">
      <c r="B36" s="120" t="s">
        <v>391</v>
      </c>
      <c r="C36" s="690" t="s">
        <v>380</v>
      </c>
      <c r="D36" s="691"/>
      <c r="E36" s="692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>
        <f t="shared" si="12"/>
        <v>0</v>
      </c>
    </row>
    <row r="37" spans="1:19" x14ac:dyDescent="0.35">
      <c r="A37" s="11"/>
      <c r="B37" s="693">
        <v>11</v>
      </c>
      <c r="C37" s="694" t="s">
        <v>392</v>
      </c>
      <c r="D37" s="695">
        <v>627</v>
      </c>
      <c r="E37" s="696">
        <f t="shared" ref="E37:Q37" si="15">E38</f>
        <v>0</v>
      </c>
      <c r="F37" s="696">
        <f t="shared" si="15"/>
        <v>0</v>
      </c>
      <c r="G37" s="696">
        <f t="shared" si="15"/>
        <v>0</v>
      </c>
      <c r="H37" s="696">
        <f t="shared" si="15"/>
        <v>0</v>
      </c>
      <c r="I37" s="696">
        <f t="shared" si="15"/>
        <v>0</v>
      </c>
      <c r="J37" s="696">
        <f t="shared" si="15"/>
        <v>0</v>
      </c>
      <c r="K37" s="696">
        <f t="shared" si="15"/>
        <v>0</v>
      </c>
      <c r="L37" s="696">
        <f t="shared" si="15"/>
        <v>0</v>
      </c>
      <c r="M37" s="696">
        <f t="shared" si="15"/>
        <v>0</v>
      </c>
      <c r="N37" s="696">
        <f t="shared" si="15"/>
        <v>0</v>
      </c>
      <c r="O37" s="696">
        <f t="shared" si="15"/>
        <v>0</v>
      </c>
      <c r="P37" s="696">
        <f t="shared" si="15"/>
        <v>0</v>
      </c>
      <c r="Q37" s="696">
        <f t="shared" si="15"/>
        <v>0</v>
      </c>
      <c r="R37" s="697">
        <f t="shared" si="12"/>
        <v>0</v>
      </c>
      <c r="S37" s="283"/>
    </row>
    <row r="38" spans="1:19" x14ac:dyDescent="0.35">
      <c r="B38" s="120" t="s">
        <v>393</v>
      </c>
      <c r="C38" s="690" t="s">
        <v>380</v>
      </c>
      <c r="D38" s="691"/>
      <c r="E38" s="692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>
        <f t="shared" si="12"/>
        <v>0</v>
      </c>
    </row>
    <row r="39" spans="1:19" x14ac:dyDescent="0.35">
      <c r="A39" s="11"/>
      <c r="B39" s="693">
        <v>12</v>
      </c>
      <c r="C39" s="694" t="s">
        <v>394</v>
      </c>
      <c r="D39" s="695">
        <v>627</v>
      </c>
      <c r="E39" s="696">
        <f t="shared" ref="E39" si="16">E41+E42</f>
        <v>2</v>
      </c>
      <c r="F39" s="696">
        <f>SUM(F40:F42)</f>
        <v>2</v>
      </c>
      <c r="G39" s="696">
        <f t="shared" ref="G39:R39" si="17">SUM(G40:G42)</f>
        <v>2</v>
      </c>
      <c r="H39" s="696">
        <f t="shared" si="17"/>
        <v>2</v>
      </c>
      <c r="I39" s="696">
        <f t="shared" si="17"/>
        <v>2</v>
      </c>
      <c r="J39" s="696">
        <f t="shared" si="17"/>
        <v>2</v>
      </c>
      <c r="K39" s="696">
        <f t="shared" si="17"/>
        <v>2</v>
      </c>
      <c r="L39" s="696">
        <f t="shared" si="17"/>
        <v>2</v>
      </c>
      <c r="M39" s="696">
        <f t="shared" si="17"/>
        <v>2</v>
      </c>
      <c r="N39" s="696">
        <f t="shared" si="17"/>
        <v>2</v>
      </c>
      <c r="O39" s="696">
        <f t="shared" si="17"/>
        <v>2</v>
      </c>
      <c r="P39" s="696">
        <f t="shared" si="17"/>
        <v>2</v>
      </c>
      <c r="Q39" s="696">
        <f t="shared" si="17"/>
        <v>2</v>
      </c>
      <c r="R39" s="696">
        <f t="shared" si="17"/>
        <v>2</v>
      </c>
      <c r="S39" s="283"/>
    </row>
    <row r="40" spans="1:19" x14ac:dyDescent="0.35">
      <c r="B40" s="120" t="s">
        <v>395</v>
      </c>
      <c r="C40" s="690" t="s">
        <v>396</v>
      </c>
      <c r="D40" s="691"/>
      <c r="E40" s="692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</row>
    <row r="41" spans="1:19" x14ac:dyDescent="0.35">
      <c r="B41" s="120" t="s">
        <v>397</v>
      </c>
      <c r="C41" s="690" t="s">
        <v>398</v>
      </c>
      <c r="D41" s="691"/>
      <c r="E41" s="692">
        <v>1</v>
      </c>
      <c r="F41" s="121">
        <v>1</v>
      </c>
      <c r="G41" s="121">
        <v>1</v>
      </c>
      <c r="H41" s="121">
        <v>1</v>
      </c>
      <c r="I41" s="121">
        <v>1</v>
      </c>
      <c r="J41" s="121">
        <v>1</v>
      </c>
      <c r="K41" s="121">
        <v>1</v>
      </c>
      <c r="L41" s="121">
        <v>1</v>
      </c>
      <c r="M41" s="121">
        <v>1</v>
      </c>
      <c r="N41" s="121">
        <v>1</v>
      </c>
      <c r="O41" s="121">
        <v>1</v>
      </c>
      <c r="P41" s="121">
        <v>1</v>
      </c>
      <c r="Q41" s="121">
        <v>1</v>
      </c>
      <c r="R41" s="121">
        <v>1</v>
      </c>
    </row>
    <row r="42" spans="1:19" x14ac:dyDescent="0.35">
      <c r="B42" s="120" t="s">
        <v>399</v>
      </c>
      <c r="C42" s="690" t="s">
        <v>400</v>
      </c>
      <c r="D42" s="691"/>
      <c r="E42" s="692">
        <v>1</v>
      </c>
      <c r="F42" s="692">
        <v>1</v>
      </c>
      <c r="G42" s="692">
        <v>1</v>
      </c>
      <c r="H42" s="692">
        <v>1</v>
      </c>
      <c r="I42" s="692">
        <v>1</v>
      </c>
      <c r="J42" s="692">
        <v>1</v>
      </c>
      <c r="K42" s="692">
        <v>1</v>
      </c>
      <c r="L42" s="692">
        <v>1</v>
      </c>
      <c r="M42" s="692">
        <v>1</v>
      </c>
      <c r="N42" s="692">
        <v>1</v>
      </c>
      <c r="O42" s="692">
        <v>1</v>
      </c>
      <c r="P42" s="692">
        <v>1</v>
      </c>
      <c r="Q42" s="692">
        <v>1</v>
      </c>
      <c r="R42" s="121">
        <v>1</v>
      </c>
    </row>
    <row r="43" spans="1:19" x14ac:dyDescent="0.35">
      <c r="A43" s="11"/>
      <c r="B43" s="693">
        <v>13</v>
      </c>
      <c r="C43" s="694" t="s">
        <v>401</v>
      </c>
      <c r="D43" s="695">
        <v>627</v>
      </c>
      <c r="E43" s="696">
        <f t="shared" ref="E43:R43" si="18">SUM(E44:E50)</f>
        <v>6</v>
      </c>
      <c r="F43" s="696">
        <f t="shared" si="18"/>
        <v>6</v>
      </c>
      <c r="G43" s="696">
        <f t="shared" si="18"/>
        <v>6</v>
      </c>
      <c r="H43" s="696">
        <f t="shared" si="18"/>
        <v>6</v>
      </c>
      <c r="I43" s="696">
        <f t="shared" si="18"/>
        <v>6</v>
      </c>
      <c r="J43" s="696">
        <f t="shared" si="18"/>
        <v>6</v>
      </c>
      <c r="K43" s="696">
        <f t="shared" si="18"/>
        <v>6</v>
      </c>
      <c r="L43" s="696">
        <f t="shared" si="18"/>
        <v>6</v>
      </c>
      <c r="M43" s="696">
        <f t="shared" si="18"/>
        <v>6</v>
      </c>
      <c r="N43" s="696">
        <f t="shared" si="18"/>
        <v>6</v>
      </c>
      <c r="O43" s="696">
        <f t="shared" si="18"/>
        <v>6</v>
      </c>
      <c r="P43" s="696">
        <f t="shared" si="18"/>
        <v>6</v>
      </c>
      <c r="Q43" s="696">
        <f t="shared" si="18"/>
        <v>6</v>
      </c>
      <c r="R43" s="697">
        <f t="shared" si="18"/>
        <v>6</v>
      </c>
      <c r="S43" s="283"/>
    </row>
    <row r="44" spans="1:19" x14ac:dyDescent="0.35">
      <c r="B44" s="120" t="s">
        <v>239</v>
      </c>
      <c r="C44" s="690" t="s">
        <v>402</v>
      </c>
      <c r="D44" s="691"/>
      <c r="E44" s="692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>
        <f>Q44</f>
        <v>0</v>
      </c>
    </row>
    <row r="45" spans="1:19" x14ac:dyDescent="0.35">
      <c r="B45" s="120" t="s">
        <v>403</v>
      </c>
      <c r="C45" s="690" t="s">
        <v>404</v>
      </c>
      <c r="D45" s="691"/>
      <c r="E45" s="692">
        <v>1</v>
      </c>
      <c r="F45" s="121">
        <v>1</v>
      </c>
      <c r="G45" s="121">
        <v>1</v>
      </c>
      <c r="H45" s="121">
        <v>1</v>
      </c>
      <c r="I45" s="121">
        <v>1</v>
      </c>
      <c r="J45" s="121">
        <v>1</v>
      </c>
      <c r="K45" s="121">
        <v>1</v>
      </c>
      <c r="L45" s="121">
        <v>1</v>
      </c>
      <c r="M45" s="121">
        <v>1</v>
      </c>
      <c r="N45" s="121">
        <v>1</v>
      </c>
      <c r="O45" s="121">
        <v>1</v>
      </c>
      <c r="P45" s="121">
        <v>1</v>
      </c>
      <c r="Q45" s="121">
        <v>1</v>
      </c>
      <c r="R45" s="121">
        <v>1</v>
      </c>
    </row>
    <row r="46" spans="1:19" x14ac:dyDescent="0.35">
      <c r="B46" s="120" t="s">
        <v>405</v>
      </c>
      <c r="C46" s="690" t="s">
        <v>406</v>
      </c>
      <c r="D46" s="691"/>
      <c r="E46" s="692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</row>
    <row r="47" spans="1:19" x14ac:dyDescent="0.35">
      <c r="B47" s="120" t="s">
        <v>405</v>
      </c>
      <c r="C47" s="690" t="s">
        <v>407</v>
      </c>
      <c r="D47" s="691"/>
      <c r="E47" s="692">
        <v>3</v>
      </c>
      <c r="F47" s="121">
        <v>3</v>
      </c>
      <c r="G47" s="121">
        <v>3</v>
      </c>
      <c r="H47" s="121">
        <v>3</v>
      </c>
      <c r="I47" s="121">
        <v>3</v>
      </c>
      <c r="J47" s="121">
        <v>3</v>
      </c>
      <c r="K47" s="121">
        <v>3</v>
      </c>
      <c r="L47" s="121">
        <v>3</v>
      </c>
      <c r="M47" s="121">
        <v>3</v>
      </c>
      <c r="N47" s="121">
        <v>3</v>
      </c>
      <c r="O47" s="121">
        <v>3</v>
      </c>
      <c r="P47" s="121">
        <v>3</v>
      </c>
      <c r="Q47" s="121">
        <v>3</v>
      </c>
      <c r="R47" s="121">
        <v>3</v>
      </c>
    </row>
    <row r="48" spans="1:19" x14ac:dyDescent="0.35">
      <c r="B48" s="120" t="s">
        <v>408</v>
      </c>
      <c r="C48" s="690" t="s">
        <v>409</v>
      </c>
      <c r="D48" s="691"/>
      <c r="E48" s="692">
        <v>2</v>
      </c>
      <c r="F48" s="121">
        <v>2</v>
      </c>
      <c r="G48" s="121">
        <v>2</v>
      </c>
      <c r="H48" s="121">
        <v>2</v>
      </c>
      <c r="I48" s="121">
        <v>2</v>
      </c>
      <c r="J48" s="121">
        <v>2</v>
      </c>
      <c r="K48" s="121">
        <v>2</v>
      </c>
      <c r="L48" s="121">
        <v>2</v>
      </c>
      <c r="M48" s="121">
        <v>2</v>
      </c>
      <c r="N48" s="121">
        <v>2</v>
      </c>
      <c r="O48" s="121">
        <v>2</v>
      </c>
      <c r="P48" s="121">
        <v>2</v>
      </c>
      <c r="Q48" s="121">
        <v>2</v>
      </c>
      <c r="R48" s="121">
        <v>2</v>
      </c>
    </row>
    <row r="49" spans="1:20" x14ac:dyDescent="0.35">
      <c r="B49" s="120" t="s">
        <v>410</v>
      </c>
      <c r="C49" s="690" t="s">
        <v>412</v>
      </c>
      <c r="D49" s="691"/>
      <c r="E49" s="692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</row>
    <row r="50" spans="1:20" x14ac:dyDescent="0.35">
      <c r="B50" s="120" t="s">
        <v>411</v>
      </c>
      <c r="C50" s="690" t="s">
        <v>413</v>
      </c>
      <c r="D50" s="691"/>
      <c r="E50" s="692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>
        <f t="shared" ref="R50" si="19">Q50</f>
        <v>0</v>
      </c>
    </row>
    <row r="51" spans="1:20" x14ac:dyDescent="0.35">
      <c r="A51" s="11"/>
      <c r="B51" s="693">
        <v>14</v>
      </c>
      <c r="C51" s="694" t="s">
        <v>414</v>
      </c>
      <c r="D51" s="695"/>
      <c r="E51" s="696">
        <f>E52+E57+E63</f>
        <v>75</v>
      </c>
      <c r="F51" s="696">
        <f>F52+F57+F63</f>
        <v>66</v>
      </c>
      <c r="G51" s="696">
        <f t="shared" ref="G51:R51" si="20">G52+G57+G63</f>
        <v>66</v>
      </c>
      <c r="H51" s="696">
        <f t="shared" si="20"/>
        <v>66</v>
      </c>
      <c r="I51" s="696">
        <f t="shared" si="20"/>
        <v>66</v>
      </c>
      <c r="J51" s="696">
        <f t="shared" si="20"/>
        <v>66</v>
      </c>
      <c r="K51" s="696">
        <f t="shared" si="20"/>
        <v>66</v>
      </c>
      <c r="L51" s="696">
        <f t="shared" si="20"/>
        <v>66</v>
      </c>
      <c r="M51" s="696">
        <f t="shared" si="20"/>
        <v>66</v>
      </c>
      <c r="N51" s="696">
        <f t="shared" si="20"/>
        <v>66</v>
      </c>
      <c r="O51" s="696">
        <f t="shared" si="20"/>
        <v>66</v>
      </c>
      <c r="P51" s="696">
        <f t="shared" si="20"/>
        <v>66</v>
      </c>
      <c r="Q51" s="696">
        <f t="shared" si="20"/>
        <v>66</v>
      </c>
      <c r="R51" s="696">
        <f t="shared" si="20"/>
        <v>66</v>
      </c>
      <c r="S51" s="283"/>
    </row>
    <row r="52" spans="1:20" x14ac:dyDescent="0.35">
      <c r="A52" s="11"/>
      <c r="B52" s="698" t="s">
        <v>415</v>
      </c>
      <c r="C52" s="699" t="s">
        <v>416</v>
      </c>
      <c r="D52" s="169" t="s">
        <v>417</v>
      </c>
      <c r="E52" s="170">
        <f t="shared" ref="E52" si="21">E53+E54+E55+E56</f>
        <v>2</v>
      </c>
      <c r="F52" s="101">
        <f>SUM(F53:F56)</f>
        <v>2</v>
      </c>
      <c r="G52" s="101">
        <f t="shared" ref="G52:R52" si="22">SUM(G53:G56)</f>
        <v>2</v>
      </c>
      <c r="H52" s="101">
        <f t="shared" si="22"/>
        <v>2</v>
      </c>
      <c r="I52" s="101">
        <f t="shared" si="22"/>
        <v>2</v>
      </c>
      <c r="J52" s="101">
        <f t="shared" si="22"/>
        <v>2</v>
      </c>
      <c r="K52" s="101">
        <f t="shared" si="22"/>
        <v>2</v>
      </c>
      <c r="L52" s="101">
        <f t="shared" si="22"/>
        <v>2</v>
      </c>
      <c r="M52" s="101">
        <f t="shared" si="22"/>
        <v>2</v>
      </c>
      <c r="N52" s="101">
        <f t="shared" si="22"/>
        <v>2</v>
      </c>
      <c r="O52" s="101">
        <f t="shared" si="22"/>
        <v>2</v>
      </c>
      <c r="P52" s="101">
        <f t="shared" si="22"/>
        <v>2</v>
      </c>
      <c r="Q52" s="101">
        <f t="shared" si="22"/>
        <v>2</v>
      </c>
      <c r="R52" s="101">
        <f t="shared" si="22"/>
        <v>2</v>
      </c>
      <c r="S52" s="283"/>
    </row>
    <row r="53" spans="1:20" ht="50" x14ac:dyDescent="0.35">
      <c r="B53" s="700" t="s">
        <v>418</v>
      </c>
      <c r="C53" s="701" t="s">
        <v>419</v>
      </c>
      <c r="D53" s="702"/>
      <c r="E53" s="692">
        <v>1</v>
      </c>
      <c r="F53" s="121">
        <v>1</v>
      </c>
      <c r="G53" s="121">
        <v>1</v>
      </c>
      <c r="H53" s="121">
        <v>1</v>
      </c>
      <c r="I53" s="121">
        <v>1</v>
      </c>
      <c r="J53" s="121">
        <v>1</v>
      </c>
      <c r="K53" s="121">
        <v>1</v>
      </c>
      <c r="L53" s="121">
        <v>1</v>
      </c>
      <c r="M53" s="121">
        <v>1</v>
      </c>
      <c r="N53" s="121">
        <v>1</v>
      </c>
      <c r="O53" s="121">
        <v>1</v>
      </c>
      <c r="P53" s="121">
        <v>1</v>
      </c>
      <c r="Q53" s="121">
        <v>1</v>
      </c>
      <c r="R53" s="121">
        <f>Q53</f>
        <v>1</v>
      </c>
    </row>
    <row r="54" spans="1:20" ht="37.5" x14ac:dyDescent="0.35">
      <c r="B54" s="700" t="s">
        <v>420</v>
      </c>
      <c r="C54" s="701" t="s">
        <v>421</v>
      </c>
      <c r="D54" s="702"/>
      <c r="E54" s="692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>
        <f t="shared" ref="R54:R56" si="23">Q54</f>
        <v>0</v>
      </c>
    </row>
    <row r="55" spans="1:20" ht="37.5" x14ac:dyDescent="0.35">
      <c r="B55" s="700" t="s">
        <v>422</v>
      </c>
      <c r="C55" s="701" t="s">
        <v>423</v>
      </c>
      <c r="D55" s="702"/>
      <c r="E55" s="692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>
        <f t="shared" si="23"/>
        <v>0</v>
      </c>
    </row>
    <row r="56" spans="1:20" ht="62.5" x14ac:dyDescent="0.35">
      <c r="B56" s="700" t="s">
        <v>424</v>
      </c>
      <c r="C56" s="701" t="s">
        <v>425</v>
      </c>
      <c r="D56" s="702"/>
      <c r="E56" s="692">
        <v>1</v>
      </c>
      <c r="F56" s="121">
        <v>1</v>
      </c>
      <c r="G56" s="121">
        <v>1</v>
      </c>
      <c r="H56" s="121">
        <v>1</v>
      </c>
      <c r="I56" s="121">
        <v>1</v>
      </c>
      <c r="J56" s="121">
        <v>1</v>
      </c>
      <c r="K56" s="121">
        <v>1</v>
      </c>
      <c r="L56" s="121">
        <v>1</v>
      </c>
      <c r="M56" s="121">
        <v>1</v>
      </c>
      <c r="N56" s="121">
        <v>1</v>
      </c>
      <c r="O56" s="121">
        <v>1</v>
      </c>
      <c r="P56" s="121">
        <v>1</v>
      </c>
      <c r="Q56" s="121">
        <v>1</v>
      </c>
      <c r="R56" s="121">
        <f t="shared" si="23"/>
        <v>1</v>
      </c>
      <c r="T56" s="107" t="s">
        <v>426</v>
      </c>
    </row>
    <row r="57" spans="1:20" x14ac:dyDescent="0.35">
      <c r="A57" s="11"/>
      <c r="B57" s="698" t="s">
        <v>427</v>
      </c>
      <c r="C57" s="728" t="s">
        <v>428</v>
      </c>
      <c r="D57" s="169" t="s">
        <v>429</v>
      </c>
      <c r="E57" s="170">
        <f>SUM(E58:E62)</f>
        <v>70</v>
      </c>
      <c r="F57" s="170">
        <f>SUM(F58:F62)</f>
        <v>58</v>
      </c>
      <c r="G57" s="170">
        <f>SUM(G58:G62)</f>
        <v>58</v>
      </c>
      <c r="H57" s="170">
        <f t="shared" ref="H57:R57" si="24">SUM(H58:H62)</f>
        <v>58</v>
      </c>
      <c r="I57" s="170">
        <f t="shared" si="24"/>
        <v>58</v>
      </c>
      <c r="J57" s="170">
        <f t="shared" si="24"/>
        <v>58</v>
      </c>
      <c r="K57" s="170">
        <f t="shared" si="24"/>
        <v>58</v>
      </c>
      <c r="L57" s="170">
        <f t="shared" si="24"/>
        <v>58</v>
      </c>
      <c r="M57" s="170">
        <f t="shared" si="24"/>
        <v>58</v>
      </c>
      <c r="N57" s="170">
        <f t="shared" si="24"/>
        <v>58</v>
      </c>
      <c r="O57" s="170">
        <f t="shared" si="24"/>
        <v>58</v>
      </c>
      <c r="P57" s="170">
        <f t="shared" si="24"/>
        <v>58</v>
      </c>
      <c r="Q57" s="170">
        <f t="shared" si="24"/>
        <v>58</v>
      </c>
      <c r="R57" s="170">
        <f t="shared" si="24"/>
        <v>58</v>
      </c>
      <c r="S57" s="283"/>
      <c r="T57" s="703" t="s">
        <v>428</v>
      </c>
    </row>
    <row r="58" spans="1:20" ht="50" x14ac:dyDescent="0.35">
      <c r="B58" s="700" t="s">
        <v>430</v>
      </c>
      <c r="C58" s="701" t="s">
        <v>431</v>
      </c>
      <c r="D58" s="702"/>
      <c r="E58" s="692">
        <v>16</v>
      </c>
      <c r="F58" s="692">
        <f>22-F64-F60-F61</f>
        <v>13</v>
      </c>
      <c r="G58" s="692">
        <f t="shared" ref="G58:Q58" si="25">22-G64-G60-G61</f>
        <v>13</v>
      </c>
      <c r="H58" s="692">
        <f t="shared" si="25"/>
        <v>13</v>
      </c>
      <c r="I58" s="692">
        <f t="shared" si="25"/>
        <v>13</v>
      </c>
      <c r="J58" s="692">
        <f t="shared" si="25"/>
        <v>13</v>
      </c>
      <c r="K58" s="692">
        <f t="shared" si="25"/>
        <v>13</v>
      </c>
      <c r="L58" s="692">
        <f t="shared" si="25"/>
        <v>13</v>
      </c>
      <c r="M58" s="692">
        <f t="shared" si="25"/>
        <v>13</v>
      </c>
      <c r="N58" s="692">
        <f t="shared" si="25"/>
        <v>13</v>
      </c>
      <c r="O58" s="692">
        <f t="shared" si="25"/>
        <v>13</v>
      </c>
      <c r="P58" s="692">
        <f t="shared" si="25"/>
        <v>13</v>
      </c>
      <c r="Q58" s="692">
        <f t="shared" si="25"/>
        <v>13</v>
      </c>
      <c r="R58" s="692">
        <f>Q58</f>
        <v>13</v>
      </c>
      <c r="T58" s="527" t="s">
        <v>432</v>
      </c>
    </row>
    <row r="59" spans="1:20" ht="62.5" x14ac:dyDescent="0.35">
      <c r="B59" s="700" t="s">
        <v>433</v>
      </c>
      <c r="C59" s="701" t="s">
        <v>434</v>
      </c>
      <c r="D59" s="702"/>
      <c r="E59" s="692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692"/>
      <c r="T59" s="528" t="s">
        <v>435</v>
      </c>
    </row>
    <row r="60" spans="1:20" ht="37.5" x14ac:dyDescent="0.35">
      <c r="B60" s="700" t="s">
        <v>436</v>
      </c>
      <c r="C60" s="701" t="s">
        <v>437</v>
      </c>
      <c r="D60" s="702"/>
      <c r="E60" s="692">
        <v>2</v>
      </c>
      <c r="F60" s="692">
        <v>2</v>
      </c>
      <c r="G60" s="692">
        <v>2</v>
      </c>
      <c r="H60" s="692">
        <v>2</v>
      </c>
      <c r="I60" s="692">
        <v>2</v>
      </c>
      <c r="J60" s="692">
        <v>2</v>
      </c>
      <c r="K60" s="1257">
        <v>2</v>
      </c>
      <c r="L60" s="1257">
        <v>2</v>
      </c>
      <c r="M60" s="1257">
        <v>2</v>
      </c>
      <c r="N60" s="1257">
        <v>2</v>
      </c>
      <c r="O60" s="1257">
        <v>2</v>
      </c>
      <c r="P60" s="1257">
        <v>2</v>
      </c>
      <c r="Q60" s="1257">
        <v>2</v>
      </c>
      <c r="R60" s="692">
        <f>Q60</f>
        <v>2</v>
      </c>
      <c r="T60" s="529" t="s">
        <v>438</v>
      </c>
    </row>
    <row r="61" spans="1:20" ht="37.5" x14ac:dyDescent="0.35">
      <c r="B61" s="700" t="s">
        <v>439</v>
      </c>
      <c r="C61" s="701" t="s">
        <v>440</v>
      </c>
      <c r="D61" s="702"/>
      <c r="E61" s="692">
        <v>1</v>
      </c>
      <c r="F61" s="692">
        <v>1</v>
      </c>
      <c r="G61" s="692">
        <v>1</v>
      </c>
      <c r="H61" s="692">
        <v>1</v>
      </c>
      <c r="I61" s="692">
        <v>1</v>
      </c>
      <c r="J61" s="692">
        <v>1</v>
      </c>
      <c r="K61" s="692">
        <v>1</v>
      </c>
      <c r="L61" s="692">
        <v>1</v>
      </c>
      <c r="M61" s="692">
        <v>1</v>
      </c>
      <c r="N61" s="692">
        <v>1</v>
      </c>
      <c r="O61" s="692">
        <v>1</v>
      </c>
      <c r="P61" s="692">
        <v>1</v>
      </c>
      <c r="Q61" s="692">
        <v>1</v>
      </c>
      <c r="R61" s="692">
        <f>Q61</f>
        <v>1</v>
      </c>
      <c r="T61" s="529" t="s">
        <v>441</v>
      </c>
    </row>
    <row r="62" spans="1:20" ht="50" x14ac:dyDescent="0.35">
      <c r="B62" s="729" t="s">
        <v>439</v>
      </c>
      <c r="C62" s="730" t="s">
        <v>387</v>
      </c>
      <c r="D62" s="725"/>
      <c r="E62" s="726">
        <f>54-E73-E30</f>
        <v>51</v>
      </c>
      <c r="F62" s="766">
        <v>42</v>
      </c>
      <c r="G62" s="766">
        <v>42</v>
      </c>
      <c r="H62" s="766">
        <v>42</v>
      </c>
      <c r="I62" s="766">
        <v>42</v>
      </c>
      <c r="J62" s="766">
        <v>42</v>
      </c>
      <c r="K62" s="766">
        <v>42</v>
      </c>
      <c r="L62" s="766">
        <v>42</v>
      </c>
      <c r="M62" s="766">
        <v>42</v>
      </c>
      <c r="N62" s="766">
        <v>42</v>
      </c>
      <c r="O62" s="766">
        <v>42</v>
      </c>
      <c r="P62" s="766">
        <v>42</v>
      </c>
      <c r="Q62" s="766">
        <v>42</v>
      </c>
      <c r="R62" s="726">
        <v>42</v>
      </c>
      <c r="T62" s="529" t="s">
        <v>442</v>
      </c>
    </row>
    <row r="63" spans="1:20" x14ac:dyDescent="0.35">
      <c r="A63" s="11"/>
      <c r="B63" s="698" t="s">
        <v>443</v>
      </c>
      <c r="C63" s="699" t="s">
        <v>444</v>
      </c>
      <c r="D63" s="169" t="s">
        <v>429</v>
      </c>
      <c r="E63" s="170">
        <f>E64+E67</f>
        <v>3</v>
      </c>
      <c r="F63" s="170">
        <f t="shared" ref="F63:Q63" si="26">F64+F67</f>
        <v>6</v>
      </c>
      <c r="G63" s="170">
        <f t="shared" si="26"/>
        <v>6</v>
      </c>
      <c r="H63" s="170">
        <f t="shared" si="26"/>
        <v>6</v>
      </c>
      <c r="I63" s="170">
        <f t="shared" si="26"/>
        <v>6</v>
      </c>
      <c r="J63" s="170">
        <f t="shared" si="26"/>
        <v>6</v>
      </c>
      <c r="K63" s="170">
        <f t="shared" si="26"/>
        <v>6</v>
      </c>
      <c r="L63" s="170">
        <f t="shared" si="26"/>
        <v>6</v>
      </c>
      <c r="M63" s="170">
        <f t="shared" si="26"/>
        <v>6</v>
      </c>
      <c r="N63" s="170">
        <f t="shared" si="26"/>
        <v>6</v>
      </c>
      <c r="O63" s="170">
        <f t="shared" si="26"/>
        <v>6</v>
      </c>
      <c r="P63" s="170">
        <f t="shared" si="26"/>
        <v>6</v>
      </c>
      <c r="Q63" s="170">
        <f t="shared" si="26"/>
        <v>6</v>
      </c>
      <c r="R63" s="692">
        <f>Q63</f>
        <v>6</v>
      </c>
      <c r="S63" s="283"/>
      <c r="T63" s="530" t="s">
        <v>445</v>
      </c>
    </row>
    <row r="64" spans="1:20" ht="37.5" x14ac:dyDescent="0.35">
      <c r="B64" s="700" t="s">
        <v>446</v>
      </c>
      <c r="C64" s="701" t="s">
        <v>447</v>
      </c>
      <c r="D64" s="702"/>
      <c r="E64" s="692">
        <v>3</v>
      </c>
      <c r="F64" s="692">
        <v>6</v>
      </c>
      <c r="G64" s="692">
        <v>6</v>
      </c>
      <c r="H64" s="692">
        <v>6</v>
      </c>
      <c r="I64" s="692">
        <v>6</v>
      </c>
      <c r="J64" s="692">
        <v>6</v>
      </c>
      <c r="K64" s="692">
        <v>6</v>
      </c>
      <c r="L64" s="692">
        <v>6</v>
      </c>
      <c r="M64" s="692">
        <v>6</v>
      </c>
      <c r="N64" s="692">
        <v>6</v>
      </c>
      <c r="O64" s="692">
        <v>6</v>
      </c>
      <c r="P64" s="692">
        <v>6</v>
      </c>
      <c r="Q64" s="692">
        <v>6</v>
      </c>
      <c r="R64" s="692">
        <f>Q64</f>
        <v>6</v>
      </c>
      <c r="T64" s="527" t="s">
        <v>448</v>
      </c>
    </row>
    <row r="65" spans="1:21" x14ac:dyDescent="0.35">
      <c r="B65" s="700" t="s">
        <v>449</v>
      </c>
      <c r="C65" s="704"/>
      <c r="D65" s="702"/>
      <c r="E65" s="692"/>
      <c r="F65" s="692"/>
      <c r="G65" s="692"/>
      <c r="H65" s="692"/>
      <c r="I65" s="692"/>
      <c r="J65" s="692"/>
      <c r="K65" s="692"/>
      <c r="L65" s="692"/>
      <c r="M65" s="692"/>
      <c r="N65" s="692"/>
      <c r="O65" s="692"/>
      <c r="P65" s="692"/>
      <c r="Q65" s="692"/>
      <c r="R65" s="692"/>
      <c r="T65" s="531" t="s">
        <v>440</v>
      </c>
    </row>
    <row r="66" spans="1:21" x14ac:dyDescent="0.35">
      <c r="B66" s="700" t="s">
        <v>450</v>
      </c>
      <c r="C66" s="704"/>
      <c r="D66" s="702"/>
      <c r="E66" s="692"/>
      <c r="F66" s="692"/>
      <c r="G66" s="692"/>
      <c r="H66" s="692"/>
      <c r="I66" s="692"/>
      <c r="J66" s="692"/>
      <c r="K66" s="692"/>
      <c r="L66" s="692"/>
      <c r="M66" s="692"/>
      <c r="N66" s="692"/>
      <c r="O66" s="692"/>
      <c r="P66" s="692"/>
      <c r="Q66" s="692"/>
      <c r="R66" s="692"/>
      <c r="T66" s="532" t="s">
        <v>451</v>
      </c>
    </row>
    <row r="67" spans="1:21" ht="50" x14ac:dyDescent="0.35">
      <c r="B67" s="729" t="s">
        <v>452</v>
      </c>
      <c r="C67" s="730" t="s">
        <v>387</v>
      </c>
      <c r="D67" s="725"/>
      <c r="E67" s="726"/>
      <c r="F67" s="726"/>
      <c r="G67" s="726"/>
      <c r="H67" s="726"/>
      <c r="I67" s="726"/>
      <c r="J67" s="726"/>
      <c r="K67" s="726"/>
      <c r="L67" s="726"/>
      <c r="M67" s="726"/>
      <c r="N67" s="726"/>
      <c r="O67" s="726"/>
      <c r="P67" s="726"/>
      <c r="Q67" s="726"/>
      <c r="R67" s="727"/>
      <c r="T67" s="533" t="s">
        <v>453</v>
      </c>
    </row>
    <row r="68" spans="1:21" x14ac:dyDescent="0.35">
      <c r="A68" s="11"/>
      <c r="B68" s="693">
        <v>15</v>
      </c>
      <c r="C68" s="694" t="s">
        <v>454</v>
      </c>
      <c r="D68" s="695" t="s">
        <v>417</v>
      </c>
      <c r="E68" s="696">
        <f>SUM(E69:E73)</f>
        <v>6</v>
      </c>
      <c r="F68" s="696">
        <f>SUM(F69:F73)</f>
        <v>6</v>
      </c>
      <c r="G68" s="696">
        <f t="shared" ref="G68:R68" si="27">SUM(G69:G73)</f>
        <v>6</v>
      </c>
      <c r="H68" s="696">
        <f t="shared" si="27"/>
        <v>6</v>
      </c>
      <c r="I68" s="696">
        <f t="shared" si="27"/>
        <v>6</v>
      </c>
      <c r="J68" s="696">
        <f t="shared" si="27"/>
        <v>6</v>
      </c>
      <c r="K68" s="696">
        <f t="shared" si="27"/>
        <v>6</v>
      </c>
      <c r="L68" s="696">
        <f t="shared" si="27"/>
        <v>6</v>
      </c>
      <c r="M68" s="696">
        <f t="shared" si="27"/>
        <v>6</v>
      </c>
      <c r="N68" s="696">
        <f t="shared" si="27"/>
        <v>6</v>
      </c>
      <c r="O68" s="696">
        <f t="shared" si="27"/>
        <v>6</v>
      </c>
      <c r="P68" s="696">
        <f t="shared" si="27"/>
        <v>6</v>
      </c>
      <c r="Q68" s="696">
        <f t="shared" si="27"/>
        <v>6</v>
      </c>
      <c r="R68" s="696">
        <f t="shared" si="27"/>
        <v>6</v>
      </c>
      <c r="S68" s="283"/>
      <c r="T68" s="527" t="s">
        <v>455</v>
      </c>
    </row>
    <row r="69" spans="1:21" x14ac:dyDescent="0.35">
      <c r="A69" s="11"/>
      <c r="B69" s="120" t="s">
        <v>456</v>
      </c>
      <c r="C69" s="704" t="s">
        <v>457</v>
      </c>
      <c r="D69" s="169"/>
      <c r="E69" s="170">
        <v>1</v>
      </c>
      <c r="F69" s="692">
        <v>1</v>
      </c>
      <c r="G69" s="692">
        <v>1</v>
      </c>
      <c r="H69" s="692">
        <v>1</v>
      </c>
      <c r="I69" s="692">
        <v>1</v>
      </c>
      <c r="J69" s="692">
        <v>1</v>
      </c>
      <c r="K69" s="692">
        <v>1</v>
      </c>
      <c r="L69" s="692">
        <v>1</v>
      </c>
      <c r="M69" s="692">
        <v>1</v>
      </c>
      <c r="N69" s="692">
        <v>1</v>
      </c>
      <c r="O69" s="692">
        <v>1</v>
      </c>
      <c r="P69" s="692">
        <v>1</v>
      </c>
      <c r="Q69" s="692">
        <v>1</v>
      </c>
      <c r="R69" s="122">
        <f>Q69</f>
        <v>1</v>
      </c>
      <c r="S69" s="283"/>
      <c r="T69" s="534" t="s">
        <v>458</v>
      </c>
    </row>
    <row r="70" spans="1:21" ht="62.5" x14ac:dyDescent="0.35">
      <c r="B70" s="120" t="s">
        <v>459</v>
      </c>
      <c r="C70" s="704" t="s">
        <v>460</v>
      </c>
      <c r="D70" s="702"/>
      <c r="E70" s="692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2">
        <f>Q70</f>
        <v>0</v>
      </c>
      <c r="T70" s="109"/>
    </row>
    <row r="71" spans="1:21" ht="62.5" x14ac:dyDescent="0.35">
      <c r="B71" s="120" t="s">
        <v>461</v>
      </c>
      <c r="C71" s="704" t="s">
        <v>462</v>
      </c>
      <c r="D71" s="702"/>
      <c r="E71" s="692">
        <v>1</v>
      </c>
      <c r="F71" s="121">
        <v>1</v>
      </c>
      <c r="G71" s="121">
        <v>1</v>
      </c>
      <c r="H71" s="121">
        <v>1</v>
      </c>
      <c r="I71" s="121">
        <v>1</v>
      </c>
      <c r="J71" s="121">
        <v>1</v>
      </c>
      <c r="K71" s="121">
        <v>1</v>
      </c>
      <c r="L71" s="121">
        <v>1</v>
      </c>
      <c r="M71" s="121">
        <v>1</v>
      </c>
      <c r="N71" s="121">
        <v>1</v>
      </c>
      <c r="O71" s="121">
        <v>1</v>
      </c>
      <c r="P71" s="121">
        <v>1</v>
      </c>
      <c r="Q71" s="121">
        <v>1</v>
      </c>
      <c r="R71" s="122">
        <f>Q71</f>
        <v>1</v>
      </c>
    </row>
    <row r="72" spans="1:21" ht="37.5" x14ac:dyDescent="0.35">
      <c r="B72" s="120" t="s">
        <v>463</v>
      </c>
      <c r="C72" s="704" t="s">
        <v>464</v>
      </c>
      <c r="D72" s="702"/>
      <c r="E72" s="692">
        <v>2</v>
      </c>
      <c r="F72" s="121">
        <v>2</v>
      </c>
      <c r="G72" s="121">
        <v>2</v>
      </c>
      <c r="H72" s="121">
        <v>2</v>
      </c>
      <c r="I72" s="121">
        <v>2</v>
      </c>
      <c r="J72" s="121">
        <v>2</v>
      </c>
      <c r="K72" s="1254">
        <v>2</v>
      </c>
      <c r="L72" s="1254">
        <v>2</v>
      </c>
      <c r="M72" s="1254">
        <v>2</v>
      </c>
      <c r="N72" s="1254">
        <v>2</v>
      </c>
      <c r="O72" s="1254">
        <v>2</v>
      </c>
      <c r="P72" s="1254">
        <v>2</v>
      </c>
      <c r="Q72" s="1254">
        <v>2</v>
      </c>
      <c r="R72" s="122">
        <f>Q72</f>
        <v>2</v>
      </c>
    </row>
    <row r="73" spans="1:21" ht="50" x14ac:dyDescent="0.35">
      <c r="B73" s="723" t="s">
        <v>465</v>
      </c>
      <c r="C73" s="724" t="s">
        <v>387</v>
      </c>
      <c r="D73" s="725"/>
      <c r="E73" s="726">
        <v>2</v>
      </c>
      <c r="F73" s="727">
        <v>2</v>
      </c>
      <c r="G73" s="727">
        <v>2</v>
      </c>
      <c r="H73" s="727">
        <v>2</v>
      </c>
      <c r="I73" s="727">
        <v>2</v>
      </c>
      <c r="J73" s="727">
        <v>2</v>
      </c>
      <c r="K73" s="727">
        <v>2</v>
      </c>
      <c r="L73" s="727">
        <v>2</v>
      </c>
      <c r="M73" s="727">
        <v>2</v>
      </c>
      <c r="N73" s="727">
        <v>2</v>
      </c>
      <c r="O73" s="727">
        <v>2</v>
      </c>
      <c r="P73" s="727">
        <v>2</v>
      </c>
      <c r="Q73" s="727">
        <v>2</v>
      </c>
      <c r="R73" s="731">
        <f>Q73</f>
        <v>2</v>
      </c>
      <c r="T73" s="109"/>
    </row>
    <row r="74" spans="1:21" x14ac:dyDescent="0.35">
      <c r="A74" s="11"/>
      <c r="B74" s="693">
        <v>16</v>
      </c>
      <c r="C74" s="694" t="s">
        <v>466</v>
      </c>
      <c r="D74" s="695">
        <v>642</v>
      </c>
      <c r="E74" s="696">
        <f t="shared" ref="E74:Q78" si="28">E75</f>
        <v>0</v>
      </c>
      <c r="F74" s="696">
        <f>F75</f>
        <v>0</v>
      </c>
      <c r="G74" s="696">
        <f t="shared" si="28"/>
        <v>0</v>
      </c>
      <c r="H74" s="696">
        <f t="shared" si="28"/>
        <v>0</v>
      </c>
      <c r="I74" s="696">
        <f t="shared" si="28"/>
        <v>0</v>
      </c>
      <c r="J74" s="696">
        <f t="shared" si="28"/>
        <v>0</v>
      </c>
      <c r="K74" s="696">
        <f t="shared" si="28"/>
        <v>0</v>
      </c>
      <c r="L74" s="696">
        <f t="shared" si="28"/>
        <v>0</v>
      </c>
      <c r="M74" s="696">
        <f t="shared" si="28"/>
        <v>0</v>
      </c>
      <c r="N74" s="696">
        <f t="shared" si="28"/>
        <v>0</v>
      </c>
      <c r="O74" s="696">
        <f t="shared" si="28"/>
        <v>0</v>
      </c>
      <c r="P74" s="696">
        <f t="shared" si="28"/>
        <v>0</v>
      </c>
      <c r="Q74" s="696">
        <f t="shared" si="28"/>
        <v>0</v>
      </c>
      <c r="R74" s="697"/>
      <c r="S74" s="283"/>
      <c r="T74" s="107"/>
    </row>
    <row r="75" spans="1:21" x14ac:dyDescent="0.35">
      <c r="B75" s="120" t="s">
        <v>217</v>
      </c>
      <c r="C75" s="690" t="s">
        <v>380</v>
      </c>
      <c r="D75" s="691"/>
      <c r="E75" s="692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U75" s="109"/>
    </row>
    <row r="76" spans="1:21" x14ac:dyDescent="0.35">
      <c r="A76" s="11"/>
      <c r="B76" s="693">
        <v>17</v>
      </c>
      <c r="C76" s="694" t="s">
        <v>467</v>
      </c>
      <c r="D76" s="695">
        <v>642</v>
      </c>
      <c r="E76" s="696">
        <f t="shared" si="28"/>
        <v>0</v>
      </c>
      <c r="F76" s="696">
        <f>F77</f>
        <v>0</v>
      </c>
      <c r="G76" s="696">
        <f t="shared" si="28"/>
        <v>0</v>
      </c>
      <c r="H76" s="696">
        <f t="shared" si="28"/>
        <v>0</v>
      </c>
      <c r="I76" s="696">
        <f t="shared" si="28"/>
        <v>0</v>
      </c>
      <c r="J76" s="696">
        <f t="shared" si="28"/>
        <v>0</v>
      </c>
      <c r="K76" s="696">
        <f t="shared" si="28"/>
        <v>0</v>
      </c>
      <c r="L76" s="696">
        <f t="shared" si="28"/>
        <v>0</v>
      </c>
      <c r="M76" s="696">
        <f t="shared" si="28"/>
        <v>0</v>
      </c>
      <c r="N76" s="696">
        <f t="shared" si="28"/>
        <v>0</v>
      </c>
      <c r="O76" s="696">
        <f t="shared" si="28"/>
        <v>0</v>
      </c>
      <c r="P76" s="696">
        <f t="shared" si="28"/>
        <v>0</v>
      </c>
      <c r="Q76" s="696">
        <f t="shared" si="28"/>
        <v>0</v>
      </c>
      <c r="R76" s="697"/>
      <c r="S76" s="283"/>
      <c r="T76" s="112"/>
      <c r="U76" s="107"/>
    </row>
    <row r="77" spans="1:21" x14ac:dyDescent="0.35">
      <c r="B77" s="120" t="s">
        <v>468</v>
      </c>
      <c r="C77" s="690" t="s">
        <v>380</v>
      </c>
      <c r="D77" s="691"/>
      <c r="E77" s="692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T77" s="109"/>
      <c r="U77" s="109"/>
    </row>
    <row r="78" spans="1:21" x14ac:dyDescent="0.35">
      <c r="A78" s="11"/>
      <c r="B78" s="693">
        <v>18</v>
      </c>
      <c r="C78" s="694" t="s">
        <v>469</v>
      </c>
      <c r="D78" s="695">
        <v>642</v>
      </c>
      <c r="E78" s="696">
        <f t="shared" si="28"/>
        <v>0</v>
      </c>
      <c r="F78" s="696">
        <f>F79</f>
        <v>0</v>
      </c>
      <c r="G78" s="696">
        <f t="shared" si="28"/>
        <v>0</v>
      </c>
      <c r="H78" s="696">
        <f t="shared" si="28"/>
        <v>0</v>
      </c>
      <c r="I78" s="696">
        <f t="shared" si="28"/>
        <v>0</v>
      </c>
      <c r="J78" s="696">
        <f t="shared" si="28"/>
        <v>0</v>
      </c>
      <c r="K78" s="696">
        <f t="shared" si="28"/>
        <v>0</v>
      </c>
      <c r="L78" s="696">
        <f t="shared" si="28"/>
        <v>0</v>
      </c>
      <c r="M78" s="696">
        <f t="shared" si="28"/>
        <v>0</v>
      </c>
      <c r="N78" s="696">
        <f t="shared" si="28"/>
        <v>0</v>
      </c>
      <c r="O78" s="696">
        <f t="shared" si="28"/>
        <v>0</v>
      </c>
      <c r="P78" s="696">
        <f t="shared" si="28"/>
        <v>0</v>
      </c>
      <c r="Q78" s="696">
        <f t="shared" si="28"/>
        <v>0</v>
      </c>
      <c r="R78" s="697"/>
      <c r="S78" s="283"/>
      <c r="T78" s="107"/>
      <c r="U78" s="107"/>
    </row>
    <row r="79" spans="1:21" x14ac:dyDescent="0.35">
      <c r="B79" s="120" t="s">
        <v>220</v>
      </c>
      <c r="C79" s="690" t="s">
        <v>380</v>
      </c>
      <c r="D79" s="691"/>
      <c r="E79" s="692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T79" s="109"/>
    </row>
    <row r="80" spans="1:21" x14ac:dyDescent="0.35">
      <c r="A80" s="11"/>
      <c r="B80" s="738"/>
      <c r="C80" s="739" t="s">
        <v>470</v>
      </c>
      <c r="D80" s="739"/>
      <c r="E80" s="740">
        <f t="shared" ref="E80:R80" si="29">E5+E8+E16+E21+E23+E25+E27+E31+E33+E35+E37+E39+E43+E51+E68+E74+E76+E78</f>
        <v>102</v>
      </c>
      <c r="F80" s="740">
        <f t="shared" si="29"/>
        <v>93</v>
      </c>
      <c r="G80" s="740">
        <f t="shared" si="29"/>
        <v>93</v>
      </c>
      <c r="H80" s="740">
        <f t="shared" si="29"/>
        <v>93</v>
      </c>
      <c r="I80" s="740">
        <f t="shared" si="29"/>
        <v>93</v>
      </c>
      <c r="J80" s="740">
        <f t="shared" si="29"/>
        <v>93</v>
      </c>
      <c r="K80" s="740">
        <f t="shared" si="29"/>
        <v>93</v>
      </c>
      <c r="L80" s="740">
        <f t="shared" si="29"/>
        <v>93</v>
      </c>
      <c r="M80" s="740">
        <f t="shared" si="29"/>
        <v>93</v>
      </c>
      <c r="N80" s="740">
        <f t="shared" si="29"/>
        <v>93</v>
      </c>
      <c r="O80" s="740">
        <f t="shared" si="29"/>
        <v>93</v>
      </c>
      <c r="P80" s="740">
        <f t="shared" si="29"/>
        <v>93</v>
      </c>
      <c r="Q80" s="740">
        <f t="shared" si="29"/>
        <v>93</v>
      </c>
      <c r="R80" s="740">
        <f t="shared" si="29"/>
        <v>93</v>
      </c>
      <c r="S80" s="283"/>
      <c r="U80" s="112"/>
    </row>
    <row r="81" spans="1:21" x14ac:dyDescent="0.35">
      <c r="A81" s="11"/>
      <c r="B81" s="698"/>
      <c r="C81" s="736" t="s">
        <v>471</v>
      </c>
      <c r="D81" s="737"/>
      <c r="E81" s="170">
        <f>E80-E82</f>
        <v>48</v>
      </c>
      <c r="F81" s="170">
        <f>F80-F82</f>
        <v>48</v>
      </c>
      <c r="G81" s="170">
        <f t="shared" ref="G81:Q81" si="30">G80-G82</f>
        <v>48</v>
      </c>
      <c r="H81" s="170">
        <f t="shared" si="30"/>
        <v>48</v>
      </c>
      <c r="I81" s="170">
        <f t="shared" si="30"/>
        <v>48</v>
      </c>
      <c r="J81" s="170">
        <f t="shared" si="30"/>
        <v>48</v>
      </c>
      <c r="K81" s="170">
        <f t="shared" si="30"/>
        <v>48</v>
      </c>
      <c r="L81" s="170">
        <f t="shared" si="30"/>
        <v>48</v>
      </c>
      <c r="M81" s="170">
        <f t="shared" si="30"/>
        <v>48</v>
      </c>
      <c r="N81" s="170">
        <f t="shared" si="30"/>
        <v>48</v>
      </c>
      <c r="O81" s="170">
        <f t="shared" si="30"/>
        <v>48</v>
      </c>
      <c r="P81" s="170">
        <f t="shared" si="30"/>
        <v>48</v>
      </c>
      <c r="Q81" s="170">
        <f t="shared" si="30"/>
        <v>48</v>
      </c>
      <c r="R81" s="170">
        <f>Q81</f>
        <v>48</v>
      </c>
      <c r="S81" s="283"/>
      <c r="U81" s="112"/>
    </row>
    <row r="82" spans="1:21" x14ac:dyDescent="0.35">
      <c r="A82" s="11"/>
      <c r="B82" s="732"/>
      <c r="C82" s="733" t="s">
        <v>387</v>
      </c>
      <c r="D82" s="734"/>
      <c r="E82" s="735">
        <f t="shared" ref="E82:R82" si="31">E73+E67+E30+E62</f>
        <v>54</v>
      </c>
      <c r="F82" s="735">
        <f t="shared" si="31"/>
        <v>45</v>
      </c>
      <c r="G82" s="735">
        <f t="shared" si="31"/>
        <v>45</v>
      </c>
      <c r="H82" s="735">
        <f t="shared" si="31"/>
        <v>45</v>
      </c>
      <c r="I82" s="735">
        <f t="shared" si="31"/>
        <v>45</v>
      </c>
      <c r="J82" s="735">
        <f t="shared" si="31"/>
        <v>45</v>
      </c>
      <c r="K82" s="735">
        <f t="shared" si="31"/>
        <v>45</v>
      </c>
      <c r="L82" s="735">
        <f t="shared" si="31"/>
        <v>45</v>
      </c>
      <c r="M82" s="735">
        <f t="shared" si="31"/>
        <v>45</v>
      </c>
      <c r="N82" s="735">
        <f t="shared" si="31"/>
        <v>45</v>
      </c>
      <c r="O82" s="735">
        <f t="shared" si="31"/>
        <v>45</v>
      </c>
      <c r="P82" s="735">
        <f t="shared" si="31"/>
        <v>45</v>
      </c>
      <c r="Q82" s="735">
        <f t="shared" si="31"/>
        <v>45</v>
      </c>
      <c r="R82" s="735">
        <f t="shared" si="31"/>
        <v>45</v>
      </c>
      <c r="S82" s="283"/>
      <c r="U82" s="112"/>
    </row>
    <row r="83" spans="1:21" x14ac:dyDescent="0.35">
      <c r="U83" s="109"/>
    </row>
    <row r="84" spans="1:21" ht="15.5" x14ac:dyDescent="0.35">
      <c r="B84" s="62" t="s">
        <v>472</v>
      </c>
      <c r="E84" s="110"/>
      <c r="F84" s="110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</row>
    <row r="85" spans="1:21" ht="39" x14ac:dyDescent="0.35">
      <c r="A85" s="12"/>
      <c r="B85" s="705">
        <v>19</v>
      </c>
      <c r="C85" s="706" t="s">
        <v>473</v>
      </c>
      <c r="D85" s="707" t="str">
        <f t="shared" ref="D85:R85" si="32">D4</f>
        <v>Tài khoản</v>
      </c>
      <c r="E85" s="707" t="str">
        <f t="shared" si="32"/>
        <v>KQKD 2025</v>
      </c>
      <c r="F85" s="707" t="str">
        <f t="shared" si="32"/>
        <v>T1</v>
      </c>
      <c r="G85" s="707" t="str">
        <f t="shared" si="32"/>
        <v>T2</v>
      </c>
      <c r="H85" s="707" t="str">
        <f t="shared" si="32"/>
        <v>T3</v>
      </c>
      <c r="I85" s="707" t="str">
        <f t="shared" si="32"/>
        <v>T4</v>
      </c>
      <c r="J85" s="707" t="str">
        <f t="shared" si="32"/>
        <v>T5</v>
      </c>
      <c r="K85" s="707" t="str">
        <f t="shared" si="32"/>
        <v>T6</v>
      </c>
      <c r="L85" s="707" t="str">
        <f t="shared" si="32"/>
        <v>T7</v>
      </c>
      <c r="M85" s="707" t="str">
        <f t="shared" si="32"/>
        <v>T8</v>
      </c>
      <c r="N85" s="707" t="str">
        <f t="shared" si="32"/>
        <v>T9</v>
      </c>
      <c r="O85" s="707" t="str">
        <f t="shared" si="32"/>
        <v>T10</v>
      </c>
      <c r="P85" s="707" t="str">
        <f t="shared" si="32"/>
        <v>T11</v>
      </c>
      <c r="Q85" s="707" t="str">
        <f t="shared" si="32"/>
        <v>T12</v>
      </c>
      <c r="R85" s="707" t="str">
        <f t="shared" si="32"/>
        <v>KH 2026</v>
      </c>
      <c r="S85" s="283"/>
      <c r="T85" s="107"/>
      <c r="U85" s="109"/>
    </row>
    <row r="86" spans="1:21" x14ac:dyDescent="0.35">
      <c r="A86" s="11"/>
      <c r="B86" s="698" t="s">
        <v>474</v>
      </c>
      <c r="C86" s="699" t="s">
        <v>475</v>
      </c>
      <c r="D86" s="169" t="s">
        <v>417</v>
      </c>
      <c r="E86" s="708"/>
      <c r="F86" s="709"/>
      <c r="G86" s="710"/>
      <c r="H86" s="710"/>
      <c r="I86" s="710"/>
      <c r="J86" s="710"/>
      <c r="K86" s="710"/>
      <c r="L86" s="710"/>
      <c r="M86" s="710"/>
      <c r="N86" s="710"/>
      <c r="O86" s="710"/>
      <c r="P86" s="710"/>
      <c r="Q86" s="710"/>
      <c r="R86" s="710"/>
      <c r="S86" s="283"/>
      <c r="T86" s="107"/>
    </row>
    <row r="87" spans="1:21" ht="62.5" x14ac:dyDescent="0.35">
      <c r="B87" s="700" t="s">
        <v>476</v>
      </c>
      <c r="C87" s="704" t="s">
        <v>477</v>
      </c>
      <c r="D87" s="691"/>
      <c r="E87" s="711"/>
      <c r="F87" s="692"/>
      <c r="G87" s="692"/>
      <c r="H87" s="692"/>
      <c r="I87" s="692"/>
      <c r="J87" s="692"/>
      <c r="K87" s="692"/>
      <c r="L87" s="692"/>
      <c r="M87" s="692"/>
      <c r="N87" s="692"/>
      <c r="O87" s="692"/>
      <c r="P87" s="692"/>
      <c r="Q87" s="692"/>
      <c r="R87" s="692"/>
    </row>
    <row r="88" spans="1:21" ht="52" x14ac:dyDescent="0.35">
      <c r="A88" s="11"/>
      <c r="B88" s="698" t="s">
        <v>478</v>
      </c>
      <c r="C88" s="712" t="s">
        <v>479</v>
      </c>
      <c r="D88" s="169" t="s">
        <v>429</v>
      </c>
      <c r="E88" s="709"/>
      <c r="F88" s="170"/>
      <c r="G88" s="170"/>
      <c r="H88" s="170"/>
      <c r="I88" s="170"/>
      <c r="J88" s="170"/>
      <c r="K88" s="170"/>
      <c r="L88" s="170"/>
      <c r="M88" s="170"/>
      <c r="N88" s="170"/>
      <c r="O88" s="170"/>
      <c r="P88" s="170"/>
      <c r="Q88" s="170"/>
      <c r="R88" s="170"/>
      <c r="S88" s="283"/>
      <c r="T88" s="107"/>
      <c r="U88" s="107"/>
    </row>
    <row r="89" spans="1:21" x14ac:dyDescent="0.35">
      <c r="A89" s="11"/>
      <c r="B89" s="693"/>
      <c r="C89" s="695" t="s">
        <v>480</v>
      </c>
      <c r="D89" s="695"/>
      <c r="E89" s="713"/>
      <c r="F89" s="696">
        <f t="shared" ref="F89:Q89" si="33">F87+F88</f>
        <v>0</v>
      </c>
      <c r="G89" s="696">
        <f>G87+G88</f>
        <v>0</v>
      </c>
      <c r="H89" s="696">
        <f t="shared" si="33"/>
        <v>0</v>
      </c>
      <c r="I89" s="696">
        <f t="shared" si="33"/>
        <v>0</v>
      </c>
      <c r="J89" s="696">
        <f t="shared" si="33"/>
        <v>0</v>
      </c>
      <c r="K89" s="696">
        <f t="shared" si="33"/>
        <v>0</v>
      </c>
      <c r="L89" s="696">
        <f t="shared" si="33"/>
        <v>0</v>
      </c>
      <c r="M89" s="696">
        <f t="shared" si="33"/>
        <v>0</v>
      </c>
      <c r="N89" s="696">
        <f t="shared" si="33"/>
        <v>0</v>
      </c>
      <c r="O89" s="696">
        <f t="shared" si="33"/>
        <v>0</v>
      </c>
      <c r="P89" s="696">
        <f t="shared" si="33"/>
        <v>0</v>
      </c>
      <c r="Q89" s="696">
        <f t="shared" si="33"/>
        <v>0</v>
      </c>
      <c r="R89" s="696">
        <f>R87+R88</f>
        <v>0</v>
      </c>
      <c r="S89" s="283"/>
      <c r="T89" s="107"/>
      <c r="U89" s="107"/>
    </row>
    <row r="91" spans="1:21" x14ac:dyDescent="0.35">
      <c r="F91" s="106">
        <f>'KQKD PET'!G5/'Dinh bien_HCNS'!F80/1000</f>
        <v>8.2717741935483868</v>
      </c>
      <c r="G91" s="106">
        <f>'KQKD PET'!H5/'Dinh bien_HCNS'!G80/1000</f>
        <v>6.4336021505376344</v>
      </c>
      <c r="H91" s="106">
        <f>'KQKD PET'!I5/'Dinh bien_HCNS'!H80/1000</f>
        <v>9.1908602150537622</v>
      </c>
      <c r="I91" s="106">
        <f>'KQKD PET'!J5/'Dinh bien_HCNS'!I80/1000</f>
        <v>10.109946236559139</v>
      </c>
      <c r="J91" s="106">
        <f>'KQKD PET'!K5/'Dinh bien_HCNS'!J80/1000</f>
        <v>10.09752688172043</v>
      </c>
      <c r="K91" s="106">
        <f>'KQKD PET'!L5/'Dinh bien_HCNS'!K80/1000</f>
        <v>3.7867204301075268</v>
      </c>
      <c r="L91" s="106">
        <f>'KQKD PET'!M5/'Dinh bien_HCNS'!L80/1000</f>
        <v>3.7867204301075268</v>
      </c>
      <c r="M91" s="106">
        <f>'KQKD PET'!N5/'Dinh bien_HCNS'!M80/1000</f>
        <v>3.7867204301075268</v>
      </c>
      <c r="N91" s="106">
        <f>'KQKD PET'!O5/'Dinh bien_HCNS'!N80/1000</f>
        <v>3.7867204301075268</v>
      </c>
      <c r="O91" s="106">
        <f>'KQKD PET'!P5/'Dinh bien_HCNS'!O80/1000</f>
        <v>3.7867204301075268</v>
      </c>
      <c r="P91" s="106">
        <f>'KQKD PET'!Q5/'Dinh bien_HCNS'!P80/1000</f>
        <v>3.7867204301075268</v>
      </c>
      <c r="Q91" s="106">
        <f>'KQKD PET'!R5/'Dinh bien_HCNS'!Q80/1000</f>
        <v>3.7867204301075268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53"/>
  <sheetViews>
    <sheetView topLeftCell="A56" workbookViewId="0">
      <selection activeCell="A74" sqref="A74"/>
    </sheetView>
  </sheetViews>
  <sheetFormatPr defaultRowHeight="14.5" x14ac:dyDescent="0.35"/>
  <sheetData>
    <row r="2" spans="2:21" x14ac:dyDescent="0.35"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  <c r="Q2" s="209"/>
    </row>
    <row r="3" spans="2:21" ht="15.5" x14ac:dyDescent="0.35">
      <c r="B3" s="62" t="s">
        <v>481</v>
      </c>
      <c r="F3" s="3">
        <v>1</v>
      </c>
      <c r="G3" s="3">
        <v>2</v>
      </c>
      <c r="H3" s="3">
        <v>3</v>
      </c>
      <c r="I3" s="3">
        <v>4</v>
      </c>
      <c r="J3" s="3">
        <v>5</v>
      </c>
      <c r="K3" s="3">
        <v>6</v>
      </c>
      <c r="L3" s="3">
        <v>7</v>
      </c>
      <c r="M3" s="3">
        <v>8</v>
      </c>
      <c r="N3" s="3">
        <v>9</v>
      </c>
      <c r="O3" s="3">
        <v>10</v>
      </c>
      <c r="P3" s="3">
        <v>11</v>
      </c>
      <c r="Q3" s="3">
        <v>12</v>
      </c>
    </row>
    <row r="4" spans="2:21" ht="65" x14ac:dyDescent="0.35">
      <c r="B4" s="187" t="s">
        <v>354</v>
      </c>
      <c r="C4" s="188" t="s">
        <v>482</v>
      </c>
      <c r="D4" s="188" t="s">
        <v>483</v>
      </c>
      <c r="E4" s="189" t="s">
        <v>484</v>
      </c>
      <c r="F4" s="171" t="s">
        <v>149</v>
      </c>
      <c r="G4" s="171" t="s">
        <v>150</v>
      </c>
      <c r="H4" s="171" t="s">
        <v>151</v>
      </c>
      <c r="I4" s="171" t="s">
        <v>152</v>
      </c>
      <c r="J4" s="171" t="s">
        <v>153</v>
      </c>
      <c r="K4" s="171" t="s">
        <v>154</v>
      </c>
      <c r="L4" s="171" t="s">
        <v>155</v>
      </c>
      <c r="M4" s="171" t="s">
        <v>156</v>
      </c>
      <c r="N4" s="171" t="s">
        <v>157</v>
      </c>
      <c r="O4" s="171" t="s">
        <v>158</v>
      </c>
      <c r="P4" s="171" t="s">
        <v>159</v>
      </c>
      <c r="Q4" s="171" t="s">
        <v>160</v>
      </c>
      <c r="R4" s="171" t="s">
        <v>161</v>
      </c>
      <c r="S4" s="17"/>
      <c r="T4" s="17"/>
      <c r="U4" s="17"/>
    </row>
    <row r="5" spans="2:21" x14ac:dyDescent="0.35">
      <c r="B5" s="190" t="s">
        <v>356</v>
      </c>
      <c r="C5" s="191"/>
      <c r="D5" s="192" t="s">
        <v>485</v>
      </c>
      <c r="E5" s="191"/>
      <c r="F5" s="193">
        <f>'Dinh bien_HCNS'!F5</f>
        <v>2</v>
      </c>
      <c r="G5" s="193">
        <f>'Dinh bien_HCNS'!G5</f>
        <v>2</v>
      </c>
      <c r="H5" s="193">
        <f>'Dinh bien_HCNS'!H5</f>
        <v>2</v>
      </c>
      <c r="I5" s="193">
        <f>'Dinh bien_HCNS'!I5</f>
        <v>2</v>
      </c>
      <c r="J5" s="193">
        <f>'Dinh bien_HCNS'!J5</f>
        <v>2</v>
      </c>
      <c r="K5" s="193">
        <f>'Dinh bien_HCNS'!K5</f>
        <v>2</v>
      </c>
      <c r="L5" s="193">
        <f>'Dinh bien_HCNS'!L5</f>
        <v>2</v>
      </c>
      <c r="M5" s="193">
        <f>'Dinh bien_HCNS'!M5</f>
        <v>2</v>
      </c>
      <c r="N5" s="193">
        <f>'Dinh bien_HCNS'!N5</f>
        <v>2</v>
      </c>
      <c r="O5" s="193">
        <f>'Dinh bien_HCNS'!O5</f>
        <v>2</v>
      </c>
      <c r="P5" s="193">
        <f>'Dinh bien_HCNS'!P5</f>
        <v>2</v>
      </c>
      <c r="Q5" s="193">
        <f>'Dinh bien_HCNS'!Q5</f>
        <v>2</v>
      </c>
      <c r="R5" s="193">
        <v>2</v>
      </c>
      <c r="S5" s="803"/>
      <c r="T5" s="803"/>
      <c r="U5" s="803"/>
    </row>
    <row r="6" spans="2:21" x14ac:dyDescent="0.35">
      <c r="B6" s="194" t="s">
        <v>356</v>
      </c>
      <c r="C6" s="195"/>
      <c r="D6" s="196" t="s">
        <v>486</v>
      </c>
      <c r="E6" s="195"/>
      <c r="F6" s="197">
        <f>SUM(F8:F16)</f>
        <v>122904333</v>
      </c>
      <c r="G6" s="197">
        <f t="shared" ref="G6:Q6" si="0">SUM(G8:G16)</f>
        <v>124845948</v>
      </c>
      <c r="H6" s="197">
        <f t="shared" si="0"/>
        <v>117254102</v>
      </c>
      <c r="I6" s="197">
        <f t="shared" si="0"/>
        <v>125250948</v>
      </c>
      <c r="J6" s="197">
        <f t="shared" si="0"/>
        <v>120476718</v>
      </c>
      <c r="K6" s="197">
        <f t="shared" si="0"/>
        <v>125250948</v>
      </c>
      <c r="L6" s="197">
        <f t="shared" si="0"/>
        <v>122585333</v>
      </c>
      <c r="M6" s="197">
        <f t="shared" si="0"/>
        <v>122585333</v>
      </c>
      <c r="N6" s="197">
        <f t="shared" si="0"/>
        <v>125488948</v>
      </c>
      <c r="O6" s="197">
        <f t="shared" si="0"/>
        <v>119919718</v>
      </c>
      <c r="P6" s="197">
        <f t="shared" si="0"/>
        <v>125250948</v>
      </c>
      <c r="Q6" s="197">
        <f t="shared" si="0"/>
        <v>122585333</v>
      </c>
      <c r="R6" s="198">
        <f>SUM(R8:R16)</f>
        <v>1474398610</v>
      </c>
      <c r="S6" s="803"/>
      <c r="T6" s="803"/>
      <c r="U6" s="803"/>
    </row>
    <row r="7" spans="2:21" x14ac:dyDescent="0.35">
      <c r="B7" s="194" t="s">
        <v>356</v>
      </c>
      <c r="C7" s="195"/>
      <c r="D7" s="192" t="s">
        <v>487</v>
      </c>
      <c r="E7" s="195"/>
      <c r="F7" s="197">
        <f>IFERROR(SUM(F8:F15)/F5,0)</f>
        <v>61452166.5</v>
      </c>
      <c r="G7" s="197">
        <f t="shared" ref="G7" si="1">IFERROR(SUM(G8:G15)/G5,0)</f>
        <v>62422974</v>
      </c>
      <c r="H7" s="197">
        <f t="shared" ref="H7" si="2">IFERROR(SUM(H8:H15)/H5,0)</f>
        <v>58627051</v>
      </c>
      <c r="I7" s="197">
        <f t="shared" ref="I7" si="3">IFERROR(SUM(I8:I15)/I5,0)</f>
        <v>62625474</v>
      </c>
      <c r="J7" s="197">
        <f t="shared" ref="J7" si="4">IFERROR(SUM(J8:J15)/J5,0)</f>
        <v>60238359</v>
      </c>
      <c r="K7" s="197">
        <f t="shared" ref="K7" si="5">IFERROR(SUM(K8:K15)/K5,0)</f>
        <v>62625474</v>
      </c>
      <c r="L7" s="197">
        <f t="shared" ref="L7" si="6">IFERROR(SUM(L8:L15)/L5,0)</f>
        <v>61292666.5</v>
      </c>
      <c r="M7" s="197">
        <f t="shared" ref="M7" si="7">IFERROR(SUM(M8:M15)/M5,0)</f>
        <v>61292666.5</v>
      </c>
      <c r="N7" s="197">
        <f t="shared" ref="N7" si="8">IFERROR(SUM(N8:N15)/N5,0)</f>
        <v>62744474</v>
      </c>
      <c r="O7" s="197">
        <f t="shared" ref="O7" si="9">IFERROR(SUM(O8:O15)/O5,0)</f>
        <v>59959859</v>
      </c>
      <c r="P7" s="197">
        <f t="shared" ref="P7" si="10">IFERROR(SUM(P8:P15)/P5,0)</f>
        <v>62625474</v>
      </c>
      <c r="Q7" s="197">
        <f t="shared" ref="Q7" si="11">IFERROR(SUM(Q8:Q15)/Q5,0)</f>
        <v>61292666.5</v>
      </c>
      <c r="R7" s="198"/>
      <c r="S7" s="803"/>
      <c r="T7" s="803"/>
      <c r="U7" s="803"/>
    </row>
    <row r="8" spans="2:21" x14ac:dyDescent="0.35">
      <c r="B8" s="199" t="s">
        <v>356</v>
      </c>
      <c r="C8" s="200">
        <v>6421002604</v>
      </c>
      <c r="D8" s="201" t="s">
        <v>488</v>
      </c>
      <c r="E8" s="201" t="s">
        <v>489</v>
      </c>
      <c r="F8" s="1248">
        <v>87200000</v>
      </c>
      <c r="G8" s="1248">
        <v>89784615</v>
      </c>
      <c r="H8" s="1248">
        <v>82030769</v>
      </c>
      <c r="I8" s="1248">
        <v>89784615</v>
      </c>
      <c r="J8" s="1248">
        <v>84615385</v>
      </c>
      <c r="K8" s="1248">
        <v>89784615</v>
      </c>
      <c r="L8" s="1248">
        <v>87200000</v>
      </c>
      <c r="M8" s="1248">
        <v>87200000</v>
      </c>
      <c r="N8" s="1248">
        <v>89784615</v>
      </c>
      <c r="O8" s="1248">
        <v>84615385</v>
      </c>
      <c r="P8" s="1248">
        <v>89784615</v>
      </c>
      <c r="Q8" s="1248">
        <v>87200000</v>
      </c>
      <c r="R8" s="1003">
        <f>SUM(F8:Q8)</f>
        <v>1048984614</v>
      </c>
      <c r="S8" s="17"/>
      <c r="T8" s="17"/>
      <c r="U8" s="17"/>
    </row>
    <row r="9" spans="2:21" x14ac:dyDescent="0.35">
      <c r="B9" s="199" t="s">
        <v>356</v>
      </c>
      <c r="C9" s="200">
        <v>6421002605</v>
      </c>
      <c r="D9" s="200" t="s">
        <v>490</v>
      </c>
      <c r="E9" s="201" t="s">
        <v>491</v>
      </c>
      <c r="F9" s="1248">
        <v>6903333</v>
      </c>
      <c r="G9" s="1248">
        <v>6903333</v>
      </c>
      <c r="H9" s="1248">
        <v>6903333</v>
      </c>
      <c r="I9" s="1248">
        <v>6903333</v>
      </c>
      <c r="J9" s="1248">
        <v>6903333</v>
      </c>
      <c r="K9" s="1248">
        <v>6903333</v>
      </c>
      <c r="L9" s="1248">
        <v>6903333</v>
      </c>
      <c r="M9" s="1248">
        <v>6903333</v>
      </c>
      <c r="N9" s="1248">
        <v>6903333</v>
      </c>
      <c r="O9" s="1248">
        <v>6903333</v>
      </c>
      <c r="P9" s="1248">
        <v>6903333</v>
      </c>
      <c r="Q9" s="1248">
        <v>6903333</v>
      </c>
      <c r="R9" s="1003">
        <f t="shared" ref="R9:R16" si="12">SUM(F9:Q9)</f>
        <v>82839996</v>
      </c>
      <c r="S9" s="17"/>
      <c r="T9" s="17"/>
      <c r="U9" s="17"/>
    </row>
    <row r="10" spans="2:21" x14ac:dyDescent="0.35">
      <c r="B10" s="199" t="s">
        <v>356</v>
      </c>
      <c r="C10" s="200">
        <v>6421002802</v>
      </c>
      <c r="D10" s="201" t="s">
        <v>492</v>
      </c>
      <c r="E10" s="201" t="s">
        <v>493</v>
      </c>
      <c r="F10" s="1248">
        <v>1500000</v>
      </c>
      <c r="G10" s="1248">
        <v>1100000</v>
      </c>
      <c r="H10" s="1248">
        <v>1100000</v>
      </c>
      <c r="I10" s="1248">
        <v>1100000</v>
      </c>
      <c r="J10" s="1248">
        <v>1900000</v>
      </c>
      <c r="K10" s="1248">
        <v>1100000</v>
      </c>
      <c r="L10" s="1248">
        <v>1100000</v>
      </c>
      <c r="M10" s="1248">
        <v>1100000</v>
      </c>
      <c r="N10" s="1248">
        <v>1500000</v>
      </c>
      <c r="O10" s="1248">
        <v>1100000</v>
      </c>
      <c r="P10" s="1248">
        <v>1100000</v>
      </c>
      <c r="Q10" s="1248">
        <v>1100000</v>
      </c>
      <c r="R10" s="1003">
        <f t="shared" si="12"/>
        <v>14800000</v>
      </c>
      <c r="S10" s="17"/>
      <c r="T10" s="17"/>
      <c r="U10" s="17"/>
    </row>
    <row r="11" spans="2:21" x14ac:dyDescent="0.35">
      <c r="B11" s="199" t="s">
        <v>356</v>
      </c>
      <c r="C11" s="200">
        <v>6421002806</v>
      </c>
      <c r="D11" s="200" t="s">
        <v>494</v>
      </c>
      <c r="E11" s="201" t="s">
        <v>491</v>
      </c>
      <c r="F11" s="1248">
        <v>9374000</v>
      </c>
      <c r="G11" s="1248">
        <v>9374000</v>
      </c>
      <c r="H11" s="1248">
        <v>9374000</v>
      </c>
      <c r="I11" s="1248">
        <v>9374000</v>
      </c>
      <c r="J11" s="1248">
        <v>9374000</v>
      </c>
      <c r="K11" s="1248">
        <v>9374000</v>
      </c>
      <c r="L11" s="1248">
        <v>9374000</v>
      </c>
      <c r="M11" s="1248">
        <v>9374000</v>
      </c>
      <c r="N11" s="1248">
        <v>9374000</v>
      </c>
      <c r="O11" s="1248">
        <v>9374000</v>
      </c>
      <c r="P11" s="1248">
        <v>9374000</v>
      </c>
      <c r="Q11" s="1248">
        <v>9374000</v>
      </c>
      <c r="R11" s="1003">
        <f t="shared" si="12"/>
        <v>112488000</v>
      </c>
      <c r="S11" s="17"/>
      <c r="T11" s="17"/>
      <c r="U11" s="17"/>
    </row>
    <row r="12" spans="2:21" x14ac:dyDescent="0.35">
      <c r="B12" s="199" t="s">
        <v>356</v>
      </c>
      <c r="C12" s="200">
        <v>6421007202</v>
      </c>
      <c r="D12" s="201" t="s">
        <v>495</v>
      </c>
      <c r="E12" s="201" t="s">
        <v>493</v>
      </c>
      <c r="F12" s="1248">
        <v>0</v>
      </c>
      <c r="G12" s="1248">
        <v>0</v>
      </c>
      <c r="H12" s="1248">
        <v>0</v>
      </c>
      <c r="I12" s="1248">
        <v>0</v>
      </c>
      <c r="J12" s="1248">
        <v>0</v>
      </c>
      <c r="K12" s="1248">
        <v>0</v>
      </c>
      <c r="L12" s="1248">
        <v>0</v>
      </c>
      <c r="M12" s="1248">
        <v>0</v>
      </c>
      <c r="N12" s="1248">
        <v>0</v>
      </c>
      <c r="O12" s="1248">
        <v>0</v>
      </c>
      <c r="P12" s="1248">
        <v>0</v>
      </c>
      <c r="Q12" s="1248">
        <v>0</v>
      </c>
      <c r="R12" s="1003">
        <f t="shared" si="12"/>
        <v>0</v>
      </c>
      <c r="S12" s="17"/>
      <c r="T12" s="17"/>
      <c r="U12" s="17"/>
    </row>
    <row r="13" spans="2:21" x14ac:dyDescent="0.35">
      <c r="B13" s="199" t="s">
        <v>356</v>
      </c>
      <c r="C13" s="200">
        <v>6421003202</v>
      </c>
      <c r="D13" s="200" t="s">
        <v>496</v>
      </c>
      <c r="E13" s="201" t="s">
        <v>493</v>
      </c>
      <c r="F13" s="1248">
        <v>2025000</v>
      </c>
      <c r="G13" s="1248">
        <v>1782000</v>
      </c>
      <c r="H13" s="1248">
        <v>1944000</v>
      </c>
      <c r="I13" s="1248">
        <v>2187000</v>
      </c>
      <c r="J13" s="1248">
        <v>1782000</v>
      </c>
      <c r="K13" s="1248">
        <v>2187000</v>
      </c>
      <c r="L13" s="1248">
        <v>2106000</v>
      </c>
      <c r="M13" s="1248">
        <v>2106000</v>
      </c>
      <c r="N13" s="1248">
        <v>2025000</v>
      </c>
      <c r="O13" s="1248">
        <v>2025000</v>
      </c>
      <c r="P13" s="1248">
        <v>2187000</v>
      </c>
      <c r="Q13" s="1248">
        <v>2106000</v>
      </c>
      <c r="R13" s="1003">
        <f t="shared" si="12"/>
        <v>24462000</v>
      </c>
      <c r="S13" s="17"/>
      <c r="T13" s="17"/>
      <c r="U13" s="17"/>
    </row>
    <row r="14" spans="2:21" x14ac:dyDescent="0.35">
      <c r="B14" s="199" t="s">
        <v>356</v>
      </c>
      <c r="C14" s="200">
        <v>6421002603</v>
      </c>
      <c r="D14" s="201" t="s">
        <v>497</v>
      </c>
      <c r="E14" s="201" t="s">
        <v>491</v>
      </c>
      <c r="F14" s="1248">
        <v>0</v>
      </c>
      <c r="G14" s="1248">
        <v>0</v>
      </c>
      <c r="H14" s="1248">
        <v>0</v>
      </c>
      <c r="I14" s="1248">
        <v>0</v>
      </c>
      <c r="J14" s="1248">
        <v>0</v>
      </c>
      <c r="K14" s="1248">
        <v>0</v>
      </c>
      <c r="L14" s="1248">
        <v>0</v>
      </c>
      <c r="M14" s="1248">
        <v>0</v>
      </c>
      <c r="N14" s="1248">
        <v>0</v>
      </c>
      <c r="O14" s="1248">
        <v>0</v>
      </c>
      <c r="P14" s="1248">
        <v>0</v>
      </c>
      <c r="Q14" s="1248">
        <v>0</v>
      </c>
      <c r="R14" s="1003">
        <f t="shared" si="12"/>
        <v>0</v>
      </c>
      <c r="S14" s="17"/>
      <c r="T14" s="17"/>
      <c r="U14" s="17"/>
    </row>
    <row r="15" spans="2:21" x14ac:dyDescent="0.35">
      <c r="B15" s="199" t="s">
        <v>356</v>
      </c>
      <c r="C15" s="200">
        <v>6421003401</v>
      </c>
      <c r="D15" s="200" t="s">
        <v>498</v>
      </c>
      <c r="E15" s="201" t="s">
        <v>493</v>
      </c>
      <c r="F15" s="1248">
        <v>15902000</v>
      </c>
      <c r="G15" s="1248">
        <v>15902000</v>
      </c>
      <c r="H15" s="1248">
        <v>15902000</v>
      </c>
      <c r="I15" s="1248">
        <v>15902000</v>
      </c>
      <c r="J15" s="1248">
        <v>15902000</v>
      </c>
      <c r="K15" s="1248">
        <v>15902000</v>
      </c>
      <c r="L15" s="1248">
        <v>15902000</v>
      </c>
      <c r="M15" s="1248">
        <v>15902000</v>
      </c>
      <c r="N15" s="1248">
        <v>15902000</v>
      </c>
      <c r="O15" s="1248">
        <v>15902000</v>
      </c>
      <c r="P15" s="1248">
        <v>15902000</v>
      </c>
      <c r="Q15" s="1248">
        <v>15902000</v>
      </c>
      <c r="R15" s="1003">
        <f t="shared" si="12"/>
        <v>190824000</v>
      </c>
      <c r="S15" s="17"/>
      <c r="T15" s="17"/>
      <c r="U15" s="17"/>
    </row>
    <row r="16" spans="2:21" x14ac:dyDescent="0.35">
      <c r="B16" s="203" t="s">
        <v>356</v>
      </c>
      <c r="C16" s="204">
        <v>6421002703</v>
      </c>
      <c r="D16" s="205" t="s">
        <v>499</v>
      </c>
      <c r="E16" s="205" t="s">
        <v>491</v>
      </c>
      <c r="F16" s="1248">
        <v>0</v>
      </c>
      <c r="G16" s="1248">
        <v>0</v>
      </c>
      <c r="H16" s="1248">
        <v>0</v>
      </c>
      <c r="I16" s="1248">
        <v>0</v>
      </c>
      <c r="J16" s="1248">
        <v>0</v>
      </c>
      <c r="K16" s="1248">
        <v>0</v>
      </c>
      <c r="L16" s="1248">
        <v>0</v>
      </c>
      <c r="M16" s="1248">
        <v>0</v>
      </c>
      <c r="N16" s="1248">
        <v>0</v>
      </c>
      <c r="O16" s="1248">
        <v>0</v>
      </c>
      <c r="P16" s="1248">
        <v>0</v>
      </c>
      <c r="Q16" s="1248">
        <v>0</v>
      </c>
      <c r="R16" s="1003">
        <f t="shared" si="12"/>
        <v>0</v>
      </c>
      <c r="S16" s="17"/>
      <c r="T16" s="17"/>
      <c r="U16" s="17"/>
    </row>
    <row r="17" spans="2:21" x14ac:dyDescent="0.35">
      <c r="B17" s="190" t="s">
        <v>359</v>
      </c>
      <c r="C17" s="191"/>
      <c r="D17" s="192" t="s">
        <v>485</v>
      </c>
      <c r="E17" s="191"/>
      <c r="F17" s="193">
        <f>'Dinh bien_HCNS'!F8</f>
        <v>2</v>
      </c>
      <c r="G17" s="193">
        <f>'Dinh bien_HCNS'!G8</f>
        <v>2</v>
      </c>
      <c r="H17" s="193">
        <f>'Dinh bien_HCNS'!H8</f>
        <v>2</v>
      </c>
      <c r="I17" s="193">
        <f>'Dinh bien_HCNS'!I8</f>
        <v>2</v>
      </c>
      <c r="J17" s="193">
        <f>'Dinh bien_HCNS'!J8</f>
        <v>2</v>
      </c>
      <c r="K17" s="193">
        <f>'Dinh bien_HCNS'!K8</f>
        <v>2</v>
      </c>
      <c r="L17" s="193">
        <f>'Dinh bien_HCNS'!L8</f>
        <v>2</v>
      </c>
      <c r="M17" s="193">
        <f>'Dinh bien_HCNS'!M8</f>
        <v>2</v>
      </c>
      <c r="N17" s="193">
        <f>'Dinh bien_HCNS'!N8</f>
        <v>2</v>
      </c>
      <c r="O17" s="193">
        <f>'Dinh bien_HCNS'!O8</f>
        <v>2</v>
      </c>
      <c r="P17" s="193">
        <f>'Dinh bien_HCNS'!P8</f>
        <v>2</v>
      </c>
      <c r="Q17" s="193">
        <f>'Dinh bien_HCNS'!Q8</f>
        <v>2</v>
      </c>
      <c r="R17" s="193">
        <f>Q17</f>
        <v>2</v>
      </c>
      <c r="S17" s="803"/>
      <c r="T17" s="803"/>
      <c r="U17" s="803"/>
    </row>
    <row r="18" spans="2:21" x14ac:dyDescent="0.35">
      <c r="B18" s="194" t="s">
        <v>359</v>
      </c>
      <c r="C18" s="195"/>
      <c r="D18" s="196" t="s">
        <v>486</v>
      </c>
      <c r="E18" s="195"/>
      <c r="F18" s="197">
        <f>SUM(F20:F28)</f>
        <v>36609307</v>
      </c>
      <c r="G18" s="197">
        <f t="shared" ref="G18:Q18" si="13">SUM(G20:G28)</f>
        <v>36976461</v>
      </c>
      <c r="H18" s="197">
        <f t="shared" si="13"/>
        <v>34282999</v>
      </c>
      <c r="I18" s="197">
        <f t="shared" si="13"/>
        <v>37256461</v>
      </c>
      <c r="J18" s="197">
        <f t="shared" si="13"/>
        <v>35906153</v>
      </c>
      <c r="K18" s="197">
        <f t="shared" si="13"/>
        <v>37256461</v>
      </c>
      <c r="L18" s="197">
        <f t="shared" si="13"/>
        <v>36265307</v>
      </c>
      <c r="M18" s="197">
        <f t="shared" si="13"/>
        <v>36265307</v>
      </c>
      <c r="N18" s="197">
        <f t="shared" si="13"/>
        <v>37544461</v>
      </c>
      <c r="O18" s="197">
        <f t="shared" si="13"/>
        <v>35274153</v>
      </c>
      <c r="P18" s="197">
        <f t="shared" si="13"/>
        <v>37256461</v>
      </c>
      <c r="Q18" s="197">
        <f t="shared" si="13"/>
        <v>36265307</v>
      </c>
      <c r="R18" s="198">
        <f>SUM(R20:R28)</f>
        <v>437158838</v>
      </c>
      <c r="S18" s="803"/>
      <c r="T18" s="803"/>
      <c r="U18" s="803"/>
    </row>
    <row r="19" spans="2:21" x14ac:dyDescent="0.35">
      <c r="B19" s="194" t="s">
        <v>359</v>
      </c>
      <c r="C19" s="195"/>
      <c r="D19" s="192" t="s">
        <v>487</v>
      </c>
      <c r="E19" s="195"/>
      <c r="F19" s="197">
        <f>IFERROR(SUM(F20:F27)/F17,0)</f>
        <v>18304653.5</v>
      </c>
      <c r="G19" s="197">
        <f t="shared" ref="G19" si="14">IFERROR(SUM(G20:G27)/G17,0)</f>
        <v>18488230.5</v>
      </c>
      <c r="H19" s="197">
        <f t="shared" ref="H19" si="15">IFERROR(SUM(H20:H27)/H17,0)</f>
        <v>17141499.5</v>
      </c>
      <c r="I19" s="197">
        <f t="shared" ref="I19" si="16">IFERROR(SUM(I20:I27)/I17,0)</f>
        <v>18628230.5</v>
      </c>
      <c r="J19" s="197">
        <f t="shared" ref="J19" si="17">IFERROR(SUM(J20:J27)/J17,0)</f>
        <v>17953076.5</v>
      </c>
      <c r="K19" s="197">
        <f t="shared" ref="K19" si="18">IFERROR(SUM(K20:K27)/K17,0)</f>
        <v>18628230.5</v>
      </c>
      <c r="L19" s="197">
        <f t="shared" ref="L19" si="19">IFERROR(SUM(L20:L27)/L17,0)</f>
        <v>18132653.5</v>
      </c>
      <c r="M19" s="197">
        <f t="shared" ref="M19" si="20">IFERROR(SUM(M20:M27)/M17,0)</f>
        <v>18132653.5</v>
      </c>
      <c r="N19" s="197">
        <f t="shared" ref="N19" si="21">IFERROR(SUM(N20:N27)/N17,0)</f>
        <v>18772230.5</v>
      </c>
      <c r="O19" s="197">
        <f t="shared" ref="O19" si="22">IFERROR(SUM(O20:O27)/O17,0)</f>
        <v>17637076.5</v>
      </c>
      <c r="P19" s="197">
        <f t="shared" ref="P19" si="23">IFERROR(SUM(P20:P27)/P17,0)</f>
        <v>18628230.5</v>
      </c>
      <c r="Q19" s="197">
        <f t="shared" ref="Q19" si="24">IFERROR(SUM(Q20:Q27)/Q17,0)</f>
        <v>18132653.5</v>
      </c>
      <c r="R19" s="198"/>
      <c r="S19" s="803"/>
      <c r="T19" s="803"/>
      <c r="U19" s="803"/>
    </row>
    <row r="20" spans="2:21" x14ac:dyDescent="0.35">
      <c r="B20" s="199" t="s">
        <v>359</v>
      </c>
      <c r="C20" s="200">
        <v>6421002604</v>
      </c>
      <c r="D20" s="201" t="s">
        <v>488</v>
      </c>
      <c r="E20" s="201" t="s">
        <v>489</v>
      </c>
      <c r="F20" s="1248">
        <v>24314000</v>
      </c>
      <c r="G20" s="1248">
        <v>25249154</v>
      </c>
      <c r="H20" s="1248">
        <v>22443692</v>
      </c>
      <c r="I20" s="1248">
        <v>25249154</v>
      </c>
      <c r="J20" s="1248">
        <v>23378846</v>
      </c>
      <c r="K20" s="1248">
        <v>25249154</v>
      </c>
      <c r="L20" s="1248">
        <v>24314000</v>
      </c>
      <c r="M20" s="1248">
        <v>24314000</v>
      </c>
      <c r="N20" s="1248">
        <v>25249154</v>
      </c>
      <c r="O20" s="1248">
        <v>23378846</v>
      </c>
      <c r="P20" s="1248">
        <v>25249154</v>
      </c>
      <c r="Q20" s="1248">
        <v>24314000</v>
      </c>
      <c r="R20" s="1003">
        <f>SUM(F20:Q20)</f>
        <v>292703154</v>
      </c>
      <c r="S20" s="17"/>
      <c r="T20" s="17"/>
      <c r="U20" s="17"/>
    </row>
    <row r="21" spans="2:21" x14ac:dyDescent="0.35">
      <c r="B21" s="199" t="s">
        <v>359</v>
      </c>
      <c r="C21" s="200">
        <v>6421002605</v>
      </c>
      <c r="D21" s="200" t="s">
        <v>490</v>
      </c>
      <c r="E21" s="201" t="s">
        <v>491</v>
      </c>
      <c r="F21" s="1248">
        <v>1924859</v>
      </c>
      <c r="G21" s="1248">
        <v>1924859</v>
      </c>
      <c r="H21" s="1248">
        <v>1924859</v>
      </c>
      <c r="I21" s="1248">
        <v>1924859</v>
      </c>
      <c r="J21" s="1248">
        <v>1924859</v>
      </c>
      <c r="K21" s="1248">
        <v>1924859</v>
      </c>
      <c r="L21" s="1248">
        <v>1924859</v>
      </c>
      <c r="M21" s="1248">
        <v>1924859</v>
      </c>
      <c r="N21" s="1248">
        <v>1924859</v>
      </c>
      <c r="O21" s="1248">
        <v>1924859</v>
      </c>
      <c r="P21" s="1248">
        <v>1924859</v>
      </c>
      <c r="Q21" s="1248">
        <v>1924859</v>
      </c>
      <c r="R21" s="1003">
        <f t="shared" ref="R21:R28" si="25">SUM(F21:Q21)</f>
        <v>23098308</v>
      </c>
      <c r="S21" s="17"/>
      <c r="T21" s="17"/>
      <c r="U21" s="17"/>
    </row>
    <row r="22" spans="2:21" x14ac:dyDescent="0.35">
      <c r="B22" s="199" t="s">
        <v>359</v>
      </c>
      <c r="C22" s="200">
        <v>6421002802</v>
      </c>
      <c r="D22" s="201" t="s">
        <v>492</v>
      </c>
      <c r="E22" s="201" t="s">
        <v>493</v>
      </c>
      <c r="F22" s="1248">
        <v>1150000</v>
      </c>
      <c r="G22" s="1248">
        <v>750000</v>
      </c>
      <c r="H22" s="1248">
        <v>750000</v>
      </c>
      <c r="I22" s="1248">
        <v>750000</v>
      </c>
      <c r="J22" s="1248">
        <v>1550000</v>
      </c>
      <c r="K22" s="1248">
        <v>750000</v>
      </c>
      <c r="L22" s="1248">
        <v>750000</v>
      </c>
      <c r="M22" s="1248">
        <v>750000</v>
      </c>
      <c r="N22" s="1248">
        <v>1150000</v>
      </c>
      <c r="O22" s="1248">
        <v>750000</v>
      </c>
      <c r="P22" s="1248">
        <v>750000</v>
      </c>
      <c r="Q22" s="1248">
        <v>750000</v>
      </c>
      <c r="R22" s="1003">
        <f t="shared" si="25"/>
        <v>10600000</v>
      </c>
      <c r="S22" s="17"/>
      <c r="T22" s="17"/>
      <c r="U22" s="17"/>
    </row>
    <row r="23" spans="2:21" x14ac:dyDescent="0.35">
      <c r="B23" s="199" t="s">
        <v>359</v>
      </c>
      <c r="C23" s="200">
        <v>6421002806</v>
      </c>
      <c r="D23" s="200" t="s">
        <v>494</v>
      </c>
      <c r="E23" s="201" t="s">
        <v>491</v>
      </c>
      <c r="F23" s="1248">
        <v>2007924</v>
      </c>
      <c r="G23" s="1248">
        <v>2007924</v>
      </c>
      <c r="H23" s="1248">
        <v>2007924</v>
      </c>
      <c r="I23" s="1248">
        <v>2007924</v>
      </c>
      <c r="J23" s="1248">
        <v>2007924</v>
      </c>
      <c r="K23" s="1248">
        <v>2007924</v>
      </c>
      <c r="L23" s="1248">
        <v>2007924</v>
      </c>
      <c r="M23" s="1248">
        <v>2007924</v>
      </c>
      <c r="N23" s="1248">
        <v>2007924</v>
      </c>
      <c r="O23" s="1248">
        <v>2007924</v>
      </c>
      <c r="P23" s="1248">
        <v>2007924</v>
      </c>
      <c r="Q23" s="1248">
        <v>2007924</v>
      </c>
      <c r="R23" s="1003">
        <f t="shared" si="25"/>
        <v>24095088</v>
      </c>
      <c r="S23" s="17"/>
      <c r="T23" s="17"/>
      <c r="U23" s="17"/>
    </row>
    <row r="24" spans="2:21" x14ac:dyDescent="0.35">
      <c r="B24" s="199" t="s">
        <v>359</v>
      </c>
      <c r="C24" s="200">
        <v>6421007202</v>
      </c>
      <c r="D24" s="201" t="s">
        <v>495</v>
      </c>
      <c r="E24" s="201" t="s">
        <v>493</v>
      </c>
      <c r="F24" s="1248">
        <v>98734</v>
      </c>
      <c r="G24" s="1248">
        <v>98734</v>
      </c>
      <c r="H24" s="1248">
        <v>98734</v>
      </c>
      <c r="I24" s="1248">
        <v>98734</v>
      </c>
      <c r="J24" s="1248">
        <v>98734</v>
      </c>
      <c r="K24" s="1248">
        <v>98734</v>
      </c>
      <c r="L24" s="1248">
        <v>98734</v>
      </c>
      <c r="M24" s="1248">
        <v>98734</v>
      </c>
      <c r="N24" s="1248">
        <v>98734</v>
      </c>
      <c r="O24" s="1248">
        <v>98734</v>
      </c>
      <c r="P24" s="1248">
        <v>98734</v>
      </c>
      <c r="Q24" s="1248">
        <v>98734</v>
      </c>
      <c r="R24" s="1003">
        <f t="shared" si="25"/>
        <v>1184808</v>
      </c>
      <c r="S24" s="17"/>
      <c r="T24" s="17"/>
      <c r="U24" s="17"/>
    </row>
    <row r="25" spans="2:21" x14ac:dyDescent="0.35">
      <c r="B25" s="199" t="s">
        <v>359</v>
      </c>
      <c r="C25" s="200">
        <v>6421003202</v>
      </c>
      <c r="D25" s="200" t="s">
        <v>496</v>
      </c>
      <c r="E25" s="201" t="s">
        <v>493</v>
      </c>
      <c r="F25" s="1248">
        <v>1400000</v>
      </c>
      <c r="G25" s="1248">
        <v>1232000</v>
      </c>
      <c r="H25" s="1248">
        <v>1344000</v>
      </c>
      <c r="I25" s="1248">
        <v>1512000</v>
      </c>
      <c r="J25" s="1248">
        <v>1232000</v>
      </c>
      <c r="K25" s="1248">
        <v>1512000</v>
      </c>
      <c r="L25" s="1248">
        <v>1456000</v>
      </c>
      <c r="M25" s="1248">
        <v>1456000</v>
      </c>
      <c r="N25" s="1248">
        <v>1400000</v>
      </c>
      <c r="O25" s="1248">
        <v>1400000</v>
      </c>
      <c r="P25" s="1248">
        <v>1512000</v>
      </c>
      <c r="Q25" s="1248">
        <v>1456000</v>
      </c>
      <c r="R25" s="1003">
        <f t="shared" si="25"/>
        <v>16912000</v>
      </c>
      <c r="S25" s="17"/>
      <c r="T25" s="17"/>
      <c r="U25" s="17"/>
    </row>
    <row r="26" spans="2:21" x14ac:dyDescent="0.35">
      <c r="B26" s="199" t="s">
        <v>359</v>
      </c>
      <c r="C26" s="200">
        <v>6421002603</v>
      </c>
      <c r="D26" s="201" t="s">
        <v>497</v>
      </c>
      <c r="E26" s="201" t="s">
        <v>491</v>
      </c>
      <c r="F26" s="1248">
        <v>0</v>
      </c>
      <c r="G26" s="1248">
        <v>0</v>
      </c>
      <c r="H26" s="1248">
        <v>0</v>
      </c>
      <c r="I26" s="1248">
        <v>0</v>
      </c>
      <c r="J26" s="1248">
        <v>0</v>
      </c>
      <c r="K26" s="1248">
        <v>0</v>
      </c>
      <c r="L26" s="1248">
        <v>0</v>
      </c>
      <c r="M26" s="1248">
        <v>0</v>
      </c>
      <c r="N26" s="1248">
        <v>0</v>
      </c>
      <c r="O26" s="1248">
        <v>0</v>
      </c>
      <c r="P26" s="1248">
        <v>0</v>
      </c>
      <c r="Q26" s="1248">
        <v>0</v>
      </c>
      <c r="R26" s="1003">
        <f t="shared" si="25"/>
        <v>0</v>
      </c>
      <c r="S26" s="17"/>
      <c r="T26" s="17"/>
      <c r="U26" s="17"/>
    </row>
    <row r="27" spans="2:21" x14ac:dyDescent="0.35">
      <c r="B27" s="199" t="s">
        <v>359</v>
      </c>
      <c r="C27" s="200">
        <v>6421003401</v>
      </c>
      <c r="D27" s="200" t="s">
        <v>498</v>
      </c>
      <c r="E27" s="201" t="s">
        <v>493</v>
      </c>
      <c r="F27" s="1248">
        <v>5713790</v>
      </c>
      <c r="G27" s="1248">
        <v>5713790</v>
      </c>
      <c r="H27" s="1248">
        <v>5713790</v>
      </c>
      <c r="I27" s="1248">
        <v>5713790</v>
      </c>
      <c r="J27" s="1248">
        <v>5713790</v>
      </c>
      <c r="K27" s="1248">
        <v>5713790</v>
      </c>
      <c r="L27" s="1248">
        <v>5713790</v>
      </c>
      <c r="M27" s="1248">
        <v>5713790</v>
      </c>
      <c r="N27" s="1248">
        <v>5713790</v>
      </c>
      <c r="O27" s="1248">
        <v>5713790</v>
      </c>
      <c r="P27" s="1248">
        <v>5713790</v>
      </c>
      <c r="Q27" s="1248">
        <v>5713790</v>
      </c>
      <c r="R27" s="1003">
        <f t="shared" si="25"/>
        <v>68565480</v>
      </c>
      <c r="S27" s="17"/>
      <c r="T27" s="17"/>
      <c r="U27" s="17"/>
    </row>
    <row r="28" spans="2:21" x14ac:dyDescent="0.35">
      <c r="B28" s="203" t="s">
        <v>359</v>
      </c>
      <c r="C28" s="204">
        <v>6421002703</v>
      </c>
      <c r="D28" s="205" t="s">
        <v>499</v>
      </c>
      <c r="E28" s="205" t="s">
        <v>491</v>
      </c>
      <c r="F28" s="1248">
        <v>0</v>
      </c>
      <c r="G28" s="1248">
        <v>0</v>
      </c>
      <c r="H28" s="1248">
        <v>0</v>
      </c>
      <c r="I28" s="1248">
        <v>0</v>
      </c>
      <c r="J28" s="1248">
        <v>0</v>
      </c>
      <c r="K28" s="1248">
        <v>0</v>
      </c>
      <c r="L28" s="1248">
        <v>0</v>
      </c>
      <c r="M28" s="1248">
        <v>0</v>
      </c>
      <c r="N28" s="1248">
        <v>0</v>
      </c>
      <c r="O28" s="1248">
        <v>0</v>
      </c>
      <c r="P28" s="1248">
        <v>0</v>
      </c>
      <c r="Q28" s="1248">
        <v>0</v>
      </c>
      <c r="R28" s="1003">
        <f t="shared" si="25"/>
        <v>0</v>
      </c>
      <c r="S28" s="17"/>
      <c r="T28" s="17"/>
      <c r="U28" s="17"/>
    </row>
    <row r="29" spans="2:21" x14ac:dyDescent="0.35">
      <c r="B29" s="190" t="s">
        <v>369</v>
      </c>
      <c r="C29" s="191"/>
      <c r="D29" s="192" t="s">
        <v>485</v>
      </c>
      <c r="E29" s="191"/>
      <c r="F29" s="193">
        <v>3</v>
      </c>
      <c r="G29" s="193">
        <f>'Dinh bien_HCNS'!F16</f>
        <v>3</v>
      </c>
      <c r="H29" s="193">
        <f>'Dinh bien_HCNS'!G16</f>
        <v>3</v>
      </c>
      <c r="I29" s="193">
        <f>'Dinh bien_HCNS'!H16</f>
        <v>3</v>
      </c>
      <c r="J29" s="193">
        <f>'Dinh bien_HCNS'!I16</f>
        <v>3</v>
      </c>
      <c r="K29" s="193">
        <f>'Dinh bien_HCNS'!J16</f>
        <v>3</v>
      </c>
      <c r="L29" s="193">
        <f>'Dinh bien_HCNS'!K16</f>
        <v>3</v>
      </c>
      <c r="M29" s="193">
        <f>'Dinh bien_HCNS'!L16</f>
        <v>3</v>
      </c>
      <c r="N29" s="193">
        <f>'Dinh bien_HCNS'!M16</f>
        <v>3</v>
      </c>
      <c r="O29" s="193">
        <f>'Dinh bien_HCNS'!N16</f>
        <v>3</v>
      </c>
      <c r="P29" s="193">
        <f>'Dinh bien_HCNS'!O16</f>
        <v>3</v>
      </c>
      <c r="Q29" s="193">
        <f>'Dinh bien_HCNS'!P16</f>
        <v>3</v>
      </c>
      <c r="R29" s="193">
        <f>Q29</f>
        <v>3</v>
      </c>
      <c r="S29" s="803"/>
      <c r="T29" s="803"/>
      <c r="U29" s="803"/>
    </row>
    <row r="30" spans="2:21" x14ac:dyDescent="0.35">
      <c r="B30" s="194" t="s">
        <v>369</v>
      </c>
      <c r="C30" s="195"/>
      <c r="D30" s="196" t="s">
        <v>486</v>
      </c>
      <c r="E30" s="195"/>
      <c r="F30" s="197">
        <f>SUM(F32:F40)</f>
        <v>72145573</v>
      </c>
      <c r="G30" s="197">
        <f t="shared" ref="G30:Q30" si="26">SUM(G32:G40)</f>
        <v>73172343</v>
      </c>
      <c r="H30" s="197">
        <f t="shared" si="26"/>
        <v>67704034</v>
      </c>
      <c r="I30" s="197">
        <f t="shared" si="26"/>
        <v>73592343</v>
      </c>
      <c r="J30" s="197">
        <f t="shared" si="26"/>
        <v>70614803</v>
      </c>
      <c r="K30" s="197">
        <f t="shared" si="26"/>
        <v>73592343</v>
      </c>
      <c r="L30" s="197">
        <f t="shared" si="26"/>
        <v>71629573</v>
      </c>
      <c r="M30" s="197">
        <f t="shared" si="26"/>
        <v>71629573</v>
      </c>
      <c r="N30" s="197">
        <f t="shared" si="26"/>
        <v>74024343</v>
      </c>
      <c r="O30" s="197">
        <f t="shared" si="26"/>
        <v>69666803</v>
      </c>
      <c r="P30" s="197">
        <f t="shared" si="26"/>
        <v>73592343</v>
      </c>
      <c r="Q30" s="197">
        <f t="shared" si="26"/>
        <v>71629573</v>
      </c>
      <c r="R30" s="198">
        <f>SUM(R32:R40)</f>
        <v>862993647</v>
      </c>
      <c r="S30" s="803"/>
      <c r="T30" s="803"/>
      <c r="U30" s="803"/>
    </row>
    <row r="31" spans="2:21" x14ac:dyDescent="0.35">
      <c r="B31" s="194" t="s">
        <v>369</v>
      </c>
      <c r="C31" s="195"/>
      <c r="D31" s="192" t="s">
        <v>487</v>
      </c>
      <c r="E31" s="195"/>
      <c r="F31" s="197">
        <f>IFERROR(SUM(F32:F39)/F29,0)</f>
        <v>24048524.333333332</v>
      </c>
      <c r="G31" s="197">
        <f t="shared" ref="G31" si="27">IFERROR(SUM(G32:G39)/G29,0)</f>
        <v>24390781</v>
      </c>
      <c r="H31" s="197">
        <f t="shared" ref="H31" si="28">IFERROR(SUM(H32:H39)/H29,0)</f>
        <v>22568011.333333332</v>
      </c>
      <c r="I31" s="197">
        <f t="shared" ref="I31" si="29">IFERROR(SUM(I32:I39)/I29,0)</f>
        <v>24530781</v>
      </c>
      <c r="J31" s="197">
        <f t="shared" ref="J31" si="30">IFERROR(SUM(J32:J39)/J29,0)</f>
        <v>23538267.666666668</v>
      </c>
      <c r="K31" s="197">
        <f t="shared" ref="K31" si="31">IFERROR(SUM(K32:K39)/K29,0)</f>
        <v>24530781</v>
      </c>
      <c r="L31" s="197">
        <f t="shared" ref="L31" si="32">IFERROR(SUM(L32:L39)/L29,0)</f>
        <v>23876524.333333332</v>
      </c>
      <c r="M31" s="197">
        <f t="shared" ref="M31" si="33">IFERROR(SUM(M32:M39)/M29,0)</f>
        <v>23876524.333333332</v>
      </c>
      <c r="N31" s="197">
        <f t="shared" ref="N31" si="34">IFERROR(SUM(N32:N39)/N29,0)</f>
        <v>24674781</v>
      </c>
      <c r="O31" s="197">
        <f t="shared" ref="O31" si="35">IFERROR(SUM(O32:O39)/O29,0)</f>
        <v>23222267.666666668</v>
      </c>
      <c r="P31" s="197">
        <f t="shared" ref="P31" si="36">IFERROR(SUM(P32:P39)/P29,0)</f>
        <v>24530781</v>
      </c>
      <c r="Q31" s="197">
        <f t="shared" ref="Q31" si="37">IFERROR(SUM(Q32:Q39)/Q29,0)</f>
        <v>23876524.333333332</v>
      </c>
      <c r="R31" s="198"/>
      <c r="S31" s="803"/>
      <c r="T31" s="803"/>
      <c r="U31" s="803"/>
    </row>
    <row r="32" spans="2:21" x14ac:dyDescent="0.35">
      <c r="B32" s="199" t="s">
        <v>369</v>
      </c>
      <c r="C32" s="200">
        <v>6421002604</v>
      </c>
      <c r="D32" s="201" t="s">
        <v>488</v>
      </c>
      <c r="E32" s="201" t="s">
        <v>489</v>
      </c>
      <c r="F32" s="1248">
        <v>48848000</v>
      </c>
      <c r="G32" s="1248">
        <v>50726770</v>
      </c>
      <c r="H32" s="1248">
        <v>45090461</v>
      </c>
      <c r="I32" s="1248">
        <v>50726770</v>
      </c>
      <c r="J32" s="1248">
        <v>46969230</v>
      </c>
      <c r="K32" s="1248">
        <v>50726770</v>
      </c>
      <c r="L32" s="1248">
        <v>48848000</v>
      </c>
      <c r="M32" s="1248">
        <v>48848000</v>
      </c>
      <c r="N32" s="1248">
        <v>50726770</v>
      </c>
      <c r="O32" s="1248">
        <v>46969230</v>
      </c>
      <c r="P32" s="1248">
        <v>50726770</v>
      </c>
      <c r="Q32" s="1248">
        <v>48848000</v>
      </c>
      <c r="R32" s="1003">
        <f>SUM(F32:Q32)</f>
        <v>588054771</v>
      </c>
      <c r="S32" s="17"/>
      <c r="T32" s="17"/>
      <c r="U32" s="17"/>
    </row>
    <row r="33" spans="2:21" x14ac:dyDescent="0.35">
      <c r="B33" s="199" t="s">
        <v>369</v>
      </c>
      <c r="C33" s="200">
        <v>6421002605</v>
      </c>
      <c r="D33" s="200" t="s">
        <v>490</v>
      </c>
      <c r="E33" s="201" t="s">
        <v>491</v>
      </c>
      <c r="F33" s="1248">
        <v>3867133</v>
      </c>
      <c r="G33" s="1248">
        <v>3867133</v>
      </c>
      <c r="H33" s="1248">
        <v>3867133</v>
      </c>
      <c r="I33" s="1248">
        <v>3867133</v>
      </c>
      <c r="J33" s="1248">
        <v>3867133</v>
      </c>
      <c r="K33" s="1248">
        <v>3867133</v>
      </c>
      <c r="L33" s="1248">
        <v>3867133</v>
      </c>
      <c r="M33" s="1248">
        <v>3867133</v>
      </c>
      <c r="N33" s="1248">
        <v>3867133</v>
      </c>
      <c r="O33" s="1248">
        <v>3867133</v>
      </c>
      <c r="P33" s="1248">
        <v>3867133</v>
      </c>
      <c r="Q33" s="1248">
        <v>3867133</v>
      </c>
      <c r="R33" s="1003">
        <f t="shared" ref="R33:R40" si="38">SUM(F33:Q33)</f>
        <v>46405596</v>
      </c>
      <c r="S33" s="17"/>
      <c r="T33" s="17"/>
      <c r="U33" s="17"/>
    </row>
    <row r="34" spans="2:21" x14ac:dyDescent="0.35">
      <c r="B34" s="199" t="s">
        <v>369</v>
      </c>
      <c r="C34" s="200">
        <v>6421002802</v>
      </c>
      <c r="D34" s="201" t="s">
        <v>492</v>
      </c>
      <c r="E34" s="201" t="s">
        <v>493</v>
      </c>
      <c r="F34" s="1248">
        <v>600000</v>
      </c>
      <c r="G34" s="1248">
        <v>0</v>
      </c>
      <c r="H34" s="1248">
        <v>0</v>
      </c>
      <c r="I34" s="1248">
        <v>0</v>
      </c>
      <c r="J34" s="1248">
        <v>1200000</v>
      </c>
      <c r="K34" s="1248">
        <v>0</v>
      </c>
      <c r="L34" s="1248">
        <v>0</v>
      </c>
      <c r="M34" s="1248">
        <v>0</v>
      </c>
      <c r="N34" s="1248">
        <v>600000</v>
      </c>
      <c r="O34" s="1248">
        <v>0</v>
      </c>
      <c r="P34" s="1248">
        <v>0</v>
      </c>
      <c r="Q34" s="1248">
        <v>0</v>
      </c>
      <c r="R34" s="1003">
        <f t="shared" si="38"/>
        <v>2400000</v>
      </c>
      <c r="S34" s="17"/>
      <c r="T34" s="17"/>
      <c r="U34" s="17"/>
    </row>
    <row r="35" spans="2:21" x14ac:dyDescent="0.35">
      <c r="B35" s="199" t="s">
        <v>369</v>
      </c>
      <c r="C35" s="200">
        <v>6421002806</v>
      </c>
      <c r="D35" s="200" t="s">
        <v>494</v>
      </c>
      <c r="E35" s="201" t="s">
        <v>491</v>
      </c>
      <c r="F35" s="1248">
        <v>5251160</v>
      </c>
      <c r="G35" s="1248">
        <v>5251160</v>
      </c>
      <c r="H35" s="1248">
        <v>5251160</v>
      </c>
      <c r="I35" s="1248">
        <v>5251160</v>
      </c>
      <c r="J35" s="1248">
        <v>5251160</v>
      </c>
      <c r="K35" s="1248">
        <v>5251160</v>
      </c>
      <c r="L35" s="1248">
        <v>5251160</v>
      </c>
      <c r="M35" s="1248">
        <v>5251160</v>
      </c>
      <c r="N35" s="1248">
        <v>5251160</v>
      </c>
      <c r="O35" s="1248">
        <v>5251160</v>
      </c>
      <c r="P35" s="1248">
        <v>5251160</v>
      </c>
      <c r="Q35" s="1248">
        <v>5251160</v>
      </c>
      <c r="R35" s="1003">
        <f t="shared" si="38"/>
        <v>63013920</v>
      </c>
      <c r="S35" s="17"/>
      <c r="T35" s="17"/>
      <c r="U35" s="17"/>
    </row>
    <row r="36" spans="2:21" x14ac:dyDescent="0.35">
      <c r="B36" s="199" t="s">
        <v>369</v>
      </c>
      <c r="C36" s="200">
        <v>6421007202</v>
      </c>
      <c r="D36" s="201" t="s">
        <v>495</v>
      </c>
      <c r="E36" s="201" t="s">
        <v>493</v>
      </c>
      <c r="F36" s="1248">
        <v>0</v>
      </c>
      <c r="G36" s="1248">
        <v>0</v>
      </c>
      <c r="H36" s="1248">
        <v>0</v>
      </c>
      <c r="I36" s="1248">
        <v>0</v>
      </c>
      <c r="J36" s="1248">
        <v>0</v>
      </c>
      <c r="K36" s="1248">
        <v>0</v>
      </c>
      <c r="L36" s="1248">
        <v>0</v>
      </c>
      <c r="M36" s="1248">
        <v>0</v>
      </c>
      <c r="N36" s="1248">
        <v>0</v>
      </c>
      <c r="O36" s="1248">
        <v>0</v>
      </c>
      <c r="P36" s="1248">
        <v>0</v>
      </c>
      <c r="Q36" s="1248">
        <v>0</v>
      </c>
      <c r="R36" s="1003">
        <f t="shared" si="38"/>
        <v>0</v>
      </c>
      <c r="S36" s="17"/>
      <c r="T36" s="17"/>
      <c r="U36" s="17"/>
    </row>
    <row r="37" spans="2:21" x14ac:dyDescent="0.35">
      <c r="B37" s="199" t="s">
        <v>369</v>
      </c>
      <c r="C37" s="200">
        <v>6421003202</v>
      </c>
      <c r="D37" s="200" t="s">
        <v>496</v>
      </c>
      <c r="E37" s="201" t="s">
        <v>493</v>
      </c>
      <c r="F37" s="1248">
        <v>2100000</v>
      </c>
      <c r="G37" s="1248">
        <v>1848000</v>
      </c>
      <c r="H37" s="1248">
        <v>2016000</v>
      </c>
      <c r="I37" s="1248">
        <v>2268000</v>
      </c>
      <c r="J37" s="1248">
        <v>1848000</v>
      </c>
      <c r="K37" s="1248">
        <v>2268000</v>
      </c>
      <c r="L37" s="1248">
        <v>2184000</v>
      </c>
      <c r="M37" s="1248">
        <v>2184000</v>
      </c>
      <c r="N37" s="1248">
        <v>2100000</v>
      </c>
      <c r="O37" s="1248">
        <v>2100000</v>
      </c>
      <c r="P37" s="1248">
        <v>2268000</v>
      </c>
      <c r="Q37" s="1248">
        <v>2184000</v>
      </c>
      <c r="R37" s="1003">
        <f t="shared" si="38"/>
        <v>25368000</v>
      </c>
      <c r="S37" s="17"/>
      <c r="T37" s="17"/>
      <c r="U37" s="17"/>
    </row>
    <row r="38" spans="2:21" x14ac:dyDescent="0.35">
      <c r="B38" s="199" t="s">
        <v>369</v>
      </c>
      <c r="C38" s="200">
        <v>6421002603</v>
      </c>
      <c r="D38" s="201" t="s">
        <v>497</v>
      </c>
      <c r="E38" s="201" t="s">
        <v>491</v>
      </c>
      <c r="F38" s="1248">
        <v>0</v>
      </c>
      <c r="G38" s="1248">
        <v>0</v>
      </c>
      <c r="H38" s="1248">
        <v>0</v>
      </c>
      <c r="I38" s="1248">
        <v>0</v>
      </c>
      <c r="J38" s="1248">
        <v>0</v>
      </c>
      <c r="K38" s="1248">
        <v>0</v>
      </c>
      <c r="L38" s="1248">
        <v>0</v>
      </c>
      <c r="M38" s="1248">
        <v>0</v>
      </c>
      <c r="N38" s="1248">
        <v>0</v>
      </c>
      <c r="O38" s="1248">
        <v>0</v>
      </c>
      <c r="P38" s="1248">
        <v>0</v>
      </c>
      <c r="Q38" s="1248">
        <v>0</v>
      </c>
      <c r="R38" s="1003">
        <f t="shared" si="38"/>
        <v>0</v>
      </c>
      <c r="S38" s="17"/>
      <c r="T38" s="17"/>
      <c r="U38" s="17"/>
    </row>
    <row r="39" spans="2:21" x14ac:dyDescent="0.35">
      <c r="B39" s="199" t="s">
        <v>369</v>
      </c>
      <c r="C39" s="200">
        <v>6421003401</v>
      </c>
      <c r="D39" s="200" t="s">
        <v>498</v>
      </c>
      <c r="E39" s="201" t="s">
        <v>493</v>
      </c>
      <c r="F39" s="1248">
        <v>11479280</v>
      </c>
      <c r="G39" s="1248">
        <v>11479280</v>
      </c>
      <c r="H39" s="1248">
        <v>11479280</v>
      </c>
      <c r="I39" s="1248">
        <v>11479280</v>
      </c>
      <c r="J39" s="1248">
        <v>11479280</v>
      </c>
      <c r="K39" s="1248">
        <v>11479280</v>
      </c>
      <c r="L39" s="1248">
        <v>11479280</v>
      </c>
      <c r="M39" s="1248">
        <v>11479280</v>
      </c>
      <c r="N39" s="1248">
        <v>11479280</v>
      </c>
      <c r="O39" s="1248">
        <v>11479280</v>
      </c>
      <c r="P39" s="1248">
        <v>11479280</v>
      </c>
      <c r="Q39" s="1248">
        <v>11479280</v>
      </c>
      <c r="R39" s="1003">
        <f t="shared" si="38"/>
        <v>137751360</v>
      </c>
      <c r="S39" s="17"/>
      <c r="T39" s="17"/>
      <c r="U39" s="17"/>
    </row>
    <row r="40" spans="2:21" x14ac:dyDescent="0.35">
      <c r="B40" s="203" t="s">
        <v>369</v>
      </c>
      <c r="C40" s="204">
        <v>6421002703</v>
      </c>
      <c r="D40" s="205" t="s">
        <v>499</v>
      </c>
      <c r="E40" s="205" t="s">
        <v>491</v>
      </c>
      <c r="F40" s="1248">
        <v>0</v>
      </c>
      <c r="G40" s="1248">
        <v>0</v>
      </c>
      <c r="H40" s="1248">
        <v>0</v>
      </c>
      <c r="I40" s="1248">
        <v>0</v>
      </c>
      <c r="J40" s="1248">
        <v>0</v>
      </c>
      <c r="K40" s="1248">
        <v>0</v>
      </c>
      <c r="L40" s="1248">
        <v>0</v>
      </c>
      <c r="M40" s="1248">
        <v>0</v>
      </c>
      <c r="N40" s="1248">
        <v>0</v>
      </c>
      <c r="O40" s="1248">
        <v>0</v>
      </c>
      <c r="P40" s="1248">
        <v>0</v>
      </c>
      <c r="Q40" s="1248">
        <v>0</v>
      </c>
      <c r="R40" s="1003">
        <f t="shared" si="38"/>
        <v>0</v>
      </c>
      <c r="S40" s="17"/>
      <c r="T40" s="17"/>
      <c r="U40" s="17"/>
    </row>
    <row r="41" spans="2:21" x14ac:dyDescent="0.35">
      <c r="B41" s="190" t="s">
        <v>377</v>
      </c>
      <c r="C41" s="191"/>
      <c r="D41" s="192" t="s">
        <v>485</v>
      </c>
      <c r="E41" s="191"/>
      <c r="F41" s="193">
        <v>1</v>
      </c>
      <c r="G41" s="193">
        <f>'Dinh bien_HCNS'!F21</f>
        <v>1</v>
      </c>
      <c r="H41" s="193">
        <f>'Dinh bien_HCNS'!G21</f>
        <v>1</v>
      </c>
      <c r="I41" s="193">
        <f>'Dinh bien_HCNS'!H21</f>
        <v>1</v>
      </c>
      <c r="J41" s="193">
        <f>'Dinh bien_HCNS'!I21</f>
        <v>1</v>
      </c>
      <c r="K41" s="193">
        <f>'Dinh bien_HCNS'!J21</f>
        <v>1</v>
      </c>
      <c r="L41" s="193">
        <f>'Dinh bien_HCNS'!K21</f>
        <v>1</v>
      </c>
      <c r="M41" s="193">
        <f>'Dinh bien_HCNS'!L21</f>
        <v>1</v>
      </c>
      <c r="N41" s="193">
        <f>'Dinh bien_HCNS'!M21</f>
        <v>1</v>
      </c>
      <c r="O41" s="193">
        <f>'Dinh bien_HCNS'!N21</f>
        <v>1</v>
      </c>
      <c r="P41" s="193">
        <f>'Dinh bien_HCNS'!O21</f>
        <v>1</v>
      </c>
      <c r="Q41" s="193">
        <f>'Dinh bien_HCNS'!P21</f>
        <v>1</v>
      </c>
      <c r="R41" s="193">
        <v>1</v>
      </c>
      <c r="S41" s="803"/>
      <c r="T41" s="803"/>
      <c r="U41" s="803"/>
    </row>
    <row r="42" spans="2:21" x14ac:dyDescent="0.35">
      <c r="B42" s="194" t="s">
        <v>377</v>
      </c>
      <c r="C42" s="195"/>
      <c r="D42" s="196" t="s">
        <v>486</v>
      </c>
      <c r="E42" s="195"/>
      <c r="F42" s="197">
        <f>SUM(F44:F52)</f>
        <v>15462700</v>
      </c>
      <c r="G42" s="197">
        <f t="shared" ref="G42:Q42" si="39">SUM(G44:G52)</f>
        <v>15545623</v>
      </c>
      <c r="H42" s="197">
        <f t="shared" si="39"/>
        <v>14500854</v>
      </c>
      <c r="I42" s="197">
        <f t="shared" si="39"/>
        <v>15685623</v>
      </c>
      <c r="J42" s="197">
        <f t="shared" si="39"/>
        <v>15211777</v>
      </c>
      <c r="K42" s="197">
        <f t="shared" si="39"/>
        <v>15685623</v>
      </c>
      <c r="L42" s="197">
        <f t="shared" si="39"/>
        <v>15290700</v>
      </c>
      <c r="M42" s="197">
        <f t="shared" si="39"/>
        <v>15290700</v>
      </c>
      <c r="N42" s="197">
        <f t="shared" si="39"/>
        <v>15829623</v>
      </c>
      <c r="O42" s="197">
        <f t="shared" si="39"/>
        <v>14895777</v>
      </c>
      <c r="P42" s="197">
        <f t="shared" si="39"/>
        <v>15685623</v>
      </c>
      <c r="Q42" s="197">
        <f t="shared" si="39"/>
        <v>15290700</v>
      </c>
      <c r="R42" s="198">
        <f>SUM(R44:R52)</f>
        <v>184375323</v>
      </c>
      <c r="S42" s="803"/>
      <c r="T42" s="803"/>
      <c r="U42" s="803"/>
    </row>
    <row r="43" spans="2:21" x14ac:dyDescent="0.35">
      <c r="B43" s="194" t="s">
        <v>377</v>
      </c>
      <c r="C43" s="195"/>
      <c r="D43" s="192" t="s">
        <v>487</v>
      </c>
      <c r="E43" s="195"/>
      <c r="F43" s="197">
        <f>IFERROR(SUM(F44:F51)/F41,0)</f>
        <v>15462700</v>
      </c>
      <c r="G43" s="197">
        <f t="shared" ref="G43" si="40">IFERROR(SUM(G44:G51)/G41,0)</f>
        <v>15545623</v>
      </c>
      <c r="H43" s="197">
        <f t="shared" ref="H43" si="41">IFERROR(SUM(H44:H51)/H41,0)</f>
        <v>14500854</v>
      </c>
      <c r="I43" s="197">
        <f t="shared" ref="I43" si="42">IFERROR(SUM(I44:I51)/I41,0)</f>
        <v>15685623</v>
      </c>
      <c r="J43" s="197">
        <f t="shared" ref="J43" si="43">IFERROR(SUM(J44:J51)/J41,0)</f>
        <v>15211777</v>
      </c>
      <c r="K43" s="197">
        <f t="shared" ref="K43" si="44">IFERROR(SUM(K44:K51)/K41,0)</f>
        <v>15685623</v>
      </c>
      <c r="L43" s="197">
        <f t="shared" ref="L43" si="45">IFERROR(SUM(L44:L51)/L41,0)</f>
        <v>15290700</v>
      </c>
      <c r="M43" s="197">
        <f t="shared" ref="M43" si="46">IFERROR(SUM(M44:M51)/M41,0)</f>
        <v>15290700</v>
      </c>
      <c r="N43" s="197">
        <f t="shared" ref="N43" si="47">IFERROR(SUM(N44:N51)/N41,0)</f>
        <v>15829623</v>
      </c>
      <c r="O43" s="197">
        <f t="shared" ref="O43" si="48">IFERROR(SUM(O44:O51)/O41,0)</f>
        <v>14895777</v>
      </c>
      <c r="P43" s="197">
        <f t="shared" ref="P43" si="49">IFERROR(SUM(P44:P51)/P41,0)</f>
        <v>15685623</v>
      </c>
      <c r="Q43" s="197">
        <f t="shared" ref="Q43" si="50">IFERROR(SUM(Q44:Q51)/Q41,0)</f>
        <v>15290700</v>
      </c>
      <c r="R43" s="198"/>
      <c r="S43" s="803"/>
      <c r="T43" s="803"/>
      <c r="U43" s="803"/>
    </row>
    <row r="44" spans="2:21" x14ac:dyDescent="0.35">
      <c r="B44" s="199" t="s">
        <v>377</v>
      </c>
      <c r="C44" s="1200">
        <v>6421002604</v>
      </c>
      <c r="D44" s="201" t="s">
        <v>488</v>
      </c>
      <c r="E44" s="201" t="s">
        <v>489</v>
      </c>
      <c r="F44" s="1248">
        <v>9540000</v>
      </c>
      <c r="G44" s="1248">
        <v>9906923</v>
      </c>
      <c r="H44" s="1248">
        <v>8806154</v>
      </c>
      <c r="I44" s="1248">
        <v>9906923</v>
      </c>
      <c r="J44" s="1248">
        <v>9173077</v>
      </c>
      <c r="K44" s="1248">
        <v>9906923</v>
      </c>
      <c r="L44" s="1248">
        <v>9540000</v>
      </c>
      <c r="M44" s="1248">
        <v>9540000</v>
      </c>
      <c r="N44" s="1248">
        <v>9906923</v>
      </c>
      <c r="O44" s="1248">
        <v>9173077</v>
      </c>
      <c r="P44" s="1248">
        <v>9906923</v>
      </c>
      <c r="Q44" s="1248">
        <v>9540000</v>
      </c>
      <c r="R44" s="1003">
        <f>SUM(F44:Q44)</f>
        <v>114846923</v>
      </c>
      <c r="S44" s="17"/>
      <c r="T44" s="17"/>
      <c r="U44" s="17"/>
    </row>
    <row r="45" spans="2:21" x14ac:dyDescent="0.35">
      <c r="B45" s="199" t="s">
        <v>377</v>
      </c>
      <c r="C45" s="1200">
        <v>6421002605</v>
      </c>
      <c r="D45" s="200" t="s">
        <v>490</v>
      </c>
      <c r="E45" s="201" t="s">
        <v>491</v>
      </c>
      <c r="F45" s="1248">
        <v>755250</v>
      </c>
      <c r="G45" s="1248">
        <v>755250</v>
      </c>
      <c r="H45" s="1248">
        <v>755250</v>
      </c>
      <c r="I45" s="1248">
        <v>755250</v>
      </c>
      <c r="J45" s="1248">
        <v>755250</v>
      </c>
      <c r="K45" s="1248">
        <v>755250</v>
      </c>
      <c r="L45" s="1248">
        <v>755250</v>
      </c>
      <c r="M45" s="1248">
        <v>755250</v>
      </c>
      <c r="N45" s="1248">
        <v>755250</v>
      </c>
      <c r="O45" s="1248">
        <v>755250</v>
      </c>
      <c r="P45" s="1248">
        <v>755250</v>
      </c>
      <c r="Q45" s="1248">
        <v>755250</v>
      </c>
      <c r="R45" s="1003">
        <f t="shared" ref="R45:R52" si="51">SUM(F45:Q45)</f>
        <v>9063000</v>
      </c>
      <c r="S45" s="17"/>
      <c r="T45" s="17"/>
      <c r="U45" s="17"/>
    </row>
    <row r="46" spans="2:21" x14ac:dyDescent="0.35">
      <c r="B46" s="199" t="s">
        <v>377</v>
      </c>
      <c r="C46" s="1200">
        <v>6421002802</v>
      </c>
      <c r="D46" s="201" t="s">
        <v>492</v>
      </c>
      <c r="E46" s="201" t="s">
        <v>493</v>
      </c>
      <c r="F46" s="1248">
        <v>1200000</v>
      </c>
      <c r="G46" s="1248">
        <v>1000000</v>
      </c>
      <c r="H46" s="1248">
        <v>1000000</v>
      </c>
      <c r="I46" s="1248">
        <v>1000000</v>
      </c>
      <c r="J46" s="1248">
        <v>1400000</v>
      </c>
      <c r="K46" s="1248">
        <v>1000000</v>
      </c>
      <c r="L46" s="1248">
        <v>1000000</v>
      </c>
      <c r="M46" s="1248">
        <v>1000000</v>
      </c>
      <c r="N46" s="1248">
        <v>1200000</v>
      </c>
      <c r="O46" s="1248">
        <v>1000000</v>
      </c>
      <c r="P46" s="1248">
        <v>1000000</v>
      </c>
      <c r="Q46" s="1248">
        <v>1000000</v>
      </c>
      <c r="R46" s="1003">
        <f t="shared" si="51"/>
        <v>12800000</v>
      </c>
      <c r="S46" s="17"/>
      <c r="T46" s="17"/>
      <c r="U46" s="17"/>
    </row>
    <row r="47" spans="2:21" x14ac:dyDescent="0.35">
      <c r="B47" s="199" t="s">
        <v>377</v>
      </c>
      <c r="C47" s="1200">
        <v>6421002806</v>
      </c>
      <c r="D47" s="200" t="s">
        <v>494</v>
      </c>
      <c r="E47" s="201" t="s">
        <v>491</v>
      </c>
      <c r="F47" s="1248">
        <v>1025550</v>
      </c>
      <c r="G47" s="1248">
        <v>1025550</v>
      </c>
      <c r="H47" s="1248">
        <v>1025550</v>
      </c>
      <c r="I47" s="1248">
        <v>1025550</v>
      </c>
      <c r="J47" s="1248">
        <v>1025550</v>
      </c>
      <c r="K47" s="1248">
        <v>1025550</v>
      </c>
      <c r="L47" s="1248">
        <v>1025550</v>
      </c>
      <c r="M47" s="1248">
        <v>1025550</v>
      </c>
      <c r="N47" s="1248">
        <v>1025550</v>
      </c>
      <c r="O47" s="1248">
        <v>1025550</v>
      </c>
      <c r="P47" s="1248">
        <v>1025550</v>
      </c>
      <c r="Q47" s="1248">
        <v>1025550</v>
      </c>
      <c r="R47" s="1003">
        <f t="shared" si="51"/>
        <v>12306600</v>
      </c>
      <c r="S47" s="17"/>
      <c r="T47" s="17"/>
      <c r="U47" s="17"/>
    </row>
    <row r="48" spans="2:21" x14ac:dyDescent="0.35">
      <c r="B48" s="199" t="s">
        <v>377</v>
      </c>
      <c r="C48" s="1200">
        <v>6421007202</v>
      </c>
      <c r="D48" s="201" t="s">
        <v>495</v>
      </c>
      <c r="E48" s="201" t="s">
        <v>493</v>
      </c>
      <c r="F48" s="1248">
        <v>0</v>
      </c>
      <c r="G48" s="1248">
        <v>0</v>
      </c>
      <c r="H48" s="1248">
        <v>0</v>
      </c>
      <c r="I48" s="1248">
        <v>0</v>
      </c>
      <c r="J48" s="1248">
        <v>0</v>
      </c>
      <c r="K48" s="1248">
        <v>0</v>
      </c>
      <c r="L48" s="1248">
        <v>0</v>
      </c>
      <c r="M48" s="1248">
        <v>0</v>
      </c>
      <c r="N48" s="1248">
        <v>0</v>
      </c>
      <c r="O48" s="1248">
        <v>0</v>
      </c>
      <c r="P48" s="1248">
        <v>0</v>
      </c>
      <c r="Q48" s="1248">
        <v>0</v>
      </c>
      <c r="R48" s="1003">
        <f t="shared" si="51"/>
        <v>0</v>
      </c>
      <c r="S48" s="17"/>
      <c r="T48" s="17"/>
      <c r="U48" s="17"/>
    </row>
    <row r="49" spans="2:21" x14ac:dyDescent="0.35">
      <c r="B49" s="199" t="s">
        <v>377</v>
      </c>
      <c r="C49" s="1200">
        <v>6421003202</v>
      </c>
      <c r="D49" s="200" t="s">
        <v>496</v>
      </c>
      <c r="E49" s="201" t="s">
        <v>493</v>
      </c>
      <c r="F49" s="1248">
        <v>700000</v>
      </c>
      <c r="G49" s="1248">
        <v>616000</v>
      </c>
      <c r="H49" s="1248">
        <v>672000</v>
      </c>
      <c r="I49" s="1248">
        <v>756000</v>
      </c>
      <c r="J49" s="1248">
        <v>616000</v>
      </c>
      <c r="K49" s="1248">
        <v>756000</v>
      </c>
      <c r="L49" s="1248">
        <v>728000</v>
      </c>
      <c r="M49" s="1248">
        <v>728000</v>
      </c>
      <c r="N49" s="1248">
        <v>700000</v>
      </c>
      <c r="O49" s="1248">
        <v>700000</v>
      </c>
      <c r="P49" s="1248">
        <v>756000</v>
      </c>
      <c r="Q49" s="1248">
        <v>728000</v>
      </c>
      <c r="R49" s="1003">
        <f t="shared" si="51"/>
        <v>8456000</v>
      </c>
      <c r="S49" s="17"/>
      <c r="T49" s="17"/>
      <c r="U49" s="17"/>
    </row>
    <row r="50" spans="2:21" x14ac:dyDescent="0.35">
      <c r="B50" s="199" t="s">
        <v>377</v>
      </c>
      <c r="C50" s="1200">
        <v>6421002603</v>
      </c>
      <c r="D50" s="201" t="s">
        <v>497</v>
      </c>
      <c r="E50" s="201" t="s">
        <v>491</v>
      </c>
      <c r="F50" s="1248">
        <v>0</v>
      </c>
      <c r="G50" s="1248">
        <v>0</v>
      </c>
      <c r="H50" s="1248">
        <v>0</v>
      </c>
      <c r="I50" s="1248">
        <v>0</v>
      </c>
      <c r="J50" s="1248">
        <v>0</v>
      </c>
      <c r="K50" s="1248">
        <v>0</v>
      </c>
      <c r="L50" s="1248">
        <v>0</v>
      </c>
      <c r="M50" s="1248">
        <v>0</v>
      </c>
      <c r="N50" s="1248">
        <v>0</v>
      </c>
      <c r="O50" s="1248">
        <v>0</v>
      </c>
      <c r="P50" s="1248">
        <v>0</v>
      </c>
      <c r="Q50" s="1248">
        <v>0</v>
      </c>
      <c r="R50" s="1003">
        <f t="shared" si="51"/>
        <v>0</v>
      </c>
      <c r="S50" s="17"/>
      <c r="T50" s="17"/>
      <c r="U50" s="17"/>
    </row>
    <row r="51" spans="2:21" x14ac:dyDescent="0.35">
      <c r="B51" s="199" t="s">
        <v>377</v>
      </c>
      <c r="C51" s="1200">
        <v>6421003401</v>
      </c>
      <c r="D51" s="200" t="s">
        <v>498</v>
      </c>
      <c r="E51" s="201" t="s">
        <v>493</v>
      </c>
      <c r="F51" s="1248">
        <v>2241900</v>
      </c>
      <c r="G51" s="1248">
        <v>2241900</v>
      </c>
      <c r="H51" s="1248">
        <v>2241900</v>
      </c>
      <c r="I51" s="1248">
        <v>2241900</v>
      </c>
      <c r="J51" s="1248">
        <v>2241900</v>
      </c>
      <c r="K51" s="1248">
        <v>2241900</v>
      </c>
      <c r="L51" s="1248">
        <v>2241900</v>
      </c>
      <c r="M51" s="1248">
        <v>2241900</v>
      </c>
      <c r="N51" s="1248">
        <v>2241900</v>
      </c>
      <c r="O51" s="1248">
        <v>2241900</v>
      </c>
      <c r="P51" s="1248">
        <v>2241900</v>
      </c>
      <c r="Q51" s="1248">
        <v>2241900</v>
      </c>
      <c r="R51" s="1003">
        <f t="shared" si="51"/>
        <v>26902800</v>
      </c>
      <c r="S51" s="17"/>
      <c r="T51" s="17"/>
      <c r="U51" s="17"/>
    </row>
    <row r="52" spans="2:21" x14ac:dyDescent="0.35">
      <c r="B52" s="203" t="s">
        <v>377</v>
      </c>
      <c r="C52" s="1201">
        <v>6421002703</v>
      </c>
      <c r="D52" s="205" t="s">
        <v>499</v>
      </c>
      <c r="E52" s="205" t="s">
        <v>491</v>
      </c>
      <c r="F52" s="1248">
        <v>0</v>
      </c>
      <c r="G52" s="1248">
        <v>0</v>
      </c>
      <c r="H52" s="1248">
        <v>0</v>
      </c>
      <c r="I52" s="1248">
        <v>0</v>
      </c>
      <c r="J52" s="1248">
        <v>0</v>
      </c>
      <c r="K52" s="1248">
        <v>0</v>
      </c>
      <c r="L52" s="1248">
        <v>0</v>
      </c>
      <c r="M52" s="1248">
        <v>0</v>
      </c>
      <c r="N52" s="1248">
        <v>0</v>
      </c>
      <c r="O52" s="1248">
        <v>0</v>
      </c>
      <c r="P52" s="1248">
        <v>0</v>
      </c>
      <c r="Q52" s="1248">
        <v>0</v>
      </c>
      <c r="R52" s="1199">
        <f t="shared" si="51"/>
        <v>0</v>
      </c>
      <c r="S52" s="17"/>
      <c r="T52" s="17"/>
      <c r="U52" s="17"/>
    </row>
    <row r="53" spans="2:21" x14ac:dyDescent="0.35">
      <c r="B53" s="190" t="s">
        <v>379</v>
      </c>
      <c r="C53" s="191"/>
      <c r="D53" s="192" t="s">
        <v>485</v>
      </c>
      <c r="E53" s="191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803"/>
      <c r="T53" s="803"/>
      <c r="U53" s="803"/>
    </row>
    <row r="54" spans="2:21" x14ac:dyDescent="0.35">
      <c r="B54" s="194" t="s">
        <v>379</v>
      </c>
      <c r="C54" s="195"/>
      <c r="D54" s="196" t="s">
        <v>486</v>
      </c>
      <c r="E54" s="195"/>
      <c r="F54" s="197">
        <f t="shared" ref="F54:Q54" si="52">SUM(F56:F63)</f>
        <v>0</v>
      </c>
      <c r="G54" s="197">
        <f t="shared" si="52"/>
        <v>0</v>
      </c>
      <c r="H54" s="197">
        <f t="shared" si="52"/>
        <v>0</v>
      </c>
      <c r="I54" s="197">
        <f t="shared" si="52"/>
        <v>0</v>
      </c>
      <c r="J54" s="197">
        <f t="shared" si="52"/>
        <v>0</v>
      </c>
      <c r="K54" s="197">
        <f t="shared" si="52"/>
        <v>0</v>
      </c>
      <c r="L54" s="197">
        <f t="shared" si="52"/>
        <v>0</v>
      </c>
      <c r="M54" s="197">
        <f t="shared" si="52"/>
        <v>0</v>
      </c>
      <c r="N54" s="197">
        <f t="shared" si="52"/>
        <v>0</v>
      </c>
      <c r="O54" s="197">
        <f t="shared" si="52"/>
        <v>0</v>
      </c>
      <c r="P54" s="197">
        <f t="shared" si="52"/>
        <v>0</v>
      </c>
      <c r="Q54" s="197">
        <f t="shared" si="52"/>
        <v>0</v>
      </c>
      <c r="R54" s="198">
        <f t="shared" ref="R54" si="53">SUM(F54:Q54)</f>
        <v>0</v>
      </c>
      <c r="S54" s="803"/>
      <c r="T54" s="803"/>
      <c r="U54" s="803"/>
    </row>
    <row r="55" spans="2:21" x14ac:dyDescent="0.35">
      <c r="B55" s="194" t="s">
        <v>379</v>
      </c>
      <c r="C55" s="195"/>
      <c r="D55" s="192" t="s">
        <v>487</v>
      </c>
      <c r="E55" s="195"/>
      <c r="F55" s="197">
        <f>IFERROR(SUM(F56:F63)/F53,0)</f>
        <v>0</v>
      </c>
      <c r="G55" s="197">
        <f t="shared" ref="G55:Q55" si="54">IFERROR(SUM(G56:G63)/G53,0)</f>
        <v>0</v>
      </c>
      <c r="H55" s="197">
        <f t="shared" si="54"/>
        <v>0</v>
      </c>
      <c r="I55" s="197">
        <f t="shared" si="54"/>
        <v>0</v>
      </c>
      <c r="J55" s="197">
        <f t="shared" si="54"/>
        <v>0</v>
      </c>
      <c r="K55" s="197">
        <f t="shared" si="54"/>
        <v>0</v>
      </c>
      <c r="L55" s="197">
        <f t="shared" si="54"/>
        <v>0</v>
      </c>
      <c r="M55" s="197">
        <f t="shared" si="54"/>
        <v>0</v>
      </c>
      <c r="N55" s="197">
        <f t="shared" si="54"/>
        <v>0</v>
      </c>
      <c r="O55" s="197">
        <f t="shared" si="54"/>
        <v>0</v>
      </c>
      <c r="P55" s="197">
        <f t="shared" si="54"/>
        <v>0</v>
      </c>
      <c r="Q55" s="197">
        <f t="shared" si="54"/>
        <v>0</v>
      </c>
      <c r="R55" s="198"/>
      <c r="S55" s="803"/>
      <c r="T55" s="803"/>
      <c r="U55" s="803"/>
    </row>
    <row r="56" spans="2:21" x14ac:dyDescent="0.35">
      <c r="B56" s="199" t="s">
        <v>379</v>
      </c>
      <c r="C56" s="1200">
        <v>6421002604</v>
      </c>
      <c r="D56" s="201" t="s">
        <v>488</v>
      </c>
      <c r="E56" s="201" t="s">
        <v>489</v>
      </c>
      <c r="F56" s="810">
        <v>0</v>
      </c>
      <c r="G56" s="810">
        <v>0</v>
      </c>
      <c r="H56" s="810">
        <v>0</v>
      </c>
      <c r="I56" s="810">
        <v>0</v>
      </c>
      <c r="J56" s="810">
        <v>0</v>
      </c>
      <c r="K56" s="810">
        <v>0</v>
      </c>
      <c r="L56" s="810">
        <v>0</v>
      </c>
      <c r="M56" s="810">
        <v>0</v>
      </c>
      <c r="N56" s="810">
        <v>0</v>
      </c>
      <c r="O56" s="810">
        <v>0</v>
      </c>
      <c r="P56" s="810">
        <v>0</v>
      </c>
      <c r="Q56" s="810">
        <v>0</v>
      </c>
      <c r="R56" s="1003">
        <f>SUM(F56:Q56)</f>
        <v>0</v>
      </c>
      <c r="S56" s="17"/>
      <c r="T56" s="17"/>
      <c r="U56" s="17"/>
    </row>
    <row r="57" spans="2:21" x14ac:dyDescent="0.35">
      <c r="B57" s="199" t="s">
        <v>379</v>
      </c>
      <c r="C57" s="1200">
        <v>6421002605</v>
      </c>
      <c r="D57" s="200" t="s">
        <v>490</v>
      </c>
      <c r="E57" s="201" t="s">
        <v>491</v>
      </c>
      <c r="F57" s="810">
        <v>0</v>
      </c>
      <c r="G57" s="810">
        <v>0</v>
      </c>
      <c r="H57" s="810">
        <v>0</v>
      </c>
      <c r="I57" s="810">
        <v>0</v>
      </c>
      <c r="J57" s="810">
        <v>0</v>
      </c>
      <c r="K57" s="810">
        <v>0</v>
      </c>
      <c r="L57" s="810">
        <v>0</v>
      </c>
      <c r="M57" s="810">
        <v>0</v>
      </c>
      <c r="N57" s="810">
        <v>0</v>
      </c>
      <c r="O57" s="810">
        <v>0</v>
      </c>
      <c r="P57" s="810">
        <v>0</v>
      </c>
      <c r="Q57" s="810">
        <v>0</v>
      </c>
      <c r="R57" s="1003">
        <f t="shared" ref="R57:R64" si="55">SUM(F57:Q57)</f>
        <v>0</v>
      </c>
      <c r="S57" s="17"/>
      <c r="T57" s="17"/>
      <c r="U57" s="17"/>
    </row>
    <row r="58" spans="2:21" x14ac:dyDescent="0.35">
      <c r="B58" s="199" t="s">
        <v>379</v>
      </c>
      <c r="C58" s="1200">
        <v>6421002802</v>
      </c>
      <c r="D58" s="201" t="s">
        <v>492</v>
      </c>
      <c r="E58" s="201" t="s">
        <v>493</v>
      </c>
      <c r="F58" s="810">
        <v>0</v>
      </c>
      <c r="G58" s="810">
        <v>0</v>
      </c>
      <c r="H58" s="810">
        <v>0</v>
      </c>
      <c r="I58" s="810">
        <v>0</v>
      </c>
      <c r="J58" s="810">
        <v>0</v>
      </c>
      <c r="K58" s="810">
        <v>0</v>
      </c>
      <c r="L58" s="810">
        <v>0</v>
      </c>
      <c r="M58" s="810">
        <v>0</v>
      </c>
      <c r="N58" s="810">
        <v>0</v>
      </c>
      <c r="O58" s="810">
        <v>0</v>
      </c>
      <c r="P58" s="810">
        <v>0</v>
      </c>
      <c r="Q58" s="810">
        <v>0</v>
      </c>
      <c r="R58" s="1003">
        <f t="shared" si="55"/>
        <v>0</v>
      </c>
      <c r="S58" s="17"/>
      <c r="T58" s="17"/>
      <c r="U58" s="17"/>
    </row>
    <row r="59" spans="2:21" x14ac:dyDescent="0.35">
      <c r="B59" s="199" t="s">
        <v>379</v>
      </c>
      <c r="C59" s="1200">
        <v>6421002806</v>
      </c>
      <c r="D59" s="200" t="s">
        <v>494</v>
      </c>
      <c r="E59" s="201" t="s">
        <v>491</v>
      </c>
      <c r="F59" s="810">
        <v>0</v>
      </c>
      <c r="G59" s="810">
        <v>0</v>
      </c>
      <c r="H59" s="810">
        <v>0</v>
      </c>
      <c r="I59" s="810">
        <v>0</v>
      </c>
      <c r="J59" s="810">
        <v>0</v>
      </c>
      <c r="K59" s="810">
        <v>0</v>
      </c>
      <c r="L59" s="810">
        <v>0</v>
      </c>
      <c r="M59" s="810">
        <v>0</v>
      </c>
      <c r="N59" s="810">
        <v>0</v>
      </c>
      <c r="O59" s="810">
        <v>0</v>
      </c>
      <c r="P59" s="810">
        <v>0</v>
      </c>
      <c r="Q59" s="810">
        <v>0</v>
      </c>
      <c r="R59" s="1003">
        <f t="shared" si="55"/>
        <v>0</v>
      </c>
      <c r="S59" s="17"/>
      <c r="T59" s="17"/>
      <c r="U59" s="17"/>
    </row>
    <row r="60" spans="2:21" x14ac:dyDescent="0.35">
      <c r="B60" s="199" t="s">
        <v>379</v>
      </c>
      <c r="C60" s="1200">
        <v>6421007202</v>
      </c>
      <c r="D60" s="201" t="s">
        <v>495</v>
      </c>
      <c r="E60" s="201" t="s">
        <v>493</v>
      </c>
      <c r="F60" s="810">
        <v>0</v>
      </c>
      <c r="G60" s="810">
        <v>0</v>
      </c>
      <c r="H60" s="810">
        <v>0</v>
      </c>
      <c r="I60" s="810">
        <v>0</v>
      </c>
      <c r="J60" s="810">
        <v>0</v>
      </c>
      <c r="K60" s="810">
        <v>0</v>
      </c>
      <c r="L60" s="810">
        <v>0</v>
      </c>
      <c r="M60" s="810">
        <v>0</v>
      </c>
      <c r="N60" s="810">
        <v>0</v>
      </c>
      <c r="O60" s="810">
        <v>0</v>
      </c>
      <c r="P60" s="810">
        <v>0</v>
      </c>
      <c r="Q60" s="810">
        <v>0</v>
      </c>
      <c r="R60" s="1003">
        <f t="shared" si="55"/>
        <v>0</v>
      </c>
      <c r="S60" s="17"/>
      <c r="T60" s="17"/>
      <c r="U60" s="17"/>
    </row>
    <row r="61" spans="2:21" x14ac:dyDescent="0.35">
      <c r="B61" s="199" t="s">
        <v>379</v>
      </c>
      <c r="C61" s="1200">
        <v>6421003202</v>
      </c>
      <c r="D61" s="200" t="s">
        <v>496</v>
      </c>
      <c r="E61" s="201" t="s">
        <v>493</v>
      </c>
      <c r="F61" s="810">
        <v>0</v>
      </c>
      <c r="G61" s="810">
        <v>0</v>
      </c>
      <c r="H61" s="810">
        <v>0</v>
      </c>
      <c r="I61" s="810">
        <v>0</v>
      </c>
      <c r="J61" s="810">
        <v>0</v>
      </c>
      <c r="K61" s="810">
        <v>0</v>
      </c>
      <c r="L61" s="810">
        <v>0</v>
      </c>
      <c r="M61" s="810">
        <v>0</v>
      </c>
      <c r="N61" s="810">
        <v>0</v>
      </c>
      <c r="O61" s="810">
        <v>0</v>
      </c>
      <c r="P61" s="810">
        <v>0</v>
      </c>
      <c r="Q61" s="810">
        <v>0</v>
      </c>
      <c r="R61" s="1003">
        <f t="shared" si="55"/>
        <v>0</v>
      </c>
      <c r="S61" s="17"/>
      <c r="T61" s="17"/>
      <c r="U61" s="17"/>
    </row>
    <row r="62" spans="2:21" x14ac:dyDescent="0.35">
      <c r="B62" s="199" t="s">
        <v>379</v>
      </c>
      <c r="C62" s="1200">
        <v>6421002603</v>
      </c>
      <c r="D62" s="201" t="s">
        <v>497</v>
      </c>
      <c r="E62" s="201" t="s">
        <v>491</v>
      </c>
      <c r="F62" s="810">
        <v>0</v>
      </c>
      <c r="G62" s="810">
        <v>0</v>
      </c>
      <c r="H62" s="810">
        <v>0</v>
      </c>
      <c r="I62" s="810">
        <v>0</v>
      </c>
      <c r="J62" s="810">
        <v>0</v>
      </c>
      <c r="K62" s="810">
        <v>0</v>
      </c>
      <c r="L62" s="810">
        <v>0</v>
      </c>
      <c r="M62" s="810">
        <v>0</v>
      </c>
      <c r="N62" s="810">
        <v>0</v>
      </c>
      <c r="O62" s="810">
        <v>0</v>
      </c>
      <c r="P62" s="810">
        <v>0</v>
      </c>
      <c r="Q62" s="810">
        <v>0</v>
      </c>
      <c r="R62" s="1003">
        <f t="shared" si="55"/>
        <v>0</v>
      </c>
      <c r="S62" s="17"/>
      <c r="T62" s="17"/>
      <c r="U62" s="17"/>
    </row>
    <row r="63" spans="2:21" x14ac:dyDescent="0.35">
      <c r="B63" s="199" t="s">
        <v>379</v>
      </c>
      <c r="C63" s="1200">
        <v>6421003401</v>
      </c>
      <c r="D63" s="200" t="s">
        <v>498</v>
      </c>
      <c r="E63" s="201" t="s">
        <v>493</v>
      </c>
      <c r="F63" s="810">
        <v>0</v>
      </c>
      <c r="G63" s="810">
        <v>0</v>
      </c>
      <c r="H63" s="810">
        <v>0</v>
      </c>
      <c r="I63" s="810">
        <v>0</v>
      </c>
      <c r="J63" s="810">
        <v>0</v>
      </c>
      <c r="K63" s="810">
        <v>0</v>
      </c>
      <c r="L63" s="810">
        <v>0</v>
      </c>
      <c r="M63" s="810">
        <v>0</v>
      </c>
      <c r="N63" s="810">
        <v>0</v>
      </c>
      <c r="O63" s="810">
        <v>0</v>
      </c>
      <c r="P63" s="810">
        <v>0</v>
      </c>
      <c r="Q63" s="810">
        <v>0</v>
      </c>
      <c r="R63" s="1003">
        <f t="shared" si="55"/>
        <v>0</v>
      </c>
      <c r="S63" s="17"/>
      <c r="T63" s="17"/>
      <c r="U63" s="17"/>
    </row>
    <row r="64" spans="2:21" x14ac:dyDescent="0.35">
      <c r="B64" s="203" t="s">
        <v>379</v>
      </c>
      <c r="C64" s="1201">
        <v>6421002703</v>
      </c>
      <c r="D64" s="205" t="s">
        <v>499</v>
      </c>
      <c r="E64" s="205" t="s">
        <v>491</v>
      </c>
      <c r="F64" s="810">
        <v>0</v>
      </c>
      <c r="G64" s="810">
        <v>0</v>
      </c>
      <c r="H64" s="810">
        <v>0</v>
      </c>
      <c r="I64" s="810">
        <v>0</v>
      </c>
      <c r="J64" s="810">
        <v>0</v>
      </c>
      <c r="K64" s="810">
        <v>0</v>
      </c>
      <c r="L64" s="810">
        <v>0</v>
      </c>
      <c r="M64" s="810">
        <v>0</v>
      </c>
      <c r="N64" s="810">
        <v>0</v>
      </c>
      <c r="O64" s="810">
        <v>0</v>
      </c>
      <c r="P64" s="810">
        <v>0</v>
      </c>
      <c r="Q64" s="810">
        <v>0</v>
      </c>
      <c r="R64" s="1199">
        <f t="shared" si="55"/>
        <v>0</v>
      </c>
      <c r="S64" s="17"/>
      <c r="T64" s="17"/>
      <c r="U64" s="17"/>
    </row>
    <row r="65" spans="2:21" x14ac:dyDescent="0.35">
      <c r="B65" s="190" t="s">
        <v>381</v>
      </c>
      <c r="C65" s="191"/>
      <c r="D65" s="192" t="s">
        <v>485</v>
      </c>
      <c r="E65" s="191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803"/>
      <c r="T65" s="803"/>
      <c r="U65" s="803"/>
    </row>
    <row r="66" spans="2:21" x14ac:dyDescent="0.35">
      <c r="B66" s="194" t="s">
        <v>381</v>
      </c>
      <c r="C66" s="195"/>
      <c r="D66" s="196" t="s">
        <v>486</v>
      </c>
      <c r="E66" s="195"/>
      <c r="F66" s="197">
        <f t="shared" ref="F66:Q66" si="56">SUM(F68:F75)</f>
        <v>0</v>
      </c>
      <c r="G66" s="197">
        <f t="shared" si="56"/>
        <v>0</v>
      </c>
      <c r="H66" s="197">
        <f t="shared" si="56"/>
        <v>0</v>
      </c>
      <c r="I66" s="197">
        <f t="shared" si="56"/>
        <v>0</v>
      </c>
      <c r="J66" s="197">
        <f t="shared" si="56"/>
        <v>0</v>
      </c>
      <c r="K66" s="197">
        <f t="shared" si="56"/>
        <v>0</v>
      </c>
      <c r="L66" s="197">
        <f t="shared" si="56"/>
        <v>0</v>
      </c>
      <c r="M66" s="197">
        <f t="shared" si="56"/>
        <v>0</v>
      </c>
      <c r="N66" s="197">
        <f t="shared" si="56"/>
        <v>0</v>
      </c>
      <c r="O66" s="197">
        <f t="shared" si="56"/>
        <v>0</v>
      </c>
      <c r="P66" s="197">
        <f t="shared" si="56"/>
        <v>0</v>
      </c>
      <c r="Q66" s="197">
        <f t="shared" si="56"/>
        <v>0</v>
      </c>
      <c r="R66" s="198">
        <f t="shared" ref="R66" si="57">SUM(F66:Q66)</f>
        <v>0</v>
      </c>
      <c r="S66" s="803"/>
      <c r="T66" s="803"/>
      <c r="U66" s="803"/>
    </row>
    <row r="67" spans="2:21" x14ac:dyDescent="0.35">
      <c r="B67" s="194" t="s">
        <v>381</v>
      </c>
      <c r="C67" s="195"/>
      <c r="D67" s="192" t="s">
        <v>487</v>
      </c>
      <c r="E67" s="195"/>
      <c r="F67" s="197">
        <f>IFERROR(SUM(F68:F75)/F65,0)</f>
        <v>0</v>
      </c>
      <c r="G67" s="197">
        <f t="shared" ref="G67" si="58">IFERROR(SUM(G68:G75)/G65,0)</f>
        <v>0</v>
      </c>
      <c r="H67" s="197">
        <f t="shared" ref="H67" si="59">IFERROR(SUM(H68:H75)/H65,0)</f>
        <v>0</v>
      </c>
      <c r="I67" s="197">
        <f t="shared" ref="I67" si="60">IFERROR(SUM(I68:I75)/I65,0)</f>
        <v>0</v>
      </c>
      <c r="J67" s="197">
        <f t="shared" ref="J67" si="61">IFERROR(SUM(J68:J75)/J65,0)</f>
        <v>0</v>
      </c>
      <c r="K67" s="197">
        <f t="shared" ref="K67" si="62">IFERROR(SUM(K68:K75)/K65,0)</f>
        <v>0</v>
      </c>
      <c r="L67" s="197">
        <f t="shared" ref="L67" si="63">IFERROR(SUM(L68:L75)/L65,0)</f>
        <v>0</v>
      </c>
      <c r="M67" s="197">
        <f t="shared" ref="M67" si="64">IFERROR(SUM(M68:M75)/M65,0)</f>
        <v>0</v>
      </c>
      <c r="N67" s="197">
        <f t="shared" ref="N67" si="65">IFERROR(SUM(N68:N75)/N65,0)</f>
        <v>0</v>
      </c>
      <c r="O67" s="197">
        <f t="shared" ref="O67" si="66">IFERROR(SUM(O68:O75)/O65,0)</f>
        <v>0</v>
      </c>
      <c r="P67" s="197">
        <f t="shared" ref="P67" si="67">IFERROR(SUM(P68:P75)/P65,0)</f>
        <v>0</v>
      </c>
      <c r="Q67" s="197">
        <f t="shared" ref="Q67" si="68">IFERROR(SUM(Q68:Q75)/Q65,0)</f>
        <v>0</v>
      </c>
      <c r="R67" s="198"/>
      <c r="S67" s="803"/>
      <c r="T67" s="803"/>
      <c r="U67" s="803"/>
    </row>
    <row r="68" spans="2:21" x14ac:dyDescent="0.35">
      <c r="B68" s="199" t="s">
        <v>381</v>
      </c>
      <c r="C68" s="1200">
        <v>6421002604</v>
      </c>
      <c r="D68" s="201" t="s">
        <v>488</v>
      </c>
      <c r="E68" s="201" t="s">
        <v>489</v>
      </c>
      <c r="F68" s="810">
        <v>0</v>
      </c>
      <c r="G68" s="810">
        <v>0</v>
      </c>
      <c r="H68" s="810">
        <v>0</v>
      </c>
      <c r="I68" s="810">
        <v>0</v>
      </c>
      <c r="J68" s="810">
        <v>0</v>
      </c>
      <c r="K68" s="810">
        <v>0</v>
      </c>
      <c r="L68" s="810">
        <v>0</v>
      </c>
      <c r="M68" s="810">
        <v>0</v>
      </c>
      <c r="N68" s="810">
        <v>0</v>
      </c>
      <c r="O68" s="810">
        <v>0</v>
      </c>
      <c r="P68" s="810">
        <v>0</v>
      </c>
      <c r="Q68" s="810">
        <v>0</v>
      </c>
      <c r="R68" s="1003">
        <f>SUM(F68:Q68)</f>
        <v>0</v>
      </c>
      <c r="S68" s="17"/>
      <c r="T68" s="17"/>
      <c r="U68" s="17"/>
    </row>
    <row r="69" spans="2:21" x14ac:dyDescent="0.35">
      <c r="B69" s="199" t="s">
        <v>381</v>
      </c>
      <c r="C69" s="1200">
        <v>6421002605</v>
      </c>
      <c r="D69" s="200" t="s">
        <v>490</v>
      </c>
      <c r="E69" s="201" t="s">
        <v>491</v>
      </c>
      <c r="F69" s="810">
        <v>0</v>
      </c>
      <c r="G69" s="810">
        <v>0</v>
      </c>
      <c r="H69" s="810">
        <v>0</v>
      </c>
      <c r="I69" s="810">
        <v>0</v>
      </c>
      <c r="J69" s="810">
        <v>0</v>
      </c>
      <c r="K69" s="810">
        <v>0</v>
      </c>
      <c r="L69" s="810">
        <v>0</v>
      </c>
      <c r="M69" s="810">
        <v>0</v>
      </c>
      <c r="N69" s="810">
        <v>0</v>
      </c>
      <c r="O69" s="810">
        <v>0</v>
      </c>
      <c r="P69" s="810">
        <v>0</v>
      </c>
      <c r="Q69" s="810">
        <v>0</v>
      </c>
      <c r="R69" s="1003">
        <f t="shared" ref="R69:R76" si="69">SUM(F69:Q69)</f>
        <v>0</v>
      </c>
      <c r="S69" s="17"/>
      <c r="T69" s="17"/>
      <c r="U69" s="17"/>
    </row>
    <row r="70" spans="2:21" x14ac:dyDescent="0.35">
      <c r="B70" s="199" t="s">
        <v>381</v>
      </c>
      <c r="C70" s="1200">
        <v>6421002802</v>
      </c>
      <c r="D70" s="201" t="s">
        <v>492</v>
      </c>
      <c r="E70" s="201" t="s">
        <v>493</v>
      </c>
      <c r="F70" s="810">
        <v>0</v>
      </c>
      <c r="G70" s="810">
        <v>0</v>
      </c>
      <c r="H70" s="810">
        <v>0</v>
      </c>
      <c r="I70" s="810">
        <v>0</v>
      </c>
      <c r="J70" s="810">
        <v>0</v>
      </c>
      <c r="K70" s="810">
        <v>0</v>
      </c>
      <c r="L70" s="810">
        <v>0</v>
      </c>
      <c r="M70" s="810">
        <v>0</v>
      </c>
      <c r="N70" s="810">
        <v>0</v>
      </c>
      <c r="O70" s="810">
        <v>0</v>
      </c>
      <c r="P70" s="810">
        <v>0</v>
      </c>
      <c r="Q70" s="810">
        <v>0</v>
      </c>
      <c r="R70" s="1003">
        <f t="shared" si="69"/>
        <v>0</v>
      </c>
      <c r="S70" s="17"/>
      <c r="T70" s="17"/>
      <c r="U70" s="17"/>
    </row>
    <row r="71" spans="2:21" x14ac:dyDescent="0.35">
      <c r="B71" s="199" t="s">
        <v>381</v>
      </c>
      <c r="C71" s="1200">
        <v>6421002806</v>
      </c>
      <c r="D71" s="200" t="s">
        <v>494</v>
      </c>
      <c r="E71" s="201" t="s">
        <v>491</v>
      </c>
      <c r="F71" s="810">
        <v>0</v>
      </c>
      <c r="G71" s="810">
        <v>0</v>
      </c>
      <c r="H71" s="810">
        <v>0</v>
      </c>
      <c r="I71" s="810">
        <v>0</v>
      </c>
      <c r="J71" s="810">
        <v>0</v>
      </c>
      <c r="K71" s="810">
        <v>0</v>
      </c>
      <c r="L71" s="810">
        <v>0</v>
      </c>
      <c r="M71" s="810">
        <v>0</v>
      </c>
      <c r="N71" s="810">
        <v>0</v>
      </c>
      <c r="O71" s="810">
        <v>0</v>
      </c>
      <c r="P71" s="810">
        <v>0</v>
      </c>
      <c r="Q71" s="810">
        <v>0</v>
      </c>
      <c r="R71" s="1003">
        <f t="shared" si="69"/>
        <v>0</v>
      </c>
      <c r="S71" s="17"/>
      <c r="T71" s="17"/>
      <c r="U71" s="17"/>
    </row>
    <row r="72" spans="2:21" x14ac:dyDescent="0.35">
      <c r="B72" s="199" t="s">
        <v>381</v>
      </c>
      <c r="C72" s="1200">
        <v>6421007202</v>
      </c>
      <c r="D72" s="201" t="s">
        <v>495</v>
      </c>
      <c r="E72" s="201" t="s">
        <v>493</v>
      </c>
      <c r="F72" s="810">
        <v>0</v>
      </c>
      <c r="G72" s="810">
        <v>0</v>
      </c>
      <c r="H72" s="810">
        <v>0</v>
      </c>
      <c r="I72" s="810">
        <v>0</v>
      </c>
      <c r="J72" s="810">
        <v>0</v>
      </c>
      <c r="K72" s="810">
        <v>0</v>
      </c>
      <c r="L72" s="810">
        <v>0</v>
      </c>
      <c r="M72" s="810">
        <v>0</v>
      </c>
      <c r="N72" s="810">
        <v>0</v>
      </c>
      <c r="O72" s="810">
        <v>0</v>
      </c>
      <c r="P72" s="810">
        <v>0</v>
      </c>
      <c r="Q72" s="810">
        <v>0</v>
      </c>
      <c r="R72" s="1003">
        <f t="shared" si="69"/>
        <v>0</v>
      </c>
      <c r="S72" s="17"/>
      <c r="T72" s="17"/>
      <c r="U72" s="17"/>
    </row>
    <row r="73" spans="2:21" x14ac:dyDescent="0.35">
      <c r="B73" s="199" t="s">
        <v>381</v>
      </c>
      <c r="C73" s="1200">
        <v>6421003202</v>
      </c>
      <c r="D73" s="200" t="s">
        <v>496</v>
      </c>
      <c r="E73" s="201" t="s">
        <v>493</v>
      </c>
      <c r="F73" s="810">
        <v>0</v>
      </c>
      <c r="G73" s="810">
        <v>0</v>
      </c>
      <c r="H73" s="810">
        <v>0</v>
      </c>
      <c r="I73" s="810">
        <v>0</v>
      </c>
      <c r="J73" s="810">
        <v>0</v>
      </c>
      <c r="K73" s="810">
        <v>0</v>
      </c>
      <c r="L73" s="810">
        <v>0</v>
      </c>
      <c r="M73" s="810">
        <v>0</v>
      </c>
      <c r="N73" s="810">
        <v>0</v>
      </c>
      <c r="O73" s="810">
        <v>0</v>
      </c>
      <c r="P73" s="810">
        <v>0</v>
      </c>
      <c r="Q73" s="810">
        <v>0</v>
      </c>
      <c r="R73" s="1003">
        <f t="shared" si="69"/>
        <v>0</v>
      </c>
      <c r="S73" s="17"/>
      <c r="T73" s="17"/>
      <c r="U73" s="17"/>
    </row>
    <row r="74" spans="2:21" x14ac:dyDescent="0.35">
      <c r="B74" s="199" t="s">
        <v>381</v>
      </c>
      <c r="C74" s="1200">
        <v>6421002603</v>
      </c>
      <c r="D74" s="201" t="s">
        <v>497</v>
      </c>
      <c r="E74" s="201" t="s">
        <v>491</v>
      </c>
      <c r="F74" s="810">
        <v>0</v>
      </c>
      <c r="G74" s="810">
        <v>0</v>
      </c>
      <c r="H74" s="810">
        <v>0</v>
      </c>
      <c r="I74" s="810">
        <v>0</v>
      </c>
      <c r="J74" s="810">
        <v>0</v>
      </c>
      <c r="K74" s="810">
        <v>0</v>
      </c>
      <c r="L74" s="810">
        <v>0</v>
      </c>
      <c r="M74" s="810">
        <v>0</v>
      </c>
      <c r="N74" s="810">
        <v>0</v>
      </c>
      <c r="O74" s="810">
        <v>0</v>
      </c>
      <c r="P74" s="810">
        <v>0</v>
      </c>
      <c r="Q74" s="810">
        <v>0</v>
      </c>
      <c r="R74" s="1003">
        <f t="shared" si="69"/>
        <v>0</v>
      </c>
      <c r="S74" s="17"/>
      <c r="T74" s="17"/>
      <c r="U74" s="17"/>
    </row>
    <row r="75" spans="2:21" x14ac:dyDescent="0.35">
      <c r="B75" s="199" t="s">
        <v>381</v>
      </c>
      <c r="C75" s="1200">
        <v>6421003401</v>
      </c>
      <c r="D75" s="200" t="s">
        <v>498</v>
      </c>
      <c r="E75" s="201" t="s">
        <v>493</v>
      </c>
      <c r="F75" s="810">
        <v>0</v>
      </c>
      <c r="G75" s="810">
        <v>0</v>
      </c>
      <c r="H75" s="810">
        <v>0</v>
      </c>
      <c r="I75" s="810">
        <v>0</v>
      </c>
      <c r="J75" s="810">
        <v>0</v>
      </c>
      <c r="K75" s="810">
        <v>0</v>
      </c>
      <c r="L75" s="810">
        <v>0</v>
      </c>
      <c r="M75" s="810">
        <v>0</v>
      </c>
      <c r="N75" s="810">
        <v>0</v>
      </c>
      <c r="O75" s="810">
        <v>0</v>
      </c>
      <c r="P75" s="810">
        <v>0</v>
      </c>
      <c r="Q75" s="810">
        <v>0</v>
      </c>
      <c r="R75" s="1003">
        <f t="shared" si="69"/>
        <v>0</v>
      </c>
      <c r="S75" s="17"/>
      <c r="T75" s="17"/>
      <c r="U75" s="17"/>
    </row>
    <row r="76" spans="2:21" x14ac:dyDescent="0.35">
      <c r="B76" s="203" t="s">
        <v>381</v>
      </c>
      <c r="C76" s="1201">
        <v>6421002703</v>
      </c>
      <c r="D76" s="205" t="s">
        <v>499</v>
      </c>
      <c r="E76" s="205" t="s">
        <v>491</v>
      </c>
      <c r="F76" s="810">
        <v>0</v>
      </c>
      <c r="G76" s="810">
        <v>0</v>
      </c>
      <c r="H76" s="810">
        <v>0</v>
      </c>
      <c r="I76" s="810">
        <v>0</v>
      </c>
      <c r="J76" s="810">
        <v>0</v>
      </c>
      <c r="K76" s="810">
        <v>0</v>
      </c>
      <c r="L76" s="810">
        <v>0</v>
      </c>
      <c r="M76" s="810">
        <v>0</v>
      </c>
      <c r="N76" s="810">
        <v>0</v>
      </c>
      <c r="O76" s="810">
        <v>0</v>
      </c>
      <c r="P76" s="810">
        <v>0</v>
      </c>
      <c r="Q76" s="810">
        <v>0</v>
      </c>
      <c r="R76" s="1199">
        <f t="shared" si="69"/>
        <v>0</v>
      </c>
      <c r="S76" s="17"/>
      <c r="T76" s="17"/>
      <c r="U76" s="17"/>
    </row>
    <row r="77" spans="2:21" x14ac:dyDescent="0.35">
      <c r="B77" s="190" t="s">
        <v>384</v>
      </c>
      <c r="C77" s="191"/>
      <c r="D77" s="192" t="s">
        <v>485</v>
      </c>
      <c r="E77" s="191"/>
      <c r="F77" s="193">
        <f>'Dinh bien_HCNS'!F27</f>
        <v>5</v>
      </c>
      <c r="G77" s="193">
        <f>'Dinh bien_HCNS'!G27</f>
        <v>5</v>
      </c>
      <c r="H77" s="193">
        <f>'Dinh bien_HCNS'!H27</f>
        <v>5</v>
      </c>
      <c r="I77" s="193">
        <f>'Dinh bien_HCNS'!I27</f>
        <v>5</v>
      </c>
      <c r="J77" s="193">
        <f>'Dinh bien_HCNS'!J27</f>
        <v>5</v>
      </c>
      <c r="K77" s="193">
        <f>'Dinh bien_HCNS'!K27</f>
        <v>5</v>
      </c>
      <c r="L77" s="193">
        <f>'Dinh bien_HCNS'!L27</f>
        <v>5</v>
      </c>
      <c r="M77" s="193">
        <f>'Dinh bien_HCNS'!M27</f>
        <v>5</v>
      </c>
      <c r="N77" s="193">
        <f>'Dinh bien_HCNS'!N27</f>
        <v>5</v>
      </c>
      <c r="O77" s="193">
        <f>'Dinh bien_HCNS'!O27</f>
        <v>5</v>
      </c>
      <c r="P77" s="193">
        <f>'Dinh bien_HCNS'!P27</f>
        <v>5</v>
      </c>
      <c r="Q77" s="193">
        <f>'Dinh bien_HCNS'!Q27</f>
        <v>5</v>
      </c>
      <c r="R77" s="193">
        <v>5</v>
      </c>
      <c r="S77" s="803"/>
      <c r="T77" s="803"/>
      <c r="U77" s="803"/>
    </row>
    <row r="78" spans="2:21" x14ac:dyDescent="0.35">
      <c r="B78" s="194" t="s">
        <v>384</v>
      </c>
      <c r="C78" s="195"/>
      <c r="D78" s="196" t="s">
        <v>486</v>
      </c>
      <c r="E78" s="195"/>
      <c r="F78" s="197">
        <f t="shared" ref="F78:Q78" si="70">SUM(F80:F87)</f>
        <v>70169394</v>
      </c>
      <c r="G78" s="197">
        <f t="shared" si="70"/>
        <v>66415548</v>
      </c>
      <c r="H78" s="197">
        <f t="shared" si="70"/>
        <v>66473086</v>
      </c>
      <c r="I78" s="197">
        <f t="shared" si="70"/>
        <v>70525548</v>
      </c>
      <c r="J78" s="197">
        <f t="shared" si="70"/>
        <v>68991240</v>
      </c>
      <c r="K78" s="197">
        <f t="shared" si="70"/>
        <v>70830548</v>
      </c>
      <c r="L78" s="197">
        <f t="shared" si="70"/>
        <v>69886394</v>
      </c>
      <c r="M78" s="197">
        <f t="shared" si="70"/>
        <v>69886394</v>
      </c>
      <c r="N78" s="197">
        <f t="shared" si="70"/>
        <v>70596548</v>
      </c>
      <c r="O78" s="197">
        <f t="shared" si="70"/>
        <v>68332240</v>
      </c>
      <c r="P78" s="197">
        <f t="shared" si="70"/>
        <v>71135548</v>
      </c>
      <c r="Q78" s="197">
        <f t="shared" si="70"/>
        <v>69581394</v>
      </c>
      <c r="R78" s="198">
        <f t="shared" ref="R78" si="71">SUM(F78:Q78)</f>
        <v>832823882</v>
      </c>
      <c r="S78" s="803"/>
      <c r="T78" s="803"/>
      <c r="U78" s="803"/>
    </row>
    <row r="79" spans="2:21" x14ac:dyDescent="0.35">
      <c r="B79" s="194" t="s">
        <v>384</v>
      </c>
      <c r="C79" s="195"/>
      <c r="D79" s="192" t="s">
        <v>487</v>
      </c>
      <c r="E79" s="195"/>
      <c r="F79" s="197">
        <f>IFERROR(SUM(F80:F87)/F77,0)</f>
        <v>14033878.800000001</v>
      </c>
      <c r="G79" s="197">
        <f t="shared" ref="G79" si="72">IFERROR(SUM(G80:G87)/G77,0)</f>
        <v>13283109.6</v>
      </c>
      <c r="H79" s="197">
        <f t="shared" ref="H79" si="73">IFERROR(SUM(H80:H87)/H77,0)</f>
        <v>13294617.199999999</v>
      </c>
      <c r="I79" s="197">
        <f t="shared" ref="I79" si="74">IFERROR(SUM(I80:I87)/I77,0)</f>
        <v>14105109.6</v>
      </c>
      <c r="J79" s="197">
        <f t="shared" ref="J79" si="75">IFERROR(SUM(J80:J87)/J77,0)</f>
        <v>13798248</v>
      </c>
      <c r="K79" s="197">
        <f t="shared" ref="K79" si="76">IFERROR(SUM(K80:K87)/K77,0)</f>
        <v>14166109.6</v>
      </c>
      <c r="L79" s="197">
        <f t="shared" ref="L79" si="77">IFERROR(SUM(L80:L87)/L77,0)</f>
        <v>13977278.800000001</v>
      </c>
      <c r="M79" s="197">
        <f t="shared" ref="M79" si="78">IFERROR(SUM(M80:M87)/M77,0)</f>
        <v>13977278.800000001</v>
      </c>
      <c r="N79" s="197">
        <f t="shared" ref="N79" si="79">IFERROR(SUM(N80:N87)/N77,0)</f>
        <v>14119309.6</v>
      </c>
      <c r="O79" s="197">
        <f t="shared" ref="O79" si="80">IFERROR(SUM(O80:O87)/O77,0)</f>
        <v>13666448</v>
      </c>
      <c r="P79" s="197">
        <f t="shared" ref="P79" si="81">IFERROR(SUM(P80:P87)/P77,0)</f>
        <v>14227109.6</v>
      </c>
      <c r="Q79" s="197">
        <f t="shared" ref="Q79" si="82">IFERROR(SUM(Q80:Q87)/Q77,0)</f>
        <v>13916278.800000001</v>
      </c>
      <c r="R79" s="198"/>
      <c r="S79" s="803"/>
      <c r="T79" s="803"/>
      <c r="U79" s="803"/>
    </row>
    <row r="80" spans="2:21" x14ac:dyDescent="0.35">
      <c r="B80" s="199" t="s">
        <v>384</v>
      </c>
      <c r="C80" s="1200">
        <v>6421002604</v>
      </c>
      <c r="D80" s="201" t="s">
        <v>488</v>
      </c>
      <c r="E80" s="201" t="s">
        <v>489</v>
      </c>
      <c r="F80" s="1248">
        <v>42176000</v>
      </c>
      <c r="G80" s="1248">
        <v>40158154</v>
      </c>
      <c r="H80" s="1248">
        <v>39491692</v>
      </c>
      <c r="I80" s="1248">
        <v>42958154</v>
      </c>
      <c r="J80" s="1248">
        <v>40833846</v>
      </c>
      <c r="K80" s="1248">
        <v>43238154</v>
      </c>
      <c r="L80" s="1248">
        <v>42456000</v>
      </c>
      <c r="M80" s="1248">
        <v>42456000</v>
      </c>
      <c r="N80" s="1248">
        <v>42678154</v>
      </c>
      <c r="O80" s="1248">
        <v>41113846</v>
      </c>
      <c r="P80" s="1248">
        <v>43518154</v>
      </c>
      <c r="Q80" s="1248">
        <v>42176000</v>
      </c>
      <c r="R80" s="1003">
        <f>SUM(F80:Q80)</f>
        <v>503254154</v>
      </c>
      <c r="S80" s="17"/>
      <c r="T80" s="17"/>
      <c r="U80" s="17"/>
    </row>
    <row r="81" spans="2:21" x14ac:dyDescent="0.35">
      <c r="B81" s="199" t="s">
        <v>384</v>
      </c>
      <c r="C81" s="1200">
        <v>6421002605</v>
      </c>
      <c r="D81" s="200" t="s">
        <v>490</v>
      </c>
      <c r="E81" s="201" t="s">
        <v>491</v>
      </c>
      <c r="F81" s="1248">
        <v>2762601</v>
      </c>
      <c r="G81" s="1248">
        <v>2762601</v>
      </c>
      <c r="H81" s="1248">
        <v>2762601</v>
      </c>
      <c r="I81" s="1248">
        <v>2762601</v>
      </c>
      <c r="J81" s="1248">
        <v>2762601</v>
      </c>
      <c r="K81" s="1248">
        <v>2762601</v>
      </c>
      <c r="L81" s="1248">
        <v>2762601</v>
      </c>
      <c r="M81" s="1248">
        <v>2762601</v>
      </c>
      <c r="N81" s="1248">
        <v>2762601</v>
      </c>
      <c r="O81" s="1248">
        <v>2762601</v>
      </c>
      <c r="P81" s="1248">
        <v>2762601</v>
      </c>
      <c r="Q81" s="1248">
        <v>2762601</v>
      </c>
      <c r="R81" s="1003">
        <f t="shared" ref="R81:R88" si="83">SUM(F81:Q81)</f>
        <v>33151212</v>
      </c>
      <c r="S81" s="17"/>
      <c r="T81" s="17"/>
      <c r="U81" s="17"/>
    </row>
    <row r="82" spans="2:21" x14ac:dyDescent="0.35">
      <c r="B82" s="199" t="s">
        <v>384</v>
      </c>
      <c r="C82" s="1200">
        <v>6421002802</v>
      </c>
      <c r="D82" s="201" t="s">
        <v>492</v>
      </c>
      <c r="E82" s="201" t="s">
        <v>493</v>
      </c>
      <c r="F82" s="1248">
        <v>4975000</v>
      </c>
      <c r="G82" s="1248">
        <v>4175000</v>
      </c>
      <c r="H82" s="1248">
        <v>4175000</v>
      </c>
      <c r="I82" s="1248">
        <v>4175000</v>
      </c>
      <c r="J82" s="1248">
        <v>5775000</v>
      </c>
      <c r="K82" s="1248">
        <v>4175000</v>
      </c>
      <c r="L82" s="1248">
        <v>4175000</v>
      </c>
      <c r="M82" s="1248">
        <v>4175000</v>
      </c>
      <c r="N82" s="1248">
        <v>4975000</v>
      </c>
      <c r="O82" s="1248">
        <v>4175000</v>
      </c>
      <c r="P82" s="1248">
        <v>4175000</v>
      </c>
      <c r="Q82" s="1248">
        <v>4175000</v>
      </c>
      <c r="R82" s="1003">
        <f t="shared" si="83"/>
        <v>53300000</v>
      </c>
      <c r="S82" s="17"/>
      <c r="T82" s="17"/>
      <c r="U82" s="17"/>
    </row>
    <row r="83" spans="2:21" x14ac:dyDescent="0.35">
      <c r="B83" s="199" t="s">
        <v>384</v>
      </c>
      <c r="C83" s="1200">
        <v>6421002806</v>
      </c>
      <c r="D83" s="200" t="s">
        <v>494</v>
      </c>
      <c r="E83" s="201" t="s">
        <v>491</v>
      </c>
      <c r="F83" s="1248">
        <v>3751321</v>
      </c>
      <c r="G83" s="1248">
        <v>3751321</v>
      </c>
      <c r="H83" s="1248">
        <v>3751321</v>
      </c>
      <c r="I83" s="1248">
        <v>3751321</v>
      </c>
      <c r="J83" s="1248">
        <v>3751321</v>
      </c>
      <c r="K83" s="1248">
        <v>3751321</v>
      </c>
      <c r="L83" s="1248">
        <v>3751321</v>
      </c>
      <c r="M83" s="1248">
        <v>3751321</v>
      </c>
      <c r="N83" s="1248">
        <v>3751321</v>
      </c>
      <c r="O83" s="1248">
        <v>3751321</v>
      </c>
      <c r="P83" s="1248">
        <v>3751321</v>
      </c>
      <c r="Q83" s="1248">
        <v>3751321</v>
      </c>
      <c r="R83" s="1003">
        <f t="shared" si="83"/>
        <v>45015852</v>
      </c>
      <c r="S83" s="17"/>
      <c r="T83" s="17"/>
      <c r="U83" s="17"/>
    </row>
    <row r="84" spans="2:21" x14ac:dyDescent="0.35">
      <c r="B84" s="199" t="s">
        <v>384</v>
      </c>
      <c r="C84" s="1200">
        <v>6421007202</v>
      </c>
      <c r="D84" s="201" t="s">
        <v>495</v>
      </c>
      <c r="E84" s="201" t="s">
        <v>493</v>
      </c>
      <c r="F84" s="1248">
        <v>227212</v>
      </c>
      <c r="G84" s="1248">
        <v>227212</v>
      </c>
      <c r="H84" s="1248">
        <v>227212</v>
      </c>
      <c r="I84" s="1248">
        <v>227212</v>
      </c>
      <c r="J84" s="1248">
        <v>227212</v>
      </c>
      <c r="K84" s="1248">
        <v>227212</v>
      </c>
      <c r="L84" s="1248">
        <v>227212</v>
      </c>
      <c r="M84" s="1248">
        <v>227212</v>
      </c>
      <c r="N84" s="1248">
        <v>227212</v>
      </c>
      <c r="O84" s="1248">
        <v>227212</v>
      </c>
      <c r="P84" s="1248">
        <v>227212</v>
      </c>
      <c r="Q84" s="1248">
        <v>227212</v>
      </c>
      <c r="R84" s="1003">
        <f t="shared" si="83"/>
        <v>2726544</v>
      </c>
      <c r="S84" s="17"/>
      <c r="T84" s="17"/>
      <c r="U84" s="17"/>
    </row>
    <row r="85" spans="2:21" x14ac:dyDescent="0.35">
      <c r="B85" s="199" t="s">
        <v>384</v>
      </c>
      <c r="C85" s="1200">
        <v>6421003202</v>
      </c>
      <c r="D85" s="200" t="s">
        <v>496</v>
      </c>
      <c r="E85" s="201" t="s">
        <v>493</v>
      </c>
      <c r="F85" s="1248">
        <v>5950000</v>
      </c>
      <c r="G85" s="1248">
        <v>5014000</v>
      </c>
      <c r="H85" s="1248">
        <v>5738000</v>
      </c>
      <c r="I85" s="1248">
        <v>6324000</v>
      </c>
      <c r="J85" s="1248">
        <v>5314000</v>
      </c>
      <c r="K85" s="1248">
        <v>6349000</v>
      </c>
      <c r="L85" s="1248">
        <v>6187000</v>
      </c>
      <c r="M85" s="1248">
        <v>6187000</v>
      </c>
      <c r="N85" s="1248">
        <v>5875000</v>
      </c>
      <c r="O85" s="1248">
        <v>5975000</v>
      </c>
      <c r="P85" s="1248">
        <v>6374000</v>
      </c>
      <c r="Q85" s="1248">
        <v>6162000</v>
      </c>
      <c r="R85" s="1003">
        <f t="shared" si="83"/>
        <v>71449000</v>
      </c>
      <c r="S85" s="17"/>
      <c r="T85" s="17"/>
      <c r="U85" s="17"/>
    </row>
    <row r="86" spans="2:21" x14ac:dyDescent="0.35">
      <c r="B86" s="199" t="s">
        <v>384</v>
      </c>
      <c r="C86" s="1200">
        <v>6421002603</v>
      </c>
      <c r="D86" s="201" t="s">
        <v>497</v>
      </c>
      <c r="E86" s="201" t="s">
        <v>491</v>
      </c>
      <c r="F86" s="1248">
        <v>2126700</v>
      </c>
      <c r="G86" s="1248">
        <v>2126700</v>
      </c>
      <c r="H86" s="1248">
        <v>2126700</v>
      </c>
      <c r="I86" s="1248">
        <v>2126700</v>
      </c>
      <c r="J86" s="1248">
        <v>2126700</v>
      </c>
      <c r="K86" s="1248">
        <v>2126700</v>
      </c>
      <c r="L86" s="1248">
        <v>2126700</v>
      </c>
      <c r="M86" s="1248">
        <v>2126700</v>
      </c>
      <c r="N86" s="1248">
        <v>2126700</v>
      </c>
      <c r="O86" s="1248">
        <v>2126700</v>
      </c>
      <c r="P86" s="1248">
        <v>2126700</v>
      </c>
      <c r="Q86" s="1248">
        <v>2126700</v>
      </c>
      <c r="R86" s="1003">
        <f t="shared" si="83"/>
        <v>25520400</v>
      </c>
      <c r="S86" s="17"/>
      <c r="T86" s="17"/>
      <c r="U86" s="17"/>
    </row>
    <row r="87" spans="2:21" x14ac:dyDescent="0.35">
      <c r="B87" s="199" t="s">
        <v>384</v>
      </c>
      <c r="C87" s="1200">
        <v>6421003401</v>
      </c>
      <c r="D87" s="200" t="s">
        <v>498</v>
      </c>
      <c r="E87" s="201" t="s">
        <v>493</v>
      </c>
      <c r="F87" s="1248">
        <v>8200560</v>
      </c>
      <c r="G87" s="1248">
        <v>8200560</v>
      </c>
      <c r="H87" s="1248">
        <v>8200560</v>
      </c>
      <c r="I87" s="1248">
        <v>8200560</v>
      </c>
      <c r="J87" s="1248">
        <v>8200560</v>
      </c>
      <c r="K87" s="1248">
        <v>8200560</v>
      </c>
      <c r="L87" s="1248">
        <v>8200560</v>
      </c>
      <c r="M87" s="1248">
        <v>8200560</v>
      </c>
      <c r="N87" s="1248">
        <v>8200560</v>
      </c>
      <c r="O87" s="1248">
        <v>8200560</v>
      </c>
      <c r="P87" s="1248">
        <v>8200560</v>
      </c>
      <c r="Q87" s="1248">
        <v>8200560</v>
      </c>
      <c r="R87" s="1003">
        <f t="shared" si="83"/>
        <v>98406720</v>
      </c>
      <c r="S87" s="17"/>
      <c r="T87" s="17"/>
      <c r="U87" s="17"/>
    </row>
    <row r="88" spans="2:21" x14ac:dyDescent="0.35">
      <c r="B88" s="203" t="s">
        <v>384</v>
      </c>
      <c r="C88" s="1201">
        <v>6421002703</v>
      </c>
      <c r="D88" s="205" t="s">
        <v>499</v>
      </c>
      <c r="E88" s="205" t="s">
        <v>491</v>
      </c>
      <c r="F88" s="1248">
        <v>7380923</v>
      </c>
      <c r="G88" s="1248">
        <v>6408185</v>
      </c>
      <c r="H88" s="1248">
        <v>7112677</v>
      </c>
      <c r="I88" s="1248">
        <v>8085415</v>
      </c>
      <c r="J88" s="1248">
        <v>6408185</v>
      </c>
      <c r="K88" s="1248">
        <v>8085415</v>
      </c>
      <c r="L88" s="1248">
        <v>7817169</v>
      </c>
      <c r="M88" s="1248">
        <v>7817169</v>
      </c>
      <c r="N88" s="1248">
        <v>7599045</v>
      </c>
      <c r="O88" s="1248">
        <v>7380923</v>
      </c>
      <c r="P88" s="1248">
        <v>8085415</v>
      </c>
      <c r="Q88" s="1248">
        <v>7817169</v>
      </c>
      <c r="R88" s="1199">
        <f t="shared" si="83"/>
        <v>89997690</v>
      </c>
      <c r="S88" s="17"/>
      <c r="T88" s="17"/>
      <c r="U88" s="17"/>
    </row>
    <row r="89" spans="2:21" x14ac:dyDescent="0.35">
      <c r="B89" s="190" t="s">
        <v>388</v>
      </c>
      <c r="C89" s="191"/>
      <c r="D89" s="192" t="s">
        <v>485</v>
      </c>
      <c r="E89" s="191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803"/>
      <c r="T89" s="803"/>
      <c r="U89" s="803"/>
    </row>
    <row r="90" spans="2:21" x14ac:dyDescent="0.35">
      <c r="B90" s="194" t="s">
        <v>388</v>
      </c>
      <c r="C90" s="195"/>
      <c r="D90" s="196" t="s">
        <v>486</v>
      </c>
      <c r="E90" s="195"/>
      <c r="F90" s="197">
        <f t="shared" ref="F90:Q90" si="84">SUM(F92:F99)</f>
        <v>0</v>
      </c>
      <c r="G90" s="197">
        <f t="shared" si="84"/>
        <v>0</v>
      </c>
      <c r="H90" s="197">
        <f t="shared" si="84"/>
        <v>0</v>
      </c>
      <c r="I90" s="197">
        <f t="shared" si="84"/>
        <v>0</v>
      </c>
      <c r="J90" s="197">
        <f t="shared" si="84"/>
        <v>0</v>
      </c>
      <c r="K90" s="197">
        <f t="shared" si="84"/>
        <v>0</v>
      </c>
      <c r="L90" s="197">
        <f t="shared" si="84"/>
        <v>0</v>
      </c>
      <c r="M90" s="197">
        <f t="shared" si="84"/>
        <v>0</v>
      </c>
      <c r="N90" s="197">
        <f t="shared" si="84"/>
        <v>0</v>
      </c>
      <c r="O90" s="197">
        <f t="shared" si="84"/>
        <v>0</v>
      </c>
      <c r="P90" s="197">
        <f t="shared" si="84"/>
        <v>0</v>
      </c>
      <c r="Q90" s="197">
        <f t="shared" si="84"/>
        <v>0</v>
      </c>
      <c r="R90" s="198">
        <f t="shared" ref="R90" si="85">SUM(F90:Q90)</f>
        <v>0</v>
      </c>
      <c r="S90" s="803"/>
      <c r="T90" s="803"/>
      <c r="U90" s="803"/>
    </row>
    <row r="91" spans="2:21" x14ac:dyDescent="0.35">
      <c r="B91" s="194" t="s">
        <v>388</v>
      </c>
      <c r="C91" s="195"/>
      <c r="D91" s="192" t="s">
        <v>487</v>
      </c>
      <c r="E91" s="195"/>
      <c r="F91" s="197">
        <f>IFERROR(SUM(F92:F99)/F89,0)</f>
        <v>0</v>
      </c>
      <c r="G91" s="197">
        <f t="shared" ref="G91" si="86">IFERROR(SUM(G92:G99)/G89,0)</f>
        <v>0</v>
      </c>
      <c r="H91" s="197">
        <f t="shared" ref="H91" si="87">IFERROR(SUM(H92:H99)/H89,0)</f>
        <v>0</v>
      </c>
      <c r="I91" s="197">
        <f t="shared" ref="I91" si="88">IFERROR(SUM(I92:I99)/I89,0)</f>
        <v>0</v>
      </c>
      <c r="J91" s="197">
        <f t="shared" ref="J91" si="89">IFERROR(SUM(J92:J99)/J89,0)</f>
        <v>0</v>
      </c>
      <c r="K91" s="197">
        <f t="shared" ref="K91" si="90">IFERROR(SUM(K92:K99)/K89,0)</f>
        <v>0</v>
      </c>
      <c r="L91" s="197">
        <f t="shared" ref="L91" si="91">IFERROR(SUM(L92:L99)/L89,0)</f>
        <v>0</v>
      </c>
      <c r="M91" s="197">
        <f t="shared" ref="M91" si="92">IFERROR(SUM(M92:M99)/M89,0)</f>
        <v>0</v>
      </c>
      <c r="N91" s="197">
        <f t="shared" ref="N91" si="93">IFERROR(SUM(N92:N99)/N89,0)</f>
        <v>0</v>
      </c>
      <c r="O91" s="197">
        <f t="shared" ref="O91" si="94">IFERROR(SUM(O92:O99)/O89,0)</f>
        <v>0</v>
      </c>
      <c r="P91" s="197">
        <f t="shared" ref="P91" si="95">IFERROR(SUM(P92:P99)/P89,0)</f>
        <v>0</v>
      </c>
      <c r="Q91" s="197">
        <f t="shared" ref="Q91" si="96">IFERROR(SUM(Q92:Q99)/Q89,0)</f>
        <v>0</v>
      </c>
      <c r="R91" s="198"/>
      <c r="S91" s="803"/>
      <c r="T91" s="803"/>
      <c r="U91" s="803"/>
    </row>
    <row r="92" spans="2:21" x14ac:dyDescent="0.35">
      <c r="B92" s="199" t="s">
        <v>388</v>
      </c>
      <c r="C92" s="1200">
        <v>6421002604</v>
      </c>
      <c r="D92" s="201" t="s">
        <v>488</v>
      </c>
      <c r="E92" s="201" t="s">
        <v>489</v>
      </c>
      <c r="F92" s="810">
        <v>0</v>
      </c>
      <c r="G92" s="810">
        <v>0</v>
      </c>
      <c r="H92" s="810">
        <v>0</v>
      </c>
      <c r="I92" s="810">
        <v>0</v>
      </c>
      <c r="J92" s="810">
        <v>0</v>
      </c>
      <c r="K92" s="810">
        <v>0</v>
      </c>
      <c r="L92" s="810">
        <v>0</v>
      </c>
      <c r="M92" s="810">
        <v>0</v>
      </c>
      <c r="N92" s="810">
        <v>0</v>
      </c>
      <c r="O92" s="810">
        <v>0</v>
      </c>
      <c r="P92" s="810">
        <v>0</v>
      </c>
      <c r="Q92" s="810">
        <v>0</v>
      </c>
      <c r="R92" s="1003">
        <f>SUM(F92:Q92)</f>
        <v>0</v>
      </c>
      <c r="S92" s="17"/>
      <c r="T92" s="17"/>
      <c r="U92" s="17"/>
    </row>
    <row r="93" spans="2:21" x14ac:dyDescent="0.35">
      <c r="B93" s="199" t="s">
        <v>388</v>
      </c>
      <c r="C93" s="1200">
        <v>6421002605</v>
      </c>
      <c r="D93" s="200" t="s">
        <v>490</v>
      </c>
      <c r="E93" s="201" t="s">
        <v>491</v>
      </c>
      <c r="F93" s="810">
        <v>0</v>
      </c>
      <c r="G93" s="810">
        <v>0</v>
      </c>
      <c r="H93" s="810">
        <v>0</v>
      </c>
      <c r="I93" s="810">
        <v>0</v>
      </c>
      <c r="J93" s="810">
        <v>0</v>
      </c>
      <c r="K93" s="810">
        <v>0</v>
      </c>
      <c r="L93" s="810">
        <v>0</v>
      </c>
      <c r="M93" s="810">
        <v>0</v>
      </c>
      <c r="N93" s="810">
        <v>0</v>
      </c>
      <c r="O93" s="810">
        <v>0</v>
      </c>
      <c r="P93" s="810">
        <v>0</v>
      </c>
      <c r="Q93" s="810">
        <v>0</v>
      </c>
      <c r="R93" s="1003">
        <f t="shared" ref="R93:R100" si="97">SUM(F93:Q93)</f>
        <v>0</v>
      </c>
      <c r="S93" s="17"/>
      <c r="T93" s="17"/>
      <c r="U93" s="17"/>
    </row>
    <row r="94" spans="2:21" x14ac:dyDescent="0.35">
      <c r="B94" s="199" t="s">
        <v>388</v>
      </c>
      <c r="C94" s="1200">
        <v>6421002802</v>
      </c>
      <c r="D94" s="201" t="s">
        <v>492</v>
      </c>
      <c r="E94" s="201" t="s">
        <v>493</v>
      </c>
      <c r="F94" s="810">
        <v>0</v>
      </c>
      <c r="G94" s="810">
        <v>0</v>
      </c>
      <c r="H94" s="810">
        <v>0</v>
      </c>
      <c r="I94" s="810">
        <v>0</v>
      </c>
      <c r="J94" s="810">
        <v>0</v>
      </c>
      <c r="K94" s="810">
        <v>0</v>
      </c>
      <c r="L94" s="810">
        <v>0</v>
      </c>
      <c r="M94" s="810">
        <v>0</v>
      </c>
      <c r="N94" s="810">
        <v>0</v>
      </c>
      <c r="O94" s="810">
        <v>0</v>
      </c>
      <c r="P94" s="810">
        <v>0</v>
      </c>
      <c r="Q94" s="810">
        <v>0</v>
      </c>
      <c r="R94" s="1003">
        <f t="shared" si="97"/>
        <v>0</v>
      </c>
      <c r="S94" s="17"/>
      <c r="T94" s="17"/>
      <c r="U94" s="17"/>
    </row>
    <row r="95" spans="2:21" x14ac:dyDescent="0.35">
      <c r="B95" s="199" t="s">
        <v>388</v>
      </c>
      <c r="C95" s="1200">
        <v>6421002806</v>
      </c>
      <c r="D95" s="200" t="s">
        <v>494</v>
      </c>
      <c r="E95" s="201" t="s">
        <v>491</v>
      </c>
      <c r="F95" s="810">
        <v>0</v>
      </c>
      <c r="G95" s="810">
        <v>0</v>
      </c>
      <c r="H95" s="810">
        <v>0</v>
      </c>
      <c r="I95" s="810">
        <v>0</v>
      </c>
      <c r="J95" s="810">
        <v>0</v>
      </c>
      <c r="K95" s="810">
        <v>0</v>
      </c>
      <c r="L95" s="810">
        <v>0</v>
      </c>
      <c r="M95" s="810">
        <v>0</v>
      </c>
      <c r="N95" s="810">
        <v>0</v>
      </c>
      <c r="O95" s="810">
        <v>0</v>
      </c>
      <c r="P95" s="810">
        <v>0</v>
      </c>
      <c r="Q95" s="810">
        <v>0</v>
      </c>
      <c r="R95" s="1003">
        <f t="shared" si="97"/>
        <v>0</v>
      </c>
      <c r="S95" s="17"/>
      <c r="T95" s="17"/>
      <c r="U95" s="17"/>
    </row>
    <row r="96" spans="2:21" x14ac:dyDescent="0.35">
      <c r="B96" s="199" t="s">
        <v>388</v>
      </c>
      <c r="C96" s="1200">
        <v>6421007202</v>
      </c>
      <c r="D96" s="201" t="s">
        <v>495</v>
      </c>
      <c r="E96" s="201" t="s">
        <v>493</v>
      </c>
      <c r="F96" s="810">
        <v>0</v>
      </c>
      <c r="G96" s="810">
        <v>0</v>
      </c>
      <c r="H96" s="810">
        <v>0</v>
      </c>
      <c r="I96" s="810">
        <v>0</v>
      </c>
      <c r="J96" s="810">
        <v>0</v>
      </c>
      <c r="K96" s="810">
        <v>0</v>
      </c>
      <c r="L96" s="810">
        <v>0</v>
      </c>
      <c r="M96" s="810">
        <v>0</v>
      </c>
      <c r="N96" s="810">
        <v>0</v>
      </c>
      <c r="O96" s="810">
        <v>0</v>
      </c>
      <c r="P96" s="810">
        <v>0</v>
      </c>
      <c r="Q96" s="810">
        <v>0</v>
      </c>
      <c r="R96" s="1003">
        <f t="shared" si="97"/>
        <v>0</v>
      </c>
      <c r="S96" s="17"/>
      <c r="T96" s="17"/>
      <c r="U96" s="17"/>
    </row>
    <row r="97" spans="2:21" x14ac:dyDescent="0.35">
      <c r="B97" s="199" t="s">
        <v>388</v>
      </c>
      <c r="C97" s="1200">
        <v>6421003202</v>
      </c>
      <c r="D97" s="200" t="s">
        <v>496</v>
      </c>
      <c r="E97" s="201" t="s">
        <v>493</v>
      </c>
      <c r="F97" s="810">
        <v>0</v>
      </c>
      <c r="G97" s="810">
        <v>0</v>
      </c>
      <c r="H97" s="810">
        <v>0</v>
      </c>
      <c r="I97" s="810">
        <v>0</v>
      </c>
      <c r="J97" s="810">
        <v>0</v>
      </c>
      <c r="K97" s="810">
        <v>0</v>
      </c>
      <c r="L97" s="810">
        <v>0</v>
      </c>
      <c r="M97" s="810">
        <v>0</v>
      </c>
      <c r="N97" s="810">
        <v>0</v>
      </c>
      <c r="O97" s="810">
        <v>0</v>
      </c>
      <c r="P97" s="810">
        <v>0</v>
      </c>
      <c r="Q97" s="810">
        <v>0</v>
      </c>
      <c r="R97" s="1003">
        <f t="shared" si="97"/>
        <v>0</v>
      </c>
      <c r="S97" s="17"/>
      <c r="T97" s="17"/>
      <c r="U97" s="17"/>
    </row>
    <row r="98" spans="2:21" x14ac:dyDescent="0.35">
      <c r="B98" s="199" t="s">
        <v>388</v>
      </c>
      <c r="C98" s="1200">
        <v>6421002603</v>
      </c>
      <c r="D98" s="201" t="s">
        <v>497</v>
      </c>
      <c r="E98" s="201" t="s">
        <v>491</v>
      </c>
      <c r="F98" s="810">
        <v>0</v>
      </c>
      <c r="G98" s="810">
        <v>0</v>
      </c>
      <c r="H98" s="810">
        <v>0</v>
      </c>
      <c r="I98" s="810">
        <v>0</v>
      </c>
      <c r="J98" s="810">
        <v>0</v>
      </c>
      <c r="K98" s="810">
        <v>0</v>
      </c>
      <c r="L98" s="810">
        <v>0</v>
      </c>
      <c r="M98" s="810">
        <v>0</v>
      </c>
      <c r="N98" s="810">
        <v>0</v>
      </c>
      <c r="O98" s="810">
        <v>0</v>
      </c>
      <c r="P98" s="810">
        <v>0</v>
      </c>
      <c r="Q98" s="810">
        <v>0</v>
      </c>
      <c r="R98" s="1003">
        <f t="shared" si="97"/>
        <v>0</v>
      </c>
      <c r="S98" s="17"/>
      <c r="T98" s="17"/>
      <c r="U98" s="17"/>
    </row>
    <row r="99" spans="2:21" x14ac:dyDescent="0.35">
      <c r="B99" s="199" t="s">
        <v>388</v>
      </c>
      <c r="C99" s="1200">
        <v>6421003401</v>
      </c>
      <c r="D99" s="200" t="s">
        <v>498</v>
      </c>
      <c r="E99" s="201" t="s">
        <v>493</v>
      </c>
      <c r="F99" s="810">
        <v>0</v>
      </c>
      <c r="G99" s="810">
        <v>0</v>
      </c>
      <c r="H99" s="810">
        <v>0</v>
      </c>
      <c r="I99" s="810">
        <v>0</v>
      </c>
      <c r="J99" s="810">
        <v>0</v>
      </c>
      <c r="K99" s="810">
        <v>0</v>
      </c>
      <c r="L99" s="810">
        <v>0</v>
      </c>
      <c r="M99" s="810">
        <v>0</v>
      </c>
      <c r="N99" s="810">
        <v>0</v>
      </c>
      <c r="O99" s="810">
        <v>0</v>
      </c>
      <c r="P99" s="810">
        <v>0</v>
      </c>
      <c r="Q99" s="810">
        <v>0</v>
      </c>
      <c r="R99" s="1003">
        <f t="shared" si="97"/>
        <v>0</v>
      </c>
      <c r="S99" s="17"/>
      <c r="T99" s="17"/>
      <c r="U99" s="17"/>
    </row>
    <row r="100" spans="2:21" x14ac:dyDescent="0.35">
      <c r="B100" s="203" t="s">
        <v>388</v>
      </c>
      <c r="C100" s="1201">
        <v>6421002703</v>
      </c>
      <c r="D100" s="205" t="s">
        <v>499</v>
      </c>
      <c r="E100" s="205" t="s">
        <v>491</v>
      </c>
      <c r="F100" s="810">
        <v>0</v>
      </c>
      <c r="G100" s="810">
        <v>0</v>
      </c>
      <c r="H100" s="810">
        <v>0</v>
      </c>
      <c r="I100" s="810">
        <v>0</v>
      </c>
      <c r="J100" s="810">
        <v>0</v>
      </c>
      <c r="K100" s="810">
        <v>0</v>
      </c>
      <c r="L100" s="810">
        <v>0</v>
      </c>
      <c r="M100" s="810">
        <v>0</v>
      </c>
      <c r="N100" s="810">
        <v>0</v>
      </c>
      <c r="O100" s="810">
        <v>0</v>
      </c>
      <c r="P100" s="810">
        <v>0</v>
      </c>
      <c r="Q100" s="810">
        <v>0</v>
      </c>
      <c r="R100" s="1199">
        <f t="shared" si="97"/>
        <v>0</v>
      </c>
      <c r="S100" s="17"/>
      <c r="T100" s="17"/>
      <c r="U100" s="17"/>
    </row>
    <row r="101" spans="2:21" x14ac:dyDescent="0.35">
      <c r="B101" s="190" t="s">
        <v>389</v>
      </c>
      <c r="C101" s="191"/>
      <c r="D101" s="192" t="s">
        <v>485</v>
      </c>
      <c r="E101" s="191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803"/>
      <c r="T101" s="803"/>
      <c r="U101" s="803"/>
    </row>
    <row r="102" spans="2:21" x14ac:dyDescent="0.35">
      <c r="B102" s="194" t="s">
        <v>389</v>
      </c>
      <c r="C102" s="195"/>
      <c r="D102" s="196" t="s">
        <v>486</v>
      </c>
      <c r="E102" s="195"/>
      <c r="F102" s="197">
        <f t="shared" ref="F102:Q102" si="98">SUM(F104:F111)</f>
        <v>0</v>
      </c>
      <c r="G102" s="197">
        <f t="shared" si="98"/>
        <v>0</v>
      </c>
      <c r="H102" s="197">
        <f t="shared" si="98"/>
        <v>0</v>
      </c>
      <c r="I102" s="197">
        <f t="shared" si="98"/>
        <v>0</v>
      </c>
      <c r="J102" s="197">
        <f t="shared" si="98"/>
        <v>0</v>
      </c>
      <c r="K102" s="197">
        <f t="shared" si="98"/>
        <v>0</v>
      </c>
      <c r="L102" s="197">
        <f t="shared" si="98"/>
        <v>0</v>
      </c>
      <c r="M102" s="197">
        <f t="shared" si="98"/>
        <v>0</v>
      </c>
      <c r="N102" s="197">
        <f t="shared" si="98"/>
        <v>0</v>
      </c>
      <c r="O102" s="197">
        <f t="shared" si="98"/>
        <v>0</v>
      </c>
      <c r="P102" s="197">
        <f t="shared" si="98"/>
        <v>0</v>
      </c>
      <c r="Q102" s="197">
        <f t="shared" si="98"/>
        <v>0</v>
      </c>
      <c r="R102" s="198">
        <f t="shared" ref="R102" si="99">SUM(F102:Q102)</f>
        <v>0</v>
      </c>
      <c r="S102" s="803"/>
      <c r="T102" s="803"/>
      <c r="U102" s="803"/>
    </row>
    <row r="103" spans="2:21" x14ac:dyDescent="0.35">
      <c r="B103" s="194" t="s">
        <v>389</v>
      </c>
      <c r="C103" s="195"/>
      <c r="D103" s="192" t="s">
        <v>487</v>
      </c>
      <c r="E103" s="195"/>
      <c r="F103" s="197">
        <f>IFERROR(SUM(F104:F111)/F101,0)</f>
        <v>0</v>
      </c>
      <c r="G103" s="197">
        <f t="shared" ref="G103" si="100">IFERROR(SUM(G104:G111)/G101,0)</f>
        <v>0</v>
      </c>
      <c r="H103" s="197">
        <f t="shared" ref="H103" si="101">IFERROR(SUM(H104:H111)/H101,0)</f>
        <v>0</v>
      </c>
      <c r="I103" s="197">
        <f t="shared" ref="I103" si="102">IFERROR(SUM(I104:I111)/I101,0)</f>
        <v>0</v>
      </c>
      <c r="J103" s="197">
        <f t="shared" ref="J103" si="103">IFERROR(SUM(J104:J111)/J101,0)</f>
        <v>0</v>
      </c>
      <c r="K103" s="197">
        <f t="shared" ref="K103" si="104">IFERROR(SUM(K104:K111)/K101,0)</f>
        <v>0</v>
      </c>
      <c r="L103" s="197">
        <f t="shared" ref="L103" si="105">IFERROR(SUM(L104:L111)/L101,0)</f>
        <v>0</v>
      </c>
      <c r="M103" s="197">
        <f t="shared" ref="M103" si="106">IFERROR(SUM(M104:M111)/M101,0)</f>
        <v>0</v>
      </c>
      <c r="N103" s="197">
        <f t="shared" ref="N103" si="107">IFERROR(SUM(N104:N111)/N101,0)</f>
        <v>0</v>
      </c>
      <c r="O103" s="197">
        <f t="shared" ref="O103" si="108">IFERROR(SUM(O104:O111)/O101,0)</f>
        <v>0</v>
      </c>
      <c r="P103" s="197">
        <f t="shared" ref="P103" si="109">IFERROR(SUM(P104:P111)/P101,0)</f>
        <v>0</v>
      </c>
      <c r="Q103" s="197">
        <f t="shared" ref="Q103" si="110">IFERROR(SUM(Q104:Q111)/Q101,0)</f>
        <v>0</v>
      </c>
      <c r="R103" s="198"/>
      <c r="S103" s="803"/>
      <c r="T103" s="803"/>
      <c r="U103" s="803"/>
    </row>
    <row r="104" spans="2:21" x14ac:dyDescent="0.35">
      <c r="B104" s="199" t="s">
        <v>389</v>
      </c>
      <c r="C104" s="1200">
        <v>6421002604</v>
      </c>
      <c r="D104" s="201" t="s">
        <v>488</v>
      </c>
      <c r="E104" s="201" t="s">
        <v>489</v>
      </c>
      <c r="F104" s="810">
        <v>0</v>
      </c>
      <c r="G104" s="810">
        <v>0</v>
      </c>
      <c r="H104" s="810">
        <v>0</v>
      </c>
      <c r="I104" s="810">
        <v>0</v>
      </c>
      <c r="J104" s="810">
        <v>0</v>
      </c>
      <c r="K104" s="810">
        <v>0</v>
      </c>
      <c r="L104" s="810">
        <v>0</v>
      </c>
      <c r="M104" s="810">
        <v>0</v>
      </c>
      <c r="N104" s="810">
        <v>0</v>
      </c>
      <c r="O104" s="810">
        <v>0</v>
      </c>
      <c r="P104" s="810">
        <v>0</v>
      </c>
      <c r="Q104" s="810">
        <v>0</v>
      </c>
      <c r="R104" s="1003">
        <f>SUM(F104:Q104)</f>
        <v>0</v>
      </c>
      <c r="S104" s="17"/>
      <c r="T104" s="17"/>
      <c r="U104" s="17"/>
    </row>
    <row r="105" spans="2:21" x14ac:dyDescent="0.35">
      <c r="B105" s="199" t="s">
        <v>389</v>
      </c>
      <c r="C105" s="1200">
        <v>6421002605</v>
      </c>
      <c r="D105" s="200" t="s">
        <v>490</v>
      </c>
      <c r="E105" s="201" t="s">
        <v>491</v>
      </c>
      <c r="F105" s="810">
        <v>0</v>
      </c>
      <c r="G105" s="810">
        <v>0</v>
      </c>
      <c r="H105" s="810">
        <v>0</v>
      </c>
      <c r="I105" s="810">
        <v>0</v>
      </c>
      <c r="J105" s="810">
        <v>0</v>
      </c>
      <c r="K105" s="810">
        <v>0</v>
      </c>
      <c r="L105" s="810">
        <v>0</v>
      </c>
      <c r="M105" s="810">
        <v>0</v>
      </c>
      <c r="N105" s="810">
        <v>0</v>
      </c>
      <c r="O105" s="810">
        <v>0</v>
      </c>
      <c r="P105" s="810">
        <v>0</v>
      </c>
      <c r="Q105" s="810">
        <v>0</v>
      </c>
      <c r="R105" s="1003">
        <f t="shared" ref="R105:R112" si="111">SUM(F105:Q105)</f>
        <v>0</v>
      </c>
      <c r="S105" s="17"/>
      <c r="T105" s="17"/>
      <c r="U105" s="17"/>
    </row>
    <row r="106" spans="2:21" x14ac:dyDescent="0.35">
      <c r="B106" s="199" t="s">
        <v>389</v>
      </c>
      <c r="C106" s="1200">
        <v>6421002802</v>
      </c>
      <c r="D106" s="201" t="s">
        <v>492</v>
      </c>
      <c r="E106" s="201" t="s">
        <v>493</v>
      </c>
      <c r="F106" s="810">
        <v>0</v>
      </c>
      <c r="G106" s="810">
        <v>0</v>
      </c>
      <c r="H106" s="810">
        <v>0</v>
      </c>
      <c r="I106" s="810">
        <v>0</v>
      </c>
      <c r="J106" s="810">
        <v>0</v>
      </c>
      <c r="K106" s="810">
        <v>0</v>
      </c>
      <c r="L106" s="810">
        <v>0</v>
      </c>
      <c r="M106" s="810">
        <v>0</v>
      </c>
      <c r="N106" s="810">
        <v>0</v>
      </c>
      <c r="O106" s="810">
        <v>0</v>
      </c>
      <c r="P106" s="810">
        <v>0</v>
      </c>
      <c r="Q106" s="810">
        <v>0</v>
      </c>
      <c r="R106" s="1003">
        <f t="shared" si="111"/>
        <v>0</v>
      </c>
      <c r="S106" s="17"/>
      <c r="T106" s="17"/>
      <c r="U106" s="17"/>
    </row>
    <row r="107" spans="2:21" x14ac:dyDescent="0.35">
      <c r="B107" s="199" t="s">
        <v>389</v>
      </c>
      <c r="C107" s="1200">
        <v>6421002806</v>
      </c>
      <c r="D107" s="200" t="s">
        <v>494</v>
      </c>
      <c r="E107" s="201" t="s">
        <v>491</v>
      </c>
      <c r="F107" s="810">
        <v>0</v>
      </c>
      <c r="G107" s="810">
        <v>0</v>
      </c>
      <c r="H107" s="810">
        <v>0</v>
      </c>
      <c r="I107" s="810">
        <v>0</v>
      </c>
      <c r="J107" s="810">
        <v>0</v>
      </c>
      <c r="K107" s="810">
        <v>0</v>
      </c>
      <c r="L107" s="810">
        <v>0</v>
      </c>
      <c r="M107" s="810">
        <v>0</v>
      </c>
      <c r="N107" s="810">
        <v>0</v>
      </c>
      <c r="O107" s="810">
        <v>0</v>
      </c>
      <c r="P107" s="810">
        <v>0</v>
      </c>
      <c r="Q107" s="810">
        <v>0</v>
      </c>
      <c r="R107" s="1003">
        <f t="shared" si="111"/>
        <v>0</v>
      </c>
      <c r="S107" s="17"/>
      <c r="T107" s="17"/>
      <c r="U107" s="17"/>
    </row>
    <row r="108" spans="2:21" x14ac:dyDescent="0.35">
      <c r="B108" s="199" t="s">
        <v>389</v>
      </c>
      <c r="C108" s="1200">
        <v>6421007202</v>
      </c>
      <c r="D108" s="201" t="s">
        <v>495</v>
      </c>
      <c r="E108" s="201" t="s">
        <v>493</v>
      </c>
      <c r="F108" s="810">
        <v>0</v>
      </c>
      <c r="G108" s="810">
        <v>0</v>
      </c>
      <c r="H108" s="810">
        <v>0</v>
      </c>
      <c r="I108" s="810">
        <v>0</v>
      </c>
      <c r="J108" s="810">
        <v>0</v>
      </c>
      <c r="K108" s="810">
        <v>0</v>
      </c>
      <c r="L108" s="810">
        <v>0</v>
      </c>
      <c r="M108" s="810">
        <v>0</v>
      </c>
      <c r="N108" s="810">
        <v>0</v>
      </c>
      <c r="O108" s="810">
        <v>0</v>
      </c>
      <c r="P108" s="810">
        <v>0</v>
      </c>
      <c r="Q108" s="810">
        <v>0</v>
      </c>
      <c r="R108" s="1003">
        <f t="shared" si="111"/>
        <v>0</v>
      </c>
      <c r="S108" s="17"/>
      <c r="T108" s="17"/>
      <c r="U108" s="17"/>
    </row>
    <row r="109" spans="2:21" x14ac:dyDescent="0.35">
      <c r="B109" s="199" t="s">
        <v>389</v>
      </c>
      <c r="C109" s="1200">
        <v>6421003202</v>
      </c>
      <c r="D109" s="200" t="s">
        <v>496</v>
      </c>
      <c r="E109" s="201" t="s">
        <v>493</v>
      </c>
      <c r="F109" s="810">
        <v>0</v>
      </c>
      <c r="G109" s="810">
        <v>0</v>
      </c>
      <c r="H109" s="810">
        <v>0</v>
      </c>
      <c r="I109" s="810">
        <v>0</v>
      </c>
      <c r="J109" s="810">
        <v>0</v>
      </c>
      <c r="K109" s="810">
        <v>0</v>
      </c>
      <c r="L109" s="810">
        <v>0</v>
      </c>
      <c r="M109" s="810">
        <v>0</v>
      </c>
      <c r="N109" s="810">
        <v>0</v>
      </c>
      <c r="O109" s="810">
        <v>0</v>
      </c>
      <c r="P109" s="810">
        <v>0</v>
      </c>
      <c r="Q109" s="810">
        <v>0</v>
      </c>
      <c r="R109" s="1003">
        <f t="shared" si="111"/>
        <v>0</v>
      </c>
      <c r="S109" s="17"/>
      <c r="T109" s="17"/>
      <c r="U109" s="17"/>
    </row>
    <row r="110" spans="2:21" x14ac:dyDescent="0.35">
      <c r="B110" s="199" t="s">
        <v>389</v>
      </c>
      <c r="C110" s="1200">
        <v>6421002603</v>
      </c>
      <c r="D110" s="201" t="s">
        <v>497</v>
      </c>
      <c r="E110" s="201" t="s">
        <v>491</v>
      </c>
      <c r="F110" s="810">
        <v>0</v>
      </c>
      <c r="G110" s="810">
        <v>0</v>
      </c>
      <c r="H110" s="810">
        <v>0</v>
      </c>
      <c r="I110" s="810">
        <v>0</v>
      </c>
      <c r="J110" s="810">
        <v>0</v>
      </c>
      <c r="K110" s="810">
        <v>0</v>
      </c>
      <c r="L110" s="810">
        <v>0</v>
      </c>
      <c r="M110" s="810">
        <v>0</v>
      </c>
      <c r="N110" s="810">
        <v>0</v>
      </c>
      <c r="O110" s="810">
        <v>0</v>
      </c>
      <c r="P110" s="810">
        <v>0</v>
      </c>
      <c r="Q110" s="810">
        <v>0</v>
      </c>
      <c r="R110" s="1003">
        <f t="shared" si="111"/>
        <v>0</v>
      </c>
      <c r="S110" s="17"/>
      <c r="T110" s="17"/>
      <c r="U110" s="17"/>
    </row>
    <row r="111" spans="2:21" x14ac:dyDescent="0.35">
      <c r="B111" s="199" t="s">
        <v>389</v>
      </c>
      <c r="C111" s="1200">
        <v>6421003401</v>
      </c>
      <c r="D111" s="200" t="s">
        <v>498</v>
      </c>
      <c r="E111" s="201" t="s">
        <v>493</v>
      </c>
      <c r="F111" s="810">
        <v>0</v>
      </c>
      <c r="G111" s="810">
        <v>0</v>
      </c>
      <c r="H111" s="810">
        <v>0</v>
      </c>
      <c r="I111" s="810">
        <v>0</v>
      </c>
      <c r="J111" s="810">
        <v>0</v>
      </c>
      <c r="K111" s="810">
        <v>0</v>
      </c>
      <c r="L111" s="810">
        <v>0</v>
      </c>
      <c r="M111" s="810">
        <v>0</v>
      </c>
      <c r="N111" s="810">
        <v>0</v>
      </c>
      <c r="O111" s="810">
        <v>0</v>
      </c>
      <c r="P111" s="810">
        <v>0</v>
      </c>
      <c r="Q111" s="810">
        <v>0</v>
      </c>
      <c r="R111" s="1003">
        <f t="shared" si="111"/>
        <v>0</v>
      </c>
      <c r="S111" s="17"/>
      <c r="T111" s="17"/>
      <c r="U111" s="17"/>
    </row>
    <row r="112" spans="2:21" x14ac:dyDescent="0.35">
      <c r="B112" s="203" t="s">
        <v>389</v>
      </c>
      <c r="C112" s="1201">
        <v>6421002703</v>
      </c>
      <c r="D112" s="205" t="s">
        <v>499</v>
      </c>
      <c r="E112" s="205" t="s">
        <v>491</v>
      </c>
      <c r="F112" s="810">
        <v>0</v>
      </c>
      <c r="G112" s="810">
        <v>0</v>
      </c>
      <c r="H112" s="810">
        <v>0</v>
      </c>
      <c r="I112" s="810">
        <v>0</v>
      </c>
      <c r="J112" s="810">
        <v>0</v>
      </c>
      <c r="K112" s="810">
        <v>0</v>
      </c>
      <c r="L112" s="810">
        <v>0</v>
      </c>
      <c r="M112" s="810">
        <v>0</v>
      </c>
      <c r="N112" s="810">
        <v>0</v>
      </c>
      <c r="O112" s="810">
        <v>0</v>
      </c>
      <c r="P112" s="810">
        <v>0</v>
      </c>
      <c r="Q112" s="810">
        <v>0</v>
      </c>
      <c r="R112" s="1199">
        <f t="shared" si="111"/>
        <v>0</v>
      </c>
      <c r="S112" s="17"/>
      <c r="T112" s="17"/>
      <c r="U112" s="17"/>
    </row>
    <row r="113" spans="2:21" x14ac:dyDescent="0.35">
      <c r="B113" s="190" t="s">
        <v>390</v>
      </c>
      <c r="C113" s="191"/>
      <c r="D113" s="192" t="s">
        <v>485</v>
      </c>
      <c r="E113" s="191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803"/>
      <c r="T113" s="803"/>
      <c r="U113" s="803"/>
    </row>
    <row r="114" spans="2:21" x14ac:dyDescent="0.35">
      <c r="B114" s="194" t="s">
        <v>390</v>
      </c>
      <c r="C114" s="195"/>
      <c r="D114" s="196" t="s">
        <v>486</v>
      </c>
      <c r="E114" s="195"/>
      <c r="F114" s="197">
        <f t="shared" ref="F114:Q114" si="112">SUM(F116:F123)</f>
        <v>0</v>
      </c>
      <c r="G114" s="197">
        <f t="shared" si="112"/>
        <v>0</v>
      </c>
      <c r="H114" s="197">
        <f t="shared" si="112"/>
        <v>0</v>
      </c>
      <c r="I114" s="197">
        <f t="shared" si="112"/>
        <v>0</v>
      </c>
      <c r="J114" s="197">
        <f t="shared" si="112"/>
        <v>0</v>
      </c>
      <c r="K114" s="197">
        <f t="shared" si="112"/>
        <v>0</v>
      </c>
      <c r="L114" s="197">
        <f t="shared" si="112"/>
        <v>0</v>
      </c>
      <c r="M114" s="197">
        <f t="shared" si="112"/>
        <v>0</v>
      </c>
      <c r="N114" s="197">
        <f t="shared" si="112"/>
        <v>0</v>
      </c>
      <c r="O114" s="197">
        <f t="shared" si="112"/>
        <v>0</v>
      </c>
      <c r="P114" s="197">
        <f t="shared" si="112"/>
        <v>0</v>
      </c>
      <c r="Q114" s="197">
        <f t="shared" si="112"/>
        <v>0</v>
      </c>
      <c r="R114" s="198">
        <f t="shared" ref="R114" si="113">SUM(F114:Q114)</f>
        <v>0</v>
      </c>
      <c r="S114" s="803"/>
      <c r="T114" s="803"/>
      <c r="U114" s="803"/>
    </row>
    <row r="115" spans="2:21" x14ac:dyDescent="0.35">
      <c r="B115" s="194" t="s">
        <v>390</v>
      </c>
      <c r="C115" s="195"/>
      <c r="D115" s="192" t="s">
        <v>487</v>
      </c>
      <c r="E115" s="195"/>
      <c r="F115" s="197">
        <f>IFERROR(SUM(F116:F123)/F113,0)</f>
        <v>0</v>
      </c>
      <c r="G115" s="197">
        <f t="shared" ref="G115" si="114">IFERROR(SUM(G116:G123)/G113,0)</f>
        <v>0</v>
      </c>
      <c r="H115" s="197">
        <f t="shared" ref="H115" si="115">IFERROR(SUM(H116:H123)/H113,0)</f>
        <v>0</v>
      </c>
      <c r="I115" s="197">
        <f t="shared" ref="I115" si="116">IFERROR(SUM(I116:I123)/I113,0)</f>
        <v>0</v>
      </c>
      <c r="J115" s="197">
        <f t="shared" ref="J115" si="117">IFERROR(SUM(J116:J123)/J113,0)</f>
        <v>0</v>
      </c>
      <c r="K115" s="197">
        <f t="shared" ref="K115" si="118">IFERROR(SUM(K116:K123)/K113,0)</f>
        <v>0</v>
      </c>
      <c r="L115" s="197">
        <f t="shared" ref="L115" si="119">IFERROR(SUM(L116:L123)/L113,0)</f>
        <v>0</v>
      </c>
      <c r="M115" s="197">
        <f t="shared" ref="M115" si="120">IFERROR(SUM(M116:M123)/M113,0)</f>
        <v>0</v>
      </c>
      <c r="N115" s="197">
        <f t="shared" ref="N115" si="121">IFERROR(SUM(N116:N123)/N113,0)</f>
        <v>0</v>
      </c>
      <c r="O115" s="197">
        <f t="shared" ref="O115" si="122">IFERROR(SUM(O116:O123)/O113,0)</f>
        <v>0</v>
      </c>
      <c r="P115" s="197">
        <f t="shared" ref="P115" si="123">IFERROR(SUM(P116:P123)/P113,0)</f>
        <v>0</v>
      </c>
      <c r="Q115" s="197">
        <f t="shared" ref="Q115" si="124">IFERROR(SUM(Q116:Q123)/Q113,0)</f>
        <v>0</v>
      </c>
      <c r="R115" s="198"/>
      <c r="S115" s="803"/>
      <c r="T115" s="803"/>
      <c r="U115" s="803"/>
    </row>
    <row r="116" spans="2:21" x14ac:dyDescent="0.35">
      <c r="B116" s="199" t="s">
        <v>390</v>
      </c>
      <c r="C116" s="1200">
        <v>6421002604</v>
      </c>
      <c r="D116" s="201" t="s">
        <v>488</v>
      </c>
      <c r="E116" s="201" t="s">
        <v>489</v>
      </c>
      <c r="F116" s="810">
        <v>0</v>
      </c>
      <c r="G116" s="810">
        <v>0</v>
      </c>
      <c r="H116" s="810">
        <v>0</v>
      </c>
      <c r="I116" s="810">
        <v>0</v>
      </c>
      <c r="J116" s="810">
        <v>0</v>
      </c>
      <c r="K116" s="810">
        <v>0</v>
      </c>
      <c r="L116" s="810">
        <v>0</v>
      </c>
      <c r="M116" s="810">
        <v>0</v>
      </c>
      <c r="N116" s="810">
        <v>0</v>
      </c>
      <c r="O116" s="810">
        <v>0</v>
      </c>
      <c r="P116" s="810">
        <v>0</v>
      </c>
      <c r="Q116" s="810">
        <v>0</v>
      </c>
      <c r="R116" s="1003">
        <f>SUM(F116:Q116)</f>
        <v>0</v>
      </c>
      <c r="S116" s="17"/>
      <c r="T116" s="17"/>
      <c r="U116" s="17"/>
    </row>
    <row r="117" spans="2:21" x14ac:dyDescent="0.35">
      <c r="B117" s="199" t="s">
        <v>390</v>
      </c>
      <c r="C117" s="1200">
        <v>6421002605</v>
      </c>
      <c r="D117" s="200" t="s">
        <v>490</v>
      </c>
      <c r="E117" s="201" t="s">
        <v>491</v>
      </c>
      <c r="F117" s="810">
        <v>0</v>
      </c>
      <c r="G117" s="810">
        <v>0</v>
      </c>
      <c r="H117" s="810">
        <v>0</v>
      </c>
      <c r="I117" s="810">
        <v>0</v>
      </c>
      <c r="J117" s="810">
        <v>0</v>
      </c>
      <c r="K117" s="810">
        <v>0</v>
      </c>
      <c r="L117" s="810">
        <v>0</v>
      </c>
      <c r="M117" s="810">
        <v>0</v>
      </c>
      <c r="N117" s="810">
        <v>0</v>
      </c>
      <c r="O117" s="810">
        <v>0</v>
      </c>
      <c r="P117" s="810">
        <v>0</v>
      </c>
      <c r="Q117" s="810">
        <v>0</v>
      </c>
      <c r="R117" s="1003">
        <f t="shared" ref="R117:R124" si="125">SUM(F117:Q117)</f>
        <v>0</v>
      </c>
      <c r="S117" s="17"/>
      <c r="T117" s="17"/>
      <c r="U117" s="17"/>
    </row>
    <row r="118" spans="2:21" x14ac:dyDescent="0.35">
      <c r="B118" s="199" t="s">
        <v>390</v>
      </c>
      <c r="C118" s="1200">
        <v>6421002802</v>
      </c>
      <c r="D118" s="201" t="s">
        <v>492</v>
      </c>
      <c r="E118" s="201" t="s">
        <v>493</v>
      </c>
      <c r="F118" s="810">
        <v>0</v>
      </c>
      <c r="G118" s="810">
        <v>0</v>
      </c>
      <c r="H118" s="810">
        <v>0</v>
      </c>
      <c r="I118" s="810">
        <v>0</v>
      </c>
      <c r="J118" s="810">
        <v>0</v>
      </c>
      <c r="K118" s="810">
        <v>0</v>
      </c>
      <c r="L118" s="810">
        <v>0</v>
      </c>
      <c r="M118" s="810">
        <v>0</v>
      </c>
      <c r="N118" s="810">
        <v>0</v>
      </c>
      <c r="O118" s="810">
        <v>0</v>
      </c>
      <c r="P118" s="810">
        <v>0</v>
      </c>
      <c r="Q118" s="810">
        <v>0</v>
      </c>
      <c r="R118" s="1003">
        <f t="shared" si="125"/>
        <v>0</v>
      </c>
      <c r="S118" s="17"/>
      <c r="T118" s="17"/>
      <c r="U118" s="17"/>
    </row>
    <row r="119" spans="2:21" x14ac:dyDescent="0.35">
      <c r="B119" s="199" t="s">
        <v>390</v>
      </c>
      <c r="C119" s="1200">
        <v>6421002806</v>
      </c>
      <c r="D119" s="200" t="s">
        <v>494</v>
      </c>
      <c r="E119" s="201" t="s">
        <v>491</v>
      </c>
      <c r="F119" s="810">
        <v>0</v>
      </c>
      <c r="G119" s="810">
        <v>0</v>
      </c>
      <c r="H119" s="810">
        <v>0</v>
      </c>
      <c r="I119" s="810">
        <v>0</v>
      </c>
      <c r="J119" s="810">
        <v>0</v>
      </c>
      <c r="K119" s="810">
        <v>0</v>
      </c>
      <c r="L119" s="810">
        <v>0</v>
      </c>
      <c r="M119" s="810">
        <v>0</v>
      </c>
      <c r="N119" s="810">
        <v>0</v>
      </c>
      <c r="O119" s="810">
        <v>0</v>
      </c>
      <c r="P119" s="810">
        <v>0</v>
      </c>
      <c r="Q119" s="810">
        <v>0</v>
      </c>
      <c r="R119" s="1003">
        <f t="shared" si="125"/>
        <v>0</v>
      </c>
      <c r="S119" s="17"/>
      <c r="T119" s="17"/>
      <c r="U119" s="17"/>
    </row>
    <row r="120" spans="2:21" x14ac:dyDescent="0.35">
      <c r="B120" s="199" t="s">
        <v>390</v>
      </c>
      <c r="C120" s="1200">
        <v>6421007202</v>
      </c>
      <c r="D120" s="201" t="s">
        <v>495</v>
      </c>
      <c r="E120" s="201" t="s">
        <v>493</v>
      </c>
      <c r="F120" s="810">
        <v>0</v>
      </c>
      <c r="G120" s="810">
        <v>0</v>
      </c>
      <c r="H120" s="810">
        <v>0</v>
      </c>
      <c r="I120" s="810">
        <v>0</v>
      </c>
      <c r="J120" s="810">
        <v>0</v>
      </c>
      <c r="K120" s="810">
        <v>0</v>
      </c>
      <c r="L120" s="810">
        <v>0</v>
      </c>
      <c r="M120" s="810">
        <v>0</v>
      </c>
      <c r="N120" s="810">
        <v>0</v>
      </c>
      <c r="O120" s="810">
        <v>0</v>
      </c>
      <c r="P120" s="810">
        <v>0</v>
      </c>
      <c r="Q120" s="810">
        <v>0</v>
      </c>
      <c r="R120" s="1003">
        <f t="shared" si="125"/>
        <v>0</v>
      </c>
      <c r="S120" s="17"/>
      <c r="T120" s="17"/>
      <c r="U120" s="17"/>
    </row>
    <row r="121" spans="2:21" x14ac:dyDescent="0.35">
      <c r="B121" s="199" t="s">
        <v>390</v>
      </c>
      <c r="C121" s="1200">
        <v>6421003202</v>
      </c>
      <c r="D121" s="200" t="s">
        <v>496</v>
      </c>
      <c r="E121" s="201" t="s">
        <v>493</v>
      </c>
      <c r="F121" s="810">
        <v>0</v>
      </c>
      <c r="G121" s="810">
        <v>0</v>
      </c>
      <c r="H121" s="810">
        <v>0</v>
      </c>
      <c r="I121" s="810">
        <v>0</v>
      </c>
      <c r="J121" s="810">
        <v>0</v>
      </c>
      <c r="K121" s="810">
        <v>0</v>
      </c>
      <c r="L121" s="810">
        <v>0</v>
      </c>
      <c r="M121" s="810">
        <v>0</v>
      </c>
      <c r="N121" s="810">
        <v>0</v>
      </c>
      <c r="O121" s="810">
        <v>0</v>
      </c>
      <c r="P121" s="810">
        <v>0</v>
      </c>
      <c r="Q121" s="810">
        <v>0</v>
      </c>
      <c r="R121" s="1003">
        <f t="shared" si="125"/>
        <v>0</v>
      </c>
      <c r="S121" s="17"/>
      <c r="T121" s="17"/>
      <c r="U121" s="17"/>
    </row>
    <row r="122" spans="2:21" x14ac:dyDescent="0.35">
      <c r="B122" s="199" t="s">
        <v>390</v>
      </c>
      <c r="C122" s="1200">
        <v>6421002603</v>
      </c>
      <c r="D122" s="201" t="s">
        <v>497</v>
      </c>
      <c r="E122" s="201" t="s">
        <v>491</v>
      </c>
      <c r="F122" s="810">
        <v>0</v>
      </c>
      <c r="G122" s="810">
        <v>0</v>
      </c>
      <c r="H122" s="810">
        <v>0</v>
      </c>
      <c r="I122" s="810">
        <v>0</v>
      </c>
      <c r="J122" s="810">
        <v>0</v>
      </c>
      <c r="K122" s="810">
        <v>0</v>
      </c>
      <c r="L122" s="810">
        <v>0</v>
      </c>
      <c r="M122" s="810">
        <v>0</v>
      </c>
      <c r="N122" s="810">
        <v>0</v>
      </c>
      <c r="O122" s="810">
        <v>0</v>
      </c>
      <c r="P122" s="810">
        <v>0</v>
      </c>
      <c r="Q122" s="810">
        <v>0</v>
      </c>
      <c r="R122" s="1003">
        <f t="shared" si="125"/>
        <v>0</v>
      </c>
      <c r="S122" s="17"/>
      <c r="T122" s="17"/>
      <c r="U122" s="17"/>
    </row>
    <row r="123" spans="2:21" x14ac:dyDescent="0.35">
      <c r="B123" s="199" t="s">
        <v>390</v>
      </c>
      <c r="C123" s="1200">
        <v>6421003401</v>
      </c>
      <c r="D123" s="200" t="s">
        <v>498</v>
      </c>
      <c r="E123" s="201" t="s">
        <v>493</v>
      </c>
      <c r="F123" s="810">
        <v>0</v>
      </c>
      <c r="G123" s="810">
        <v>0</v>
      </c>
      <c r="H123" s="810">
        <v>0</v>
      </c>
      <c r="I123" s="810">
        <v>0</v>
      </c>
      <c r="J123" s="810">
        <v>0</v>
      </c>
      <c r="K123" s="810">
        <v>0</v>
      </c>
      <c r="L123" s="810">
        <v>0</v>
      </c>
      <c r="M123" s="810">
        <v>0</v>
      </c>
      <c r="N123" s="810">
        <v>0</v>
      </c>
      <c r="O123" s="810">
        <v>0</v>
      </c>
      <c r="P123" s="810">
        <v>0</v>
      </c>
      <c r="Q123" s="810">
        <v>0</v>
      </c>
      <c r="R123" s="1003">
        <f t="shared" si="125"/>
        <v>0</v>
      </c>
      <c r="S123" s="17"/>
      <c r="T123" s="17"/>
      <c r="U123" s="17"/>
    </row>
    <row r="124" spans="2:21" x14ac:dyDescent="0.35">
      <c r="B124" s="203" t="s">
        <v>390</v>
      </c>
      <c r="C124" s="1201">
        <v>6421002703</v>
      </c>
      <c r="D124" s="205" t="s">
        <v>499</v>
      </c>
      <c r="E124" s="205" t="s">
        <v>491</v>
      </c>
      <c r="F124" s="810">
        <v>0</v>
      </c>
      <c r="G124" s="810">
        <v>0</v>
      </c>
      <c r="H124" s="810">
        <v>0</v>
      </c>
      <c r="I124" s="810">
        <v>0</v>
      </c>
      <c r="J124" s="810">
        <v>0</v>
      </c>
      <c r="K124" s="810">
        <v>0</v>
      </c>
      <c r="L124" s="810">
        <v>0</v>
      </c>
      <c r="M124" s="810">
        <v>0</v>
      </c>
      <c r="N124" s="810">
        <v>0</v>
      </c>
      <c r="O124" s="810">
        <v>0</v>
      </c>
      <c r="P124" s="810">
        <v>0</v>
      </c>
      <c r="Q124" s="810">
        <v>0</v>
      </c>
      <c r="R124" s="1199">
        <f t="shared" si="125"/>
        <v>0</v>
      </c>
      <c r="S124" s="17"/>
      <c r="T124" s="17"/>
      <c r="U124" s="17"/>
    </row>
    <row r="125" spans="2:21" x14ac:dyDescent="0.35">
      <c r="B125" s="190" t="s">
        <v>392</v>
      </c>
      <c r="C125" s="191"/>
      <c r="D125" s="192" t="s">
        <v>485</v>
      </c>
      <c r="E125" s="191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803"/>
      <c r="T125" s="803"/>
      <c r="U125" s="803"/>
    </row>
    <row r="126" spans="2:21" x14ac:dyDescent="0.35">
      <c r="B126" s="194" t="s">
        <v>392</v>
      </c>
      <c r="C126" s="195"/>
      <c r="D126" s="196" t="s">
        <v>500</v>
      </c>
      <c r="E126" s="195"/>
      <c r="F126" s="197">
        <f t="shared" ref="F126:Q126" si="126">SUM(F128:F135)</f>
        <v>0</v>
      </c>
      <c r="G126" s="197">
        <f t="shared" si="126"/>
        <v>0</v>
      </c>
      <c r="H126" s="197">
        <f t="shared" si="126"/>
        <v>0</v>
      </c>
      <c r="I126" s="197">
        <f t="shared" si="126"/>
        <v>0</v>
      </c>
      <c r="J126" s="197">
        <f t="shared" si="126"/>
        <v>0</v>
      </c>
      <c r="K126" s="197">
        <f t="shared" si="126"/>
        <v>0</v>
      </c>
      <c r="L126" s="197">
        <f t="shared" si="126"/>
        <v>0</v>
      </c>
      <c r="M126" s="197">
        <f t="shared" si="126"/>
        <v>0</v>
      </c>
      <c r="N126" s="197">
        <f t="shared" si="126"/>
        <v>0</v>
      </c>
      <c r="O126" s="197">
        <f t="shared" si="126"/>
        <v>0</v>
      </c>
      <c r="P126" s="197">
        <f t="shared" si="126"/>
        <v>0</v>
      </c>
      <c r="Q126" s="197">
        <f t="shared" si="126"/>
        <v>0</v>
      </c>
      <c r="R126" s="198">
        <f t="shared" ref="R126" si="127">SUM(F126:Q126)</f>
        <v>0</v>
      </c>
      <c r="S126" s="803"/>
      <c r="T126" s="803"/>
      <c r="U126" s="803"/>
    </row>
    <row r="127" spans="2:21" x14ac:dyDescent="0.35">
      <c r="B127" s="194" t="s">
        <v>392</v>
      </c>
      <c r="C127" s="195"/>
      <c r="D127" s="192" t="s">
        <v>487</v>
      </c>
      <c r="E127" s="195"/>
      <c r="F127" s="197">
        <f>IFERROR(SUM(F128:F135)/F125,0)</f>
        <v>0</v>
      </c>
      <c r="G127" s="197">
        <f t="shared" ref="G127" si="128">IFERROR(SUM(G128:G135)/G125,0)</f>
        <v>0</v>
      </c>
      <c r="H127" s="197">
        <f t="shared" ref="H127" si="129">IFERROR(SUM(H128:H135)/H125,0)</f>
        <v>0</v>
      </c>
      <c r="I127" s="197">
        <f t="shared" ref="I127" si="130">IFERROR(SUM(I128:I135)/I125,0)</f>
        <v>0</v>
      </c>
      <c r="J127" s="197">
        <f t="shared" ref="J127" si="131">IFERROR(SUM(J128:J135)/J125,0)</f>
        <v>0</v>
      </c>
      <c r="K127" s="197">
        <f t="shared" ref="K127" si="132">IFERROR(SUM(K128:K135)/K125,0)</f>
        <v>0</v>
      </c>
      <c r="L127" s="197">
        <f t="shared" ref="L127" si="133">IFERROR(SUM(L128:L135)/L125,0)</f>
        <v>0</v>
      </c>
      <c r="M127" s="197">
        <f t="shared" ref="M127" si="134">IFERROR(SUM(M128:M135)/M125,0)</f>
        <v>0</v>
      </c>
      <c r="N127" s="197">
        <f t="shared" ref="N127" si="135">IFERROR(SUM(N128:N135)/N125,0)</f>
        <v>0</v>
      </c>
      <c r="O127" s="197">
        <f t="shared" ref="O127" si="136">IFERROR(SUM(O128:O135)/O125,0)</f>
        <v>0</v>
      </c>
      <c r="P127" s="197">
        <f t="shared" ref="P127" si="137">IFERROR(SUM(P128:P135)/P125,0)</f>
        <v>0</v>
      </c>
      <c r="Q127" s="197">
        <f t="shared" ref="Q127" si="138">IFERROR(SUM(Q128:Q135)/Q125,0)</f>
        <v>0</v>
      </c>
      <c r="R127" s="198"/>
      <c r="S127" s="803"/>
      <c r="T127" s="803"/>
      <c r="U127" s="803"/>
    </row>
    <row r="128" spans="2:21" x14ac:dyDescent="0.35">
      <c r="B128" s="199" t="s">
        <v>392</v>
      </c>
      <c r="C128" s="1200">
        <v>6271002604</v>
      </c>
      <c r="D128" s="201" t="s">
        <v>488</v>
      </c>
      <c r="E128" s="201" t="s">
        <v>491</v>
      </c>
      <c r="F128" s="810">
        <v>0</v>
      </c>
      <c r="G128" s="810">
        <v>0</v>
      </c>
      <c r="H128" s="810">
        <v>0</v>
      </c>
      <c r="I128" s="810">
        <v>0</v>
      </c>
      <c r="J128" s="810">
        <v>0</v>
      </c>
      <c r="K128" s="810">
        <v>0</v>
      </c>
      <c r="L128" s="810">
        <v>0</v>
      </c>
      <c r="M128" s="810">
        <v>0</v>
      </c>
      <c r="N128" s="810">
        <v>0</v>
      </c>
      <c r="O128" s="810">
        <v>0</v>
      </c>
      <c r="P128" s="810">
        <v>0</v>
      </c>
      <c r="Q128" s="810">
        <v>0</v>
      </c>
      <c r="R128" s="1003">
        <f>SUM(F128:Q128)</f>
        <v>0</v>
      </c>
      <c r="S128" s="17"/>
      <c r="T128" s="17"/>
      <c r="U128" s="17"/>
    </row>
    <row r="129" spans="2:21" x14ac:dyDescent="0.35">
      <c r="B129" s="199" t="s">
        <v>392</v>
      </c>
      <c r="C129" s="1200">
        <v>6271002605</v>
      </c>
      <c r="D129" s="200" t="s">
        <v>490</v>
      </c>
      <c r="E129" s="201" t="s">
        <v>491</v>
      </c>
      <c r="F129" s="810">
        <v>0</v>
      </c>
      <c r="G129" s="810">
        <v>0</v>
      </c>
      <c r="H129" s="810">
        <v>0</v>
      </c>
      <c r="I129" s="810">
        <v>0</v>
      </c>
      <c r="J129" s="810">
        <v>0</v>
      </c>
      <c r="K129" s="810">
        <v>0</v>
      </c>
      <c r="L129" s="810">
        <v>0</v>
      </c>
      <c r="M129" s="810">
        <v>0</v>
      </c>
      <c r="N129" s="810">
        <v>0</v>
      </c>
      <c r="O129" s="810">
        <v>0</v>
      </c>
      <c r="P129" s="810">
        <v>0</v>
      </c>
      <c r="Q129" s="810">
        <v>0</v>
      </c>
      <c r="R129" s="1003">
        <f t="shared" ref="R129:R136" si="139">SUM(F129:Q129)</f>
        <v>0</v>
      </c>
      <c r="S129" s="17"/>
      <c r="T129" s="17"/>
      <c r="U129" s="17"/>
    </row>
    <row r="130" spans="2:21" x14ac:dyDescent="0.35">
      <c r="B130" s="199" t="s">
        <v>392</v>
      </c>
      <c r="C130" s="1200">
        <v>6271002802</v>
      </c>
      <c r="D130" s="201" t="s">
        <v>492</v>
      </c>
      <c r="E130" s="201" t="s">
        <v>493</v>
      </c>
      <c r="F130" s="810">
        <v>0</v>
      </c>
      <c r="G130" s="810">
        <v>0</v>
      </c>
      <c r="H130" s="810">
        <v>0</v>
      </c>
      <c r="I130" s="810">
        <v>0</v>
      </c>
      <c r="J130" s="810">
        <v>0</v>
      </c>
      <c r="K130" s="810">
        <v>0</v>
      </c>
      <c r="L130" s="810">
        <v>0</v>
      </c>
      <c r="M130" s="810">
        <v>0</v>
      </c>
      <c r="N130" s="810">
        <v>0</v>
      </c>
      <c r="O130" s="810">
        <v>0</v>
      </c>
      <c r="P130" s="810">
        <v>0</v>
      </c>
      <c r="Q130" s="810">
        <v>0</v>
      </c>
      <c r="R130" s="1003">
        <f t="shared" si="139"/>
        <v>0</v>
      </c>
      <c r="S130" s="17"/>
      <c r="T130" s="17"/>
      <c r="U130" s="17"/>
    </row>
    <row r="131" spans="2:21" x14ac:dyDescent="0.35">
      <c r="B131" s="199" t="s">
        <v>392</v>
      </c>
      <c r="C131" s="1200">
        <v>6271002806</v>
      </c>
      <c r="D131" s="200" t="s">
        <v>501</v>
      </c>
      <c r="E131" s="201" t="s">
        <v>491</v>
      </c>
      <c r="F131" s="810">
        <v>0</v>
      </c>
      <c r="G131" s="810">
        <v>0</v>
      </c>
      <c r="H131" s="810">
        <v>0</v>
      </c>
      <c r="I131" s="810">
        <v>0</v>
      </c>
      <c r="J131" s="810">
        <v>0</v>
      </c>
      <c r="K131" s="810">
        <v>0</v>
      </c>
      <c r="L131" s="810">
        <v>0</v>
      </c>
      <c r="M131" s="810">
        <v>0</v>
      </c>
      <c r="N131" s="810">
        <v>0</v>
      </c>
      <c r="O131" s="810">
        <v>0</v>
      </c>
      <c r="P131" s="810">
        <v>0</v>
      </c>
      <c r="Q131" s="810">
        <v>0</v>
      </c>
      <c r="R131" s="1003">
        <f t="shared" si="139"/>
        <v>0</v>
      </c>
      <c r="S131" s="17"/>
      <c r="T131" s="17"/>
      <c r="U131" s="17"/>
    </row>
    <row r="132" spans="2:21" x14ac:dyDescent="0.35">
      <c r="B132" s="199" t="s">
        <v>392</v>
      </c>
      <c r="C132" s="1200">
        <v>6271007202</v>
      </c>
      <c r="D132" s="201" t="s">
        <v>495</v>
      </c>
      <c r="E132" s="201" t="s">
        <v>493</v>
      </c>
      <c r="F132" s="810">
        <v>0</v>
      </c>
      <c r="G132" s="810">
        <v>0</v>
      </c>
      <c r="H132" s="810">
        <v>0</v>
      </c>
      <c r="I132" s="810">
        <v>0</v>
      </c>
      <c r="J132" s="810">
        <v>0</v>
      </c>
      <c r="K132" s="810">
        <v>0</v>
      </c>
      <c r="L132" s="810">
        <v>0</v>
      </c>
      <c r="M132" s="810">
        <v>0</v>
      </c>
      <c r="N132" s="810">
        <v>0</v>
      </c>
      <c r="O132" s="810">
        <v>0</v>
      </c>
      <c r="P132" s="810">
        <v>0</v>
      </c>
      <c r="Q132" s="810">
        <v>0</v>
      </c>
      <c r="R132" s="1003">
        <f t="shared" si="139"/>
        <v>0</v>
      </c>
      <c r="S132" s="17"/>
      <c r="T132" s="17"/>
      <c r="U132" s="17"/>
    </row>
    <row r="133" spans="2:21" x14ac:dyDescent="0.35">
      <c r="B133" s="199" t="s">
        <v>392</v>
      </c>
      <c r="C133" s="1200">
        <v>6271003202</v>
      </c>
      <c r="D133" s="200" t="s">
        <v>496</v>
      </c>
      <c r="E133" s="201" t="s">
        <v>493</v>
      </c>
      <c r="F133" s="810">
        <v>0</v>
      </c>
      <c r="G133" s="810">
        <v>0</v>
      </c>
      <c r="H133" s="810">
        <v>0</v>
      </c>
      <c r="I133" s="810">
        <v>0</v>
      </c>
      <c r="J133" s="810">
        <v>0</v>
      </c>
      <c r="K133" s="810">
        <v>0</v>
      </c>
      <c r="L133" s="810">
        <v>0</v>
      </c>
      <c r="M133" s="810">
        <v>0</v>
      </c>
      <c r="N133" s="810">
        <v>0</v>
      </c>
      <c r="O133" s="810">
        <v>0</v>
      </c>
      <c r="P133" s="810">
        <v>0</v>
      </c>
      <c r="Q133" s="810">
        <v>0</v>
      </c>
      <c r="R133" s="1003">
        <f t="shared" si="139"/>
        <v>0</v>
      </c>
      <c r="S133" s="17"/>
      <c r="T133" s="17"/>
      <c r="U133" s="17"/>
    </row>
    <row r="134" spans="2:21" x14ac:dyDescent="0.35">
      <c r="B134" s="199" t="s">
        <v>392</v>
      </c>
      <c r="C134" s="1200">
        <v>6271002603</v>
      </c>
      <c r="D134" s="201" t="s">
        <v>497</v>
      </c>
      <c r="E134" s="201" t="s">
        <v>491</v>
      </c>
      <c r="F134" s="810">
        <v>0</v>
      </c>
      <c r="G134" s="810">
        <v>0</v>
      </c>
      <c r="H134" s="810">
        <v>0</v>
      </c>
      <c r="I134" s="810">
        <v>0</v>
      </c>
      <c r="J134" s="810">
        <v>0</v>
      </c>
      <c r="K134" s="810">
        <v>0</v>
      </c>
      <c r="L134" s="810">
        <v>0</v>
      </c>
      <c r="M134" s="810">
        <v>0</v>
      </c>
      <c r="N134" s="810">
        <v>0</v>
      </c>
      <c r="O134" s="810">
        <v>0</v>
      </c>
      <c r="P134" s="810">
        <v>0</v>
      </c>
      <c r="Q134" s="810">
        <v>0</v>
      </c>
      <c r="R134" s="1003">
        <f t="shared" si="139"/>
        <v>0</v>
      </c>
      <c r="S134" s="17"/>
      <c r="T134" s="17"/>
      <c r="U134" s="17"/>
    </row>
    <row r="135" spans="2:21" x14ac:dyDescent="0.35">
      <c r="B135" s="199" t="s">
        <v>392</v>
      </c>
      <c r="C135" s="1200">
        <v>6271003401</v>
      </c>
      <c r="D135" s="200" t="s">
        <v>498</v>
      </c>
      <c r="E135" s="201" t="s">
        <v>493</v>
      </c>
      <c r="F135" s="810">
        <v>0</v>
      </c>
      <c r="G135" s="810">
        <v>0</v>
      </c>
      <c r="H135" s="810">
        <v>0</v>
      </c>
      <c r="I135" s="810">
        <v>0</v>
      </c>
      <c r="J135" s="810">
        <v>0</v>
      </c>
      <c r="K135" s="810">
        <v>0</v>
      </c>
      <c r="L135" s="810">
        <v>0</v>
      </c>
      <c r="M135" s="810">
        <v>0</v>
      </c>
      <c r="N135" s="810">
        <v>0</v>
      </c>
      <c r="O135" s="810">
        <v>0</v>
      </c>
      <c r="P135" s="810">
        <v>0</v>
      </c>
      <c r="Q135" s="810">
        <v>0</v>
      </c>
      <c r="R135" s="1003">
        <f t="shared" si="139"/>
        <v>0</v>
      </c>
      <c r="S135" s="17"/>
      <c r="T135" s="17"/>
      <c r="U135" s="17"/>
    </row>
    <row r="136" spans="2:21" x14ac:dyDescent="0.35">
      <c r="B136" s="203" t="s">
        <v>392</v>
      </c>
      <c r="C136" s="1201">
        <v>6271002703</v>
      </c>
      <c r="D136" s="205" t="s">
        <v>499</v>
      </c>
      <c r="E136" s="205" t="s">
        <v>491</v>
      </c>
      <c r="F136" s="810">
        <v>0</v>
      </c>
      <c r="G136" s="810">
        <v>0</v>
      </c>
      <c r="H136" s="810">
        <v>0</v>
      </c>
      <c r="I136" s="810">
        <v>0</v>
      </c>
      <c r="J136" s="810">
        <v>0</v>
      </c>
      <c r="K136" s="810">
        <v>0</v>
      </c>
      <c r="L136" s="810">
        <v>0</v>
      </c>
      <c r="M136" s="810">
        <v>0</v>
      </c>
      <c r="N136" s="810">
        <v>0</v>
      </c>
      <c r="O136" s="810">
        <v>0</v>
      </c>
      <c r="P136" s="810">
        <v>0</v>
      </c>
      <c r="Q136" s="810">
        <v>0</v>
      </c>
      <c r="R136" s="1199">
        <f t="shared" si="139"/>
        <v>0</v>
      </c>
      <c r="S136" s="17"/>
      <c r="T136" s="17"/>
      <c r="U136" s="17"/>
    </row>
    <row r="137" spans="2:21" x14ac:dyDescent="0.35">
      <c r="B137" s="190" t="s">
        <v>394</v>
      </c>
      <c r="C137" s="191"/>
      <c r="D137" s="192" t="s">
        <v>485</v>
      </c>
      <c r="E137" s="191"/>
      <c r="F137" s="193">
        <f>'Dinh bien_HCNS'!F39</f>
        <v>2</v>
      </c>
      <c r="G137" s="193">
        <f>'Dinh bien_HCNS'!G39</f>
        <v>2</v>
      </c>
      <c r="H137" s="193">
        <f>'Dinh bien_HCNS'!H39</f>
        <v>2</v>
      </c>
      <c r="I137" s="193">
        <f>'Dinh bien_HCNS'!I39</f>
        <v>2</v>
      </c>
      <c r="J137" s="193">
        <f>'Dinh bien_HCNS'!J39</f>
        <v>2</v>
      </c>
      <c r="K137" s="193">
        <f>'Dinh bien_HCNS'!K39</f>
        <v>2</v>
      </c>
      <c r="L137" s="193">
        <f>'Dinh bien_HCNS'!L39</f>
        <v>2</v>
      </c>
      <c r="M137" s="193">
        <f>'Dinh bien_HCNS'!M39</f>
        <v>2</v>
      </c>
      <c r="N137" s="193">
        <f>'Dinh bien_HCNS'!N39</f>
        <v>2</v>
      </c>
      <c r="O137" s="193">
        <f>'Dinh bien_HCNS'!O39</f>
        <v>2</v>
      </c>
      <c r="P137" s="193">
        <f>'Dinh bien_HCNS'!P39</f>
        <v>2</v>
      </c>
      <c r="Q137" s="193">
        <f>'Dinh bien_HCNS'!Q39</f>
        <v>2</v>
      </c>
      <c r="R137" s="193">
        <f>Q137</f>
        <v>2</v>
      </c>
      <c r="S137" s="803"/>
      <c r="T137" s="803"/>
      <c r="U137" s="803"/>
    </row>
    <row r="138" spans="2:21" x14ac:dyDescent="0.35">
      <c r="B138" s="194" t="s">
        <v>394</v>
      </c>
      <c r="C138" s="195"/>
      <c r="D138" s="196" t="s">
        <v>500</v>
      </c>
      <c r="E138" s="195"/>
      <c r="F138" s="197">
        <f>SUM(F140:F148)</f>
        <v>28833776</v>
      </c>
      <c r="G138" s="197">
        <f t="shared" ref="G138:Q138" si="140">SUM(G140:G148)</f>
        <v>28299590</v>
      </c>
      <c r="H138" s="197">
        <f t="shared" si="140"/>
        <v>27264622</v>
      </c>
      <c r="I138" s="197">
        <f t="shared" si="140"/>
        <v>30228006</v>
      </c>
      <c r="J138" s="197">
        <f t="shared" si="140"/>
        <v>28446700</v>
      </c>
      <c r="K138" s="197">
        <f t="shared" si="140"/>
        <v>30228006</v>
      </c>
      <c r="L138" s="197">
        <f t="shared" si="140"/>
        <v>29385298</v>
      </c>
      <c r="M138" s="197">
        <f t="shared" si="140"/>
        <v>29385298</v>
      </c>
      <c r="N138" s="197">
        <f t="shared" si="140"/>
        <v>30030744</v>
      </c>
      <c r="O138" s="197">
        <f t="shared" si="140"/>
        <v>28542592</v>
      </c>
      <c r="P138" s="197">
        <f t="shared" si="140"/>
        <v>30228006</v>
      </c>
      <c r="Q138" s="197">
        <f t="shared" si="140"/>
        <v>29385298</v>
      </c>
      <c r="R138" s="198">
        <f>SUM(R140:R148)</f>
        <v>350257936</v>
      </c>
      <c r="S138" s="803"/>
      <c r="T138" s="803"/>
      <c r="U138" s="803"/>
    </row>
    <row r="139" spans="2:21" x14ac:dyDescent="0.35">
      <c r="B139" s="194" t="s">
        <v>394</v>
      </c>
      <c r="C139" s="195"/>
      <c r="D139" s="192" t="s">
        <v>487</v>
      </c>
      <c r="E139" s="195"/>
      <c r="F139" s="197">
        <f>IFERROR(SUM(F140:F147)/F137,0)</f>
        <v>12022949</v>
      </c>
      <c r="G139" s="197">
        <f t="shared" ref="G139" si="141">IFERROR(SUM(G140:G147)/G137,0)</f>
        <v>11973487</v>
      </c>
      <c r="H139" s="197">
        <f t="shared" ref="H139" si="142">IFERROR(SUM(H140:H147)/H137,0)</f>
        <v>11238372</v>
      </c>
      <c r="I139" s="197">
        <f t="shared" ref="I139" si="143">IFERROR(SUM(I140:I147)/I137,0)</f>
        <v>12175987</v>
      </c>
      <c r="J139" s="197">
        <f t="shared" ref="J139" si="144">IFERROR(SUM(J140:J147)/J137,0)</f>
        <v>11829411</v>
      </c>
      <c r="K139" s="197">
        <f t="shared" ref="K139" si="145">IFERROR(SUM(K140:K147)/K137,0)</f>
        <v>12175987</v>
      </c>
      <c r="L139" s="197">
        <f t="shared" ref="L139" si="146">IFERROR(SUM(L140:L147)/L137,0)</f>
        <v>11863449</v>
      </c>
      <c r="M139" s="197">
        <f t="shared" ref="M139" si="147">IFERROR(SUM(M140:M147)/M137,0)</f>
        <v>11863449</v>
      </c>
      <c r="N139" s="197">
        <f t="shared" ref="N139" si="148">IFERROR(SUM(N140:N147)/N137,0)</f>
        <v>12294987</v>
      </c>
      <c r="O139" s="197">
        <f t="shared" ref="O139" si="149">IFERROR(SUM(O140:O147)/O137,0)</f>
        <v>11550911</v>
      </c>
      <c r="P139" s="197">
        <f t="shared" ref="P139" si="150">IFERROR(SUM(P140:P147)/P137,0)</f>
        <v>12175987</v>
      </c>
      <c r="Q139" s="197">
        <f t="shared" ref="Q139" si="151">IFERROR(SUM(Q140:Q147)/Q137,0)</f>
        <v>11863449</v>
      </c>
      <c r="R139" s="198"/>
      <c r="S139" s="803"/>
      <c r="T139" s="803"/>
      <c r="U139" s="803"/>
    </row>
    <row r="140" spans="2:21" x14ac:dyDescent="0.35">
      <c r="B140" s="199" t="s">
        <v>394</v>
      </c>
      <c r="C140" s="1200">
        <v>6271002604</v>
      </c>
      <c r="D140" s="201" t="s">
        <v>488</v>
      </c>
      <c r="E140" s="201" t="s">
        <v>491</v>
      </c>
      <c r="F140" s="1248">
        <v>14146000</v>
      </c>
      <c r="G140" s="1248">
        <v>14690076</v>
      </c>
      <c r="H140" s="1248">
        <v>13057846</v>
      </c>
      <c r="I140" s="1248">
        <v>14690076</v>
      </c>
      <c r="J140" s="1248">
        <v>13601924</v>
      </c>
      <c r="K140" s="1248">
        <v>14690076</v>
      </c>
      <c r="L140" s="1248">
        <v>14146000</v>
      </c>
      <c r="M140" s="1248">
        <v>14146000</v>
      </c>
      <c r="N140" s="1248">
        <v>14690076</v>
      </c>
      <c r="O140" s="1248">
        <v>13601924</v>
      </c>
      <c r="P140" s="1248">
        <v>14690076</v>
      </c>
      <c r="Q140" s="1248">
        <v>14146000</v>
      </c>
      <c r="R140" s="1003">
        <f>SUM(F140:Q140)</f>
        <v>170296074</v>
      </c>
      <c r="S140" s="17"/>
      <c r="T140" s="17"/>
      <c r="U140" s="17"/>
    </row>
    <row r="141" spans="2:21" x14ac:dyDescent="0.35">
      <c r="B141" s="199" t="s">
        <v>394</v>
      </c>
      <c r="C141" s="1200">
        <v>6271002605</v>
      </c>
      <c r="D141" s="200" t="s">
        <v>490</v>
      </c>
      <c r="E141" s="201" t="s">
        <v>491</v>
      </c>
      <c r="F141" s="1248">
        <v>1119892</v>
      </c>
      <c r="G141" s="1248">
        <v>1119892</v>
      </c>
      <c r="H141" s="1248">
        <v>1119892</v>
      </c>
      <c r="I141" s="1248">
        <v>1119892</v>
      </c>
      <c r="J141" s="1248">
        <v>1119892</v>
      </c>
      <c r="K141" s="1248">
        <v>1119892</v>
      </c>
      <c r="L141" s="1248">
        <v>1119892</v>
      </c>
      <c r="M141" s="1248">
        <v>1119892</v>
      </c>
      <c r="N141" s="1248">
        <v>1119892</v>
      </c>
      <c r="O141" s="1248">
        <v>1119892</v>
      </c>
      <c r="P141" s="1248">
        <v>1119892</v>
      </c>
      <c r="Q141" s="1248">
        <v>1119892</v>
      </c>
      <c r="R141" s="1003">
        <f t="shared" ref="R141:R148" si="152">SUM(F141:Q141)</f>
        <v>13438704</v>
      </c>
      <c r="S141" s="17"/>
      <c r="T141" s="17"/>
      <c r="U141" s="17"/>
    </row>
    <row r="142" spans="2:21" x14ac:dyDescent="0.35">
      <c r="B142" s="199" t="s">
        <v>394</v>
      </c>
      <c r="C142" s="1200">
        <v>6271002802</v>
      </c>
      <c r="D142" s="201" t="s">
        <v>492</v>
      </c>
      <c r="E142" s="201" t="s">
        <v>493</v>
      </c>
      <c r="F142" s="1248">
        <v>1910000</v>
      </c>
      <c r="G142" s="1248">
        <v>1510000</v>
      </c>
      <c r="H142" s="1248">
        <v>1510000</v>
      </c>
      <c r="I142" s="1248">
        <v>1510000</v>
      </c>
      <c r="J142" s="1248">
        <v>2310000</v>
      </c>
      <c r="K142" s="1248">
        <v>1510000</v>
      </c>
      <c r="L142" s="1248">
        <v>1510000</v>
      </c>
      <c r="M142" s="1248">
        <v>1510000</v>
      </c>
      <c r="N142" s="1248">
        <v>1910000</v>
      </c>
      <c r="O142" s="1248">
        <v>1510000</v>
      </c>
      <c r="P142" s="1248">
        <v>1510000</v>
      </c>
      <c r="Q142" s="1248">
        <v>1510000</v>
      </c>
      <c r="R142" s="1003">
        <f>SUM(F142:Q142)</f>
        <v>19720000</v>
      </c>
      <c r="S142" s="17"/>
      <c r="T142" s="17"/>
      <c r="U142" s="17"/>
    </row>
    <row r="143" spans="2:21" x14ac:dyDescent="0.35">
      <c r="B143" s="199" t="s">
        <v>394</v>
      </c>
      <c r="C143" s="1200">
        <v>6271002806</v>
      </c>
      <c r="D143" s="200" t="s">
        <v>501</v>
      </c>
      <c r="E143" s="201" t="s">
        <v>491</v>
      </c>
      <c r="F143" s="1248">
        <v>1520696</v>
      </c>
      <c r="G143" s="1248">
        <v>1520696</v>
      </c>
      <c r="H143" s="1248">
        <v>1520696</v>
      </c>
      <c r="I143" s="1248">
        <v>1520696</v>
      </c>
      <c r="J143" s="1248">
        <v>1520696</v>
      </c>
      <c r="K143" s="1248">
        <v>1520696</v>
      </c>
      <c r="L143" s="1248">
        <v>1520696</v>
      </c>
      <c r="M143" s="1248">
        <v>1520696</v>
      </c>
      <c r="N143" s="1248">
        <v>1520696</v>
      </c>
      <c r="O143" s="1248">
        <v>1520696</v>
      </c>
      <c r="P143" s="1248">
        <v>1520696</v>
      </c>
      <c r="Q143" s="1248">
        <v>1520696</v>
      </c>
      <c r="R143" s="1003">
        <f t="shared" ref="R143:R147" si="153">SUM(F143:Q143)</f>
        <v>18248352</v>
      </c>
      <c r="S143" s="17"/>
      <c r="T143" s="17"/>
      <c r="U143" s="17"/>
    </row>
    <row r="144" spans="2:21" x14ac:dyDescent="0.35">
      <c r="B144" s="199" t="s">
        <v>394</v>
      </c>
      <c r="C144" s="1200">
        <v>6271007202</v>
      </c>
      <c r="D144" s="201" t="s">
        <v>495</v>
      </c>
      <c r="E144" s="201" t="s">
        <v>493</v>
      </c>
      <c r="F144" s="1248">
        <v>0</v>
      </c>
      <c r="G144" s="1248">
        <v>0</v>
      </c>
      <c r="H144" s="1248">
        <v>0</v>
      </c>
      <c r="I144" s="1248">
        <v>0</v>
      </c>
      <c r="J144" s="1248">
        <v>0</v>
      </c>
      <c r="K144" s="1248">
        <v>0</v>
      </c>
      <c r="L144" s="1248">
        <v>0</v>
      </c>
      <c r="M144" s="1248">
        <v>0</v>
      </c>
      <c r="N144" s="1248">
        <v>0</v>
      </c>
      <c r="O144" s="1248">
        <v>0</v>
      </c>
      <c r="P144" s="1248">
        <v>0</v>
      </c>
      <c r="Q144" s="1248">
        <v>0</v>
      </c>
      <c r="R144" s="1003">
        <f t="shared" si="153"/>
        <v>0</v>
      </c>
      <c r="S144" s="17"/>
      <c r="T144" s="17"/>
      <c r="U144" s="17"/>
    </row>
    <row r="145" spans="2:21" x14ac:dyDescent="0.35">
      <c r="B145" s="199" t="s">
        <v>394</v>
      </c>
      <c r="C145" s="1200">
        <v>6271003202</v>
      </c>
      <c r="D145" s="200" t="s">
        <v>496</v>
      </c>
      <c r="E145" s="201" t="s">
        <v>493</v>
      </c>
      <c r="F145" s="1248">
        <v>2025000</v>
      </c>
      <c r="G145" s="1248">
        <v>1782000</v>
      </c>
      <c r="H145" s="1248">
        <v>1944000</v>
      </c>
      <c r="I145" s="1248">
        <v>2187000</v>
      </c>
      <c r="J145" s="1248">
        <v>1782000</v>
      </c>
      <c r="K145" s="1248">
        <v>2187000</v>
      </c>
      <c r="L145" s="1248">
        <v>2106000</v>
      </c>
      <c r="M145" s="1248">
        <v>2106000</v>
      </c>
      <c r="N145" s="1248">
        <v>2025000</v>
      </c>
      <c r="O145" s="1248">
        <v>2025000</v>
      </c>
      <c r="P145" s="1248">
        <v>2187000</v>
      </c>
      <c r="Q145" s="1248">
        <v>2106000</v>
      </c>
      <c r="R145" s="1003">
        <f t="shared" si="153"/>
        <v>24462000</v>
      </c>
      <c r="S145" s="17"/>
      <c r="T145" s="17"/>
      <c r="U145" s="17"/>
    </row>
    <row r="146" spans="2:21" x14ac:dyDescent="0.35">
      <c r="B146" s="199" t="s">
        <v>394</v>
      </c>
      <c r="C146" s="1200">
        <v>6271002603</v>
      </c>
      <c r="D146" s="201" t="s">
        <v>497</v>
      </c>
      <c r="E146" s="201" t="s">
        <v>491</v>
      </c>
      <c r="F146" s="1248">
        <v>0</v>
      </c>
      <c r="G146" s="1248">
        <v>0</v>
      </c>
      <c r="H146" s="1248">
        <v>0</v>
      </c>
      <c r="I146" s="1248">
        <v>0</v>
      </c>
      <c r="J146" s="1248">
        <v>0</v>
      </c>
      <c r="K146" s="1248">
        <v>0</v>
      </c>
      <c r="L146" s="1248">
        <v>0</v>
      </c>
      <c r="M146" s="1248">
        <v>0</v>
      </c>
      <c r="N146" s="1248">
        <v>0</v>
      </c>
      <c r="O146" s="1248">
        <v>0</v>
      </c>
      <c r="P146" s="1248">
        <v>0</v>
      </c>
      <c r="Q146" s="1248">
        <v>0</v>
      </c>
      <c r="R146" s="1003">
        <f t="shared" si="153"/>
        <v>0</v>
      </c>
      <c r="S146" s="17"/>
      <c r="T146" s="17"/>
      <c r="U146" s="17"/>
    </row>
    <row r="147" spans="2:21" x14ac:dyDescent="0.35">
      <c r="B147" s="199" t="s">
        <v>394</v>
      </c>
      <c r="C147" s="1200">
        <v>6271003401</v>
      </c>
      <c r="D147" s="200" t="s">
        <v>498</v>
      </c>
      <c r="E147" s="201" t="s">
        <v>493</v>
      </c>
      <c r="F147" s="1248">
        <v>3324310</v>
      </c>
      <c r="G147" s="1248">
        <v>3324310</v>
      </c>
      <c r="H147" s="1248">
        <v>3324310</v>
      </c>
      <c r="I147" s="1248">
        <v>3324310</v>
      </c>
      <c r="J147" s="1248">
        <v>3324310</v>
      </c>
      <c r="K147" s="1248">
        <v>3324310</v>
      </c>
      <c r="L147" s="1248">
        <v>3324310</v>
      </c>
      <c r="M147" s="1248">
        <v>3324310</v>
      </c>
      <c r="N147" s="1248">
        <v>3324310</v>
      </c>
      <c r="O147" s="1248">
        <v>3324310</v>
      </c>
      <c r="P147" s="1248">
        <v>3324310</v>
      </c>
      <c r="Q147" s="1248">
        <v>3324310</v>
      </c>
      <c r="R147" s="1003">
        <f t="shared" si="153"/>
        <v>39891720</v>
      </c>
      <c r="S147" s="17"/>
      <c r="T147" s="17"/>
      <c r="U147" s="17"/>
    </row>
    <row r="148" spans="2:21" x14ac:dyDescent="0.35">
      <c r="B148" s="203" t="s">
        <v>394</v>
      </c>
      <c r="C148" s="1201">
        <v>6271002703</v>
      </c>
      <c r="D148" s="205" t="s">
        <v>499</v>
      </c>
      <c r="E148" s="205" t="s">
        <v>491</v>
      </c>
      <c r="F148" s="1248">
        <v>4787878</v>
      </c>
      <c r="G148" s="1248">
        <v>4352616</v>
      </c>
      <c r="H148" s="1248">
        <v>4787878</v>
      </c>
      <c r="I148" s="1248">
        <v>5876032</v>
      </c>
      <c r="J148" s="1248">
        <v>4787878</v>
      </c>
      <c r="K148" s="1248">
        <v>5876032</v>
      </c>
      <c r="L148" s="1248">
        <v>5658400</v>
      </c>
      <c r="M148" s="1248">
        <v>5658400</v>
      </c>
      <c r="N148" s="1248">
        <v>5440770</v>
      </c>
      <c r="O148" s="1248">
        <v>5440770</v>
      </c>
      <c r="P148" s="1248">
        <v>5876032</v>
      </c>
      <c r="Q148" s="1248">
        <v>5658400</v>
      </c>
      <c r="R148" s="1199">
        <f t="shared" si="152"/>
        <v>64201086</v>
      </c>
      <c r="S148" s="17"/>
      <c r="T148" s="17"/>
      <c r="U148" s="17"/>
    </row>
    <row r="149" spans="2:21" x14ac:dyDescent="0.35">
      <c r="B149" s="190" t="s">
        <v>401</v>
      </c>
      <c r="C149" s="191"/>
      <c r="D149" s="192" t="s">
        <v>485</v>
      </c>
      <c r="E149" s="191"/>
      <c r="F149" s="193">
        <f>'Dinh bien_HCNS'!F43</f>
        <v>6</v>
      </c>
      <c r="G149" s="193">
        <f>'Dinh bien_HCNS'!G43</f>
        <v>6</v>
      </c>
      <c r="H149" s="193">
        <f>'Dinh bien_HCNS'!H43</f>
        <v>6</v>
      </c>
      <c r="I149" s="193">
        <f>'Dinh bien_HCNS'!I43</f>
        <v>6</v>
      </c>
      <c r="J149" s="193">
        <f>'Dinh bien_HCNS'!J43</f>
        <v>6</v>
      </c>
      <c r="K149" s="193">
        <f>'Dinh bien_HCNS'!K43</f>
        <v>6</v>
      </c>
      <c r="L149" s="193">
        <f>'Dinh bien_HCNS'!L43</f>
        <v>6</v>
      </c>
      <c r="M149" s="193">
        <f>'Dinh bien_HCNS'!M43</f>
        <v>6</v>
      </c>
      <c r="N149" s="193">
        <f>'Dinh bien_HCNS'!N43</f>
        <v>6</v>
      </c>
      <c r="O149" s="193">
        <f>'Dinh bien_HCNS'!O43</f>
        <v>6</v>
      </c>
      <c r="P149" s="193">
        <f>'Dinh bien_HCNS'!P43</f>
        <v>6</v>
      </c>
      <c r="Q149" s="193">
        <f>'Dinh bien_HCNS'!Q43</f>
        <v>6</v>
      </c>
      <c r="R149" s="193">
        <f>Q149</f>
        <v>6</v>
      </c>
      <c r="S149" s="803"/>
      <c r="T149" s="803"/>
      <c r="U149" s="803"/>
    </row>
    <row r="150" spans="2:21" x14ac:dyDescent="0.35">
      <c r="B150" s="194" t="s">
        <v>401</v>
      </c>
      <c r="C150" s="195"/>
      <c r="D150" s="196" t="s">
        <v>500</v>
      </c>
      <c r="E150" s="195"/>
      <c r="F150" s="197">
        <f>SUM(F152:F160)</f>
        <v>111247574</v>
      </c>
      <c r="G150" s="197">
        <f t="shared" ref="G150:Q150" si="154">SUM(G152:G160)</f>
        <v>109246297</v>
      </c>
      <c r="H150" s="197">
        <f t="shared" si="154"/>
        <v>104273470</v>
      </c>
      <c r="I150" s="197">
        <f t="shared" si="154"/>
        <v>113374128</v>
      </c>
      <c r="J150" s="197">
        <f t="shared" si="154"/>
        <v>107496607</v>
      </c>
      <c r="K150" s="197">
        <f t="shared" si="154"/>
        <v>113374128</v>
      </c>
      <c r="L150" s="197">
        <f t="shared" si="154"/>
        <v>111006283</v>
      </c>
      <c r="M150" s="197">
        <f t="shared" si="154"/>
        <v>111006283</v>
      </c>
      <c r="N150" s="197">
        <f t="shared" si="154"/>
        <v>113322419</v>
      </c>
      <c r="O150" s="197">
        <f t="shared" si="154"/>
        <v>107972729</v>
      </c>
      <c r="P150" s="197">
        <f t="shared" si="154"/>
        <v>113374128</v>
      </c>
      <c r="Q150" s="197">
        <f t="shared" si="154"/>
        <v>111006283</v>
      </c>
      <c r="R150" s="198">
        <f>SUM(R152:R160)</f>
        <v>1326700329</v>
      </c>
      <c r="S150" s="803"/>
      <c r="T150" s="803"/>
      <c r="U150" s="803"/>
    </row>
    <row r="151" spans="2:21" x14ac:dyDescent="0.35">
      <c r="B151" s="194" t="s">
        <v>401</v>
      </c>
      <c r="C151" s="195"/>
      <c r="D151" s="192" t="s">
        <v>487</v>
      </c>
      <c r="E151" s="195"/>
      <c r="F151" s="197">
        <f>IFERROR(SUM(F152:F159)/F149,0)</f>
        <v>16322236.666666666</v>
      </c>
      <c r="G151" s="197">
        <f t="shared" ref="G151" si="155">IFERROR(SUM(G152:G159)/G149,0)</f>
        <v>16321544.166666666</v>
      </c>
      <c r="H151" s="197">
        <f t="shared" ref="H151" si="156">IFERROR(SUM(H152:H159)/H149,0)</f>
        <v>15381788.166666666</v>
      </c>
      <c r="I151" s="197">
        <f t="shared" ref="I151" si="157">IFERROR(SUM(I152:I159)/I149,0)</f>
        <v>16565710.833333334</v>
      </c>
      <c r="J151" s="197">
        <f t="shared" ref="J151" si="158">IFERROR(SUM(J152:J159)/J149,0)</f>
        <v>16029929.166666666</v>
      </c>
      <c r="K151" s="197">
        <f t="shared" ref="K151" si="159">IFERROR(SUM(K152:K159)/K149,0)</f>
        <v>16565710.833333334</v>
      </c>
      <c r="L151" s="197">
        <f t="shared" ref="L151" si="160">IFERROR(SUM(L152:L159)/L149,0)</f>
        <v>16171070</v>
      </c>
      <c r="M151" s="197">
        <f t="shared" ref="M151" si="161">IFERROR(SUM(M152:M159)/M149,0)</f>
        <v>16171070</v>
      </c>
      <c r="N151" s="197">
        <f t="shared" ref="N151" si="162">IFERROR(SUM(N152:N159)/N149,0)</f>
        <v>16668044.166666666</v>
      </c>
      <c r="O151" s="197">
        <f t="shared" ref="O151" si="163">IFERROR(SUM(O152:O159)/O149,0)</f>
        <v>15776429.166666666</v>
      </c>
      <c r="P151" s="197">
        <f t="shared" ref="P151" si="164">IFERROR(SUM(P152:P159)/P149,0)</f>
        <v>16565710.833333334</v>
      </c>
      <c r="Q151" s="197">
        <f t="shared" ref="Q151" si="165">IFERROR(SUM(Q152:Q159)/Q149,0)</f>
        <v>16171070</v>
      </c>
      <c r="R151" s="198"/>
      <c r="S151" s="803"/>
      <c r="T151" s="803"/>
      <c r="U151" s="803"/>
    </row>
    <row r="152" spans="2:21" x14ac:dyDescent="0.35">
      <c r="B152" s="199" t="s">
        <v>401</v>
      </c>
      <c r="C152" s="1200">
        <v>6271002604</v>
      </c>
      <c r="D152" s="201" t="s">
        <v>488</v>
      </c>
      <c r="E152" s="201" t="s">
        <v>491</v>
      </c>
      <c r="F152" s="1248">
        <v>53946000</v>
      </c>
      <c r="G152" s="1248">
        <v>56020845</v>
      </c>
      <c r="H152" s="1248">
        <v>49796309</v>
      </c>
      <c r="I152" s="1248">
        <v>56020845</v>
      </c>
      <c r="J152" s="1248">
        <v>51871155</v>
      </c>
      <c r="K152" s="1248">
        <v>56020845</v>
      </c>
      <c r="L152" s="1248">
        <v>53946000</v>
      </c>
      <c r="M152" s="1248">
        <v>53946000</v>
      </c>
      <c r="N152" s="1248">
        <v>56020845</v>
      </c>
      <c r="O152" s="1248">
        <v>51871155</v>
      </c>
      <c r="P152" s="1248">
        <v>56020845</v>
      </c>
      <c r="Q152" s="1248">
        <v>53946000</v>
      </c>
      <c r="R152" s="1003">
        <f>SUM(F152:Q152)</f>
        <v>649426844</v>
      </c>
      <c r="S152" s="17"/>
      <c r="T152" s="17"/>
      <c r="U152" s="17"/>
    </row>
    <row r="153" spans="2:21" x14ac:dyDescent="0.35">
      <c r="B153" s="199" t="s">
        <v>401</v>
      </c>
      <c r="C153" s="1200">
        <v>6271002605</v>
      </c>
      <c r="D153" s="200" t="s">
        <v>490</v>
      </c>
      <c r="E153" s="201" t="s">
        <v>491</v>
      </c>
      <c r="F153" s="1248">
        <v>4270728</v>
      </c>
      <c r="G153" s="1248">
        <v>4270728</v>
      </c>
      <c r="H153" s="1248">
        <v>4270728</v>
      </c>
      <c r="I153" s="1248">
        <v>4270728</v>
      </c>
      <c r="J153" s="1248">
        <v>4270728</v>
      </c>
      <c r="K153" s="1248">
        <v>4270728</v>
      </c>
      <c r="L153" s="1248">
        <v>4270728</v>
      </c>
      <c r="M153" s="1248">
        <v>4270728</v>
      </c>
      <c r="N153" s="1248">
        <v>4270728</v>
      </c>
      <c r="O153" s="1248">
        <v>4270728</v>
      </c>
      <c r="P153" s="1248">
        <v>4270728</v>
      </c>
      <c r="Q153" s="1248">
        <v>4270728</v>
      </c>
      <c r="R153" s="1003">
        <f t="shared" ref="R153:R160" si="166">SUM(F153:Q153)</f>
        <v>51248736</v>
      </c>
      <c r="S153" s="17"/>
      <c r="T153" s="17"/>
      <c r="U153" s="17"/>
    </row>
    <row r="154" spans="2:21" x14ac:dyDescent="0.35">
      <c r="B154" s="199" t="s">
        <v>401</v>
      </c>
      <c r="C154" s="1200">
        <v>6271002802</v>
      </c>
      <c r="D154" s="201" t="s">
        <v>492</v>
      </c>
      <c r="E154" s="201" t="s">
        <v>493</v>
      </c>
      <c r="F154" s="1248">
        <v>9350000</v>
      </c>
      <c r="G154" s="1248">
        <v>8150000</v>
      </c>
      <c r="H154" s="1248">
        <v>8150000</v>
      </c>
      <c r="I154" s="1248">
        <v>8150000</v>
      </c>
      <c r="J154" s="1248">
        <v>10550000</v>
      </c>
      <c r="K154" s="1248">
        <v>8150000</v>
      </c>
      <c r="L154" s="1248">
        <v>8150000</v>
      </c>
      <c r="M154" s="1248">
        <v>8150000</v>
      </c>
      <c r="N154" s="1248">
        <v>9350000</v>
      </c>
      <c r="O154" s="1248">
        <v>8150000</v>
      </c>
      <c r="P154" s="1248">
        <v>8150000</v>
      </c>
      <c r="Q154" s="1248">
        <v>8150000</v>
      </c>
      <c r="R154" s="1003">
        <f t="shared" si="166"/>
        <v>102600000</v>
      </c>
      <c r="S154" s="17"/>
      <c r="T154" s="17"/>
      <c r="U154" s="17"/>
    </row>
    <row r="155" spans="2:21" x14ac:dyDescent="0.35">
      <c r="B155" s="199" t="s">
        <v>401</v>
      </c>
      <c r="C155" s="1200">
        <v>6271002806</v>
      </c>
      <c r="D155" s="200" t="s">
        <v>501</v>
      </c>
      <c r="E155" s="201" t="s">
        <v>491</v>
      </c>
      <c r="F155" s="1248">
        <v>5799196</v>
      </c>
      <c r="G155" s="1248">
        <v>5799196</v>
      </c>
      <c r="H155" s="1248">
        <v>5799196</v>
      </c>
      <c r="I155" s="1248">
        <v>5799196</v>
      </c>
      <c r="J155" s="1248">
        <v>5799196</v>
      </c>
      <c r="K155" s="1248">
        <v>5799196</v>
      </c>
      <c r="L155" s="1248">
        <v>5799196</v>
      </c>
      <c r="M155" s="1248">
        <v>5799196</v>
      </c>
      <c r="N155" s="1248">
        <v>5799196</v>
      </c>
      <c r="O155" s="1248">
        <v>5799196</v>
      </c>
      <c r="P155" s="1248">
        <v>5799196</v>
      </c>
      <c r="Q155" s="1248">
        <v>5799196</v>
      </c>
      <c r="R155" s="1003">
        <f t="shared" si="166"/>
        <v>69590352</v>
      </c>
      <c r="S155" s="17"/>
      <c r="T155" s="17"/>
      <c r="U155" s="17"/>
    </row>
    <row r="156" spans="2:21" x14ac:dyDescent="0.35">
      <c r="B156" s="199" t="s">
        <v>401</v>
      </c>
      <c r="C156" s="1200">
        <v>6271007202</v>
      </c>
      <c r="D156" s="201" t="s">
        <v>495</v>
      </c>
      <c r="E156" s="201" t="s">
        <v>493</v>
      </c>
      <c r="F156" s="1248">
        <v>541284</v>
      </c>
      <c r="G156" s="1248">
        <v>541284</v>
      </c>
      <c r="H156" s="1248">
        <v>541284</v>
      </c>
      <c r="I156" s="1248">
        <v>541284</v>
      </c>
      <c r="J156" s="1248">
        <v>541284</v>
      </c>
      <c r="K156" s="1248">
        <v>541284</v>
      </c>
      <c r="L156" s="1248">
        <v>541284</v>
      </c>
      <c r="M156" s="1248">
        <v>541284</v>
      </c>
      <c r="N156" s="1248">
        <v>541284</v>
      </c>
      <c r="O156" s="1248">
        <v>541284</v>
      </c>
      <c r="P156" s="1248">
        <v>541284</v>
      </c>
      <c r="Q156" s="1248">
        <v>541284</v>
      </c>
      <c r="R156" s="1003">
        <f t="shared" si="166"/>
        <v>6495408</v>
      </c>
      <c r="S156" s="17"/>
      <c r="T156" s="17"/>
      <c r="U156" s="17"/>
    </row>
    <row r="157" spans="2:21" x14ac:dyDescent="0.35">
      <c r="B157" s="199" t="s">
        <v>401</v>
      </c>
      <c r="C157" s="1200">
        <v>6271003202</v>
      </c>
      <c r="D157" s="200" t="s">
        <v>496</v>
      </c>
      <c r="E157" s="201" t="s">
        <v>493</v>
      </c>
      <c r="F157" s="1248">
        <v>7325000</v>
      </c>
      <c r="G157" s="1248">
        <v>6446000</v>
      </c>
      <c r="H157" s="1248">
        <v>7032000</v>
      </c>
      <c r="I157" s="1248">
        <v>7911000</v>
      </c>
      <c r="J157" s="1248">
        <v>6446000</v>
      </c>
      <c r="K157" s="1248">
        <v>7911000</v>
      </c>
      <c r="L157" s="1248">
        <v>7618000</v>
      </c>
      <c r="M157" s="1248">
        <v>7618000</v>
      </c>
      <c r="N157" s="1248">
        <v>7325000</v>
      </c>
      <c r="O157" s="1248">
        <v>7325000</v>
      </c>
      <c r="P157" s="1248">
        <v>7911000</v>
      </c>
      <c r="Q157" s="1248">
        <v>7618000</v>
      </c>
      <c r="R157" s="1003">
        <f t="shared" si="166"/>
        <v>88486000</v>
      </c>
      <c r="S157" s="17"/>
      <c r="T157" s="17"/>
      <c r="U157" s="17"/>
    </row>
    <row r="158" spans="2:21" x14ac:dyDescent="0.35">
      <c r="B158" s="199" t="s">
        <v>401</v>
      </c>
      <c r="C158" s="1200">
        <v>6271002603</v>
      </c>
      <c r="D158" s="201" t="s">
        <v>497</v>
      </c>
      <c r="E158" s="201" t="s">
        <v>491</v>
      </c>
      <c r="F158" s="1248">
        <v>4023902</v>
      </c>
      <c r="G158" s="1248">
        <v>4023902</v>
      </c>
      <c r="H158" s="1248">
        <v>4023902</v>
      </c>
      <c r="I158" s="1248">
        <v>4023902</v>
      </c>
      <c r="J158" s="1248">
        <v>4023902</v>
      </c>
      <c r="K158" s="1248">
        <v>4023902</v>
      </c>
      <c r="L158" s="1248">
        <v>4023902</v>
      </c>
      <c r="M158" s="1248">
        <v>4023902</v>
      </c>
      <c r="N158" s="1248">
        <v>4023902</v>
      </c>
      <c r="O158" s="1248">
        <v>4023902</v>
      </c>
      <c r="P158" s="1248">
        <v>4023902</v>
      </c>
      <c r="Q158" s="1248">
        <v>4023902</v>
      </c>
      <c r="R158" s="1003">
        <f t="shared" si="166"/>
        <v>48286824</v>
      </c>
      <c r="S158" s="17"/>
      <c r="T158" s="17"/>
      <c r="U158" s="17"/>
    </row>
    <row r="159" spans="2:21" x14ac:dyDescent="0.35">
      <c r="B159" s="199" t="s">
        <v>401</v>
      </c>
      <c r="C159" s="1200">
        <v>6271003401</v>
      </c>
      <c r="D159" s="200" t="s">
        <v>498</v>
      </c>
      <c r="E159" s="201" t="s">
        <v>493</v>
      </c>
      <c r="F159" s="1248">
        <v>12677310</v>
      </c>
      <c r="G159" s="1248">
        <v>12677310</v>
      </c>
      <c r="H159" s="1248">
        <v>12677310</v>
      </c>
      <c r="I159" s="1248">
        <v>12677310</v>
      </c>
      <c r="J159" s="1248">
        <v>12677310</v>
      </c>
      <c r="K159" s="1248">
        <v>12677310</v>
      </c>
      <c r="L159" s="1248">
        <v>12677310</v>
      </c>
      <c r="M159" s="1248">
        <v>12677310</v>
      </c>
      <c r="N159" s="1248">
        <v>12677310</v>
      </c>
      <c r="O159" s="1248">
        <v>12677310</v>
      </c>
      <c r="P159" s="1248">
        <v>12677310</v>
      </c>
      <c r="Q159" s="1248">
        <v>12677310</v>
      </c>
      <c r="R159" s="1003">
        <f t="shared" si="166"/>
        <v>152127720</v>
      </c>
      <c r="S159" s="17"/>
      <c r="T159" s="17"/>
      <c r="U159" s="17"/>
    </row>
    <row r="160" spans="2:21" x14ac:dyDescent="0.35">
      <c r="B160" s="203" t="s">
        <v>401</v>
      </c>
      <c r="C160" s="1201">
        <v>6271002703</v>
      </c>
      <c r="D160" s="205" t="s">
        <v>499</v>
      </c>
      <c r="E160" s="205" t="s">
        <v>491</v>
      </c>
      <c r="F160" s="1248">
        <v>13314154</v>
      </c>
      <c r="G160" s="1248">
        <v>11317032</v>
      </c>
      <c r="H160" s="1248">
        <v>11982741</v>
      </c>
      <c r="I160" s="1248">
        <v>13979863</v>
      </c>
      <c r="J160" s="1248">
        <v>11317032</v>
      </c>
      <c r="K160" s="1248">
        <v>13979863</v>
      </c>
      <c r="L160" s="1248">
        <v>13979863</v>
      </c>
      <c r="M160" s="1248">
        <v>13979863</v>
      </c>
      <c r="N160" s="1248">
        <v>13314154</v>
      </c>
      <c r="O160" s="1248">
        <v>13314154</v>
      </c>
      <c r="P160" s="1248">
        <v>13979863</v>
      </c>
      <c r="Q160" s="1248">
        <v>13979863</v>
      </c>
      <c r="R160" s="1003">
        <f t="shared" si="166"/>
        <v>158438445</v>
      </c>
      <c r="S160" s="17"/>
      <c r="T160" s="17"/>
      <c r="U160" s="17"/>
    </row>
    <row r="161" spans="2:21" x14ac:dyDescent="0.35">
      <c r="B161" s="190" t="s">
        <v>475</v>
      </c>
      <c r="C161" s="191"/>
      <c r="D161" s="192" t="s">
        <v>485</v>
      </c>
      <c r="E161" s="191"/>
      <c r="F161" s="193">
        <f>'Dinh bien_HCNS'!F52</f>
        <v>2</v>
      </c>
      <c r="G161" s="193">
        <f>'Dinh bien_HCNS'!G52</f>
        <v>2</v>
      </c>
      <c r="H161" s="193">
        <f>'Dinh bien_HCNS'!H52</f>
        <v>2</v>
      </c>
      <c r="I161" s="193">
        <f>'Dinh bien_HCNS'!I52</f>
        <v>2</v>
      </c>
      <c r="J161" s="193">
        <f>'Dinh bien_HCNS'!J52</f>
        <v>2</v>
      </c>
      <c r="K161" s="193">
        <f>'Dinh bien_HCNS'!K52</f>
        <v>2</v>
      </c>
      <c r="L161" s="193">
        <f>'Dinh bien_HCNS'!L52</f>
        <v>2</v>
      </c>
      <c r="M161" s="193">
        <f>'Dinh bien_HCNS'!M52</f>
        <v>2</v>
      </c>
      <c r="N161" s="193">
        <f>'Dinh bien_HCNS'!N52</f>
        <v>2</v>
      </c>
      <c r="O161" s="193">
        <f>'Dinh bien_HCNS'!O52</f>
        <v>2</v>
      </c>
      <c r="P161" s="193">
        <f>'Dinh bien_HCNS'!P52</f>
        <v>2</v>
      </c>
      <c r="Q161" s="193">
        <f>'Dinh bien_HCNS'!Q52</f>
        <v>2</v>
      </c>
      <c r="R161" s="193">
        <f>Q161</f>
        <v>2</v>
      </c>
      <c r="S161" s="803"/>
      <c r="T161" s="803"/>
      <c r="U161" s="803"/>
    </row>
    <row r="162" spans="2:21" x14ac:dyDescent="0.35">
      <c r="B162" s="194" t="s">
        <v>475</v>
      </c>
      <c r="C162" s="195"/>
      <c r="D162" s="196" t="s">
        <v>500</v>
      </c>
      <c r="E162" s="195"/>
      <c r="F162" s="197">
        <f>SUM(F164:F172)</f>
        <v>77041851</v>
      </c>
      <c r="G162" s="197">
        <f t="shared" ref="G162:Q162" si="167">SUM(G164:G172)</f>
        <v>78468851</v>
      </c>
      <c r="H162" s="197">
        <f t="shared" si="167"/>
        <v>72595851</v>
      </c>
      <c r="I162" s="197">
        <f t="shared" si="167"/>
        <v>78748851</v>
      </c>
      <c r="J162" s="197">
        <f t="shared" si="167"/>
        <v>75278851</v>
      </c>
      <c r="K162" s="197">
        <f t="shared" si="167"/>
        <v>78748851</v>
      </c>
      <c r="L162" s="197">
        <f t="shared" si="167"/>
        <v>76697851</v>
      </c>
      <c r="M162" s="197">
        <f t="shared" si="167"/>
        <v>76697851</v>
      </c>
      <c r="N162" s="197">
        <f t="shared" si="167"/>
        <v>79036851</v>
      </c>
      <c r="O162" s="197">
        <f t="shared" si="167"/>
        <v>74646851</v>
      </c>
      <c r="P162" s="197">
        <f t="shared" si="167"/>
        <v>78748851</v>
      </c>
      <c r="Q162" s="197">
        <f t="shared" si="167"/>
        <v>76697851</v>
      </c>
      <c r="R162" s="198">
        <f>SUM(R164:R172)</f>
        <v>923409212</v>
      </c>
      <c r="S162" s="803"/>
      <c r="T162" s="803"/>
      <c r="U162" s="803"/>
    </row>
    <row r="163" spans="2:21" x14ac:dyDescent="0.35">
      <c r="B163" s="194" t="s">
        <v>475</v>
      </c>
      <c r="C163" s="195"/>
      <c r="D163" s="192" t="s">
        <v>487</v>
      </c>
      <c r="E163" s="195"/>
      <c r="F163" s="197">
        <f>IFERROR(SUM(F164:F171)/F161,0)</f>
        <v>38520925.5</v>
      </c>
      <c r="G163" s="197">
        <f t="shared" ref="G163" si="168">IFERROR(SUM(G164:G171)/G161,0)</f>
        <v>39234425.5</v>
      </c>
      <c r="H163" s="197">
        <f t="shared" ref="H163" si="169">IFERROR(SUM(H164:H171)/H161,0)</f>
        <v>36297925.5</v>
      </c>
      <c r="I163" s="197">
        <f t="shared" ref="I163" si="170">IFERROR(SUM(I164:I171)/I161,0)</f>
        <v>39374425.5</v>
      </c>
      <c r="J163" s="197">
        <f t="shared" ref="J163" si="171">IFERROR(SUM(J164:J171)/J161,0)</f>
        <v>37639425.5</v>
      </c>
      <c r="K163" s="197">
        <f t="shared" ref="K163" si="172">IFERROR(SUM(K164:K171)/K161,0)</f>
        <v>39374425.5</v>
      </c>
      <c r="L163" s="197">
        <f t="shared" ref="L163" si="173">IFERROR(SUM(L164:L171)/L161,0)</f>
        <v>38348925.5</v>
      </c>
      <c r="M163" s="197">
        <f t="shared" ref="M163" si="174">IFERROR(SUM(M164:M171)/M161,0)</f>
        <v>38348925.5</v>
      </c>
      <c r="N163" s="197">
        <f t="shared" ref="N163" si="175">IFERROR(SUM(N164:N171)/N161,0)</f>
        <v>39518425.5</v>
      </c>
      <c r="O163" s="197">
        <f t="shared" ref="O163" si="176">IFERROR(SUM(O164:O171)/O161,0)</f>
        <v>37323425.5</v>
      </c>
      <c r="P163" s="197">
        <f t="shared" ref="P163" si="177">IFERROR(SUM(P164:P171)/P161,0)</f>
        <v>39374425.5</v>
      </c>
      <c r="Q163" s="197">
        <f t="shared" ref="Q163" si="178">IFERROR(SUM(Q164:Q171)/Q161,0)</f>
        <v>38348925.5</v>
      </c>
      <c r="R163" s="198"/>
      <c r="S163" s="803"/>
      <c r="T163" s="803"/>
      <c r="U163" s="803"/>
    </row>
    <row r="164" spans="2:21" x14ac:dyDescent="0.35">
      <c r="B164" s="199" t="s">
        <v>475</v>
      </c>
      <c r="C164" s="1200">
        <v>6271002604</v>
      </c>
      <c r="D164" s="201" t="s">
        <v>488</v>
      </c>
      <c r="E164" s="201" t="s">
        <v>491</v>
      </c>
      <c r="F164" s="1248">
        <v>51870000</v>
      </c>
      <c r="G164" s="1248">
        <v>53865000</v>
      </c>
      <c r="H164" s="1248">
        <v>47880000</v>
      </c>
      <c r="I164" s="1248">
        <v>53865000</v>
      </c>
      <c r="J164" s="1248">
        <v>49875000</v>
      </c>
      <c r="K164" s="1248">
        <v>53865000</v>
      </c>
      <c r="L164" s="1248">
        <v>51870000</v>
      </c>
      <c r="M164" s="1248">
        <v>51870000</v>
      </c>
      <c r="N164" s="1248">
        <v>53865000</v>
      </c>
      <c r="O164" s="1248">
        <v>49875000</v>
      </c>
      <c r="P164" s="1248">
        <v>53865000</v>
      </c>
      <c r="Q164" s="1248">
        <v>51870000</v>
      </c>
      <c r="R164" s="1003">
        <f>SUM(F164:Q164)</f>
        <v>624435000</v>
      </c>
      <c r="S164" s="17"/>
      <c r="T164" s="17"/>
      <c r="U164" s="17"/>
    </row>
    <row r="165" spans="2:21" x14ac:dyDescent="0.35">
      <c r="B165" s="199" t="s">
        <v>475</v>
      </c>
      <c r="C165" s="1200">
        <v>6271002605</v>
      </c>
      <c r="D165" s="200" t="s">
        <v>490</v>
      </c>
      <c r="E165" s="201" t="s">
        <v>491</v>
      </c>
      <c r="F165" s="1248">
        <v>4106375</v>
      </c>
      <c r="G165" s="1248">
        <v>4106375</v>
      </c>
      <c r="H165" s="1248">
        <v>4106375</v>
      </c>
      <c r="I165" s="1248">
        <v>4106375</v>
      </c>
      <c r="J165" s="1248">
        <v>4106375</v>
      </c>
      <c r="K165" s="1248">
        <v>4106375</v>
      </c>
      <c r="L165" s="1248">
        <v>4106375</v>
      </c>
      <c r="M165" s="1248">
        <v>4106375</v>
      </c>
      <c r="N165" s="1248">
        <v>4106375</v>
      </c>
      <c r="O165" s="1248">
        <v>4106375</v>
      </c>
      <c r="P165" s="1248">
        <v>4106375</v>
      </c>
      <c r="Q165" s="1248">
        <v>4106375</v>
      </c>
      <c r="R165" s="1003">
        <f t="shared" ref="R165:R171" si="179">SUM(F165:Q165)</f>
        <v>49276500</v>
      </c>
      <c r="S165" s="17"/>
      <c r="T165" s="17"/>
      <c r="U165" s="17"/>
    </row>
    <row r="166" spans="2:21" x14ac:dyDescent="0.35">
      <c r="B166" s="199" t="s">
        <v>475</v>
      </c>
      <c r="C166" s="1200">
        <v>6271002802</v>
      </c>
      <c r="D166" s="201" t="s">
        <v>492</v>
      </c>
      <c r="E166" s="201" t="s">
        <v>493</v>
      </c>
      <c r="F166" s="1248">
        <v>1900000</v>
      </c>
      <c r="G166" s="1248">
        <v>1500000</v>
      </c>
      <c r="H166" s="1248">
        <v>1500000</v>
      </c>
      <c r="I166" s="1248">
        <v>1500000</v>
      </c>
      <c r="J166" s="1248">
        <v>2300000</v>
      </c>
      <c r="K166" s="1248">
        <v>1500000</v>
      </c>
      <c r="L166" s="1248">
        <v>1500000</v>
      </c>
      <c r="M166" s="1248">
        <v>1500000</v>
      </c>
      <c r="N166" s="1248">
        <v>1900000</v>
      </c>
      <c r="O166" s="1248">
        <v>1500000</v>
      </c>
      <c r="P166" s="1248">
        <v>1500000</v>
      </c>
      <c r="Q166" s="1248">
        <v>1500000</v>
      </c>
      <c r="R166" s="1003">
        <f t="shared" si="179"/>
        <v>19600000</v>
      </c>
      <c r="S166" s="17"/>
      <c r="T166" s="17"/>
      <c r="U166" s="17"/>
    </row>
    <row r="167" spans="2:21" x14ac:dyDescent="0.35">
      <c r="B167" s="199" t="s">
        <v>475</v>
      </c>
      <c r="C167" s="1200">
        <v>6271002806</v>
      </c>
      <c r="D167" s="200" t="s">
        <v>501</v>
      </c>
      <c r="E167" s="201" t="s">
        <v>491</v>
      </c>
      <c r="F167" s="1248">
        <v>5576026</v>
      </c>
      <c r="G167" s="1248">
        <v>5576026</v>
      </c>
      <c r="H167" s="1248">
        <v>5576026</v>
      </c>
      <c r="I167" s="1248">
        <v>5576026</v>
      </c>
      <c r="J167" s="1248">
        <v>5576026</v>
      </c>
      <c r="K167" s="1248">
        <v>5576026</v>
      </c>
      <c r="L167" s="1248">
        <v>5576026</v>
      </c>
      <c r="M167" s="1248">
        <v>5576026</v>
      </c>
      <c r="N167" s="1248">
        <v>5576026</v>
      </c>
      <c r="O167" s="1248">
        <v>5576026</v>
      </c>
      <c r="P167" s="1248">
        <v>5576026</v>
      </c>
      <c r="Q167" s="1248">
        <v>5576026</v>
      </c>
      <c r="R167" s="1003">
        <f t="shared" si="179"/>
        <v>66912312</v>
      </c>
      <c r="S167" s="17"/>
      <c r="T167" s="17"/>
      <c r="U167" s="17"/>
    </row>
    <row r="168" spans="2:21" x14ac:dyDescent="0.35">
      <c r="B168" s="199" t="s">
        <v>475</v>
      </c>
      <c r="C168" s="1200">
        <v>6271007202</v>
      </c>
      <c r="D168" s="201" t="s">
        <v>495</v>
      </c>
      <c r="E168" s="201" t="s">
        <v>493</v>
      </c>
      <c r="F168" s="1248">
        <v>0</v>
      </c>
      <c r="G168" s="1248">
        <v>0</v>
      </c>
      <c r="H168" s="1248">
        <v>0</v>
      </c>
      <c r="I168" s="1248">
        <v>0</v>
      </c>
      <c r="J168" s="1248">
        <v>0</v>
      </c>
      <c r="K168" s="1248">
        <v>0</v>
      </c>
      <c r="L168" s="1248">
        <v>0</v>
      </c>
      <c r="M168" s="1248">
        <v>0</v>
      </c>
      <c r="N168" s="1248">
        <v>0</v>
      </c>
      <c r="O168" s="1248">
        <v>0</v>
      </c>
      <c r="P168" s="1248">
        <v>0</v>
      </c>
      <c r="Q168" s="1248">
        <v>0</v>
      </c>
      <c r="R168" s="1003">
        <f t="shared" si="179"/>
        <v>0</v>
      </c>
      <c r="S168" s="17"/>
      <c r="T168" s="17"/>
      <c r="U168" s="17"/>
    </row>
    <row r="169" spans="2:21" x14ac:dyDescent="0.35">
      <c r="B169" s="199" t="s">
        <v>475</v>
      </c>
      <c r="C169" s="1200">
        <v>6271003202</v>
      </c>
      <c r="D169" s="200" t="s">
        <v>496</v>
      </c>
      <c r="E169" s="201" t="s">
        <v>493</v>
      </c>
      <c r="F169" s="1248">
        <v>1400000</v>
      </c>
      <c r="G169" s="1248">
        <v>1232000</v>
      </c>
      <c r="H169" s="1248">
        <v>1344000</v>
      </c>
      <c r="I169" s="1248">
        <v>1512000</v>
      </c>
      <c r="J169" s="1248">
        <v>1232000</v>
      </c>
      <c r="K169" s="1248">
        <v>1512000</v>
      </c>
      <c r="L169" s="1248">
        <v>1456000</v>
      </c>
      <c r="M169" s="1248">
        <v>1456000</v>
      </c>
      <c r="N169" s="1248">
        <v>1400000</v>
      </c>
      <c r="O169" s="1248">
        <v>1400000</v>
      </c>
      <c r="P169" s="1248">
        <v>1512000</v>
      </c>
      <c r="Q169" s="1248">
        <v>1456000</v>
      </c>
      <c r="R169" s="1003">
        <f t="shared" si="179"/>
        <v>16912000</v>
      </c>
      <c r="S169" s="17"/>
      <c r="T169" s="17"/>
      <c r="U169" s="17"/>
    </row>
    <row r="170" spans="2:21" x14ac:dyDescent="0.35">
      <c r="B170" s="199" t="s">
        <v>475</v>
      </c>
      <c r="C170" s="1200">
        <v>6271002603</v>
      </c>
      <c r="D170" s="201" t="s">
        <v>497</v>
      </c>
      <c r="E170" s="201" t="s">
        <v>491</v>
      </c>
      <c r="F170" s="1248">
        <v>0</v>
      </c>
      <c r="G170" s="1248">
        <v>0</v>
      </c>
      <c r="H170" s="1248">
        <v>0</v>
      </c>
      <c r="I170" s="1248">
        <v>0</v>
      </c>
      <c r="J170" s="1248">
        <v>0</v>
      </c>
      <c r="K170" s="1248">
        <v>0</v>
      </c>
      <c r="L170" s="1248">
        <v>0</v>
      </c>
      <c r="M170" s="1248">
        <v>0</v>
      </c>
      <c r="N170" s="1248">
        <v>0</v>
      </c>
      <c r="O170" s="1248">
        <v>0</v>
      </c>
      <c r="P170" s="1248">
        <v>0</v>
      </c>
      <c r="Q170" s="1248">
        <v>0</v>
      </c>
      <c r="R170" s="1003">
        <f t="shared" si="179"/>
        <v>0</v>
      </c>
      <c r="S170" s="17"/>
      <c r="T170" s="17"/>
      <c r="U170" s="17"/>
    </row>
    <row r="171" spans="2:21" x14ac:dyDescent="0.35">
      <c r="B171" s="199" t="s">
        <v>475</v>
      </c>
      <c r="C171" s="1200">
        <v>6271003401</v>
      </c>
      <c r="D171" s="200" t="s">
        <v>498</v>
      </c>
      <c r="E171" s="201" t="s">
        <v>493</v>
      </c>
      <c r="F171" s="1248">
        <v>12189450</v>
      </c>
      <c r="G171" s="1248">
        <v>12189450</v>
      </c>
      <c r="H171" s="1248">
        <v>12189450</v>
      </c>
      <c r="I171" s="1248">
        <v>12189450</v>
      </c>
      <c r="J171" s="1248">
        <v>12189450</v>
      </c>
      <c r="K171" s="1248">
        <v>12189450</v>
      </c>
      <c r="L171" s="1248">
        <v>12189450</v>
      </c>
      <c r="M171" s="1248">
        <v>12189450</v>
      </c>
      <c r="N171" s="1248">
        <v>12189450</v>
      </c>
      <c r="O171" s="1248">
        <v>12189450</v>
      </c>
      <c r="P171" s="1248">
        <v>12189450</v>
      </c>
      <c r="Q171" s="1248">
        <v>12189450</v>
      </c>
      <c r="R171" s="1003">
        <f t="shared" si="179"/>
        <v>146273400</v>
      </c>
      <c r="S171" s="17"/>
      <c r="T171" s="17"/>
      <c r="U171" s="17"/>
    </row>
    <row r="172" spans="2:21" x14ac:dyDescent="0.35">
      <c r="B172" s="203" t="s">
        <v>475</v>
      </c>
      <c r="C172" s="1201">
        <v>6271002703</v>
      </c>
      <c r="D172" s="205" t="s">
        <v>499</v>
      </c>
      <c r="E172" s="205" t="s">
        <v>491</v>
      </c>
      <c r="F172" s="1248">
        <v>0</v>
      </c>
      <c r="G172" s="1248">
        <v>0</v>
      </c>
      <c r="H172" s="1248">
        <v>0</v>
      </c>
      <c r="I172" s="1248">
        <v>0</v>
      </c>
      <c r="J172" s="1248">
        <v>0</v>
      </c>
      <c r="K172" s="1248">
        <v>0</v>
      </c>
      <c r="L172" s="1248">
        <v>0</v>
      </c>
      <c r="M172" s="1248">
        <v>0</v>
      </c>
      <c r="N172" s="1248">
        <v>0</v>
      </c>
      <c r="O172" s="1248">
        <v>0</v>
      </c>
      <c r="P172" s="1248">
        <v>0</v>
      </c>
      <c r="Q172" s="1248">
        <v>0</v>
      </c>
      <c r="R172" s="1199"/>
      <c r="S172" s="17"/>
      <c r="T172" s="17"/>
      <c r="U172" s="17"/>
    </row>
    <row r="173" spans="2:21" x14ac:dyDescent="0.35">
      <c r="B173" s="190" t="s">
        <v>502</v>
      </c>
      <c r="C173" s="191"/>
      <c r="D173" s="192" t="s">
        <v>485</v>
      </c>
      <c r="E173" s="191"/>
      <c r="F173" s="193">
        <f>'Dinh bien_HCNS'!F57</f>
        <v>58</v>
      </c>
      <c r="G173" s="193">
        <f>'Dinh bien_HCNS'!G57</f>
        <v>58</v>
      </c>
      <c r="H173" s="193">
        <f>'Dinh bien_HCNS'!H57</f>
        <v>58</v>
      </c>
      <c r="I173" s="193">
        <f>'Dinh bien_HCNS'!I57</f>
        <v>58</v>
      </c>
      <c r="J173" s="193">
        <f>'Dinh bien_HCNS'!J57</f>
        <v>58</v>
      </c>
      <c r="K173" s="193">
        <f>'Dinh bien_HCNS'!K57</f>
        <v>58</v>
      </c>
      <c r="L173" s="193">
        <f>'Dinh bien_HCNS'!L57</f>
        <v>58</v>
      </c>
      <c r="M173" s="193">
        <f>'Dinh bien_HCNS'!M57</f>
        <v>58</v>
      </c>
      <c r="N173" s="193">
        <f>'Dinh bien_HCNS'!N57</f>
        <v>58</v>
      </c>
      <c r="O173" s="193">
        <f>'Dinh bien_HCNS'!O57</f>
        <v>58</v>
      </c>
      <c r="P173" s="193">
        <f>'Dinh bien_HCNS'!P57</f>
        <v>58</v>
      </c>
      <c r="Q173" s="193">
        <f>'Dinh bien_HCNS'!Q57</f>
        <v>58</v>
      </c>
      <c r="R173" s="193">
        <f>Q173</f>
        <v>58</v>
      </c>
      <c r="S173" s="803"/>
      <c r="T173" s="803"/>
      <c r="U173" s="803"/>
    </row>
    <row r="174" spans="2:21" x14ac:dyDescent="0.35">
      <c r="B174" s="194" t="s">
        <v>502</v>
      </c>
      <c r="C174" s="195"/>
      <c r="D174" s="196" t="s">
        <v>503</v>
      </c>
      <c r="E174" s="195"/>
      <c r="F174" s="197">
        <f>SUM(F176:F184)</f>
        <v>566257161.48251748</v>
      </c>
      <c r="G174" s="197">
        <f t="shared" ref="G174:Q174" si="180">SUM(G176:G184)</f>
        <v>414192187.74825168</v>
      </c>
      <c r="H174" s="197">
        <f t="shared" si="180"/>
        <v>551442250.96503496</v>
      </c>
      <c r="I174" s="197">
        <f t="shared" si="180"/>
        <v>547947437.06293702</v>
      </c>
      <c r="J174" s="197">
        <f t="shared" si="180"/>
        <v>555065003.02097893</v>
      </c>
      <c r="K174" s="197">
        <f t="shared" si="180"/>
        <v>559917437.06293702</v>
      </c>
      <c r="L174" s="197">
        <f t="shared" si="180"/>
        <v>576696354.90909088</v>
      </c>
      <c r="M174" s="197">
        <f t="shared" si="180"/>
        <v>576696354.90909088</v>
      </c>
      <c r="N174" s="197">
        <f t="shared" si="180"/>
        <v>533243917.11888111</v>
      </c>
      <c r="O174" s="197">
        <f t="shared" si="180"/>
        <v>569535272.75524473</v>
      </c>
      <c r="P174" s="197">
        <f t="shared" si="180"/>
        <v>571887437.06293702</v>
      </c>
      <c r="Q174" s="197">
        <f t="shared" si="180"/>
        <v>564726354.90909088</v>
      </c>
      <c r="R174" s="198">
        <f>SUM(R176:R184)</f>
        <v>6587607169.0069923</v>
      </c>
      <c r="S174" s="803"/>
      <c r="T174" s="803"/>
      <c r="U174" s="803"/>
    </row>
    <row r="175" spans="2:21" x14ac:dyDescent="0.35">
      <c r="B175" s="194" t="s">
        <v>502</v>
      </c>
      <c r="C175" s="195"/>
      <c r="D175" s="192" t="s">
        <v>487</v>
      </c>
      <c r="E175" s="195"/>
      <c r="F175" s="197">
        <f>IFERROR(SUM(F176:F183)/F173,0)</f>
        <v>8819587.9503255356</v>
      </c>
      <c r="G175" s="197">
        <f t="shared" ref="G175" si="181">IFERROR(SUM(G176:G183)/G173,0)</f>
        <v>6317258.0834338069</v>
      </c>
      <c r="H175" s="197">
        <f t="shared" ref="H175" si="182">IFERROR(SUM(H176:H183)/H173,0)</f>
        <v>8605476.5276103206</v>
      </c>
      <c r="I175" s="197">
        <f t="shared" ref="I175" si="183">IFERROR(SUM(I176:I183)/I173,0)</f>
        <v>8452587.2346274406</v>
      </c>
      <c r="J175" s="197">
        <f t="shared" ref="J175" si="184">IFERROR(SUM(J176:J183)/J173,0)</f>
        <v>8759522.8357849047</v>
      </c>
      <c r="K175" s="197">
        <f t="shared" ref="K175" si="185">IFERROR(SUM(K176:K183)/K173,0)</f>
        <v>8658966.5449722689</v>
      </c>
      <c r="L175" s="197">
        <f t="shared" ref="L175" si="186">IFERROR(SUM(L176:L183)/L173,0)</f>
        <v>8985102.0564263314</v>
      </c>
      <c r="M175" s="197">
        <f t="shared" ref="M175" si="187">IFERROR(SUM(M176:M183)/M173,0)</f>
        <v>8985102.0564263314</v>
      </c>
      <c r="N175" s="197">
        <f t="shared" ref="N175" si="188">IFERROR(SUM(N176:N183)/N173,0)</f>
        <v>8272765.9189775744</v>
      </c>
      <c r="O175" s="197">
        <f t="shared" ref="O175" si="189">IFERROR(SUM(O176:O183)/O173,0)</f>
        <v>8898478.9471907392</v>
      </c>
      <c r="P175" s="197">
        <f t="shared" ref="P175" si="190">IFERROR(SUM(P176:P183)/P173,0)</f>
        <v>8865345.8553170972</v>
      </c>
      <c r="Q175" s="197">
        <f t="shared" ref="Q175" si="191">IFERROR(SUM(Q176:Q183)/Q173,0)</f>
        <v>8778722.746081505</v>
      </c>
      <c r="R175" s="198"/>
      <c r="S175" s="803"/>
      <c r="T175" s="803"/>
      <c r="U175" s="803"/>
    </row>
    <row r="176" spans="2:21" x14ac:dyDescent="0.35">
      <c r="B176" s="199" t="s">
        <v>502</v>
      </c>
      <c r="C176" s="1200">
        <v>6220002601</v>
      </c>
      <c r="D176" s="201" t="s">
        <v>504</v>
      </c>
      <c r="E176" s="201" t="s">
        <v>489</v>
      </c>
      <c r="F176" s="1248">
        <v>392972364.36363637</v>
      </c>
      <c r="G176" s="1248">
        <v>266126686.54545456</v>
      </c>
      <c r="H176" s="1248">
        <v>384583720</v>
      </c>
      <c r="I176" s="1248">
        <v>375326686.54545456</v>
      </c>
      <c r="J176" s="1248">
        <v>388778042.18181819</v>
      </c>
      <c r="K176" s="1248">
        <v>386246686.54545456</v>
      </c>
      <c r="L176" s="1248">
        <v>403892364.36363637</v>
      </c>
      <c r="M176" s="1248">
        <v>403892364.36363637</v>
      </c>
      <c r="N176" s="1248">
        <v>364406686.54545456</v>
      </c>
      <c r="O176" s="1248">
        <v>399698042.18181819</v>
      </c>
      <c r="P176" s="1248">
        <v>397166686.54545456</v>
      </c>
      <c r="Q176" s="1248">
        <v>392972364.36363637</v>
      </c>
      <c r="R176" s="1003">
        <f>SUM(F176:Q176)</f>
        <v>4556062694.545455</v>
      </c>
      <c r="S176" s="17"/>
      <c r="T176" s="17"/>
      <c r="U176" s="17"/>
    </row>
    <row r="177" spans="2:21" x14ac:dyDescent="0.35">
      <c r="B177" s="199" t="s">
        <v>502</v>
      </c>
      <c r="C177" s="1200">
        <v>6220002602</v>
      </c>
      <c r="D177" s="200" t="s">
        <v>505</v>
      </c>
      <c r="E177" s="201" t="s">
        <v>489</v>
      </c>
      <c r="F177" s="1248">
        <v>8633314.1818181816</v>
      </c>
      <c r="G177" s="1248">
        <v>8633314.1818181816</v>
      </c>
      <c r="H177" s="1248">
        <v>8633314.1818181816</v>
      </c>
      <c r="I177" s="1248">
        <v>8633314.1818181816</v>
      </c>
      <c r="J177" s="1248">
        <v>8633314.1818181816</v>
      </c>
      <c r="K177" s="1248">
        <v>8633314.1818181816</v>
      </c>
      <c r="L177" s="1248">
        <v>8633314.1818181816</v>
      </c>
      <c r="M177" s="1248">
        <v>8633314.1818181816</v>
      </c>
      <c r="N177" s="1248">
        <v>8633314.1818181816</v>
      </c>
      <c r="O177" s="1248">
        <v>8633314.1818181816</v>
      </c>
      <c r="P177" s="1248">
        <v>8633314.1818181816</v>
      </c>
      <c r="Q177" s="1248">
        <v>8633314.1818181816</v>
      </c>
      <c r="R177" s="1003">
        <f t="shared" ref="R177:R208" si="192">SUM(F177:Q177)</f>
        <v>103599770.1818182</v>
      </c>
      <c r="S177" s="17"/>
      <c r="T177" s="17"/>
      <c r="U177" s="17"/>
    </row>
    <row r="178" spans="2:21" x14ac:dyDescent="0.35">
      <c r="B178" s="199" t="s">
        <v>502</v>
      </c>
      <c r="C178" s="200">
        <v>6220002802</v>
      </c>
      <c r="D178" s="201" t="s">
        <v>506</v>
      </c>
      <c r="E178" s="201" t="s">
        <v>493</v>
      </c>
      <c r="F178" s="1248">
        <v>24960000</v>
      </c>
      <c r="G178" s="1248">
        <v>21760000</v>
      </c>
      <c r="H178" s="1248">
        <v>21760000</v>
      </c>
      <c r="I178" s="1248">
        <v>21760000</v>
      </c>
      <c r="J178" s="1248">
        <v>28160000</v>
      </c>
      <c r="K178" s="1248">
        <v>21760000</v>
      </c>
      <c r="L178" s="1248">
        <v>21760000</v>
      </c>
      <c r="M178" s="1248">
        <v>21760000</v>
      </c>
      <c r="N178" s="1248">
        <v>24960000</v>
      </c>
      <c r="O178" s="1248">
        <v>21760000</v>
      </c>
      <c r="P178" s="1248">
        <v>21760000</v>
      </c>
      <c r="Q178" s="1248">
        <v>21760000</v>
      </c>
      <c r="R178" s="1003">
        <f t="shared" si="192"/>
        <v>273920000</v>
      </c>
      <c r="S178" s="17"/>
      <c r="T178" s="17"/>
      <c r="U178" s="17"/>
    </row>
    <row r="179" spans="2:21" x14ac:dyDescent="0.35">
      <c r="B179" s="199" t="s">
        <v>502</v>
      </c>
      <c r="C179" s="200">
        <v>6220002806</v>
      </c>
      <c r="D179" s="200" t="s">
        <v>507</v>
      </c>
      <c r="E179" s="201" t="s">
        <v>489</v>
      </c>
      <c r="F179" s="1248">
        <v>999650.18181818177</v>
      </c>
      <c r="G179" s="1248">
        <v>999650.18181818177</v>
      </c>
      <c r="H179" s="1248">
        <v>999650.18181818177</v>
      </c>
      <c r="I179" s="1248">
        <v>999650.18181818177</v>
      </c>
      <c r="J179" s="1248">
        <v>999650.18181818177</v>
      </c>
      <c r="K179" s="1248">
        <v>999650.18181818177</v>
      </c>
      <c r="L179" s="1248">
        <v>999650.18181818177</v>
      </c>
      <c r="M179" s="1248">
        <v>999650.18181818177</v>
      </c>
      <c r="N179" s="1248">
        <v>999650.18181818177</v>
      </c>
      <c r="O179" s="1248">
        <v>999650.18181818177</v>
      </c>
      <c r="P179" s="1248">
        <v>999650.18181818177</v>
      </c>
      <c r="Q179" s="1248">
        <v>999650.18181818177</v>
      </c>
      <c r="R179" s="1003">
        <f t="shared" si="192"/>
        <v>11995802.181818182</v>
      </c>
      <c r="S179" s="17"/>
      <c r="T179" s="17"/>
      <c r="U179" s="17"/>
    </row>
    <row r="180" spans="2:21" x14ac:dyDescent="0.35">
      <c r="B180" s="199" t="s">
        <v>502</v>
      </c>
      <c r="C180" s="200">
        <v>6220007202</v>
      </c>
      <c r="D180" s="201" t="s">
        <v>495</v>
      </c>
      <c r="E180" s="201" t="s">
        <v>493</v>
      </c>
      <c r="F180" s="1248">
        <v>1389103.2727272727</v>
      </c>
      <c r="G180" s="1248">
        <v>1389103.2727272727</v>
      </c>
      <c r="H180" s="1248">
        <v>1389103.2727272727</v>
      </c>
      <c r="I180" s="1248">
        <v>1389103.2727272727</v>
      </c>
      <c r="J180" s="1248">
        <v>1389103.2727272727</v>
      </c>
      <c r="K180" s="1248">
        <v>1389103.2727272727</v>
      </c>
      <c r="L180" s="1248">
        <v>1389103.2727272727</v>
      </c>
      <c r="M180" s="1248">
        <v>1389103.2727272727</v>
      </c>
      <c r="N180" s="1248">
        <v>1389103.2727272727</v>
      </c>
      <c r="O180" s="1248">
        <v>1389103.2727272727</v>
      </c>
      <c r="P180" s="1248">
        <v>1389103.2727272727</v>
      </c>
      <c r="Q180" s="1248">
        <v>1389103.2727272727</v>
      </c>
      <c r="R180" s="1003">
        <f t="shared" si="192"/>
        <v>16669239.272727275</v>
      </c>
      <c r="S180" s="17"/>
      <c r="T180" s="17"/>
      <c r="U180" s="17"/>
    </row>
    <row r="181" spans="2:21" x14ac:dyDescent="0.35">
      <c r="B181" s="199" t="s">
        <v>502</v>
      </c>
      <c r="C181" s="200">
        <v>6220003201</v>
      </c>
      <c r="D181" s="200" t="s">
        <v>508</v>
      </c>
      <c r="E181" s="201" t="s">
        <v>493</v>
      </c>
      <c r="F181" s="1248">
        <v>48045453.84615384</v>
      </c>
      <c r="G181" s="1248">
        <v>32955999.384615384</v>
      </c>
      <c r="H181" s="1248">
        <v>47215635.692307696</v>
      </c>
      <c r="I181" s="1248">
        <v>47605090.153846152</v>
      </c>
      <c r="J181" s="1248">
        <v>45555999.384615384</v>
      </c>
      <c r="K181" s="1248">
        <v>48655090.153846152</v>
      </c>
      <c r="L181" s="1248">
        <v>49925272</v>
      </c>
      <c r="M181" s="1248">
        <v>49925272</v>
      </c>
      <c r="N181" s="1248">
        <v>44895453.84615384</v>
      </c>
      <c r="O181" s="1248">
        <v>49095453.84615384</v>
      </c>
      <c r="P181" s="1248">
        <v>49705090.153846152</v>
      </c>
      <c r="Q181" s="1248">
        <v>48875272</v>
      </c>
      <c r="R181" s="1003">
        <f t="shared" si="192"/>
        <v>562455082.46153855</v>
      </c>
      <c r="S181" s="17"/>
      <c r="T181" s="17"/>
      <c r="U181" s="17"/>
    </row>
    <row r="182" spans="2:21" x14ac:dyDescent="0.35">
      <c r="B182" s="199" t="s">
        <v>502</v>
      </c>
      <c r="C182" s="200">
        <v>6220002603</v>
      </c>
      <c r="D182" s="201" t="s">
        <v>509</v>
      </c>
      <c r="E182" s="201" t="s">
        <v>489</v>
      </c>
      <c r="F182" s="1248">
        <v>8908909.0909090918</v>
      </c>
      <c r="G182" s="1248">
        <v>8908909.0909090918</v>
      </c>
      <c r="H182" s="1248">
        <v>8908909.0909090918</v>
      </c>
      <c r="I182" s="1248">
        <v>8908909.0909090918</v>
      </c>
      <c r="J182" s="1248">
        <v>8908909.0909090918</v>
      </c>
      <c r="K182" s="1248">
        <v>8908909.0909090918</v>
      </c>
      <c r="L182" s="1248">
        <v>8908909.0909090918</v>
      </c>
      <c r="M182" s="1248">
        <v>8908909.0909090918</v>
      </c>
      <c r="N182" s="1248">
        <v>8908909.0909090918</v>
      </c>
      <c r="O182" s="1248">
        <v>8908909.0909090918</v>
      </c>
      <c r="P182" s="1248">
        <v>8908909.0909090918</v>
      </c>
      <c r="Q182" s="1248">
        <v>8908909.0909090918</v>
      </c>
      <c r="R182" s="1003">
        <f t="shared" si="192"/>
        <v>106906909.09090911</v>
      </c>
      <c r="S182" s="17"/>
      <c r="T182" s="17"/>
      <c r="U182" s="17"/>
    </row>
    <row r="183" spans="2:21" x14ac:dyDescent="0.35">
      <c r="B183" s="199" t="s">
        <v>502</v>
      </c>
      <c r="C183" s="200">
        <v>6220003401</v>
      </c>
      <c r="D183" s="200" t="s">
        <v>510</v>
      </c>
      <c r="E183" s="201" t="s">
        <v>493</v>
      </c>
      <c r="F183" s="1248">
        <v>25627306.181818184</v>
      </c>
      <c r="G183" s="1248">
        <v>25627306.181818184</v>
      </c>
      <c r="H183" s="1248">
        <v>25627306.181818184</v>
      </c>
      <c r="I183" s="1248">
        <v>25627306.181818184</v>
      </c>
      <c r="J183" s="1248">
        <v>25627306.181818184</v>
      </c>
      <c r="K183" s="1248">
        <v>25627306.181818184</v>
      </c>
      <c r="L183" s="1248">
        <v>25627306.181818184</v>
      </c>
      <c r="M183" s="1248">
        <v>25627306.181818184</v>
      </c>
      <c r="N183" s="1248">
        <v>25627306.181818184</v>
      </c>
      <c r="O183" s="1248">
        <v>25627306.181818184</v>
      </c>
      <c r="P183" s="1248">
        <v>25627306.181818184</v>
      </c>
      <c r="Q183" s="1248">
        <v>25627306.181818184</v>
      </c>
      <c r="R183" s="1003">
        <f t="shared" si="192"/>
        <v>307527674.18181819</v>
      </c>
      <c r="S183" s="17"/>
      <c r="T183" s="17"/>
      <c r="U183" s="17"/>
    </row>
    <row r="184" spans="2:21" x14ac:dyDescent="0.35">
      <c r="B184" s="203" t="s">
        <v>502</v>
      </c>
      <c r="C184" s="204">
        <v>6220002701</v>
      </c>
      <c r="D184" s="205" t="s">
        <v>511</v>
      </c>
      <c r="E184" s="205" t="s">
        <v>489</v>
      </c>
      <c r="F184" s="1248">
        <v>54721060.363636367</v>
      </c>
      <c r="G184" s="1248">
        <v>47791218.909090906</v>
      </c>
      <c r="H184" s="1248">
        <v>52324612.363636367</v>
      </c>
      <c r="I184" s="1248">
        <v>57697377.454545453</v>
      </c>
      <c r="J184" s="1248">
        <v>47012678.545454547</v>
      </c>
      <c r="K184" s="1248">
        <v>57697377.454545453</v>
      </c>
      <c r="L184" s="1248">
        <v>55560435.636363633</v>
      </c>
      <c r="M184" s="1248">
        <v>55560435.636363633</v>
      </c>
      <c r="N184" s="1248">
        <v>53423493.81818182</v>
      </c>
      <c r="O184" s="1248">
        <v>53423493.81818182</v>
      </c>
      <c r="P184" s="1248">
        <v>57697377.454545453</v>
      </c>
      <c r="Q184" s="1248">
        <v>55560435.636363633</v>
      </c>
      <c r="R184" s="1199">
        <f t="shared" si="192"/>
        <v>648469997.09090912</v>
      </c>
      <c r="S184" s="17"/>
      <c r="T184" s="17"/>
      <c r="U184" s="17"/>
    </row>
    <row r="185" spans="2:21" x14ac:dyDescent="0.35">
      <c r="B185" s="190" t="s">
        <v>444</v>
      </c>
      <c r="C185" s="191"/>
      <c r="D185" s="192" t="s">
        <v>485</v>
      </c>
      <c r="E185" s="191"/>
      <c r="F185" s="193">
        <f>'Dinh bien_HCNS'!F63</f>
        <v>6</v>
      </c>
      <c r="G185" s="193">
        <f>'Dinh bien_HCNS'!G63</f>
        <v>6</v>
      </c>
      <c r="H185" s="193">
        <f>'Dinh bien_HCNS'!H63</f>
        <v>6</v>
      </c>
      <c r="I185" s="193">
        <f>'Dinh bien_HCNS'!I63</f>
        <v>6</v>
      </c>
      <c r="J185" s="193">
        <f>'Dinh bien_HCNS'!J63</f>
        <v>6</v>
      </c>
      <c r="K185" s="193">
        <f>'Dinh bien_HCNS'!K63</f>
        <v>6</v>
      </c>
      <c r="L185" s="193">
        <f>'Dinh bien_HCNS'!L63</f>
        <v>6</v>
      </c>
      <c r="M185" s="193">
        <f>'Dinh bien_HCNS'!M63</f>
        <v>6</v>
      </c>
      <c r="N185" s="193">
        <f>'Dinh bien_HCNS'!N63</f>
        <v>6</v>
      </c>
      <c r="O185" s="193">
        <f>'Dinh bien_HCNS'!O63</f>
        <v>6</v>
      </c>
      <c r="P185" s="193">
        <f>'Dinh bien_HCNS'!P63</f>
        <v>6</v>
      </c>
      <c r="Q185" s="193">
        <f>'Dinh bien_HCNS'!Q63</f>
        <v>6</v>
      </c>
      <c r="R185" s="193">
        <v>6</v>
      </c>
      <c r="S185" s="803"/>
      <c r="T185" s="803"/>
      <c r="U185" s="803"/>
    </row>
    <row r="186" spans="2:21" x14ac:dyDescent="0.35">
      <c r="B186" s="194" t="s">
        <v>444</v>
      </c>
      <c r="C186" s="195"/>
      <c r="D186" s="196" t="s">
        <v>503</v>
      </c>
      <c r="E186" s="195"/>
      <c r="F186" s="197">
        <f>SUM(F188:F196)</f>
        <v>95638935.555944055</v>
      </c>
      <c r="G186" s="197">
        <f t="shared" ref="G186:Q186" si="193">SUM(G188:G196)</f>
        <v>92479570.405594409</v>
      </c>
      <c r="H186" s="197">
        <f t="shared" si="193"/>
        <v>90083344.111888111</v>
      </c>
      <c r="I186" s="197">
        <f t="shared" si="193"/>
        <v>97750288.898601398</v>
      </c>
      <c r="J186" s="197">
        <f t="shared" si="193"/>
        <v>91441876.132867128</v>
      </c>
      <c r="K186" s="197">
        <f t="shared" si="193"/>
        <v>97750288.898601398</v>
      </c>
      <c r="L186" s="197">
        <f t="shared" si="193"/>
        <v>95064883.090909079</v>
      </c>
      <c r="M186" s="197">
        <f t="shared" si="193"/>
        <v>95064883.090909079</v>
      </c>
      <c r="N186" s="197">
        <f t="shared" si="193"/>
        <v>96725218.919580415</v>
      </c>
      <c r="O186" s="197">
        <f t="shared" si="193"/>
        <v>92379477.283216789</v>
      </c>
      <c r="P186" s="197">
        <f t="shared" si="193"/>
        <v>97750288.898601398</v>
      </c>
      <c r="Q186" s="197">
        <f t="shared" si="193"/>
        <v>95064883.090909079</v>
      </c>
      <c r="R186" s="198">
        <f>SUM(R188:R196)</f>
        <v>1137193938.3776224</v>
      </c>
      <c r="S186" s="803"/>
      <c r="T186" s="803"/>
      <c r="U186" s="803"/>
    </row>
    <row r="187" spans="2:21" x14ac:dyDescent="0.35">
      <c r="B187" s="194" t="s">
        <v>444</v>
      </c>
      <c r="C187" s="195"/>
      <c r="D187" s="192" t="s">
        <v>487</v>
      </c>
      <c r="E187" s="195"/>
      <c r="F187" s="197">
        <f>IFERROR(SUM(F188:F195)/F185,0)</f>
        <v>12519756.319930069</v>
      </c>
      <c r="G187" s="197">
        <f t="shared" ref="G187" si="194">IFERROR(SUM(G188:G195)/G185,0)</f>
        <v>12426310.552447552</v>
      </c>
      <c r="H187" s="197">
        <f t="shared" ref="H187" si="195">IFERROR(SUM(H188:H195)/H185,0)</f>
        <v>11743602.412587412</v>
      </c>
      <c r="I187" s="197">
        <f t="shared" ref="I187" si="196">IFERROR(SUM(I188:I195)/I185,0)</f>
        <v>12685628.725524476</v>
      </c>
      <c r="J187" s="197">
        <f t="shared" ref="J187" si="197">IFERROR(SUM(J188:J195)/J185,0)</f>
        <v>12302020.279720278</v>
      </c>
      <c r="K187" s="197">
        <f t="shared" ref="K187" si="198">IFERROR(SUM(K188:K195)/K185,0)</f>
        <v>12685628.725524476</v>
      </c>
      <c r="L187" s="197">
        <f t="shared" ref="L187" si="199">IFERROR(SUM(L188:L195)/L185,0)</f>
        <v>12371619.954545453</v>
      </c>
      <c r="M187" s="197">
        <f t="shared" ref="M187" si="200">IFERROR(SUM(M188:M195)/M185,0)</f>
        <v>12371619.954545453</v>
      </c>
      <c r="N187" s="197">
        <f t="shared" ref="N187" si="201">IFERROR(SUM(N188:N195)/N185,0)</f>
        <v>12781901.456293704</v>
      </c>
      <c r="O187" s="197">
        <f t="shared" ref="O187" si="202">IFERROR(SUM(O188:O195)/O185,0)</f>
        <v>12057611.183566434</v>
      </c>
      <c r="P187" s="197">
        <f t="shared" ref="P187" si="203">IFERROR(SUM(P188:P195)/P185,0)</f>
        <v>12685628.725524476</v>
      </c>
      <c r="Q187" s="197">
        <f t="shared" ref="Q187" si="204">IFERROR(SUM(Q188:Q195)/Q185,0)</f>
        <v>12371619.954545453</v>
      </c>
      <c r="R187" s="198"/>
      <c r="S187" s="803"/>
      <c r="T187" s="803"/>
      <c r="U187" s="803"/>
    </row>
    <row r="188" spans="2:21" x14ac:dyDescent="0.35">
      <c r="B188" s="199" t="s">
        <v>444</v>
      </c>
      <c r="C188" s="200">
        <v>6220002601</v>
      </c>
      <c r="D188" s="201" t="s">
        <v>504</v>
      </c>
      <c r="E188" s="201" t="s">
        <v>489</v>
      </c>
      <c r="F188" s="1248">
        <v>40894636.636363633</v>
      </c>
      <c r="G188" s="1248">
        <v>42467507.454545453</v>
      </c>
      <c r="H188" s="1248">
        <v>37748895</v>
      </c>
      <c r="I188" s="1248">
        <v>42467507.454545453</v>
      </c>
      <c r="J188" s="1248">
        <v>39321765.81818182</v>
      </c>
      <c r="K188" s="1248">
        <v>42467507.454545453</v>
      </c>
      <c r="L188" s="1248">
        <v>40894636.636363633</v>
      </c>
      <c r="M188" s="1248">
        <v>40894636.636363633</v>
      </c>
      <c r="N188" s="1248">
        <v>42467507.454545453</v>
      </c>
      <c r="O188" s="1248">
        <v>39321765.81818182</v>
      </c>
      <c r="P188" s="1248">
        <v>42467507.454545453</v>
      </c>
      <c r="Q188" s="1248">
        <v>40894636.636363633</v>
      </c>
      <c r="R188" s="1003">
        <f t="shared" si="192"/>
        <v>492308510.45454538</v>
      </c>
      <c r="S188" s="17"/>
      <c r="T188" s="17"/>
      <c r="U188" s="17"/>
    </row>
    <row r="189" spans="2:21" x14ac:dyDescent="0.35">
      <c r="B189" s="199" t="s">
        <v>444</v>
      </c>
      <c r="C189" s="200">
        <v>6220002602</v>
      </c>
      <c r="D189" s="200" t="s">
        <v>505</v>
      </c>
      <c r="E189" s="201" t="s">
        <v>489</v>
      </c>
      <c r="F189" s="1248">
        <v>3237492.8181818184</v>
      </c>
      <c r="G189" s="1248">
        <v>3237492.8181818184</v>
      </c>
      <c r="H189" s="1248">
        <v>3237492.8181818184</v>
      </c>
      <c r="I189" s="1248">
        <v>3237492.8181818184</v>
      </c>
      <c r="J189" s="1248">
        <v>3237492.8181818184</v>
      </c>
      <c r="K189" s="1248">
        <v>3237492.8181818184</v>
      </c>
      <c r="L189" s="1248">
        <v>3237492.8181818184</v>
      </c>
      <c r="M189" s="1248">
        <v>3237492.8181818184</v>
      </c>
      <c r="N189" s="1248">
        <v>3237492.8181818184</v>
      </c>
      <c r="O189" s="1248">
        <v>3237492.8181818184</v>
      </c>
      <c r="P189" s="1248">
        <v>3237492.8181818184</v>
      </c>
      <c r="Q189" s="1248">
        <v>3237492.8181818184</v>
      </c>
      <c r="R189" s="1003">
        <f t="shared" si="192"/>
        <v>38849913.818181828</v>
      </c>
      <c r="S189" s="17"/>
      <c r="T189" s="17"/>
      <c r="U189" s="17"/>
    </row>
    <row r="190" spans="2:21" x14ac:dyDescent="0.35">
      <c r="B190" s="199" t="s">
        <v>444</v>
      </c>
      <c r="C190" s="200">
        <v>6220002802</v>
      </c>
      <c r="D190" s="201" t="s">
        <v>506</v>
      </c>
      <c r="E190" s="201" t="s">
        <v>493</v>
      </c>
      <c r="F190" s="1248">
        <v>9360000</v>
      </c>
      <c r="G190" s="1248">
        <v>8160000</v>
      </c>
      <c r="H190" s="1248">
        <v>8160000</v>
      </c>
      <c r="I190" s="1248">
        <v>8160000</v>
      </c>
      <c r="J190" s="1248">
        <v>10560000</v>
      </c>
      <c r="K190" s="1248">
        <v>8160000</v>
      </c>
      <c r="L190" s="1248">
        <v>8160000</v>
      </c>
      <c r="M190" s="1248">
        <v>8160000</v>
      </c>
      <c r="N190" s="1248">
        <v>9360000</v>
      </c>
      <c r="O190" s="1248">
        <v>8160000</v>
      </c>
      <c r="P190" s="1248">
        <v>8160000</v>
      </c>
      <c r="Q190" s="1248">
        <v>8160000</v>
      </c>
      <c r="R190" s="1003">
        <f t="shared" si="192"/>
        <v>102720000</v>
      </c>
      <c r="S190" s="17"/>
      <c r="T190" s="17"/>
      <c r="U190" s="17"/>
    </row>
    <row r="191" spans="2:21" x14ac:dyDescent="0.35">
      <c r="B191" s="199" t="s">
        <v>444</v>
      </c>
      <c r="C191" s="200">
        <v>6220002806</v>
      </c>
      <c r="D191" s="200" t="s">
        <v>507</v>
      </c>
      <c r="E191" s="201" t="s">
        <v>489</v>
      </c>
      <c r="F191" s="1248">
        <v>374868.81818181818</v>
      </c>
      <c r="G191" s="1248">
        <v>374868.81818181818</v>
      </c>
      <c r="H191" s="1248">
        <v>374868.81818181818</v>
      </c>
      <c r="I191" s="1248">
        <v>374868.81818181818</v>
      </c>
      <c r="J191" s="1248">
        <v>374868.81818181818</v>
      </c>
      <c r="K191" s="1248">
        <v>374868.81818181818</v>
      </c>
      <c r="L191" s="1248">
        <v>374868.81818181818</v>
      </c>
      <c r="M191" s="1248">
        <v>374868.81818181818</v>
      </c>
      <c r="N191" s="1248">
        <v>374868.81818181818</v>
      </c>
      <c r="O191" s="1248">
        <v>374868.81818181818</v>
      </c>
      <c r="P191" s="1248">
        <v>374868.81818181818</v>
      </c>
      <c r="Q191" s="1248">
        <v>374868.81818181818</v>
      </c>
      <c r="R191" s="1003">
        <f t="shared" si="192"/>
        <v>4498425.8181818193</v>
      </c>
      <c r="S191" s="17"/>
      <c r="T191" s="17"/>
      <c r="U191" s="17"/>
    </row>
    <row r="192" spans="2:21" x14ac:dyDescent="0.35">
      <c r="B192" s="199" t="s">
        <v>444</v>
      </c>
      <c r="C192" s="200">
        <v>6220007202</v>
      </c>
      <c r="D192" s="201" t="s">
        <v>495</v>
      </c>
      <c r="E192" s="201" t="s">
        <v>493</v>
      </c>
      <c r="F192" s="1248">
        <v>520913.72727272729</v>
      </c>
      <c r="G192" s="1248">
        <v>520913.72727272729</v>
      </c>
      <c r="H192" s="1248">
        <v>520913.72727272729</v>
      </c>
      <c r="I192" s="1248">
        <v>520913.72727272729</v>
      </c>
      <c r="J192" s="1248">
        <v>520913.72727272729</v>
      </c>
      <c r="K192" s="1248">
        <v>520913.72727272729</v>
      </c>
      <c r="L192" s="1248">
        <v>520913.72727272729</v>
      </c>
      <c r="M192" s="1248">
        <v>520913.72727272729</v>
      </c>
      <c r="N192" s="1248">
        <v>520913.72727272729</v>
      </c>
      <c r="O192" s="1248">
        <v>520913.72727272729</v>
      </c>
      <c r="P192" s="1248">
        <v>520913.72727272729</v>
      </c>
      <c r="Q192" s="1248">
        <v>520913.72727272729</v>
      </c>
      <c r="R192" s="1003">
        <f t="shared" si="192"/>
        <v>6250964.7272727294</v>
      </c>
      <c r="S192" s="17"/>
      <c r="T192" s="17"/>
      <c r="U192" s="17"/>
    </row>
    <row r="193" spans="2:21" x14ac:dyDescent="0.35">
      <c r="B193" s="199" t="s">
        <v>444</v>
      </c>
      <c r="C193" s="200">
        <v>6220003201</v>
      </c>
      <c r="D193" s="200" t="s">
        <v>508</v>
      </c>
      <c r="E193" s="201" t="s">
        <v>493</v>
      </c>
      <c r="F193" s="1248">
        <v>7779545.192307692</v>
      </c>
      <c r="G193" s="1248">
        <v>6845999.769230769</v>
      </c>
      <c r="H193" s="1248">
        <v>7468363.384615384</v>
      </c>
      <c r="I193" s="1248">
        <v>8401908.807692308</v>
      </c>
      <c r="J193" s="1248">
        <v>6845999.769230769</v>
      </c>
      <c r="K193" s="1248">
        <v>8401908.807692308</v>
      </c>
      <c r="L193" s="1248">
        <v>8090727</v>
      </c>
      <c r="M193" s="1248">
        <v>8090727</v>
      </c>
      <c r="N193" s="1248">
        <v>7779545.192307692</v>
      </c>
      <c r="O193" s="1248">
        <v>7779545.192307692</v>
      </c>
      <c r="P193" s="1248">
        <v>8401908.807692308</v>
      </c>
      <c r="Q193" s="1248">
        <v>8090727</v>
      </c>
      <c r="R193" s="1003">
        <f t="shared" si="192"/>
        <v>93976905.923076928</v>
      </c>
      <c r="S193" s="17"/>
      <c r="T193" s="17"/>
      <c r="U193" s="17"/>
    </row>
    <row r="194" spans="2:21" x14ac:dyDescent="0.35">
      <c r="B194" s="199" t="s">
        <v>444</v>
      </c>
      <c r="C194" s="200">
        <v>6220002603</v>
      </c>
      <c r="D194" s="201" t="s">
        <v>509</v>
      </c>
      <c r="E194" s="201" t="s">
        <v>489</v>
      </c>
      <c r="F194" s="1248">
        <v>3340840.9090909092</v>
      </c>
      <c r="G194" s="1248">
        <v>3340840.9090909092</v>
      </c>
      <c r="H194" s="1248">
        <v>3340840.9090909092</v>
      </c>
      <c r="I194" s="1248">
        <v>3340840.9090909092</v>
      </c>
      <c r="J194" s="1248">
        <v>3340840.9090909092</v>
      </c>
      <c r="K194" s="1248">
        <v>3340840.9090909092</v>
      </c>
      <c r="L194" s="1248">
        <v>3340840.9090909092</v>
      </c>
      <c r="M194" s="1248">
        <v>3340840.9090909092</v>
      </c>
      <c r="N194" s="1248">
        <v>3340840.9090909092</v>
      </c>
      <c r="O194" s="1248">
        <v>3340840.9090909092</v>
      </c>
      <c r="P194" s="1248">
        <v>3340840.9090909092</v>
      </c>
      <c r="Q194" s="1248">
        <v>3340840.9090909092</v>
      </c>
      <c r="R194" s="1003">
        <f t="shared" si="192"/>
        <v>40090090.909090914</v>
      </c>
      <c r="S194" s="17"/>
      <c r="T194" s="17"/>
      <c r="U194" s="17"/>
    </row>
    <row r="195" spans="2:21" x14ac:dyDescent="0.35">
      <c r="B195" s="199" t="s">
        <v>444</v>
      </c>
      <c r="C195" s="200">
        <v>6220003401</v>
      </c>
      <c r="D195" s="200" t="s">
        <v>510</v>
      </c>
      <c r="E195" s="201" t="s">
        <v>493</v>
      </c>
      <c r="F195" s="1248">
        <v>9610239.8181818184</v>
      </c>
      <c r="G195" s="1248">
        <v>9610239.8181818184</v>
      </c>
      <c r="H195" s="1248">
        <v>9610239.8181818184</v>
      </c>
      <c r="I195" s="1248">
        <v>9610239.8181818184</v>
      </c>
      <c r="J195" s="1248">
        <v>9610239.8181818184</v>
      </c>
      <c r="K195" s="1248">
        <v>9610239.8181818184</v>
      </c>
      <c r="L195" s="1248">
        <v>9610239.8181818184</v>
      </c>
      <c r="M195" s="1248">
        <v>9610239.8181818184</v>
      </c>
      <c r="N195" s="1248">
        <v>9610239.8181818184</v>
      </c>
      <c r="O195" s="1248">
        <v>9610239.8181818184</v>
      </c>
      <c r="P195" s="1248">
        <v>9610239.8181818184</v>
      </c>
      <c r="Q195" s="1248">
        <v>9610239.8181818184</v>
      </c>
      <c r="R195" s="1003">
        <f t="shared" si="192"/>
        <v>115322877.8181818</v>
      </c>
      <c r="S195" s="17"/>
      <c r="T195" s="17"/>
      <c r="U195" s="17"/>
    </row>
    <row r="196" spans="2:21" x14ac:dyDescent="0.35">
      <c r="B196" s="203" t="s">
        <v>444</v>
      </c>
      <c r="C196" s="204">
        <v>6220002701</v>
      </c>
      <c r="D196" s="205" t="s">
        <v>511</v>
      </c>
      <c r="E196" s="205" t="s">
        <v>489</v>
      </c>
      <c r="F196" s="1248">
        <v>20520397.636363637</v>
      </c>
      <c r="G196" s="1248">
        <v>17921707.09090909</v>
      </c>
      <c r="H196" s="1248">
        <v>19621729.636363637</v>
      </c>
      <c r="I196" s="1248">
        <v>21636516.545454547</v>
      </c>
      <c r="J196" s="1248">
        <v>17629754.454545453</v>
      </c>
      <c r="K196" s="1248">
        <v>21636516.545454547</v>
      </c>
      <c r="L196" s="1248">
        <v>20835163.363636363</v>
      </c>
      <c r="M196" s="1248">
        <v>20835163.363636363</v>
      </c>
      <c r="N196" s="1248">
        <v>20033810.181818184</v>
      </c>
      <c r="O196" s="1248">
        <v>20033810.181818184</v>
      </c>
      <c r="P196" s="1248">
        <v>21636516.545454547</v>
      </c>
      <c r="Q196" s="1248">
        <v>20835163.363636363</v>
      </c>
      <c r="R196" s="1199">
        <f t="shared" si="192"/>
        <v>243176248.90909094</v>
      </c>
      <c r="S196" s="17"/>
      <c r="T196" s="17"/>
      <c r="U196" s="17"/>
    </row>
    <row r="197" spans="2:21" x14ac:dyDescent="0.35">
      <c r="B197" s="190" t="s">
        <v>454</v>
      </c>
      <c r="C197" s="191"/>
      <c r="D197" s="192" t="s">
        <v>485</v>
      </c>
      <c r="E197" s="191"/>
      <c r="F197" s="193">
        <f>'Dinh bien_HCNS'!F68</f>
        <v>6</v>
      </c>
      <c r="G197" s="193">
        <f>'Dinh bien_HCNS'!G68</f>
        <v>6</v>
      </c>
      <c r="H197" s="193">
        <f>'Dinh bien_HCNS'!H68</f>
        <v>6</v>
      </c>
      <c r="I197" s="193">
        <f>'Dinh bien_HCNS'!I68</f>
        <v>6</v>
      </c>
      <c r="J197" s="193">
        <f>'Dinh bien_HCNS'!J68</f>
        <v>6</v>
      </c>
      <c r="K197" s="193">
        <f>'Dinh bien_HCNS'!K68</f>
        <v>6</v>
      </c>
      <c r="L197" s="193">
        <f>'Dinh bien_HCNS'!L68</f>
        <v>6</v>
      </c>
      <c r="M197" s="193">
        <f>'Dinh bien_HCNS'!M68</f>
        <v>6</v>
      </c>
      <c r="N197" s="193">
        <f>'Dinh bien_HCNS'!N68</f>
        <v>6</v>
      </c>
      <c r="O197" s="193">
        <f>'Dinh bien_HCNS'!O68</f>
        <v>6</v>
      </c>
      <c r="P197" s="193">
        <f>'Dinh bien_HCNS'!P68</f>
        <v>6</v>
      </c>
      <c r="Q197" s="193">
        <f>'Dinh bien_HCNS'!Q68</f>
        <v>6</v>
      </c>
      <c r="R197" s="193">
        <v>4</v>
      </c>
      <c r="S197" s="803"/>
      <c r="T197" s="803"/>
      <c r="U197" s="803"/>
    </row>
    <row r="198" spans="2:21" x14ac:dyDescent="0.35">
      <c r="B198" s="194" t="s">
        <v>454</v>
      </c>
      <c r="C198" s="195"/>
      <c r="D198" s="196" t="s">
        <v>500</v>
      </c>
      <c r="E198" s="195"/>
      <c r="F198" s="197">
        <f>SUM(F200:F208)</f>
        <v>72863616</v>
      </c>
      <c r="G198" s="197">
        <f t="shared" ref="G198:Q198" si="205">SUM(G200:G208)</f>
        <v>71661424</v>
      </c>
      <c r="H198" s="197">
        <f t="shared" si="205"/>
        <v>68693306</v>
      </c>
      <c r="I198" s="197">
        <f t="shared" si="205"/>
        <v>74643348</v>
      </c>
      <c r="J198" s="197">
        <f t="shared" si="205"/>
        <v>70487500</v>
      </c>
      <c r="K198" s="197">
        <f t="shared" si="205"/>
        <v>74643348</v>
      </c>
      <c r="L198" s="197">
        <f t="shared" si="205"/>
        <v>72660000</v>
      </c>
      <c r="M198" s="197">
        <f t="shared" si="205"/>
        <v>72660000</v>
      </c>
      <c r="N198" s="197">
        <f t="shared" si="205"/>
        <v>74250578</v>
      </c>
      <c r="O198" s="197">
        <f t="shared" si="205"/>
        <v>70676654</v>
      </c>
      <c r="P198" s="197">
        <f t="shared" si="205"/>
        <v>74643348</v>
      </c>
      <c r="Q198" s="197">
        <f t="shared" si="205"/>
        <v>72660000</v>
      </c>
      <c r="R198" s="198">
        <f>SUM(R200:R208)</f>
        <v>870543122</v>
      </c>
      <c r="S198" s="803"/>
      <c r="T198" s="803"/>
      <c r="U198" s="803"/>
    </row>
    <row r="199" spans="2:21" x14ac:dyDescent="0.35">
      <c r="B199" s="194" t="s">
        <v>454</v>
      </c>
      <c r="C199" s="195"/>
      <c r="D199" s="192" t="s">
        <v>487</v>
      </c>
      <c r="E199" s="195"/>
      <c r="F199" s="197">
        <f>IFERROR(SUM(F200:F207)/F197,0)</f>
        <v>10438166.666666666</v>
      </c>
      <c r="G199" s="197">
        <f t="shared" ref="G199" si="206">IFERROR(SUM(G200:G207)/G197,0)</f>
        <v>10442493.666666666</v>
      </c>
      <c r="H199" s="197">
        <f t="shared" ref="H199" si="207">IFERROR(SUM(H200:H207)/H197,0)</f>
        <v>9811346</v>
      </c>
      <c r="I199" s="197">
        <f t="shared" ref="I199" si="208">IFERROR(SUM(I200:I207)/I197,0)</f>
        <v>10598327</v>
      </c>
      <c r="J199" s="197">
        <f t="shared" ref="J199" si="209">IFERROR(SUM(J200:J207)/J197,0)</f>
        <v>10246839.666666666</v>
      </c>
      <c r="K199" s="197">
        <f t="shared" ref="K199" si="210">IFERROR(SUM(K200:K207)/K197,0)</f>
        <v>10598327</v>
      </c>
      <c r="L199" s="197">
        <f t="shared" ref="L199" si="211">IFERROR(SUM(L200:L207)/L197,0)</f>
        <v>10336000</v>
      </c>
      <c r="M199" s="197">
        <f t="shared" ref="M199" si="212">IFERROR(SUM(M200:M207)/M197,0)</f>
        <v>10336000</v>
      </c>
      <c r="N199" s="197">
        <f t="shared" ref="N199" si="213">IFERROR(SUM(N200:N207)/N197,0)</f>
        <v>10669327</v>
      </c>
      <c r="O199" s="197">
        <f t="shared" ref="O199" si="214">IFERROR(SUM(O200:O207)/O197,0)</f>
        <v>10073673</v>
      </c>
      <c r="P199" s="197">
        <f t="shared" ref="P199" si="215">IFERROR(SUM(P200:P207)/P197,0)</f>
        <v>10598327</v>
      </c>
      <c r="Q199" s="197">
        <f t="shared" ref="Q199" si="216">IFERROR(SUM(Q200:Q207)/Q197,0)</f>
        <v>10336000</v>
      </c>
      <c r="R199" s="198"/>
      <c r="S199" s="803"/>
      <c r="T199" s="803"/>
      <c r="U199" s="803"/>
    </row>
    <row r="200" spans="2:21" x14ac:dyDescent="0.35">
      <c r="B200" s="199" t="s">
        <v>454</v>
      </c>
      <c r="C200" s="200">
        <v>6271002604</v>
      </c>
      <c r="D200" s="201" t="s">
        <v>488</v>
      </c>
      <c r="E200" s="201" t="s">
        <v>491</v>
      </c>
      <c r="F200" s="1248">
        <v>36061000</v>
      </c>
      <c r="G200" s="1248">
        <v>37447962</v>
      </c>
      <c r="H200" s="1248">
        <v>33287076</v>
      </c>
      <c r="I200" s="1248">
        <v>37447962</v>
      </c>
      <c r="J200" s="1248">
        <v>34674038</v>
      </c>
      <c r="K200" s="1248">
        <v>37447962</v>
      </c>
      <c r="L200" s="1248">
        <v>36061000</v>
      </c>
      <c r="M200" s="1248">
        <v>36061000</v>
      </c>
      <c r="N200" s="1248">
        <v>37447962</v>
      </c>
      <c r="O200" s="1248">
        <v>34674038</v>
      </c>
      <c r="P200" s="1248">
        <v>37447962</v>
      </c>
      <c r="Q200" s="1248">
        <v>36061000</v>
      </c>
      <c r="R200" s="1003">
        <f t="shared" si="192"/>
        <v>434118962</v>
      </c>
      <c r="S200" s="17"/>
      <c r="T200" s="17"/>
      <c r="U200" s="17"/>
    </row>
    <row r="201" spans="2:21" x14ac:dyDescent="0.35">
      <c r="B201" s="199" t="s">
        <v>454</v>
      </c>
      <c r="C201" s="200">
        <v>6271002605</v>
      </c>
      <c r="D201" s="200" t="s">
        <v>490</v>
      </c>
      <c r="E201" s="201" t="s">
        <v>491</v>
      </c>
      <c r="F201" s="1248">
        <v>2854831</v>
      </c>
      <c r="G201" s="1248">
        <v>2854831</v>
      </c>
      <c r="H201" s="1248">
        <v>2854831</v>
      </c>
      <c r="I201" s="1248">
        <v>2854831</v>
      </c>
      <c r="J201" s="1248">
        <v>2854831</v>
      </c>
      <c r="K201" s="1248">
        <v>2854831</v>
      </c>
      <c r="L201" s="1248">
        <v>2854831</v>
      </c>
      <c r="M201" s="1248">
        <v>2854831</v>
      </c>
      <c r="N201" s="1248">
        <v>2854831</v>
      </c>
      <c r="O201" s="1248">
        <v>2854831</v>
      </c>
      <c r="P201" s="1248">
        <v>2854831</v>
      </c>
      <c r="Q201" s="1248">
        <v>2854831</v>
      </c>
      <c r="R201" s="1003">
        <f t="shared" si="192"/>
        <v>34257972</v>
      </c>
      <c r="S201" s="17"/>
      <c r="T201" s="17"/>
      <c r="U201" s="17"/>
    </row>
    <row r="202" spans="2:21" x14ac:dyDescent="0.35">
      <c r="B202" s="199" t="s">
        <v>454</v>
      </c>
      <c r="C202" s="200">
        <v>6271002802</v>
      </c>
      <c r="D202" s="201" t="s">
        <v>492</v>
      </c>
      <c r="E202" s="201" t="s">
        <v>493</v>
      </c>
      <c r="F202" s="1248">
        <v>6315000</v>
      </c>
      <c r="G202" s="1248">
        <v>5515000</v>
      </c>
      <c r="H202" s="1248">
        <v>5515000</v>
      </c>
      <c r="I202" s="1248">
        <v>5515000</v>
      </c>
      <c r="J202" s="1248">
        <v>7115000</v>
      </c>
      <c r="K202" s="1248">
        <v>5515000</v>
      </c>
      <c r="L202" s="1248">
        <v>5515000</v>
      </c>
      <c r="M202" s="1248">
        <v>5515000</v>
      </c>
      <c r="N202" s="1248">
        <v>6315000</v>
      </c>
      <c r="O202" s="1248">
        <v>5515000</v>
      </c>
      <c r="P202" s="1248">
        <v>5515000</v>
      </c>
      <c r="Q202" s="1248">
        <v>5515000</v>
      </c>
      <c r="R202" s="1003">
        <f t="shared" si="192"/>
        <v>69380000</v>
      </c>
      <c r="S202" s="17"/>
      <c r="T202" s="17"/>
      <c r="U202" s="17"/>
    </row>
    <row r="203" spans="2:21" x14ac:dyDescent="0.35">
      <c r="B203" s="199" t="s">
        <v>454</v>
      </c>
      <c r="C203" s="200">
        <v>6271002806</v>
      </c>
      <c r="D203" s="200" t="s">
        <v>501</v>
      </c>
      <c r="E203" s="201" t="s">
        <v>491</v>
      </c>
      <c r="F203" s="1248">
        <v>3876559</v>
      </c>
      <c r="G203" s="1248">
        <v>3876559</v>
      </c>
      <c r="H203" s="1248">
        <v>3876559</v>
      </c>
      <c r="I203" s="1248">
        <v>3876559</v>
      </c>
      <c r="J203" s="1248">
        <v>3876559</v>
      </c>
      <c r="K203" s="1248">
        <v>3876559</v>
      </c>
      <c r="L203" s="1248">
        <v>3876559</v>
      </c>
      <c r="M203" s="1248">
        <v>3876559</v>
      </c>
      <c r="N203" s="1248">
        <v>3876559</v>
      </c>
      <c r="O203" s="1248">
        <v>3876559</v>
      </c>
      <c r="P203" s="1248">
        <v>3876559</v>
      </c>
      <c r="Q203" s="1248">
        <v>3876559</v>
      </c>
      <c r="R203" s="1003">
        <f t="shared" si="192"/>
        <v>46518708</v>
      </c>
      <c r="S203" s="17"/>
      <c r="T203" s="17"/>
      <c r="U203" s="17"/>
    </row>
    <row r="204" spans="2:21" x14ac:dyDescent="0.35">
      <c r="B204" s="199" t="s">
        <v>454</v>
      </c>
      <c r="C204" s="200">
        <v>6271007202</v>
      </c>
      <c r="D204" s="201" t="s">
        <v>495</v>
      </c>
      <c r="E204" s="201" t="s">
        <v>493</v>
      </c>
      <c r="F204" s="1248">
        <v>372275</v>
      </c>
      <c r="G204" s="1248">
        <v>372275</v>
      </c>
      <c r="H204" s="1248">
        <v>372275</v>
      </c>
      <c r="I204" s="1248">
        <v>372275</v>
      </c>
      <c r="J204" s="1248">
        <v>372275</v>
      </c>
      <c r="K204" s="1248">
        <v>372275</v>
      </c>
      <c r="L204" s="1248">
        <v>372275</v>
      </c>
      <c r="M204" s="1248">
        <v>372275</v>
      </c>
      <c r="N204" s="1248">
        <v>372275</v>
      </c>
      <c r="O204" s="1248">
        <v>372275</v>
      </c>
      <c r="P204" s="1248">
        <v>372275</v>
      </c>
      <c r="Q204" s="1248">
        <v>372275</v>
      </c>
      <c r="R204" s="1003">
        <f t="shared" si="192"/>
        <v>4467300</v>
      </c>
      <c r="S204" s="17"/>
      <c r="T204" s="17"/>
      <c r="U204" s="17"/>
    </row>
    <row r="205" spans="2:21" x14ac:dyDescent="0.35">
      <c r="B205" s="199" t="s">
        <v>454</v>
      </c>
      <c r="C205" s="200">
        <v>6271003202</v>
      </c>
      <c r="D205" s="200" t="s">
        <v>496</v>
      </c>
      <c r="E205" s="201" t="s">
        <v>493</v>
      </c>
      <c r="F205" s="1248">
        <v>4675000</v>
      </c>
      <c r="G205" s="1248">
        <v>4114000</v>
      </c>
      <c r="H205" s="1248">
        <v>4488000</v>
      </c>
      <c r="I205" s="1248">
        <v>5049000</v>
      </c>
      <c r="J205" s="1248">
        <v>4114000</v>
      </c>
      <c r="K205" s="1248">
        <v>5049000</v>
      </c>
      <c r="L205" s="1248">
        <v>4862000</v>
      </c>
      <c r="M205" s="1248">
        <v>4862000</v>
      </c>
      <c r="N205" s="1248">
        <v>4675000</v>
      </c>
      <c r="O205" s="1248">
        <v>4675000</v>
      </c>
      <c r="P205" s="1248">
        <v>5049000</v>
      </c>
      <c r="Q205" s="1248">
        <v>4862000</v>
      </c>
      <c r="R205" s="1003">
        <f t="shared" si="192"/>
        <v>56474000</v>
      </c>
      <c r="S205" s="17"/>
      <c r="T205" s="17"/>
      <c r="U205" s="17"/>
    </row>
    <row r="206" spans="2:21" x14ac:dyDescent="0.35">
      <c r="B206" s="199" t="s">
        <v>454</v>
      </c>
      <c r="C206" s="200">
        <v>6271002603</v>
      </c>
      <c r="D206" s="201" t="s">
        <v>497</v>
      </c>
      <c r="E206" s="201" t="s">
        <v>491</v>
      </c>
      <c r="F206" s="1248">
        <v>0</v>
      </c>
      <c r="G206" s="1248">
        <v>0</v>
      </c>
      <c r="H206" s="1248">
        <v>0</v>
      </c>
      <c r="I206" s="1248">
        <v>0</v>
      </c>
      <c r="J206" s="1248">
        <v>0</v>
      </c>
      <c r="K206" s="1248">
        <v>0</v>
      </c>
      <c r="L206" s="1248">
        <v>0</v>
      </c>
      <c r="M206" s="1248">
        <v>0</v>
      </c>
      <c r="N206" s="1248">
        <v>0</v>
      </c>
      <c r="O206" s="1248">
        <v>0</v>
      </c>
      <c r="P206" s="1248">
        <v>0</v>
      </c>
      <c r="Q206" s="1248">
        <v>0</v>
      </c>
      <c r="R206" s="1003">
        <f t="shared" si="192"/>
        <v>0</v>
      </c>
      <c r="S206" s="17"/>
      <c r="T206" s="17"/>
      <c r="U206" s="17"/>
    </row>
    <row r="207" spans="2:21" x14ac:dyDescent="0.35">
      <c r="B207" s="199" t="s">
        <v>454</v>
      </c>
      <c r="C207" s="200">
        <v>6271003401</v>
      </c>
      <c r="D207" s="200" t="s">
        <v>498</v>
      </c>
      <c r="E207" s="201" t="s">
        <v>493</v>
      </c>
      <c r="F207" s="1248">
        <v>8474335</v>
      </c>
      <c r="G207" s="1248">
        <v>8474335</v>
      </c>
      <c r="H207" s="1248">
        <v>8474335</v>
      </c>
      <c r="I207" s="1248">
        <v>8474335</v>
      </c>
      <c r="J207" s="1248">
        <v>8474335</v>
      </c>
      <c r="K207" s="1248">
        <v>8474335</v>
      </c>
      <c r="L207" s="1248">
        <v>8474335</v>
      </c>
      <c r="M207" s="1248">
        <v>8474335</v>
      </c>
      <c r="N207" s="1248">
        <v>8474335</v>
      </c>
      <c r="O207" s="1248">
        <v>8474335</v>
      </c>
      <c r="P207" s="1248">
        <v>8474335</v>
      </c>
      <c r="Q207" s="1248">
        <v>8474335</v>
      </c>
      <c r="R207" s="1003">
        <f>SUM(F207:Q207)</f>
        <v>101692020</v>
      </c>
      <c r="S207" s="17"/>
      <c r="T207" s="17"/>
      <c r="U207" s="17"/>
    </row>
    <row r="208" spans="2:21" x14ac:dyDescent="0.35">
      <c r="B208" s="203" t="s">
        <v>454</v>
      </c>
      <c r="C208" s="204">
        <v>6271002703</v>
      </c>
      <c r="D208" s="205" t="s">
        <v>499</v>
      </c>
      <c r="E208" s="205" t="s">
        <v>491</v>
      </c>
      <c r="F208" s="1248">
        <v>10234616</v>
      </c>
      <c r="G208" s="1248">
        <v>9006462</v>
      </c>
      <c r="H208" s="1248">
        <v>9825230</v>
      </c>
      <c r="I208" s="1248">
        <v>11053386</v>
      </c>
      <c r="J208" s="1248">
        <v>9006462</v>
      </c>
      <c r="K208" s="1248">
        <v>11053386</v>
      </c>
      <c r="L208" s="1248">
        <v>10644000</v>
      </c>
      <c r="M208" s="1248">
        <v>10644000</v>
      </c>
      <c r="N208" s="1248">
        <v>10234616</v>
      </c>
      <c r="O208" s="1248">
        <v>10234616</v>
      </c>
      <c r="P208" s="1248">
        <v>11053386</v>
      </c>
      <c r="Q208" s="1248">
        <v>10644000</v>
      </c>
      <c r="R208" s="1003">
        <f t="shared" si="192"/>
        <v>123634160</v>
      </c>
      <c r="S208" s="17"/>
      <c r="T208" s="17"/>
      <c r="U208" s="17"/>
    </row>
    <row r="209" spans="2:21" x14ac:dyDescent="0.35">
      <c r="B209" s="190" t="s">
        <v>512</v>
      </c>
      <c r="C209" s="191"/>
      <c r="D209" s="192" t="s">
        <v>485</v>
      </c>
      <c r="E209" s="191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803"/>
      <c r="T209" s="803"/>
      <c r="U209" s="803"/>
    </row>
    <row r="210" spans="2:21" x14ac:dyDescent="0.35">
      <c r="B210" s="194" t="s">
        <v>512</v>
      </c>
      <c r="C210" s="195"/>
      <c r="D210" s="196" t="s">
        <v>486</v>
      </c>
      <c r="E210" s="195"/>
      <c r="F210" s="197">
        <f>SUM(F212:F220)</f>
        <v>0</v>
      </c>
      <c r="G210" s="197">
        <f t="shared" ref="G210:Q210" si="217">SUM(G212:G220)</f>
        <v>0</v>
      </c>
      <c r="H210" s="197">
        <f t="shared" si="217"/>
        <v>0</v>
      </c>
      <c r="I210" s="197">
        <f t="shared" si="217"/>
        <v>0</v>
      </c>
      <c r="J210" s="197">
        <f t="shared" si="217"/>
        <v>0</v>
      </c>
      <c r="K210" s="197">
        <f t="shared" si="217"/>
        <v>0</v>
      </c>
      <c r="L210" s="197">
        <f t="shared" si="217"/>
        <v>0</v>
      </c>
      <c r="M210" s="197">
        <f t="shared" si="217"/>
        <v>0</v>
      </c>
      <c r="N210" s="197">
        <f t="shared" si="217"/>
        <v>0</v>
      </c>
      <c r="O210" s="197">
        <f t="shared" si="217"/>
        <v>0</v>
      </c>
      <c r="P210" s="197">
        <f t="shared" si="217"/>
        <v>0</v>
      </c>
      <c r="Q210" s="197">
        <f t="shared" si="217"/>
        <v>0</v>
      </c>
      <c r="R210" s="198">
        <f>SUM(R212:R220)</f>
        <v>0</v>
      </c>
      <c r="S210" s="803"/>
      <c r="T210" s="803"/>
      <c r="U210" s="803"/>
    </row>
    <row r="211" spans="2:21" x14ac:dyDescent="0.35">
      <c r="B211" s="194" t="s">
        <v>512</v>
      </c>
      <c r="C211" s="195"/>
      <c r="D211" s="192" t="s">
        <v>487</v>
      </c>
      <c r="E211" s="195"/>
      <c r="F211" s="197">
        <f>IFERROR(SUM(F212:F219)/F209,0)</f>
        <v>0</v>
      </c>
      <c r="G211" s="197">
        <f t="shared" ref="G211" si="218">IFERROR(SUM(G212:G219)/G209,0)</f>
        <v>0</v>
      </c>
      <c r="H211" s="197">
        <f t="shared" ref="H211" si="219">IFERROR(SUM(H212:H219)/H209,0)</f>
        <v>0</v>
      </c>
      <c r="I211" s="197">
        <f t="shared" ref="I211" si="220">IFERROR(SUM(I212:I219)/I209,0)</f>
        <v>0</v>
      </c>
      <c r="J211" s="197">
        <f t="shared" ref="J211" si="221">IFERROR(SUM(J212:J219)/J209,0)</f>
        <v>0</v>
      </c>
      <c r="K211" s="197">
        <f t="shared" ref="K211" si="222">IFERROR(SUM(K212:K219)/K209,0)</f>
        <v>0</v>
      </c>
      <c r="L211" s="197">
        <f t="shared" ref="L211" si="223">IFERROR(SUM(L212:L219)/L209,0)</f>
        <v>0</v>
      </c>
      <c r="M211" s="197">
        <f t="shared" ref="M211" si="224">IFERROR(SUM(M212:M219)/M209,0)</f>
        <v>0</v>
      </c>
      <c r="N211" s="197">
        <f t="shared" ref="N211" si="225">IFERROR(SUM(N212:N219)/N209,0)</f>
        <v>0</v>
      </c>
      <c r="O211" s="197">
        <f t="shared" ref="O211" si="226">IFERROR(SUM(O212:O219)/O209,0)</f>
        <v>0</v>
      </c>
      <c r="P211" s="197">
        <f t="shared" ref="P211" si="227">IFERROR(SUM(P212:P219)/P209,0)</f>
        <v>0</v>
      </c>
      <c r="Q211" s="197">
        <f t="shared" ref="Q211" si="228">IFERROR(SUM(Q212:Q219)/Q209,0)</f>
        <v>0</v>
      </c>
      <c r="R211" s="198"/>
      <c r="S211" s="803"/>
      <c r="T211" s="803"/>
      <c r="U211" s="803"/>
    </row>
    <row r="212" spans="2:21" x14ac:dyDescent="0.35">
      <c r="B212" s="199" t="s">
        <v>512</v>
      </c>
      <c r="C212" s="200">
        <v>6421002604</v>
      </c>
      <c r="D212" s="201" t="s">
        <v>488</v>
      </c>
      <c r="E212" s="201" t="s">
        <v>489</v>
      </c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7">
        <f>SUM(F212:Q212)</f>
        <v>0</v>
      </c>
      <c r="S212" s="17"/>
      <c r="T212" s="17"/>
      <c r="U212" s="17"/>
    </row>
    <row r="213" spans="2:21" x14ac:dyDescent="0.35">
      <c r="B213" s="199" t="s">
        <v>512</v>
      </c>
      <c r="C213" s="200">
        <v>6421002605</v>
      </c>
      <c r="D213" s="200" t="s">
        <v>490</v>
      </c>
      <c r="E213" s="201" t="s">
        <v>491</v>
      </c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7">
        <f t="shared" ref="R213:R220" si="229">SUM(F213:Q213)</f>
        <v>0</v>
      </c>
      <c r="S213" s="17"/>
      <c r="T213" s="17"/>
      <c r="U213" s="17"/>
    </row>
    <row r="214" spans="2:21" x14ac:dyDescent="0.35">
      <c r="B214" s="199" t="s">
        <v>512</v>
      </c>
      <c r="C214" s="200">
        <v>6421002802</v>
      </c>
      <c r="D214" s="201" t="s">
        <v>492</v>
      </c>
      <c r="E214" s="201" t="s">
        <v>493</v>
      </c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7">
        <f t="shared" si="229"/>
        <v>0</v>
      </c>
      <c r="S214" s="17"/>
      <c r="T214" s="17"/>
      <c r="U214" s="17"/>
    </row>
    <row r="215" spans="2:21" x14ac:dyDescent="0.35">
      <c r="B215" s="199" t="s">
        <v>512</v>
      </c>
      <c r="C215" s="200">
        <v>6421002806</v>
      </c>
      <c r="D215" s="200" t="s">
        <v>494</v>
      </c>
      <c r="E215" s="201" t="s">
        <v>491</v>
      </c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7">
        <f t="shared" si="229"/>
        <v>0</v>
      </c>
      <c r="S215" s="17"/>
      <c r="T215" s="17"/>
      <c r="U215" s="17"/>
    </row>
    <row r="216" spans="2:21" x14ac:dyDescent="0.35">
      <c r="B216" s="199" t="s">
        <v>512</v>
      </c>
      <c r="C216" s="200">
        <v>6421007202</v>
      </c>
      <c r="D216" s="201" t="s">
        <v>495</v>
      </c>
      <c r="E216" s="201" t="s">
        <v>493</v>
      </c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7">
        <f t="shared" si="229"/>
        <v>0</v>
      </c>
      <c r="S216" s="17"/>
      <c r="T216" s="17"/>
      <c r="U216" s="17"/>
    </row>
    <row r="217" spans="2:21" x14ac:dyDescent="0.35">
      <c r="B217" s="199" t="s">
        <v>512</v>
      </c>
      <c r="C217" s="200">
        <v>6421003202</v>
      </c>
      <c r="D217" s="200" t="s">
        <v>496</v>
      </c>
      <c r="E217" s="201" t="s">
        <v>493</v>
      </c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7">
        <f t="shared" si="229"/>
        <v>0</v>
      </c>
      <c r="S217" s="17"/>
      <c r="T217" s="17"/>
      <c r="U217" s="17"/>
    </row>
    <row r="218" spans="2:21" x14ac:dyDescent="0.35">
      <c r="B218" s="199" t="s">
        <v>512</v>
      </c>
      <c r="C218" s="200">
        <v>6421002603</v>
      </c>
      <c r="D218" s="201" t="s">
        <v>497</v>
      </c>
      <c r="E218" s="201" t="s">
        <v>491</v>
      </c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7">
        <f t="shared" si="229"/>
        <v>0</v>
      </c>
      <c r="S218" s="17"/>
      <c r="T218" s="17"/>
      <c r="U218" s="17"/>
    </row>
    <row r="219" spans="2:21" x14ac:dyDescent="0.35">
      <c r="B219" s="199" t="s">
        <v>512</v>
      </c>
      <c r="C219" s="200">
        <v>6421003401</v>
      </c>
      <c r="D219" s="200" t="s">
        <v>498</v>
      </c>
      <c r="E219" s="201" t="s">
        <v>493</v>
      </c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7">
        <f t="shared" si="229"/>
        <v>0</v>
      </c>
      <c r="S219" s="17"/>
      <c r="T219" s="17"/>
      <c r="U219" s="17"/>
    </row>
    <row r="220" spans="2:21" x14ac:dyDescent="0.35">
      <c r="B220" s="203" t="s">
        <v>512</v>
      </c>
      <c r="C220" s="204">
        <v>6421002703</v>
      </c>
      <c r="D220" s="205" t="s">
        <v>499</v>
      </c>
      <c r="E220" s="205" t="s">
        <v>491</v>
      </c>
      <c r="F220" s="206"/>
      <c r="G220" s="206"/>
      <c r="H220" s="206"/>
      <c r="I220" s="206"/>
      <c r="J220" s="206"/>
      <c r="K220" s="206"/>
      <c r="L220" s="206"/>
      <c r="M220" s="206"/>
      <c r="N220" s="206"/>
      <c r="O220" s="206"/>
      <c r="P220" s="206"/>
      <c r="Q220" s="206"/>
      <c r="R220" s="208">
        <f t="shared" si="229"/>
        <v>0</v>
      </c>
      <c r="S220" s="17"/>
      <c r="T220" s="17"/>
      <c r="U220" s="17"/>
    </row>
    <row r="221" spans="2:21" x14ac:dyDescent="0.35">
      <c r="B221" s="743"/>
      <c r="C221" s="744"/>
      <c r="D221" s="107"/>
      <c r="E221" s="107"/>
      <c r="F221" s="745"/>
      <c r="G221" s="745"/>
      <c r="H221" s="745"/>
      <c r="I221" s="745"/>
      <c r="J221" s="745"/>
      <c r="K221" s="745"/>
      <c r="L221" s="745"/>
      <c r="M221" s="745"/>
      <c r="N221" s="745"/>
      <c r="O221" s="745"/>
      <c r="P221" s="745"/>
      <c r="Q221" s="745"/>
      <c r="R221" s="746"/>
      <c r="S221" s="17"/>
      <c r="T221" s="17"/>
      <c r="U221" s="17"/>
    </row>
    <row r="222" spans="2:21" ht="15.5" x14ac:dyDescent="0.35">
      <c r="B222" s="62" t="s">
        <v>513</v>
      </c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</row>
    <row r="223" spans="2:21" x14ac:dyDescent="0.35">
      <c r="B223" s="190" t="s">
        <v>514</v>
      </c>
      <c r="C223" s="191"/>
      <c r="D223" s="192" t="s">
        <v>485</v>
      </c>
      <c r="E223" s="191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803"/>
      <c r="T223" s="803"/>
      <c r="U223" s="803"/>
    </row>
    <row r="224" spans="2:21" x14ac:dyDescent="0.35">
      <c r="B224" s="194" t="s">
        <v>514</v>
      </c>
      <c r="C224" s="195"/>
      <c r="D224" s="196" t="s">
        <v>500</v>
      </c>
      <c r="E224" s="195"/>
      <c r="F224" s="197">
        <f>SUM(F226:F234)</f>
        <v>0</v>
      </c>
      <c r="G224" s="197">
        <f t="shared" ref="G224:Q224" si="230">SUM(G226:G234)</f>
        <v>0</v>
      </c>
      <c r="H224" s="197">
        <f t="shared" si="230"/>
        <v>0</v>
      </c>
      <c r="I224" s="197">
        <f t="shared" si="230"/>
        <v>0</v>
      </c>
      <c r="J224" s="197">
        <f t="shared" si="230"/>
        <v>0</v>
      </c>
      <c r="K224" s="197">
        <f t="shared" si="230"/>
        <v>0</v>
      </c>
      <c r="L224" s="197">
        <f t="shared" si="230"/>
        <v>0</v>
      </c>
      <c r="M224" s="197">
        <f t="shared" si="230"/>
        <v>0</v>
      </c>
      <c r="N224" s="197">
        <f t="shared" si="230"/>
        <v>0</v>
      </c>
      <c r="O224" s="197">
        <f t="shared" si="230"/>
        <v>0</v>
      </c>
      <c r="P224" s="197">
        <f t="shared" si="230"/>
        <v>0</v>
      </c>
      <c r="Q224" s="197">
        <f t="shared" si="230"/>
        <v>0</v>
      </c>
      <c r="R224" s="198">
        <f>SUM(R226:R234)</f>
        <v>0</v>
      </c>
      <c r="S224" s="803"/>
      <c r="T224" s="803"/>
      <c r="U224" s="803"/>
    </row>
    <row r="225" spans="2:21" x14ac:dyDescent="0.35">
      <c r="B225" s="194" t="s">
        <v>514</v>
      </c>
      <c r="C225" s="195"/>
      <c r="D225" s="192" t="s">
        <v>487</v>
      </c>
      <c r="E225" s="195"/>
      <c r="F225" s="197">
        <f>IFERROR(SUM(F226:F233)/F223,0)</f>
        <v>0</v>
      </c>
      <c r="G225" s="197">
        <f t="shared" ref="G225" si="231">IFERROR(SUM(G226:G233)/G223,0)</f>
        <v>0</v>
      </c>
      <c r="H225" s="197">
        <f t="shared" ref="H225:Q225" si="232">IFERROR(SUM(H226:H233)/H223,0)</f>
        <v>0</v>
      </c>
      <c r="I225" s="197">
        <f t="shared" si="232"/>
        <v>0</v>
      </c>
      <c r="J225" s="197">
        <f t="shared" si="232"/>
        <v>0</v>
      </c>
      <c r="K225" s="197">
        <f t="shared" si="232"/>
        <v>0</v>
      </c>
      <c r="L225" s="197">
        <f t="shared" si="232"/>
        <v>0</v>
      </c>
      <c r="M225" s="197">
        <f t="shared" si="232"/>
        <v>0</v>
      </c>
      <c r="N225" s="197">
        <f t="shared" si="232"/>
        <v>0</v>
      </c>
      <c r="O225" s="197">
        <f t="shared" si="232"/>
        <v>0</v>
      </c>
      <c r="P225" s="197">
        <f t="shared" si="232"/>
        <v>0</v>
      </c>
      <c r="Q225" s="197">
        <f t="shared" si="232"/>
        <v>0</v>
      </c>
      <c r="R225" s="198"/>
      <c r="S225" s="803"/>
      <c r="T225" s="803"/>
      <c r="U225" s="803"/>
    </row>
    <row r="226" spans="2:21" x14ac:dyDescent="0.35">
      <c r="B226" s="199" t="s">
        <v>514</v>
      </c>
      <c r="C226" s="200">
        <v>6271002604</v>
      </c>
      <c r="D226" s="201" t="s">
        <v>488</v>
      </c>
      <c r="E226" s="201" t="s">
        <v>491</v>
      </c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7">
        <f>SUM(F226:Q226)</f>
        <v>0</v>
      </c>
      <c r="S226" s="17"/>
      <c r="T226" s="17"/>
      <c r="U226" s="17"/>
    </row>
    <row r="227" spans="2:21" x14ac:dyDescent="0.35">
      <c r="B227" s="199" t="s">
        <v>514</v>
      </c>
      <c r="C227" s="200">
        <v>6271002605</v>
      </c>
      <c r="D227" s="200" t="s">
        <v>490</v>
      </c>
      <c r="E227" s="201" t="s">
        <v>491</v>
      </c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7">
        <f t="shared" ref="R227" si="233">SUM(F227:Q227)</f>
        <v>0</v>
      </c>
      <c r="S227" s="17"/>
      <c r="T227" s="17"/>
      <c r="U227" s="17"/>
    </row>
    <row r="228" spans="2:21" x14ac:dyDescent="0.35">
      <c r="B228" s="199" t="s">
        <v>514</v>
      </c>
      <c r="C228" s="200">
        <v>6271002802</v>
      </c>
      <c r="D228" s="201" t="s">
        <v>492</v>
      </c>
      <c r="E228" s="201" t="s">
        <v>493</v>
      </c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7">
        <f>SUM(F228:Q228)</f>
        <v>0</v>
      </c>
      <c r="S228" s="17"/>
      <c r="T228" s="17"/>
      <c r="U228" s="17"/>
    </row>
    <row r="229" spans="2:21" x14ac:dyDescent="0.35">
      <c r="B229" s="199" t="s">
        <v>514</v>
      </c>
      <c r="C229" s="200">
        <v>6271002806</v>
      </c>
      <c r="D229" s="200" t="s">
        <v>501</v>
      </c>
      <c r="E229" s="201" t="s">
        <v>491</v>
      </c>
      <c r="F229" s="202"/>
      <c r="G229" s="202"/>
      <c r="H229" s="202"/>
      <c r="I229" s="202"/>
      <c r="J229" s="202"/>
      <c r="K229" s="202"/>
      <c r="L229" s="202"/>
      <c r="M229" s="202"/>
      <c r="N229" s="202"/>
      <c r="O229" s="202"/>
      <c r="P229" s="202"/>
      <c r="Q229" s="202"/>
      <c r="R229" s="207"/>
      <c r="S229" s="17"/>
      <c r="T229" s="17"/>
      <c r="U229" s="17"/>
    </row>
    <row r="230" spans="2:21" x14ac:dyDescent="0.35">
      <c r="B230" s="199" t="s">
        <v>514</v>
      </c>
      <c r="C230" s="200">
        <v>6271007202</v>
      </c>
      <c r="D230" s="201" t="s">
        <v>495</v>
      </c>
      <c r="E230" s="201" t="s">
        <v>493</v>
      </c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7"/>
      <c r="S230" s="17"/>
      <c r="T230" s="17"/>
      <c r="U230" s="17"/>
    </row>
    <row r="231" spans="2:21" x14ac:dyDescent="0.35">
      <c r="B231" s="199" t="s">
        <v>514</v>
      </c>
      <c r="C231" s="200">
        <v>6271003202</v>
      </c>
      <c r="D231" s="200" t="s">
        <v>496</v>
      </c>
      <c r="E231" s="201" t="s">
        <v>493</v>
      </c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2"/>
      <c r="Q231" s="202"/>
      <c r="R231" s="207">
        <f>SUM(F231:Q231)</f>
        <v>0</v>
      </c>
      <c r="S231" s="17"/>
      <c r="T231" s="17"/>
      <c r="U231" s="17"/>
    </row>
    <row r="232" spans="2:21" x14ac:dyDescent="0.35">
      <c r="B232" s="199" t="s">
        <v>514</v>
      </c>
      <c r="C232" s="200">
        <v>6271002603</v>
      </c>
      <c r="D232" s="201" t="s">
        <v>497</v>
      </c>
      <c r="E232" s="201" t="s">
        <v>491</v>
      </c>
      <c r="F232" s="202"/>
      <c r="G232" s="202"/>
      <c r="H232" s="202"/>
      <c r="I232" s="202"/>
      <c r="J232" s="202"/>
      <c r="K232" s="202"/>
      <c r="L232" s="202"/>
      <c r="M232" s="202"/>
      <c r="N232" s="202"/>
      <c r="O232" s="202"/>
      <c r="P232" s="202"/>
      <c r="Q232" s="202"/>
      <c r="R232" s="207"/>
      <c r="S232" s="17"/>
      <c r="T232" s="17"/>
      <c r="U232" s="17"/>
    </row>
    <row r="233" spans="2:21" x14ac:dyDescent="0.35">
      <c r="B233" s="199" t="s">
        <v>514</v>
      </c>
      <c r="C233" s="200">
        <v>6271003401</v>
      </c>
      <c r="D233" s="200" t="s">
        <v>498</v>
      </c>
      <c r="E233" s="201" t="s">
        <v>493</v>
      </c>
      <c r="F233" s="202"/>
      <c r="G233" s="202"/>
      <c r="H233" s="202"/>
      <c r="I233" s="202"/>
      <c r="J233" s="202"/>
      <c r="K233" s="202"/>
      <c r="L233" s="202"/>
      <c r="M233" s="202"/>
      <c r="N233" s="202"/>
      <c r="O233" s="202"/>
      <c r="P233" s="202"/>
      <c r="Q233" s="202"/>
      <c r="R233" s="207">
        <f t="shared" ref="R233" si="234">SUM(F233:Q233)</f>
        <v>0</v>
      </c>
      <c r="S233" s="17"/>
      <c r="T233" s="17"/>
      <c r="U233" s="17"/>
    </row>
    <row r="234" spans="2:21" x14ac:dyDescent="0.35">
      <c r="B234" s="203" t="s">
        <v>514</v>
      </c>
      <c r="C234" s="204">
        <v>6271002703</v>
      </c>
      <c r="D234" s="205" t="s">
        <v>499</v>
      </c>
      <c r="E234" s="205" t="s">
        <v>491</v>
      </c>
      <c r="F234" s="206"/>
      <c r="G234" s="206"/>
      <c r="H234" s="206"/>
      <c r="I234" s="206"/>
      <c r="J234" s="206"/>
      <c r="K234" s="206"/>
      <c r="L234" s="206"/>
      <c r="M234" s="206"/>
      <c r="N234" s="206"/>
      <c r="O234" s="206"/>
      <c r="P234" s="206"/>
      <c r="Q234" s="206"/>
      <c r="R234" s="208"/>
      <c r="S234" s="17"/>
      <c r="T234" s="17"/>
      <c r="U234" s="17"/>
    </row>
    <row r="235" spans="2:21" x14ac:dyDescent="0.35">
      <c r="B235" s="190" t="s">
        <v>515</v>
      </c>
      <c r="C235" s="191"/>
      <c r="D235" s="192" t="s">
        <v>485</v>
      </c>
      <c r="E235" s="191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803"/>
      <c r="T235" s="803"/>
      <c r="U235" s="803"/>
    </row>
    <row r="236" spans="2:21" x14ac:dyDescent="0.35">
      <c r="B236" s="194" t="s">
        <v>515</v>
      </c>
      <c r="C236" s="195"/>
      <c r="D236" s="196" t="s">
        <v>503</v>
      </c>
      <c r="E236" s="195"/>
      <c r="F236" s="197">
        <f>SUM(F238:F246)</f>
        <v>0</v>
      </c>
      <c r="G236" s="197">
        <f t="shared" ref="G236:Q236" si="235">SUM(G238:G246)</f>
        <v>0</v>
      </c>
      <c r="H236" s="197">
        <f t="shared" si="235"/>
        <v>0</v>
      </c>
      <c r="I236" s="197">
        <f t="shared" si="235"/>
        <v>0</v>
      </c>
      <c r="J236" s="197">
        <f t="shared" si="235"/>
        <v>0</v>
      </c>
      <c r="K236" s="197">
        <f t="shared" si="235"/>
        <v>0</v>
      </c>
      <c r="L236" s="197">
        <f t="shared" si="235"/>
        <v>0</v>
      </c>
      <c r="M236" s="197">
        <f t="shared" si="235"/>
        <v>0</v>
      </c>
      <c r="N236" s="197">
        <f t="shared" si="235"/>
        <v>0</v>
      </c>
      <c r="O236" s="197">
        <f t="shared" si="235"/>
        <v>0</v>
      </c>
      <c r="P236" s="197">
        <f t="shared" si="235"/>
        <v>0</v>
      </c>
      <c r="Q236" s="197">
        <f t="shared" si="235"/>
        <v>0</v>
      </c>
      <c r="R236" s="198">
        <f>SUM(R238:R246)</f>
        <v>0</v>
      </c>
      <c r="S236" s="803"/>
      <c r="T236" s="803"/>
      <c r="U236" s="803"/>
    </row>
    <row r="237" spans="2:21" x14ac:dyDescent="0.35">
      <c r="B237" s="194" t="s">
        <v>515</v>
      </c>
      <c r="C237" s="195"/>
      <c r="D237" s="192" t="s">
        <v>487</v>
      </c>
      <c r="E237" s="195"/>
      <c r="F237" s="197">
        <f>IFERROR(SUM(F238:F245)/F235,0)</f>
        <v>0</v>
      </c>
      <c r="G237" s="197">
        <f t="shared" ref="G237" si="236">IFERROR(SUM(G238:G245)/G235,0)</f>
        <v>0</v>
      </c>
      <c r="H237" s="197">
        <f t="shared" ref="H237:Q237" si="237">IFERROR(SUM(H238:H245)/H235,0)</f>
        <v>0</v>
      </c>
      <c r="I237" s="197">
        <f t="shared" si="237"/>
        <v>0</v>
      </c>
      <c r="J237" s="197">
        <f t="shared" si="237"/>
        <v>0</v>
      </c>
      <c r="K237" s="197">
        <f t="shared" si="237"/>
        <v>0</v>
      </c>
      <c r="L237" s="197">
        <f t="shared" si="237"/>
        <v>0</v>
      </c>
      <c r="M237" s="197">
        <f t="shared" si="237"/>
        <v>0</v>
      </c>
      <c r="N237" s="197">
        <f t="shared" si="237"/>
        <v>0</v>
      </c>
      <c r="O237" s="197">
        <f t="shared" si="237"/>
        <v>0</v>
      </c>
      <c r="P237" s="197">
        <f t="shared" si="237"/>
        <v>0</v>
      </c>
      <c r="Q237" s="197">
        <f t="shared" si="237"/>
        <v>0</v>
      </c>
      <c r="R237" s="198"/>
      <c r="S237" s="803"/>
      <c r="T237" s="803"/>
      <c r="U237" s="803"/>
    </row>
    <row r="238" spans="2:21" x14ac:dyDescent="0.35">
      <c r="B238" s="199" t="s">
        <v>515</v>
      </c>
      <c r="C238" s="200">
        <v>6220002601</v>
      </c>
      <c r="D238" s="201" t="s">
        <v>504</v>
      </c>
      <c r="E238" s="201" t="s">
        <v>489</v>
      </c>
      <c r="F238" s="202"/>
      <c r="G238" s="202"/>
      <c r="H238" s="202"/>
      <c r="I238" s="202"/>
      <c r="J238" s="202"/>
      <c r="K238" s="202"/>
      <c r="L238" s="202"/>
      <c r="M238" s="202"/>
      <c r="N238" s="202"/>
      <c r="O238" s="202"/>
      <c r="P238" s="202"/>
      <c r="Q238" s="202"/>
      <c r="R238" s="207">
        <f>SUM(F238:Q238)</f>
        <v>0</v>
      </c>
      <c r="S238" s="17"/>
      <c r="T238" s="17"/>
      <c r="U238" s="17"/>
    </row>
    <row r="239" spans="2:21" x14ac:dyDescent="0.35">
      <c r="B239" s="199" t="s">
        <v>515</v>
      </c>
      <c r="C239" s="200">
        <v>6220002602</v>
      </c>
      <c r="D239" s="200" t="s">
        <v>505</v>
      </c>
      <c r="E239" s="201" t="s">
        <v>489</v>
      </c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02"/>
      <c r="Q239" s="202"/>
      <c r="R239" s="207">
        <f t="shared" ref="R239" si="238">SUM(F239:Q239)</f>
        <v>0</v>
      </c>
      <c r="S239" s="17"/>
      <c r="T239" s="17"/>
      <c r="U239" s="17"/>
    </row>
    <row r="240" spans="2:21" x14ac:dyDescent="0.35">
      <c r="B240" s="199" t="s">
        <v>515</v>
      </c>
      <c r="C240" s="200">
        <v>6220002802</v>
      </c>
      <c r="D240" s="201" t="s">
        <v>506</v>
      </c>
      <c r="E240" s="201" t="s">
        <v>493</v>
      </c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7">
        <f>SUM(F240:Q240)</f>
        <v>0</v>
      </c>
      <c r="S240" s="17"/>
      <c r="T240" s="17"/>
      <c r="U240" s="17"/>
    </row>
    <row r="241" spans="2:21" x14ac:dyDescent="0.35">
      <c r="B241" s="199" t="s">
        <v>515</v>
      </c>
      <c r="C241" s="200">
        <v>6220002806</v>
      </c>
      <c r="D241" s="200" t="s">
        <v>507</v>
      </c>
      <c r="E241" s="201" t="s">
        <v>489</v>
      </c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  <c r="P241" s="202"/>
      <c r="Q241" s="202"/>
      <c r="R241" s="207"/>
      <c r="S241" s="17"/>
      <c r="T241" s="17"/>
      <c r="U241" s="17"/>
    </row>
    <row r="242" spans="2:21" x14ac:dyDescent="0.35">
      <c r="B242" s="199" t="s">
        <v>515</v>
      </c>
      <c r="C242" s="200">
        <v>6220007202</v>
      </c>
      <c r="D242" s="201" t="s">
        <v>495</v>
      </c>
      <c r="E242" s="201" t="s">
        <v>493</v>
      </c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02"/>
      <c r="Q242" s="202"/>
      <c r="R242" s="207"/>
      <c r="S242" s="17"/>
      <c r="T242" s="17"/>
      <c r="U242" s="17"/>
    </row>
    <row r="243" spans="2:21" x14ac:dyDescent="0.35">
      <c r="B243" s="199" t="s">
        <v>515</v>
      </c>
      <c r="C243" s="200">
        <v>6220003201</v>
      </c>
      <c r="D243" s="200" t="s">
        <v>508</v>
      </c>
      <c r="E243" s="201" t="s">
        <v>493</v>
      </c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02"/>
      <c r="Q243" s="202"/>
      <c r="R243" s="207">
        <f>SUM(F243:Q243)</f>
        <v>0</v>
      </c>
      <c r="S243" s="17"/>
      <c r="T243" s="17"/>
      <c r="U243" s="17"/>
    </row>
    <row r="244" spans="2:21" x14ac:dyDescent="0.35">
      <c r="B244" s="199" t="s">
        <v>515</v>
      </c>
      <c r="C244" s="200">
        <v>6220002603</v>
      </c>
      <c r="D244" s="201" t="s">
        <v>509</v>
      </c>
      <c r="E244" s="201" t="s">
        <v>489</v>
      </c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7"/>
      <c r="S244" s="17"/>
      <c r="T244" s="17"/>
      <c r="U244" s="17"/>
    </row>
    <row r="245" spans="2:21" x14ac:dyDescent="0.35">
      <c r="B245" s="199" t="s">
        <v>515</v>
      </c>
      <c r="C245" s="200">
        <v>6220003401</v>
      </c>
      <c r="D245" s="200" t="s">
        <v>510</v>
      </c>
      <c r="E245" s="201" t="s">
        <v>493</v>
      </c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7">
        <f t="shared" ref="R245:R246" si="239">SUM(F245:Q245)</f>
        <v>0</v>
      </c>
      <c r="S245" s="17"/>
      <c r="T245" s="17"/>
      <c r="U245" s="17"/>
    </row>
    <row r="246" spans="2:21" x14ac:dyDescent="0.35">
      <c r="B246" s="203" t="s">
        <v>515</v>
      </c>
      <c r="C246" s="204">
        <v>6220002701</v>
      </c>
      <c r="D246" s="205" t="s">
        <v>511</v>
      </c>
      <c r="E246" s="205" t="s">
        <v>489</v>
      </c>
      <c r="F246" s="206"/>
      <c r="G246" s="206"/>
      <c r="H246" s="206"/>
      <c r="I246" s="206"/>
      <c r="J246" s="206"/>
      <c r="K246" s="206"/>
      <c r="L246" s="206"/>
      <c r="M246" s="206"/>
      <c r="N246" s="206"/>
      <c r="O246" s="206"/>
      <c r="P246" s="206"/>
      <c r="Q246" s="206"/>
      <c r="R246" s="208">
        <f t="shared" si="239"/>
        <v>0</v>
      </c>
      <c r="S246" s="17"/>
      <c r="T246" s="17"/>
      <c r="U246" s="17"/>
    </row>
    <row r="247" spans="2:21" x14ac:dyDescent="0.35">
      <c r="B247" s="743"/>
      <c r="C247" s="744"/>
      <c r="D247" s="107"/>
      <c r="E247" s="107"/>
      <c r="F247" s="745"/>
      <c r="G247" s="745"/>
      <c r="H247" s="745"/>
      <c r="I247" s="745"/>
      <c r="J247" s="745"/>
      <c r="K247" s="745"/>
      <c r="L247" s="745"/>
      <c r="M247" s="745"/>
      <c r="N247" s="745"/>
      <c r="O247" s="745"/>
      <c r="P247" s="745"/>
      <c r="Q247" s="745"/>
      <c r="R247" s="746"/>
      <c r="S247" s="17"/>
      <c r="T247" s="17"/>
      <c r="U247" s="17"/>
    </row>
    <row r="248" spans="2:21" x14ac:dyDescent="0.35">
      <c r="Q248" s="210" t="s">
        <v>516</v>
      </c>
      <c r="R248" s="211">
        <f>R6+R18+R30+R42+R54+R66+R78+R90+R102+R114+R126+R138+R150+R162+R174+R186+R198+R210</f>
        <v>14987462006.384615</v>
      </c>
    </row>
    <row r="249" spans="2:21" x14ac:dyDescent="0.35">
      <c r="Q249" s="210">
        <v>622</v>
      </c>
      <c r="R249" s="212">
        <f>SUM(CPSX!W6:W14)</f>
        <v>8137450267.3846149</v>
      </c>
    </row>
    <row r="250" spans="2:21" x14ac:dyDescent="0.35">
      <c r="Q250" s="210">
        <v>627</v>
      </c>
      <c r="R250" s="212">
        <f>SUM(CPSX!W72:W80)</f>
        <v>3470910599</v>
      </c>
    </row>
    <row r="251" spans="2:21" x14ac:dyDescent="0.35">
      <c r="Q251" s="210">
        <v>642</v>
      </c>
      <c r="R251" s="212">
        <f>SUM(CPQL!W5:W12)</f>
        <v>3816073192</v>
      </c>
    </row>
    <row r="252" spans="2:21" x14ac:dyDescent="0.35">
      <c r="Q252" s="210" t="s">
        <v>517</v>
      </c>
      <c r="R252" s="211">
        <f>SUM(R249:R251)</f>
        <v>15424434058.384615</v>
      </c>
    </row>
    <row r="253" spans="2:21" x14ac:dyDescent="0.35">
      <c r="Q253" s="210" t="s">
        <v>518</v>
      </c>
      <c r="R253" s="1050">
        <f>R248-R252</f>
        <v>-436972052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6:AG17"/>
  <sheetViews>
    <sheetView topLeftCell="A6" workbookViewId="0">
      <selection activeCell="Q7" sqref="Q7"/>
    </sheetView>
  </sheetViews>
  <sheetFormatPr defaultRowHeight="14.5" x14ac:dyDescent="0.35"/>
  <sheetData>
    <row r="6" spans="1:33" ht="78" x14ac:dyDescent="0.35">
      <c r="A6" s="1222" t="s">
        <v>36</v>
      </c>
      <c r="B6" s="1222" t="s">
        <v>524</v>
      </c>
      <c r="C6" s="1222" t="s">
        <v>257</v>
      </c>
      <c r="D6" s="714" t="s">
        <v>149</v>
      </c>
      <c r="E6" s="714" t="s">
        <v>150</v>
      </c>
      <c r="F6" s="714" t="s">
        <v>151</v>
      </c>
      <c r="G6" s="714" t="s">
        <v>152</v>
      </c>
      <c r="H6" s="714" t="s">
        <v>153</v>
      </c>
      <c r="I6" s="714" t="s">
        <v>154</v>
      </c>
      <c r="J6" s="714" t="s">
        <v>155</v>
      </c>
      <c r="K6" s="714" t="s">
        <v>156</v>
      </c>
      <c r="L6" s="714" t="s">
        <v>157</v>
      </c>
      <c r="M6" s="714" t="s">
        <v>158</v>
      </c>
      <c r="N6" s="714" t="s">
        <v>159</v>
      </c>
      <c r="O6" s="714" t="s">
        <v>160</v>
      </c>
      <c r="P6" s="714" t="s">
        <v>2209</v>
      </c>
      <c r="Q6" s="714" t="s">
        <v>2214</v>
      </c>
      <c r="R6" s="714" t="s">
        <v>2208</v>
      </c>
      <c r="S6" s="714" t="s">
        <v>519</v>
      </c>
      <c r="T6" s="714" t="s">
        <v>149</v>
      </c>
      <c r="U6" s="714" t="s">
        <v>150</v>
      </c>
      <c r="V6" s="714" t="s">
        <v>151</v>
      </c>
      <c r="W6" s="714" t="s">
        <v>152</v>
      </c>
      <c r="X6" s="714" t="s">
        <v>153</v>
      </c>
      <c r="Y6" s="714" t="s">
        <v>154</v>
      </c>
      <c r="Z6" s="714" t="s">
        <v>155</v>
      </c>
      <c r="AA6" s="714" t="s">
        <v>156</v>
      </c>
      <c r="AB6" s="714" t="s">
        <v>157</v>
      </c>
      <c r="AC6" s="714" t="s">
        <v>158</v>
      </c>
      <c r="AD6" s="714" t="s">
        <v>159</v>
      </c>
      <c r="AE6" s="714" t="s">
        <v>160</v>
      </c>
      <c r="AF6" s="714" t="s">
        <v>148</v>
      </c>
      <c r="AG6" s="714" t="s">
        <v>2212</v>
      </c>
    </row>
    <row r="7" spans="1:33" ht="25" x14ac:dyDescent="0.35">
      <c r="A7" s="1223">
        <v>1</v>
      </c>
      <c r="B7" s="1224" t="s">
        <v>530</v>
      </c>
      <c r="C7" s="1225" t="s">
        <v>552</v>
      </c>
      <c r="D7" s="1226">
        <f>'4.Doanh thu'!F26</f>
        <v>15000</v>
      </c>
      <c r="E7" s="1226">
        <f>'4.Doanh thu'!G26</f>
        <v>15000</v>
      </c>
      <c r="F7" s="1226">
        <f>'4.Doanh thu'!H26</f>
        <v>15000</v>
      </c>
      <c r="G7" s="1226">
        <f>'4.Doanh thu'!I26</f>
        <v>15000</v>
      </c>
      <c r="H7" s="1226">
        <f>'4.Doanh thu'!J26</f>
        <v>15000</v>
      </c>
      <c r="I7" s="1226">
        <f>'4.Doanh thu'!K26</f>
        <v>15000</v>
      </c>
      <c r="J7" s="1226">
        <f>'4.Doanh thu'!L26</f>
        <v>15000</v>
      </c>
      <c r="K7" s="1226">
        <f>'4.Doanh thu'!M26</f>
        <v>15000</v>
      </c>
      <c r="L7" s="1226">
        <f>'4.Doanh thu'!N26</f>
        <v>15000</v>
      </c>
      <c r="M7" s="1226">
        <f>'4.Doanh thu'!O26</f>
        <v>15000</v>
      </c>
      <c r="N7" s="1226">
        <f>'4.Doanh thu'!P26</f>
        <v>15000</v>
      </c>
      <c r="O7" s="1226">
        <f>'4.Doanh thu'!Q26</f>
        <v>15000</v>
      </c>
      <c r="P7" s="1226">
        <f>AVERAGE(D7:O7)</f>
        <v>15000</v>
      </c>
      <c r="Q7" s="1226">
        <v>16500</v>
      </c>
      <c r="R7" s="1226">
        <f>Q7-P7</f>
        <v>1500</v>
      </c>
      <c r="S7" s="1226"/>
      <c r="T7" s="1226">
        <f>'4.Doanh thu'!T26</f>
        <v>17866.084209420784</v>
      </c>
      <c r="U7" s="1226">
        <f>'4.Doanh thu'!U26</f>
        <v>18501.009738222328</v>
      </c>
      <c r="V7" s="1226">
        <f>'4.Doanh thu'!V26</f>
        <v>18423.972998599089</v>
      </c>
      <c r="W7" s="1226">
        <f>'4.Doanh thu'!W26</f>
        <v>19181.215052280462</v>
      </c>
      <c r="X7" s="1226">
        <f>'4.Doanh thu'!X26</f>
        <v>19067.206797429222</v>
      </c>
      <c r="Y7" s="1226">
        <f>'4.Doanh thu'!Y26</f>
        <v>19078.716545506668</v>
      </c>
      <c r="Z7" s="1226">
        <f>'4.Doanh thu'!Z26</f>
        <v>0</v>
      </c>
      <c r="AA7" s="1226">
        <f>'4.Doanh thu'!AA26</f>
        <v>0</v>
      </c>
      <c r="AB7" s="1226">
        <f>'4.Doanh thu'!AB26</f>
        <v>0</v>
      </c>
      <c r="AC7" s="1226">
        <f>'4.Doanh thu'!AC26</f>
        <v>0</v>
      </c>
      <c r="AD7" s="1226">
        <f>'4.Doanh thu'!AD26</f>
        <v>0</v>
      </c>
      <c r="AE7" s="1226">
        <f>'4.Doanh thu'!AE26</f>
        <v>0</v>
      </c>
      <c r="AF7" s="1226">
        <f>'4.Doanh thu'!AF26</f>
        <v>18817.739187778156</v>
      </c>
      <c r="AG7" s="1226"/>
    </row>
    <row r="8" spans="1:33" ht="50" x14ac:dyDescent="0.35">
      <c r="A8" s="1227">
        <v>2</v>
      </c>
      <c r="B8" s="1228" t="s">
        <v>532</v>
      </c>
      <c r="C8" s="1229" t="s">
        <v>552</v>
      </c>
      <c r="D8" s="1230">
        <f>'4.Doanh thu'!F27</f>
        <v>15000</v>
      </c>
      <c r="E8" s="1230">
        <f>'4.Doanh thu'!G27</f>
        <v>15000</v>
      </c>
      <c r="F8" s="1230">
        <f>'4.Doanh thu'!H27</f>
        <v>15000</v>
      </c>
      <c r="G8" s="1230">
        <f>'4.Doanh thu'!I27</f>
        <v>15000</v>
      </c>
      <c r="H8" s="1230">
        <f>'4.Doanh thu'!J27</f>
        <v>15000</v>
      </c>
      <c r="I8" s="1230">
        <f>'4.Doanh thu'!K27</f>
        <v>15000</v>
      </c>
      <c r="J8" s="1230">
        <f>'4.Doanh thu'!L27</f>
        <v>15000</v>
      </c>
      <c r="K8" s="1230">
        <f>'4.Doanh thu'!M27</f>
        <v>15000</v>
      </c>
      <c r="L8" s="1230">
        <f>'4.Doanh thu'!N27</f>
        <v>15000</v>
      </c>
      <c r="M8" s="1230">
        <f>'4.Doanh thu'!O27</f>
        <v>15000</v>
      </c>
      <c r="N8" s="1230">
        <f>'4.Doanh thu'!P27</f>
        <v>15000</v>
      </c>
      <c r="O8" s="1230">
        <f>'4.Doanh thu'!Q27</f>
        <v>15000</v>
      </c>
      <c r="P8" s="1230">
        <f t="shared" ref="P8:P16" si="0">AVERAGE(D8:O8)</f>
        <v>15000</v>
      </c>
      <c r="Q8" s="1230">
        <v>16500</v>
      </c>
      <c r="R8" s="1230">
        <f>Q8-P8</f>
        <v>1500</v>
      </c>
      <c r="S8" s="1230"/>
      <c r="T8" s="1230">
        <f>'4.Doanh thu'!T27</f>
        <v>0</v>
      </c>
      <c r="U8" s="1230">
        <f>'4.Doanh thu'!U27</f>
        <v>0</v>
      </c>
      <c r="V8" s="1230">
        <f>'4.Doanh thu'!V27</f>
        <v>0</v>
      </c>
      <c r="W8" s="1230">
        <f>'4.Doanh thu'!W27</f>
        <v>0</v>
      </c>
      <c r="X8" s="1230">
        <f>'4.Doanh thu'!X27</f>
        <v>0</v>
      </c>
      <c r="Y8" s="1230">
        <f>'4.Doanh thu'!Y27</f>
        <v>19180.665237118526</v>
      </c>
      <c r="Z8" s="1230">
        <f>'4.Doanh thu'!Z27</f>
        <v>19335.797189934856</v>
      </c>
      <c r="AA8" s="1230">
        <f>'4.Doanh thu'!AA27</f>
        <v>19225.390402041576</v>
      </c>
      <c r="AB8" s="1230">
        <f>'4.Doanh thu'!AB27</f>
        <v>16638.92593494289</v>
      </c>
      <c r="AC8" s="1230">
        <f>'4.Doanh thu'!AC27</f>
        <v>14900</v>
      </c>
      <c r="AD8" s="1230">
        <f>'4.Doanh thu'!AD27</f>
        <v>14900</v>
      </c>
      <c r="AE8" s="1230">
        <f>'4.Doanh thu'!AE27</f>
        <v>14900</v>
      </c>
      <c r="AF8" s="1230">
        <f>'4.Doanh thu'!AF27</f>
        <v>17305.860260637292</v>
      </c>
      <c r="AG8" s="1230"/>
    </row>
    <row r="9" spans="1:33" ht="25" x14ac:dyDescent="0.35">
      <c r="A9" s="1227">
        <v>3</v>
      </c>
      <c r="B9" s="1228" t="s">
        <v>535</v>
      </c>
      <c r="C9" s="1229" t="s">
        <v>552</v>
      </c>
      <c r="D9" s="1230">
        <f>'4.Doanh thu'!F30</f>
        <v>13500</v>
      </c>
      <c r="E9" s="1230">
        <f>'4.Doanh thu'!G30</f>
        <v>13500</v>
      </c>
      <c r="F9" s="1230">
        <f>'4.Doanh thu'!H30</f>
        <v>13500</v>
      </c>
      <c r="G9" s="1230">
        <f>'4.Doanh thu'!I30</f>
        <v>13500</v>
      </c>
      <c r="H9" s="1230">
        <f>'4.Doanh thu'!J30</f>
        <v>13500</v>
      </c>
      <c r="I9" s="1230">
        <f>'4.Doanh thu'!K30</f>
        <v>13500</v>
      </c>
      <c r="J9" s="1230">
        <f>'4.Doanh thu'!L30</f>
        <v>13500</v>
      </c>
      <c r="K9" s="1230">
        <f>'4.Doanh thu'!M30</f>
        <v>13500</v>
      </c>
      <c r="L9" s="1230">
        <f>'4.Doanh thu'!N30</f>
        <v>13500</v>
      </c>
      <c r="M9" s="1230">
        <f>'4.Doanh thu'!O30</f>
        <v>13500</v>
      </c>
      <c r="N9" s="1230">
        <f>'4.Doanh thu'!P30</f>
        <v>13500</v>
      </c>
      <c r="O9" s="1230">
        <f>'4.Doanh thu'!Q30</f>
        <v>13500</v>
      </c>
      <c r="P9" s="1230">
        <f t="shared" si="0"/>
        <v>13500</v>
      </c>
      <c r="Q9" s="1230">
        <v>15000</v>
      </c>
      <c r="R9" s="1230">
        <f t="shared" ref="R9:R13" si="1">Q9-P9</f>
        <v>1500</v>
      </c>
      <c r="S9" s="1230"/>
      <c r="T9" s="1230">
        <f>'4.Doanh thu'!T30</f>
        <v>15739.155871612531</v>
      </c>
      <c r="U9" s="1230">
        <f>'4.Doanh thu'!U30</f>
        <v>17522</v>
      </c>
      <c r="V9" s="1230">
        <f>'4.Doanh thu'!V30</f>
        <v>17637.022421524664</v>
      </c>
      <c r="W9" s="1230">
        <f>'4.Doanh thu'!W30</f>
        <v>18745.520862700872</v>
      </c>
      <c r="X9" s="1230">
        <f>'4.Doanh thu'!X30</f>
        <v>18633.722386700068</v>
      </c>
      <c r="Y9" s="1230">
        <f>'4.Doanh thu'!Y30</f>
        <v>18892.798695353627</v>
      </c>
      <c r="Z9" s="1230">
        <f>'4.Doanh thu'!Z30</f>
        <v>5861.3239681076093</v>
      </c>
      <c r="AA9" s="1230">
        <f>'4.Doanh thu'!AA30</f>
        <v>0</v>
      </c>
      <c r="AB9" s="1230">
        <f>'4.Doanh thu'!AB30</f>
        <v>0</v>
      </c>
      <c r="AC9" s="1230">
        <f>'4.Doanh thu'!AC30</f>
        <v>0</v>
      </c>
      <c r="AD9" s="1230">
        <f>'4.Doanh thu'!AD30</f>
        <v>0</v>
      </c>
      <c r="AE9" s="1230">
        <f>'4.Doanh thu'!AE30</f>
        <v>0</v>
      </c>
      <c r="AF9" s="1230">
        <f>'4.Doanh thu'!AF30</f>
        <v>14569.130410773998</v>
      </c>
      <c r="AG9" s="1230"/>
    </row>
    <row r="10" spans="1:33" ht="25" x14ac:dyDescent="0.35">
      <c r="A10" s="1227">
        <v>4</v>
      </c>
      <c r="B10" s="1228" t="s">
        <v>537</v>
      </c>
      <c r="C10" s="1229" t="s">
        <v>552</v>
      </c>
      <c r="D10" s="1230">
        <f>'4.Doanh thu'!F32</f>
        <v>12000</v>
      </c>
      <c r="E10" s="1230">
        <f>'4.Doanh thu'!G32</f>
        <v>12000</v>
      </c>
      <c r="F10" s="1230">
        <f>'4.Doanh thu'!H32</f>
        <v>12000</v>
      </c>
      <c r="G10" s="1230">
        <f>'4.Doanh thu'!I32</f>
        <v>12000</v>
      </c>
      <c r="H10" s="1230">
        <f>'4.Doanh thu'!J32</f>
        <v>12000</v>
      </c>
      <c r="I10" s="1230">
        <f>'4.Doanh thu'!K32</f>
        <v>12000</v>
      </c>
      <c r="J10" s="1230">
        <f>'4.Doanh thu'!L32</f>
        <v>12000</v>
      </c>
      <c r="K10" s="1230">
        <f>'4.Doanh thu'!M32</f>
        <v>12000</v>
      </c>
      <c r="L10" s="1230">
        <f>'4.Doanh thu'!N32</f>
        <v>12000</v>
      </c>
      <c r="M10" s="1230">
        <f>'4.Doanh thu'!O32</f>
        <v>12000</v>
      </c>
      <c r="N10" s="1230">
        <f>'4.Doanh thu'!P32</f>
        <v>12000</v>
      </c>
      <c r="O10" s="1230">
        <f>'4.Doanh thu'!Q32</f>
        <v>12000</v>
      </c>
      <c r="P10" s="1230">
        <f t="shared" si="0"/>
        <v>12000</v>
      </c>
      <c r="Q10" s="1230">
        <v>13500</v>
      </c>
      <c r="R10" s="1230">
        <f t="shared" si="1"/>
        <v>1500</v>
      </c>
      <c r="S10" s="1230"/>
      <c r="T10" s="1230">
        <f>'4.Doanh thu'!T32</f>
        <v>14300</v>
      </c>
      <c r="U10" s="1230">
        <f>'4.Doanh thu'!U32</f>
        <v>17522</v>
      </c>
      <c r="V10" s="1230">
        <f>'4.Doanh thu'!V32</f>
        <v>17637.432160804019</v>
      </c>
      <c r="W10" s="1230">
        <f>'4.Doanh thu'!W32</f>
        <v>18713.885192354221</v>
      </c>
      <c r="X10" s="1230">
        <f>'4.Doanh thu'!X32</f>
        <v>18576.481023102311</v>
      </c>
      <c r="Y10" s="1230">
        <f>'4.Doanh thu'!Y32</f>
        <v>18944.70843183609</v>
      </c>
      <c r="Z10" s="1230">
        <f>'4.Doanh thu'!Z32</f>
        <v>19310.690133969736</v>
      </c>
      <c r="AA10" s="1230">
        <f>'4.Doanh thu'!AA32</f>
        <v>19323.388139998791</v>
      </c>
      <c r="AB10" s="1230">
        <f>'4.Doanh thu'!AB32</f>
        <v>15219.855541430717</v>
      </c>
      <c r="AC10" s="1230">
        <f>'4.Doanh thu'!AC32</f>
        <v>11900</v>
      </c>
      <c r="AD10" s="1230">
        <f>'4.Doanh thu'!AD32</f>
        <v>11900</v>
      </c>
      <c r="AE10" s="1230">
        <f>'4.Doanh thu'!AE32</f>
        <v>11900</v>
      </c>
      <c r="AF10" s="1230">
        <f>'4.Doanh thu'!AF32</f>
        <v>16195.84766380789</v>
      </c>
      <c r="AG10" s="1230"/>
    </row>
    <row r="11" spans="1:33" ht="25" x14ac:dyDescent="0.35">
      <c r="A11" s="1227">
        <v>5</v>
      </c>
      <c r="B11" s="1228" t="s">
        <v>538</v>
      </c>
      <c r="C11" s="1229" t="s">
        <v>552</v>
      </c>
      <c r="D11" s="1230">
        <f>'4.Doanh thu'!F33</f>
        <v>12000</v>
      </c>
      <c r="E11" s="1230">
        <f>'4.Doanh thu'!G33</f>
        <v>12000</v>
      </c>
      <c r="F11" s="1230">
        <f>'4.Doanh thu'!H33</f>
        <v>12000</v>
      </c>
      <c r="G11" s="1230">
        <f>'4.Doanh thu'!I33</f>
        <v>12000</v>
      </c>
      <c r="H11" s="1230">
        <f>'4.Doanh thu'!J33</f>
        <v>12000</v>
      </c>
      <c r="I11" s="1230">
        <f>'4.Doanh thu'!K33</f>
        <v>12000</v>
      </c>
      <c r="J11" s="1230">
        <f>'4.Doanh thu'!L33</f>
        <v>12000</v>
      </c>
      <c r="K11" s="1230">
        <f>'4.Doanh thu'!M33</f>
        <v>12000</v>
      </c>
      <c r="L11" s="1230">
        <f>'4.Doanh thu'!N33</f>
        <v>12000</v>
      </c>
      <c r="M11" s="1230">
        <f>'4.Doanh thu'!O33</f>
        <v>12000</v>
      </c>
      <c r="N11" s="1230">
        <f>'4.Doanh thu'!P33</f>
        <v>12000</v>
      </c>
      <c r="O11" s="1230">
        <f>'4.Doanh thu'!Q33</f>
        <v>12000</v>
      </c>
      <c r="P11" s="1230">
        <f t="shared" si="0"/>
        <v>12000</v>
      </c>
      <c r="Q11" s="1230">
        <v>13500</v>
      </c>
      <c r="R11" s="1230">
        <f t="shared" si="1"/>
        <v>1500</v>
      </c>
      <c r="S11" s="1230"/>
      <c r="T11" s="1230">
        <f>'4.Doanh thu'!T33</f>
        <v>15616.628340080972</v>
      </c>
      <c r="U11" s="1230">
        <f>'4.Doanh thu'!U33</f>
        <v>17522</v>
      </c>
      <c r="V11" s="1230">
        <f>'4.Doanh thu'!V33</f>
        <v>17649.541389995575</v>
      </c>
      <c r="W11" s="1230">
        <f>'4.Doanh thu'!W33</f>
        <v>18455.821252912243</v>
      </c>
      <c r="X11" s="1230">
        <f>'4.Doanh thu'!X33</f>
        <v>18603.148244812735</v>
      </c>
      <c r="Y11" s="1230">
        <f>'4.Doanh thu'!Y33</f>
        <v>18874.17241700858</v>
      </c>
      <c r="Z11" s="1230">
        <f>'4.Doanh thu'!Z33</f>
        <v>19288.229580085044</v>
      </c>
      <c r="AA11" s="1230">
        <f>'4.Doanh thu'!AA33</f>
        <v>18665.068379838976</v>
      </c>
      <c r="AB11" s="1230">
        <f>'4.Doanh thu'!AB33</f>
        <v>15127.766069546891</v>
      </c>
      <c r="AC11" s="1230">
        <f>'4.Doanh thu'!AC33</f>
        <v>11900</v>
      </c>
      <c r="AD11" s="1230">
        <f>'4.Doanh thu'!AD33</f>
        <v>11900</v>
      </c>
      <c r="AE11" s="1230">
        <f>'4.Doanh thu'!AE33</f>
        <v>11900</v>
      </c>
      <c r="AF11" s="1230">
        <f>'4.Doanh thu'!AF33</f>
        <v>16235.850679621535</v>
      </c>
      <c r="AG11" s="1230"/>
    </row>
    <row r="12" spans="1:33" ht="25" x14ac:dyDescent="0.35">
      <c r="A12" s="1227">
        <v>6</v>
      </c>
      <c r="B12" s="1228" t="s">
        <v>542</v>
      </c>
      <c r="C12" s="1229" t="s">
        <v>552</v>
      </c>
      <c r="D12" s="1230">
        <f>'4.Doanh thu'!F37</f>
        <v>12000</v>
      </c>
      <c r="E12" s="1230">
        <f>'4.Doanh thu'!G37</f>
        <v>12000</v>
      </c>
      <c r="F12" s="1230">
        <f>'4.Doanh thu'!H37</f>
        <v>12000</v>
      </c>
      <c r="G12" s="1230">
        <f>'4.Doanh thu'!I37</f>
        <v>12000</v>
      </c>
      <c r="H12" s="1230">
        <f>'4.Doanh thu'!J37</f>
        <v>12000</v>
      </c>
      <c r="I12" s="1230">
        <f>'4.Doanh thu'!K37</f>
        <v>12000</v>
      </c>
      <c r="J12" s="1230">
        <f>'4.Doanh thu'!L37</f>
        <v>12000</v>
      </c>
      <c r="K12" s="1230">
        <f>'4.Doanh thu'!M37</f>
        <v>12000</v>
      </c>
      <c r="L12" s="1230">
        <f>'4.Doanh thu'!N37</f>
        <v>12000</v>
      </c>
      <c r="M12" s="1230">
        <f>'4.Doanh thu'!O37</f>
        <v>12000</v>
      </c>
      <c r="N12" s="1230">
        <f>'4.Doanh thu'!P37</f>
        <v>12000</v>
      </c>
      <c r="O12" s="1230">
        <f>'4.Doanh thu'!Q37</f>
        <v>12000</v>
      </c>
      <c r="P12" s="1230">
        <f t="shared" si="0"/>
        <v>12000</v>
      </c>
      <c r="Q12" s="1230">
        <v>13500</v>
      </c>
      <c r="R12" s="1230">
        <f t="shared" si="1"/>
        <v>1500</v>
      </c>
      <c r="S12" s="1230"/>
      <c r="T12" s="1230">
        <f>'4.Doanh thu'!T37</f>
        <v>0</v>
      </c>
      <c r="U12" s="1230">
        <f>'4.Doanh thu'!U37</f>
        <v>0</v>
      </c>
      <c r="V12" s="1230">
        <f>'4.Doanh thu'!V37</f>
        <v>0</v>
      </c>
      <c r="W12" s="1230">
        <f>'4.Doanh thu'!W37</f>
        <v>8000</v>
      </c>
      <c r="X12" s="1230">
        <f>'4.Doanh thu'!X37</f>
        <v>0</v>
      </c>
      <c r="Y12" s="1230">
        <f>'4.Doanh thu'!Y37</f>
        <v>0</v>
      </c>
      <c r="Z12" s="1230">
        <f>'4.Doanh thu'!Z37</f>
        <v>477.63578274760386</v>
      </c>
      <c r="AA12" s="1230">
        <f>'4.Doanh thu'!AA37</f>
        <v>0</v>
      </c>
      <c r="AB12" s="1230">
        <f>'4.Doanh thu'!AB37</f>
        <v>0</v>
      </c>
      <c r="AC12" s="1230">
        <f>'4.Doanh thu'!AC37</f>
        <v>0</v>
      </c>
      <c r="AD12" s="1230">
        <f>'4.Doanh thu'!AD37</f>
        <v>0</v>
      </c>
      <c r="AE12" s="1230">
        <f>'4.Doanh thu'!AE37</f>
        <v>0</v>
      </c>
      <c r="AF12" s="1230">
        <f>'4.Doanh thu'!AF37</f>
        <v>729.17575228957696</v>
      </c>
      <c r="AG12" s="1230"/>
    </row>
    <row r="13" spans="1:33" ht="25" x14ac:dyDescent="0.35">
      <c r="A13" s="1227">
        <v>7</v>
      </c>
      <c r="B13" s="1228" t="s">
        <v>543</v>
      </c>
      <c r="C13" s="1229" t="s">
        <v>552</v>
      </c>
      <c r="D13" s="1230">
        <f>'4.Doanh thu'!F38</f>
        <v>8100</v>
      </c>
      <c r="E13" s="1230">
        <f>'4.Doanh thu'!G38</f>
        <v>8100</v>
      </c>
      <c r="F13" s="1230">
        <f>'4.Doanh thu'!H38</f>
        <v>8100</v>
      </c>
      <c r="G13" s="1230">
        <f>'4.Doanh thu'!I38</f>
        <v>8100</v>
      </c>
      <c r="H13" s="1230">
        <f>'4.Doanh thu'!J38</f>
        <v>8100</v>
      </c>
      <c r="I13" s="1230">
        <f>'4.Doanh thu'!K38</f>
        <v>8100</v>
      </c>
      <c r="J13" s="1230">
        <f>'4.Doanh thu'!L38</f>
        <v>8100</v>
      </c>
      <c r="K13" s="1230">
        <f>'4.Doanh thu'!M38</f>
        <v>8100</v>
      </c>
      <c r="L13" s="1230">
        <f>'4.Doanh thu'!N38</f>
        <v>8100</v>
      </c>
      <c r="M13" s="1230">
        <f>'4.Doanh thu'!O38</f>
        <v>8100</v>
      </c>
      <c r="N13" s="1230">
        <f>'4.Doanh thu'!P38</f>
        <v>8100</v>
      </c>
      <c r="O13" s="1230">
        <f>'4.Doanh thu'!Q38</f>
        <v>8100</v>
      </c>
      <c r="P13" s="1230">
        <f t="shared" si="0"/>
        <v>8100</v>
      </c>
      <c r="Q13" s="1230">
        <v>8500</v>
      </c>
      <c r="R13" s="1230">
        <f t="shared" si="1"/>
        <v>400</v>
      </c>
      <c r="S13" s="1230"/>
      <c r="T13" s="1230">
        <f>'4.Doanh thu'!T38</f>
        <v>0</v>
      </c>
      <c r="U13" s="1230">
        <f>'4.Doanh thu'!U38</f>
        <v>0</v>
      </c>
      <c r="V13" s="1230">
        <f>'4.Doanh thu'!V38</f>
        <v>0</v>
      </c>
      <c r="W13" s="1230">
        <f>'4.Doanh thu'!W38</f>
        <v>0</v>
      </c>
      <c r="X13" s="1230">
        <f>'4.Doanh thu'!X38</f>
        <v>10000</v>
      </c>
      <c r="Y13" s="1230">
        <f>'4.Doanh thu'!Y38</f>
        <v>0</v>
      </c>
      <c r="Z13" s="1230">
        <f>'4.Doanh thu'!Z38</f>
        <v>0</v>
      </c>
      <c r="AA13" s="1230">
        <f>'4.Doanh thu'!AA38</f>
        <v>0</v>
      </c>
      <c r="AB13" s="1230">
        <f>'4.Doanh thu'!AB38</f>
        <v>2822.2923238696108</v>
      </c>
      <c r="AC13" s="1230">
        <f>'4.Doanh thu'!AC38</f>
        <v>0</v>
      </c>
      <c r="AD13" s="1230">
        <f>'4.Doanh thu'!AD38</f>
        <v>0</v>
      </c>
      <c r="AE13" s="1230">
        <f>'4.Doanh thu'!AE38</f>
        <v>0</v>
      </c>
      <c r="AF13" s="1230">
        <f>'4.Doanh thu'!AF38</f>
        <v>12052.033026951238</v>
      </c>
      <c r="AG13" s="1230"/>
    </row>
    <row r="14" spans="1:33" ht="37.5" x14ac:dyDescent="0.35">
      <c r="A14" s="1239">
        <v>8</v>
      </c>
      <c r="B14" s="1240" t="s">
        <v>544</v>
      </c>
      <c r="C14" s="1243" t="s">
        <v>552</v>
      </c>
      <c r="D14" s="1238">
        <f>'4.Doanh thu'!F39</f>
        <v>8100</v>
      </c>
      <c r="E14" s="1238">
        <f>'4.Doanh thu'!G39</f>
        <v>8100</v>
      </c>
      <c r="F14" s="1238">
        <f>'4.Doanh thu'!H39</f>
        <v>8100</v>
      </c>
      <c r="G14" s="1238">
        <f>'4.Doanh thu'!I39</f>
        <v>8100</v>
      </c>
      <c r="H14" s="1238">
        <f>'4.Doanh thu'!J39</f>
        <v>8100</v>
      </c>
      <c r="I14" s="1238">
        <f>'4.Doanh thu'!K39</f>
        <v>8100</v>
      </c>
      <c r="J14" s="1238">
        <f>'4.Doanh thu'!L39</f>
        <v>8100</v>
      </c>
      <c r="K14" s="1238">
        <f>'4.Doanh thu'!M39</f>
        <v>8100</v>
      </c>
      <c r="L14" s="1238">
        <f>'4.Doanh thu'!N39</f>
        <v>8100</v>
      </c>
      <c r="M14" s="1238">
        <f>'4.Doanh thu'!O39</f>
        <v>8100</v>
      </c>
      <c r="N14" s="1238">
        <f>'4.Doanh thu'!P39</f>
        <v>8100</v>
      </c>
      <c r="O14" s="1238">
        <f>'4.Doanh thu'!Q39</f>
        <v>8100</v>
      </c>
      <c r="P14" s="1238">
        <f t="shared" si="0"/>
        <v>8100</v>
      </c>
      <c r="Q14" s="1238">
        <v>8500</v>
      </c>
      <c r="R14" s="1238">
        <f>Q14-P14</f>
        <v>400</v>
      </c>
      <c r="S14" s="1238"/>
      <c r="T14" s="1238">
        <f>'4.Doanh thu'!T39</f>
        <v>0</v>
      </c>
      <c r="U14" s="1238">
        <f>'4.Doanh thu'!U39</f>
        <v>0</v>
      </c>
      <c r="V14" s="1238">
        <f>'4.Doanh thu'!V39</f>
        <v>10000</v>
      </c>
      <c r="W14" s="1238">
        <f>'4.Doanh thu'!W39</f>
        <v>10000</v>
      </c>
      <c r="X14" s="1238">
        <f>'4.Doanh thu'!X39</f>
        <v>10000</v>
      </c>
      <c r="Y14" s="1238">
        <f>'4.Doanh thu'!Y39</f>
        <v>10000</v>
      </c>
      <c r="Z14" s="1238">
        <f>'4.Doanh thu'!Z39</f>
        <v>10000</v>
      </c>
      <c r="AA14" s="1238">
        <f>'4.Doanh thu'!AA39</f>
        <v>10000</v>
      </c>
      <c r="AB14" s="1238">
        <f>'4.Doanh thu'!AB39</f>
        <v>0</v>
      </c>
      <c r="AC14" s="1238">
        <f>'4.Doanh thu'!AC39</f>
        <v>6400</v>
      </c>
      <c r="AD14" s="1238">
        <f>'4.Doanh thu'!AD39</f>
        <v>6400</v>
      </c>
      <c r="AE14" s="1238">
        <f>'4.Doanh thu'!AE39</f>
        <v>6400</v>
      </c>
      <c r="AF14" s="1238">
        <f>'4.Doanh thu'!AF39</f>
        <v>9413.3871341658269</v>
      </c>
      <c r="AG14" s="1238"/>
    </row>
    <row r="15" spans="1:33" ht="25" x14ac:dyDescent="0.35">
      <c r="A15" s="1223">
        <v>9</v>
      </c>
      <c r="B15" s="1241" t="s">
        <v>567</v>
      </c>
      <c r="C15" s="1242" t="s">
        <v>552</v>
      </c>
      <c r="D15" s="1244">
        <f>'4.Doanh thu'!F103</f>
        <v>16500</v>
      </c>
      <c r="E15" s="1244">
        <f>'4.Doanh thu'!G103</f>
        <v>16500</v>
      </c>
      <c r="F15" s="1244">
        <f>'4.Doanh thu'!H103</f>
        <v>16500</v>
      </c>
      <c r="G15" s="1244">
        <f>'4.Doanh thu'!I103</f>
        <v>16500</v>
      </c>
      <c r="H15" s="1244">
        <f>'4.Doanh thu'!J103</f>
        <v>16500</v>
      </c>
      <c r="I15" s="1244">
        <f>'4.Doanh thu'!K103</f>
        <v>16500</v>
      </c>
      <c r="J15" s="1244">
        <f>'4.Doanh thu'!L103</f>
        <v>16500</v>
      </c>
      <c r="K15" s="1244">
        <f>'4.Doanh thu'!M103</f>
        <v>16500</v>
      </c>
      <c r="L15" s="1244">
        <f>'4.Doanh thu'!N103</f>
        <v>16500</v>
      </c>
      <c r="M15" s="1244">
        <f>'4.Doanh thu'!O103</f>
        <v>16500</v>
      </c>
      <c r="N15" s="1244">
        <f>'4.Doanh thu'!P103</f>
        <v>16500</v>
      </c>
      <c r="O15" s="1244">
        <f>'4.Doanh thu'!Q103</f>
        <v>16500</v>
      </c>
      <c r="P15" s="1245">
        <f t="shared" si="0"/>
        <v>16500</v>
      </c>
      <c r="Q15" s="1245">
        <v>19000</v>
      </c>
      <c r="R15" s="1245">
        <f>Q15-P15</f>
        <v>2500</v>
      </c>
      <c r="S15" s="1245"/>
      <c r="T15" s="1244">
        <f>'4.Doanh thu'!T103</f>
        <v>0</v>
      </c>
      <c r="U15" s="1244">
        <f>'4.Doanh thu'!U103</f>
        <v>0</v>
      </c>
      <c r="V15" s="1244">
        <f>'4.Doanh thu'!V103</f>
        <v>0</v>
      </c>
      <c r="W15" s="1244">
        <f>'4.Doanh thu'!W103</f>
        <v>20000</v>
      </c>
      <c r="X15" s="1244">
        <f>'4.Doanh thu'!X103</f>
        <v>0</v>
      </c>
      <c r="Y15" s="1244">
        <f>'4.Doanh thu'!Y103</f>
        <v>0</v>
      </c>
      <c r="Z15" s="1244">
        <f>'4.Doanh thu'!Z103</f>
        <v>0</v>
      </c>
      <c r="AA15" s="1244">
        <f>'4.Doanh thu'!AA103</f>
        <v>0</v>
      </c>
      <c r="AB15" s="1244">
        <f>'4.Doanh thu'!AB103</f>
        <v>0</v>
      </c>
      <c r="AC15" s="1244">
        <f>'4.Doanh thu'!AC103</f>
        <v>0</v>
      </c>
      <c r="AD15" s="1244">
        <f>'4.Doanh thu'!AD103</f>
        <v>0</v>
      </c>
      <c r="AE15" s="1244">
        <f>'4.Doanh thu'!AE103</f>
        <v>0</v>
      </c>
      <c r="AF15" s="1244">
        <f>'4.Doanh thu'!AF103</f>
        <v>0</v>
      </c>
      <c r="AG15" s="1245">
        <f>Q15</f>
        <v>19000</v>
      </c>
    </row>
    <row r="16" spans="1:33" ht="100" x14ac:dyDescent="0.35">
      <c r="A16" s="1227">
        <v>10</v>
      </c>
      <c r="B16" s="1231" t="s">
        <v>576</v>
      </c>
      <c r="C16" s="1232" t="s">
        <v>552</v>
      </c>
      <c r="D16" s="1233">
        <f>'4.Doanh thu'!F112</f>
        <v>15500</v>
      </c>
      <c r="E16" s="1233">
        <f>'4.Doanh thu'!G112</f>
        <v>15500</v>
      </c>
      <c r="F16" s="1233">
        <f>'4.Doanh thu'!H112</f>
        <v>15500</v>
      </c>
      <c r="G16" s="1233">
        <f>'4.Doanh thu'!I112</f>
        <v>15500</v>
      </c>
      <c r="H16" s="1233">
        <f>'4.Doanh thu'!J112</f>
        <v>15500</v>
      </c>
      <c r="I16" s="1233">
        <f>'4.Doanh thu'!K112</f>
        <v>15500</v>
      </c>
      <c r="J16" s="1233">
        <f>'4.Doanh thu'!L112</f>
        <v>15500</v>
      </c>
      <c r="K16" s="1233">
        <f>'4.Doanh thu'!M112</f>
        <v>15500</v>
      </c>
      <c r="L16" s="1233">
        <f>'4.Doanh thu'!N112</f>
        <v>15500</v>
      </c>
      <c r="M16" s="1233">
        <f>'4.Doanh thu'!O112</f>
        <v>15500</v>
      </c>
      <c r="N16" s="1233">
        <f>'4.Doanh thu'!P112</f>
        <v>15500</v>
      </c>
      <c r="O16" s="1233">
        <f>'4.Doanh thu'!Q112</f>
        <v>15500</v>
      </c>
      <c r="P16" s="1230">
        <f t="shared" si="0"/>
        <v>15500</v>
      </c>
      <c r="Q16" s="1230">
        <v>18000</v>
      </c>
      <c r="R16" s="1230">
        <f>Q16-P16</f>
        <v>2500</v>
      </c>
      <c r="S16" s="1246" t="s">
        <v>2210</v>
      </c>
      <c r="T16" s="1233">
        <f>'4.Doanh thu'!T112</f>
        <v>18250</v>
      </c>
      <c r="U16" s="1233">
        <f>'4.Doanh thu'!U112</f>
        <v>0</v>
      </c>
      <c r="V16" s="1233">
        <f>'4.Doanh thu'!V112</f>
        <v>19674.730444049732</v>
      </c>
      <c r="W16" s="1233">
        <f>'4.Doanh thu'!W112</f>
        <v>19878.837738189588</v>
      </c>
      <c r="X16" s="1233">
        <f>'4.Doanh thu'!X112</f>
        <v>19162.806626314112</v>
      </c>
      <c r="Y16" s="1233">
        <f>'4.Doanh thu'!Y112</f>
        <v>19780.091634235876</v>
      </c>
      <c r="Z16" s="1233">
        <f>'4.Doanh thu'!Z112</f>
        <v>20231.893821607551</v>
      </c>
      <c r="AA16" s="1233">
        <f>'4.Doanh thu'!AA112</f>
        <v>20330</v>
      </c>
      <c r="AB16" s="1233">
        <f>'4.Doanh thu'!AB112</f>
        <v>18120.950471390413</v>
      </c>
      <c r="AC16" s="1233">
        <f>'4.Doanh thu'!AC112</f>
        <v>16500</v>
      </c>
      <c r="AD16" s="1233">
        <f>'4.Doanh thu'!AD112</f>
        <v>16500</v>
      </c>
      <c r="AE16" s="1233">
        <f>'4.Doanh thu'!AE112</f>
        <v>16500</v>
      </c>
      <c r="AF16" s="1233">
        <f>'4.Doanh thu'!AF112</f>
        <v>18660.775644519399</v>
      </c>
      <c r="AG16" s="1230">
        <v>18000</v>
      </c>
    </row>
    <row r="17" spans="1:33" ht="50" x14ac:dyDescent="0.35">
      <c r="A17" s="1234">
        <v>11</v>
      </c>
      <c r="B17" s="1235" t="s">
        <v>580</v>
      </c>
      <c r="C17" s="1236" t="s">
        <v>552</v>
      </c>
      <c r="D17" s="1237">
        <f>'4.Doanh thu'!F116</f>
        <v>10000</v>
      </c>
      <c r="E17" s="1237">
        <f>'4.Doanh thu'!G116</f>
        <v>10000</v>
      </c>
      <c r="F17" s="1237">
        <f>'4.Doanh thu'!H116</f>
        <v>10000</v>
      </c>
      <c r="G17" s="1237">
        <f>'4.Doanh thu'!I116</f>
        <v>10000</v>
      </c>
      <c r="H17" s="1237">
        <f>'4.Doanh thu'!J116</f>
        <v>10000</v>
      </c>
      <c r="I17" s="1237">
        <f>'4.Doanh thu'!K116</f>
        <v>10000</v>
      </c>
      <c r="J17" s="1237">
        <f>'4.Doanh thu'!L116</f>
        <v>10000</v>
      </c>
      <c r="K17" s="1237">
        <f>'4.Doanh thu'!M116</f>
        <v>10000</v>
      </c>
      <c r="L17" s="1237">
        <f>'4.Doanh thu'!N116</f>
        <v>10000</v>
      </c>
      <c r="M17" s="1237">
        <f>'4.Doanh thu'!O116</f>
        <v>10000</v>
      </c>
      <c r="N17" s="1237">
        <f>'4.Doanh thu'!P116</f>
        <v>10000</v>
      </c>
      <c r="O17" s="1237">
        <f>'4.Doanh thu'!Q116</f>
        <v>10000</v>
      </c>
      <c r="P17" s="1238">
        <f t="shared" ref="P17" si="2">AVERAGE(D17:O17)</f>
        <v>10000</v>
      </c>
      <c r="Q17" s="1238">
        <v>11000</v>
      </c>
      <c r="R17" s="1238">
        <f>Q17-P17</f>
        <v>1000</v>
      </c>
      <c r="S17" s="1247" t="s">
        <v>2211</v>
      </c>
      <c r="T17" s="1237">
        <f>'4.Doanh thu'!T116</f>
        <v>18249.803245103663</v>
      </c>
      <c r="U17" s="1237">
        <f>'4.Doanh thu'!U116</f>
        <v>18250</v>
      </c>
      <c r="V17" s="1237">
        <f>'4.Doanh thu'!V116</f>
        <v>18250</v>
      </c>
      <c r="W17" s="1237">
        <f>'4.Doanh thu'!W116</f>
        <v>18426.757005052827</v>
      </c>
      <c r="X17" s="1237">
        <f>'4.Doanh thu'!X116</f>
        <v>19816.964029602434</v>
      </c>
      <c r="Y17" s="1237">
        <f>'4.Doanh thu'!Y116</f>
        <v>19506.115257048092</v>
      </c>
      <c r="Z17" s="1237">
        <f>'4.Doanh thu'!Z116</f>
        <v>20244.771957463567</v>
      </c>
      <c r="AA17" s="1237">
        <f>'4.Doanh thu'!AA116</f>
        <v>20330</v>
      </c>
      <c r="AB17" s="1237">
        <f>'4.Doanh thu'!AB116</f>
        <v>18935.972712084647</v>
      </c>
      <c r="AC17" s="1237">
        <f>'4.Doanh thu'!AC116</f>
        <v>16500</v>
      </c>
      <c r="AD17" s="1237">
        <f>'4.Doanh thu'!AD116</f>
        <v>16500</v>
      </c>
      <c r="AE17" s="1237">
        <f>'4.Doanh thu'!AE116</f>
        <v>16500</v>
      </c>
      <c r="AF17" s="1237">
        <f>'4.Doanh thu'!AF116</f>
        <v>18742.58464860791</v>
      </c>
      <c r="AG17" s="1238">
        <f>Q17</f>
        <v>11000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B1:Z67"/>
  <sheetViews>
    <sheetView tabSelected="1" topLeftCell="A8" zoomScale="70" zoomScaleNormal="70" workbookViewId="0">
      <selection activeCell="K11" sqref="K11"/>
    </sheetView>
  </sheetViews>
  <sheetFormatPr defaultRowHeight="14.5" x14ac:dyDescent="0.35"/>
  <cols>
    <col min="3" max="3" width="23.36328125" customWidth="1"/>
  </cols>
  <sheetData>
    <row r="1" spans="2:26" ht="16" x14ac:dyDescent="0.35">
      <c r="B1" s="92"/>
      <c r="F1" s="818"/>
    </row>
    <row r="2" spans="2:26" x14ac:dyDescent="0.35">
      <c r="D2" s="137"/>
      <c r="E2" s="137"/>
      <c r="F2" s="23"/>
      <c r="G2" s="137"/>
      <c r="H2" s="24">
        <v>0.15384600000000001</v>
      </c>
      <c r="I2" s="24">
        <v>7.6923000000000005E-2</v>
      </c>
      <c r="J2" s="24">
        <v>0.961538</v>
      </c>
      <c r="K2" s="24">
        <v>0.15384600000000001</v>
      </c>
      <c r="L2" s="24">
        <v>0.961538</v>
      </c>
      <c r="O2" s="24">
        <v>3.8462000000000003E-2</v>
      </c>
      <c r="P2" s="24">
        <v>3.8462000000000003E-2</v>
      </c>
      <c r="Q2" s="24">
        <v>0.961538</v>
      </c>
      <c r="S2" s="23"/>
    </row>
    <row r="3" spans="2:26" ht="15.5" x14ac:dyDescent="0.35">
      <c r="B3" s="62" t="s">
        <v>144</v>
      </c>
      <c r="C3" s="12"/>
      <c r="D3" s="12"/>
      <c r="E3" s="12"/>
      <c r="F3" s="817"/>
      <c r="S3" s="89" t="s">
        <v>145</v>
      </c>
      <c r="T3" s="17"/>
    </row>
    <row r="4" spans="2:26" ht="39" x14ac:dyDescent="0.35">
      <c r="B4" s="187" t="s">
        <v>36</v>
      </c>
      <c r="C4" s="187" t="s">
        <v>146</v>
      </c>
      <c r="D4" s="171" t="s">
        <v>227</v>
      </c>
      <c r="E4" s="171" t="s">
        <v>147</v>
      </c>
      <c r="F4" s="116" t="s">
        <v>148</v>
      </c>
      <c r="G4" s="116" t="s">
        <v>149</v>
      </c>
      <c r="H4" s="116" t="s">
        <v>150</v>
      </c>
      <c r="I4" s="116" t="s">
        <v>151</v>
      </c>
      <c r="J4" s="116" t="s">
        <v>152</v>
      </c>
      <c r="K4" s="116" t="s">
        <v>153</v>
      </c>
      <c r="L4" s="116" t="s">
        <v>154</v>
      </c>
      <c r="M4" s="116" t="s">
        <v>155</v>
      </c>
      <c r="N4" s="116" t="s">
        <v>156</v>
      </c>
      <c r="O4" s="116" t="s">
        <v>157</v>
      </c>
      <c r="P4" s="116" t="s">
        <v>158</v>
      </c>
      <c r="Q4" s="116" t="s">
        <v>159</v>
      </c>
      <c r="R4" s="116" t="s">
        <v>160</v>
      </c>
      <c r="S4" s="116" t="s">
        <v>2147</v>
      </c>
      <c r="T4" s="37"/>
      <c r="U4" s="800" t="s">
        <v>148</v>
      </c>
      <c r="V4" s="116" t="s">
        <v>2147</v>
      </c>
      <c r="X4" s="800" t="s">
        <v>148</v>
      </c>
      <c r="Y4" s="116" t="s">
        <v>2147</v>
      </c>
    </row>
    <row r="5" spans="2:26" x14ac:dyDescent="0.35">
      <c r="B5" s="28" t="s">
        <v>162</v>
      </c>
      <c r="C5" s="29" t="s">
        <v>163</v>
      </c>
      <c r="D5" s="755">
        <f>D6+D7+D8</f>
        <v>0</v>
      </c>
      <c r="E5" s="755">
        <f>E6+E7+E8</f>
        <v>0</v>
      </c>
      <c r="F5" s="748">
        <f>F6+F7+F8</f>
        <v>9499913</v>
      </c>
      <c r="G5" s="30">
        <f>G6+G7+G8</f>
        <v>769275</v>
      </c>
      <c r="H5" s="30">
        <f t="shared" ref="H5:R5" si="0">H6+H7+H8</f>
        <v>598325</v>
      </c>
      <c r="I5" s="30">
        <f t="shared" si="0"/>
        <v>854750</v>
      </c>
      <c r="J5" s="30">
        <f t="shared" si="0"/>
        <v>940225</v>
      </c>
      <c r="K5" s="30">
        <f t="shared" si="0"/>
        <v>939070</v>
      </c>
      <c r="L5" s="30">
        <f t="shared" si="0"/>
        <v>352165</v>
      </c>
      <c r="M5" s="30">
        <f t="shared" si="0"/>
        <v>352165</v>
      </c>
      <c r="N5" s="30">
        <f t="shared" si="0"/>
        <v>352165</v>
      </c>
      <c r="O5" s="30">
        <f t="shared" si="0"/>
        <v>352165</v>
      </c>
      <c r="P5" s="30">
        <f t="shared" si="0"/>
        <v>352165</v>
      </c>
      <c r="Q5" s="30">
        <f t="shared" si="0"/>
        <v>352165</v>
      </c>
      <c r="R5" s="30">
        <f t="shared" si="0"/>
        <v>352165</v>
      </c>
      <c r="S5" s="30">
        <f>SUM(G5:R5)</f>
        <v>6566800</v>
      </c>
      <c r="T5" s="1051"/>
    </row>
    <row r="6" spans="2:26" x14ac:dyDescent="0.35">
      <c r="B6" s="33" t="s">
        <v>164</v>
      </c>
      <c r="C6" s="34" t="s">
        <v>165</v>
      </c>
      <c r="D6" s="756"/>
      <c r="E6" s="756"/>
      <c r="F6" s="749">
        <f>'4.Doanh thu'!AF22</f>
        <v>8083894</v>
      </c>
      <c r="G6" s="35">
        <f>'4.Doanh thu'!F22</f>
        <v>534375</v>
      </c>
      <c r="H6" s="35">
        <f>'4.Doanh thu'!G22</f>
        <v>415625</v>
      </c>
      <c r="I6" s="35">
        <f>'4.Doanh thu'!H22</f>
        <v>593750</v>
      </c>
      <c r="J6" s="35">
        <f>'4.Doanh thu'!I22</f>
        <v>653125</v>
      </c>
      <c r="K6" s="35">
        <f>'4.Doanh thu'!J22</f>
        <v>651475</v>
      </c>
      <c r="L6" s="35">
        <f>'4.Doanh thu'!K22</f>
        <v>64075</v>
      </c>
      <c r="M6" s="35">
        <f>'4.Doanh thu'!L22</f>
        <v>64075</v>
      </c>
      <c r="N6" s="35">
        <f>'4.Doanh thu'!M22</f>
        <v>64075</v>
      </c>
      <c r="O6" s="35">
        <f>'4.Doanh thu'!N22</f>
        <v>64075</v>
      </c>
      <c r="P6" s="35">
        <f>'4.Doanh thu'!O22</f>
        <v>64075</v>
      </c>
      <c r="Q6" s="35">
        <f>'4.Doanh thu'!P22</f>
        <v>64075</v>
      </c>
      <c r="R6" s="35">
        <f>'4.Doanh thu'!Q22</f>
        <v>64075</v>
      </c>
      <c r="S6" s="35">
        <f t="shared" ref="S6:S51" si="1">SUM(G6:R6)</f>
        <v>3296875</v>
      </c>
      <c r="T6" s="1052"/>
    </row>
    <row r="7" spans="2:26" x14ac:dyDescent="0.35">
      <c r="B7" s="33" t="s">
        <v>166</v>
      </c>
      <c r="C7" s="34" t="s">
        <v>167</v>
      </c>
      <c r="D7" s="756"/>
      <c r="E7" s="756"/>
      <c r="F7" s="749">
        <f>'4.Doanh thu'!AF80</f>
        <v>1416019</v>
      </c>
      <c r="G7" s="35">
        <f>'4.Doanh thu'!F80</f>
        <v>234900</v>
      </c>
      <c r="H7" s="35">
        <f>'4.Doanh thu'!G80</f>
        <v>182700</v>
      </c>
      <c r="I7" s="35">
        <f>'4.Doanh thu'!H80</f>
        <v>261000</v>
      </c>
      <c r="J7" s="35">
        <f>'4.Doanh thu'!I80</f>
        <v>287100</v>
      </c>
      <c r="K7" s="35">
        <f>'4.Doanh thu'!J80</f>
        <v>287594.99999999994</v>
      </c>
      <c r="L7" s="35">
        <f>'4.Doanh thu'!K80</f>
        <v>288090</v>
      </c>
      <c r="M7" s="35">
        <f>'4.Doanh thu'!L80</f>
        <v>288090</v>
      </c>
      <c r="N7" s="35">
        <f>'4.Doanh thu'!M80</f>
        <v>288090</v>
      </c>
      <c r="O7" s="35">
        <f>'4.Doanh thu'!N80</f>
        <v>288090</v>
      </c>
      <c r="P7" s="35">
        <f>'4.Doanh thu'!O80</f>
        <v>288090</v>
      </c>
      <c r="Q7" s="35">
        <f>'4.Doanh thu'!P80</f>
        <v>288090</v>
      </c>
      <c r="R7" s="35">
        <f>'4.Doanh thu'!Q80</f>
        <v>288090</v>
      </c>
      <c r="S7" s="35">
        <f t="shared" si="1"/>
        <v>3269925</v>
      </c>
      <c r="T7" s="1052"/>
    </row>
    <row r="8" spans="2:26" x14ac:dyDescent="0.35">
      <c r="B8" s="33" t="s">
        <v>168</v>
      </c>
      <c r="C8" s="34" t="s">
        <v>169</v>
      </c>
      <c r="D8" s="756"/>
      <c r="E8" s="756"/>
      <c r="F8" s="749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>
        <f t="shared" si="1"/>
        <v>0</v>
      </c>
      <c r="T8" s="1052"/>
    </row>
    <row r="9" spans="2:26" x14ac:dyDescent="0.35">
      <c r="B9" s="65">
        <v>2</v>
      </c>
      <c r="C9" s="66" t="s">
        <v>170</v>
      </c>
      <c r="D9" s="757">
        <f>D10+D11+D12+D13</f>
        <v>0</v>
      </c>
      <c r="E9" s="757">
        <f>E10+E11+E12+E13</f>
        <v>64684339330</v>
      </c>
      <c r="F9" s="750">
        <f>F10+F11+F12+F13</f>
        <v>169375622091</v>
      </c>
      <c r="G9" s="67">
        <f t="shared" ref="G9:R9" si="2">G10+G11+G12+G13</f>
        <v>11415442500</v>
      </c>
      <c r="H9" s="67">
        <f t="shared" si="2"/>
        <v>8878677500</v>
      </c>
      <c r="I9" s="67">
        <f t="shared" si="2"/>
        <v>12683825000</v>
      </c>
      <c r="J9" s="67">
        <f t="shared" si="2"/>
        <v>13952207500</v>
      </c>
      <c r="K9" s="67">
        <f t="shared" si="2"/>
        <v>13934978750</v>
      </c>
      <c r="L9" s="67">
        <f t="shared" si="2"/>
        <v>5131500000</v>
      </c>
      <c r="M9" s="67">
        <f t="shared" si="2"/>
        <v>5131500000</v>
      </c>
      <c r="N9" s="67">
        <f t="shared" si="2"/>
        <v>5131500000</v>
      </c>
      <c r="O9" s="67">
        <f t="shared" si="2"/>
        <v>5131500000</v>
      </c>
      <c r="P9" s="67">
        <f t="shared" si="2"/>
        <v>5131500000</v>
      </c>
      <c r="Q9" s="67">
        <f t="shared" si="2"/>
        <v>5131500000</v>
      </c>
      <c r="R9" s="67">
        <f t="shared" si="2"/>
        <v>5131500000</v>
      </c>
      <c r="S9" s="67">
        <f t="shared" si="1"/>
        <v>96785631250</v>
      </c>
      <c r="U9" s="1382">
        <f t="shared" ref="U9:U52" si="3">F9/F$9</f>
        <v>1</v>
      </c>
      <c r="V9" s="1382">
        <f t="shared" ref="V9:V52" si="4">S9/S$9</f>
        <v>1</v>
      </c>
      <c r="X9" s="1387">
        <f>F9/F5</f>
        <v>17829.176129402447</v>
      </c>
      <c r="Y9" s="1387">
        <f>S9/S5</f>
        <v>14738.629355241517</v>
      </c>
      <c r="Z9" s="1388">
        <f>Y9-X9</f>
        <v>-3090.54677416093</v>
      </c>
    </row>
    <row r="10" spans="2:26" x14ac:dyDescent="0.35">
      <c r="B10" s="41" t="s">
        <v>171</v>
      </c>
      <c r="C10" s="34" t="s">
        <v>165</v>
      </c>
      <c r="D10" s="758"/>
      <c r="E10" s="758">
        <f>64684339330</f>
        <v>64684339330</v>
      </c>
      <c r="F10" s="751">
        <f>'4.Doanh thu'!AF60</f>
        <v>142921750387</v>
      </c>
      <c r="G10" s="42">
        <f>'4.Doanh thu'!F60</f>
        <v>7846267500</v>
      </c>
      <c r="H10" s="42">
        <f>'4.Doanh thu'!G60</f>
        <v>6102652500</v>
      </c>
      <c r="I10" s="42">
        <f>'4.Doanh thu'!H60</f>
        <v>8718075000</v>
      </c>
      <c r="J10" s="42">
        <f>'4.Doanh thu'!I60</f>
        <v>9589882500</v>
      </c>
      <c r="K10" s="42">
        <f>'4.Doanh thu'!J60</f>
        <v>9565132500</v>
      </c>
      <c r="L10" s="42">
        <f>'4.Doanh thu'!K60</f>
        <v>754132500</v>
      </c>
      <c r="M10" s="42">
        <f>'4.Doanh thu'!L60</f>
        <v>754132500</v>
      </c>
      <c r="N10" s="42">
        <f>'4.Doanh thu'!M60</f>
        <v>754132500</v>
      </c>
      <c r="O10" s="42">
        <f>'4.Doanh thu'!N60</f>
        <v>754132500</v>
      </c>
      <c r="P10" s="42">
        <f>'4.Doanh thu'!O60</f>
        <v>754132500</v>
      </c>
      <c r="Q10" s="42">
        <f>'4.Doanh thu'!P60</f>
        <v>754132500</v>
      </c>
      <c r="R10" s="42">
        <f>'4.Doanh thu'!Q60</f>
        <v>754132500</v>
      </c>
      <c r="S10" s="42">
        <f t="shared" si="1"/>
        <v>47100937500</v>
      </c>
      <c r="U10" s="1299">
        <f t="shared" si="3"/>
        <v>0.84381535325203294</v>
      </c>
      <c r="V10" s="1299">
        <f t="shared" si="4"/>
        <v>0.48665217028276603</v>
      </c>
    </row>
    <row r="11" spans="2:26" x14ac:dyDescent="0.35">
      <c r="B11" s="41" t="s">
        <v>172</v>
      </c>
      <c r="C11" s="34" t="s">
        <v>167</v>
      </c>
      <c r="D11" s="758"/>
      <c r="E11" s="758"/>
      <c r="F11" s="751">
        <f>'4.Doanh thu'!AF138</f>
        <v>26453871704</v>
      </c>
      <c r="G11" s="42">
        <f>'4.Doanh thu'!F138</f>
        <v>3569175000</v>
      </c>
      <c r="H11" s="42">
        <f>'4.Doanh thu'!G138</f>
        <v>2776025000</v>
      </c>
      <c r="I11" s="42">
        <f>'4.Doanh thu'!H138</f>
        <v>3965750000</v>
      </c>
      <c r="J11" s="42">
        <f>'4.Doanh thu'!I138</f>
        <v>4362325000</v>
      </c>
      <c r="K11" s="1323">
        <f>'4.Doanh thu'!J138</f>
        <v>4369846249.999999</v>
      </c>
      <c r="L11" s="1323">
        <f>'4.Doanh thu'!K138</f>
        <v>4377367500</v>
      </c>
      <c r="M11" s="1323">
        <f>'4.Doanh thu'!L138</f>
        <v>4377367500</v>
      </c>
      <c r="N11" s="1323">
        <f>'4.Doanh thu'!M138</f>
        <v>4377367500</v>
      </c>
      <c r="O11" s="1323">
        <f>'4.Doanh thu'!N138</f>
        <v>4377367500</v>
      </c>
      <c r="P11" s="1323">
        <f>'4.Doanh thu'!O138</f>
        <v>4377367500</v>
      </c>
      <c r="Q11" s="1323">
        <f>'4.Doanh thu'!P138</f>
        <v>4377367500</v>
      </c>
      <c r="R11" s="1323">
        <f>'4.Doanh thu'!Q138</f>
        <v>4377367500</v>
      </c>
      <c r="S11" s="1323">
        <f t="shared" si="1"/>
        <v>49684693750</v>
      </c>
      <c r="U11" s="1384">
        <f t="shared" si="3"/>
        <v>0.15618464674796706</v>
      </c>
      <c r="V11" s="1384">
        <f t="shared" si="4"/>
        <v>0.51334782971723403</v>
      </c>
    </row>
    <row r="12" spans="2:26" x14ac:dyDescent="0.35">
      <c r="B12" s="41" t="s">
        <v>173</v>
      </c>
      <c r="C12" s="34" t="s">
        <v>169</v>
      </c>
      <c r="D12" s="758"/>
      <c r="E12" s="758"/>
      <c r="F12" s="751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>
        <f t="shared" si="1"/>
        <v>0</v>
      </c>
      <c r="U12" s="1299">
        <f t="shared" si="3"/>
        <v>0</v>
      </c>
      <c r="V12" s="1299">
        <f t="shared" si="4"/>
        <v>0</v>
      </c>
    </row>
    <row r="13" spans="2:26" x14ac:dyDescent="0.35">
      <c r="B13" s="41" t="s">
        <v>174</v>
      </c>
      <c r="C13" s="43" t="s">
        <v>175</v>
      </c>
      <c r="D13" s="758"/>
      <c r="E13" s="758"/>
      <c r="F13" s="751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>
        <f t="shared" si="1"/>
        <v>0</v>
      </c>
      <c r="U13" s="1299">
        <f t="shared" si="3"/>
        <v>0</v>
      </c>
      <c r="V13" s="1299">
        <f t="shared" si="4"/>
        <v>0</v>
      </c>
    </row>
    <row r="14" spans="2:26" x14ac:dyDescent="0.35">
      <c r="B14" s="38">
        <v>3</v>
      </c>
      <c r="C14" s="39" t="s">
        <v>176</v>
      </c>
      <c r="D14" s="759">
        <f>D15+D23</f>
        <v>0</v>
      </c>
      <c r="E14" s="759">
        <f>E15+E23</f>
        <v>0</v>
      </c>
      <c r="F14" s="747">
        <f>F15+F23</f>
        <v>151728811622.16742</v>
      </c>
      <c r="G14" s="40">
        <f t="shared" ref="G14:Q14" si="5">G15+G23</f>
        <v>10502035892.142319</v>
      </c>
      <c r="H14" s="40">
        <f t="shared" si="5"/>
        <v>8159432709.901289</v>
      </c>
      <c r="I14" s="40">
        <f t="shared" si="5"/>
        <v>11570876311.858986</v>
      </c>
      <c r="J14" s="40">
        <f t="shared" si="5"/>
        <v>12668823364.421806</v>
      </c>
      <c r="K14" s="40">
        <f t="shared" si="5"/>
        <v>12667986503.830671</v>
      </c>
      <c r="L14" s="40">
        <f t="shared" si="5"/>
        <v>6560324988.3606653</v>
      </c>
      <c r="M14" s="40">
        <f t="shared" si="5"/>
        <v>6573795167.399127</v>
      </c>
      <c r="N14" s="40">
        <f t="shared" si="5"/>
        <v>6573910167.399127</v>
      </c>
      <c r="O14" s="40">
        <f t="shared" si="5"/>
        <v>6531853065.4375887</v>
      </c>
      <c r="P14" s="40">
        <f t="shared" si="5"/>
        <v>6565338679.4375887</v>
      </c>
      <c r="Q14" s="40">
        <f t="shared" si="5"/>
        <v>6571521655.3606653</v>
      </c>
      <c r="R14" s="40">
        <f>R15+R23</f>
        <v>6561790167.399127</v>
      </c>
      <c r="S14" s="40">
        <f t="shared" si="1"/>
        <v>101507688672.94897</v>
      </c>
      <c r="U14" s="1299">
        <f t="shared" si="3"/>
        <v>0.89581257177994877</v>
      </c>
      <c r="V14" s="1299">
        <f t="shared" si="4"/>
        <v>1.0487888270393337</v>
      </c>
    </row>
    <row r="15" spans="2:26" x14ac:dyDescent="0.35">
      <c r="B15" s="44">
        <v>3.1</v>
      </c>
      <c r="C15" s="45" t="s">
        <v>177</v>
      </c>
      <c r="D15" s="759">
        <f>D16+D20+D21+D22</f>
        <v>0</v>
      </c>
      <c r="E15" s="759">
        <f>E16+E20+E21+E22</f>
        <v>0</v>
      </c>
      <c r="F15" s="747">
        <f t="shared" ref="F15:Q15" si="6">F16+F20+F21+F22</f>
        <v>148569356422.16742</v>
      </c>
      <c r="G15" s="40">
        <f t="shared" si="6"/>
        <v>10236867892.142319</v>
      </c>
      <c r="H15" s="40">
        <f t="shared" si="6"/>
        <v>7953190932.1235113</v>
      </c>
      <c r="I15" s="40">
        <f t="shared" si="6"/>
        <v>11276245200.747875</v>
      </c>
      <c r="J15" s="40">
        <f t="shared" si="6"/>
        <v>12344729142.199585</v>
      </c>
      <c r="K15" s="40">
        <f>K16+K20+K21+K22</f>
        <v>12344320548.275116</v>
      </c>
      <c r="L15" s="40">
        <f>L16+L20+L21+L22</f>
        <v>6445353966.138443</v>
      </c>
      <c r="M15" s="40">
        <f t="shared" si="6"/>
        <v>6458824145.1769047</v>
      </c>
      <c r="N15" s="40">
        <f t="shared" si="6"/>
        <v>6458939145.1769047</v>
      </c>
      <c r="O15" s="40">
        <f t="shared" si="6"/>
        <v>6416882043.2153664</v>
      </c>
      <c r="P15" s="40">
        <f t="shared" si="6"/>
        <v>6450367657.2153664</v>
      </c>
      <c r="Q15" s="40">
        <f t="shared" si="6"/>
        <v>6456550633.138443</v>
      </c>
      <c r="R15" s="40">
        <f>R16+R20+R21+R22</f>
        <v>6446819145.1769047</v>
      </c>
      <c r="S15" s="40">
        <f>SUM(G15:R15)</f>
        <v>99289090450.72673</v>
      </c>
      <c r="U15" s="1383">
        <f t="shared" si="3"/>
        <v>0.87715903025493214</v>
      </c>
      <c r="V15" s="1383">
        <f t="shared" si="4"/>
        <v>1.025866021313228</v>
      </c>
    </row>
    <row r="16" spans="2:26" ht="25" x14ac:dyDescent="0.35">
      <c r="B16" s="46" t="s">
        <v>178</v>
      </c>
      <c r="C16" s="47" t="s">
        <v>179</v>
      </c>
      <c r="D16" s="758"/>
      <c r="E16" s="758"/>
      <c r="F16" s="751">
        <f>140444033651-85391049-2000000000</f>
        <v>138358642602</v>
      </c>
      <c r="G16" s="42">
        <f>'1.NVL Chai'!H42-'KQKD HD'!G16</f>
        <v>9121500000</v>
      </c>
      <c r="H16" s="42">
        <f>'1.NVL Chai'!I42-'KQKD HD'!H16</f>
        <v>7094500000</v>
      </c>
      <c r="I16" s="42">
        <f>'1.NVL Chai'!J42-'KQKD HD'!I16</f>
        <v>10135000000</v>
      </c>
      <c r="J16" s="42">
        <f>'1.NVL Chai'!K42-'KQKD HD'!J16</f>
        <v>11148500000</v>
      </c>
      <c r="K16" s="42">
        <f>'1.NVL Chai'!L42-'KQKD HD'!K16</f>
        <v>11148500000</v>
      </c>
      <c r="L16" s="42">
        <f>'1.NVL Chai'!M42-'KQKD HD'!L16</f>
        <v>5211923750</v>
      </c>
      <c r="M16" s="42">
        <f>'1.NVL Chai'!N42-'KQKD HD'!M16</f>
        <v>5211923750</v>
      </c>
      <c r="N16" s="42">
        <f>'1.NVL Chai'!O42-'KQKD HD'!N16</f>
        <v>5211923750</v>
      </c>
      <c r="O16" s="42">
        <f>'1.NVL Chai'!P42-'KQKD HD'!O16</f>
        <v>5211923750</v>
      </c>
      <c r="P16" s="42">
        <f>'1.NVL Chai'!Q42-'KQKD HD'!P16</f>
        <v>5211923750</v>
      </c>
      <c r="Q16" s="42">
        <f>'1.NVL Chai'!R42-'KQKD HD'!Q16</f>
        <v>5211923750</v>
      </c>
      <c r="R16" s="42">
        <f>'1.NVL Chai'!S42-'KQKD HD'!R16</f>
        <v>5211923750</v>
      </c>
      <c r="S16" s="42">
        <f>SUM(G16:R16)</f>
        <v>85131466250</v>
      </c>
      <c r="U16" s="1383">
        <f t="shared" si="3"/>
        <v>0.81687459443050436</v>
      </c>
      <c r="V16" s="1383">
        <f t="shared" si="4"/>
        <v>0.87958785979401255</v>
      </c>
    </row>
    <row r="17" spans="2:22" ht="26" x14ac:dyDescent="0.35">
      <c r="B17" s="51" t="s">
        <v>180</v>
      </c>
      <c r="C17" s="1376" t="s">
        <v>181</v>
      </c>
      <c r="D17" s="760"/>
      <c r="E17" s="760"/>
      <c r="F17" s="752"/>
      <c r="G17" s="1375">
        <f>SUM('3.Thanh pham'!F$211:F$213)*'1.NVL Chai'!H$34</f>
        <v>1060374375</v>
      </c>
      <c r="H17" s="1375">
        <f>SUM('3.Thanh pham'!G$211:G$213)*'1.NVL Chai'!I$34</f>
        <v>824735625</v>
      </c>
      <c r="I17" s="1375">
        <f>SUM('3.Thanh pham'!H$211:H$213)*'1.NVL Chai'!J$34</f>
        <v>1178193750</v>
      </c>
      <c r="J17" s="1375">
        <f>SUM('3.Thanh pham'!I$211:I$213)*'1.NVL Chai'!K$34</f>
        <v>1296013125</v>
      </c>
      <c r="K17" s="1375">
        <f>SUM('3.Thanh pham'!J$211:J$213)*'1.NVL Chai'!L$34</f>
        <v>1307161624.9999998</v>
      </c>
      <c r="L17" s="1375">
        <f>SUM('3.Thanh pham'!K$211:K$213)*'1.NVL Chai'!M$34</f>
        <v>1318310125</v>
      </c>
      <c r="M17" s="1375">
        <f>SUM('3.Thanh pham'!L$211:L$213)*'1.NVL Chai'!N$34</f>
        <v>1318310125</v>
      </c>
      <c r="N17" s="1375">
        <f>SUM('3.Thanh pham'!M$211:M$213)*'1.NVL Chai'!O$34</f>
        <v>1318310125</v>
      </c>
      <c r="O17" s="1375">
        <f>SUM('3.Thanh pham'!N$211:N$213)*'1.NVL Chai'!P$34</f>
        <v>1318310125</v>
      </c>
      <c r="P17" s="1375">
        <f>SUM('3.Thanh pham'!O$211:O$213)*'1.NVL Chai'!Q$34</f>
        <v>1318310125</v>
      </c>
      <c r="Q17" s="1375">
        <f>SUM('3.Thanh pham'!P$211:P$213)*'1.NVL Chai'!R$34</f>
        <v>1318310125</v>
      </c>
      <c r="R17" s="1375">
        <f>SUM('3.Thanh pham'!Q$211:Q$213)*'1.NVL Chai'!S$34</f>
        <v>1318310125</v>
      </c>
      <c r="S17" s="1375">
        <f>SUM(G17:R17)</f>
        <v>14894649375</v>
      </c>
      <c r="U17" s="1384">
        <f t="shared" si="3"/>
        <v>0</v>
      </c>
      <c r="V17" s="1384">
        <f t="shared" si="4"/>
        <v>0.15389318830319662</v>
      </c>
    </row>
    <row r="18" spans="2:22" ht="26" x14ac:dyDescent="0.35">
      <c r="B18" s="51"/>
      <c r="C18" s="1376" t="s">
        <v>182</v>
      </c>
      <c r="D18" s="760"/>
      <c r="E18" s="760"/>
      <c r="F18" s="752"/>
      <c r="G18" s="1375">
        <f>('3.Thanh pham'!F$214*'1.NVL Chai'!H$34)</f>
        <v>264523500</v>
      </c>
      <c r="H18" s="1375">
        <f>('3.Thanh pham'!G$214*'1.NVL Chai'!I$34)</f>
        <v>205740500</v>
      </c>
      <c r="I18" s="1375">
        <f>('3.Thanh pham'!H$214*'1.NVL Chai'!J$34)</f>
        <v>293915000</v>
      </c>
      <c r="J18" s="1375">
        <f>('3.Thanh pham'!I$214*'1.NVL Chai'!K$34)</f>
        <v>323306500</v>
      </c>
      <c r="K18" s="1375">
        <f>('3.Thanh pham'!J$214*'1.NVL Chai'!L$34)</f>
        <v>323863924.99999994</v>
      </c>
      <c r="L18" s="1375">
        <f>('3.Thanh pham'!K$214*'1.NVL Chai'!M$34)</f>
        <v>680615925</v>
      </c>
      <c r="M18" s="1375">
        <f>('3.Thanh pham'!L$214*'1.NVL Chai'!N$34)</f>
        <v>680615925</v>
      </c>
      <c r="N18" s="1375">
        <f>('3.Thanh pham'!M$214*'1.NVL Chai'!O$34)</f>
        <v>680615925</v>
      </c>
      <c r="O18" s="1375">
        <f>('3.Thanh pham'!N$214*'1.NVL Chai'!P$34)</f>
        <v>680615925</v>
      </c>
      <c r="P18" s="1375">
        <f>('3.Thanh pham'!O$214*'1.NVL Chai'!Q$34)</f>
        <v>680615925</v>
      </c>
      <c r="Q18" s="1375">
        <f>('3.Thanh pham'!P$214*'1.NVL Chai'!R$34)</f>
        <v>680615925</v>
      </c>
      <c r="R18" s="1375">
        <f>('3.Thanh pham'!Q$214*'1.NVL Chai'!S$34)</f>
        <v>680615925</v>
      </c>
      <c r="S18" s="1375">
        <f>SUM(G18:R18)</f>
        <v>6175660900</v>
      </c>
      <c r="U18" s="1299">
        <f t="shared" si="3"/>
        <v>0</v>
      </c>
      <c r="V18" s="1299">
        <f t="shared" si="4"/>
        <v>6.3807621237165824E-2</v>
      </c>
    </row>
    <row r="19" spans="2:22" ht="26" x14ac:dyDescent="0.35">
      <c r="B19" s="76" t="s">
        <v>183</v>
      </c>
      <c r="C19" s="73" t="s">
        <v>184</v>
      </c>
      <c r="D19" s="761">
        <f>IFERROR(D16/$F$9,0)</f>
        <v>0</v>
      </c>
      <c r="E19" s="761">
        <f>IFERROR(E16/$F$9,0)</f>
        <v>0</v>
      </c>
      <c r="F19" s="753">
        <f>IFERROR(F16/$F$9,0)</f>
        <v>0.81687459443050436</v>
      </c>
      <c r="G19" s="74">
        <f>G16/G9</f>
        <v>0.79904918271893532</v>
      </c>
      <c r="H19" s="74">
        <f t="shared" ref="H19:S19" si="7">H16/H9</f>
        <v>0.79904918271893532</v>
      </c>
      <c r="I19" s="74">
        <f t="shared" si="7"/>
        <v>0.79904918271893532</v>
      </c>
      <c r="J19" s="74">
        <f t="shared" si="7"/>
        <v>0.79904918271893532</v>
      </c>
      <c r="K19" s="74">
        <f>K16/K9</f>
        <v>0.80003710088183666</v>
      </c>
      <c r="L19" s="74">
        <f t="shared" si="7"/>
        <v>1.0156725616291533</v>
      </c>
      <c r="M19" s="74">
        <f t="shared" si="7"/>
        <v>1.0156725616291533</v>
      </c>
      <c r="N19" s="74">
        <f t="shared" si="7"/>
        <v>1.0156725616291533</v>
      </c>
      <c r="O19" s="74">
        <f t="shared" si="7"/>
        <v>1.0156725616291533</v>
      </c>
      <c r="P19" s="74">
        <f t="shared" si="7"/>
        <v>1.0156725616291533</v>
      </c>
      <c r="Q19" s="74">
        <f t="shared" si="7"/>
        <v>1.0156725616291533</v>
      </c>
      <c r="R19" s="74">
        <f t="shared" si="7"/>
        <v>1.0156725616291533</v>
      </c>
      <c r="S19" s="74">
        <f t="shared" si="7"/>
        <v>0.87958785979401255</v>
      </c>
      <c r="T19" s="1044"/>
      <c r="U19" s="1299">
        <f t="shared" si="3"/>
        <v>4.8228581205837534E-12</v>
      </c>
      <c r="V19" s="1299">
        <f t="shared" si="4"/>
        <v>9.088000444218961E-12</v>
      </c>
    </row>
    <row r="20" spans="2:22" x14ac:dyDescent="0.35">
      <c r="B20" s="1055" t="s">
        <v>185</v>
      </c>
      <c r="C20" s="43" t="s">
        <v>186</v>
      </c>
      <c r="D20" s="758"/>
      <c r="E20" s="758"/>
      <c r="F20" s="751">
        <f>SUM(CPSX!AK19:AK25)</f>
        <v>2227003683.8461542</v>
      </c>
      <c r="G20" s="42">
        <f>SUM(CPSX!K19:K25)</f>
        <v>338720056.467493</v>
      </c>
      <c r="H20" s="42">
        <f>SUM(CPSX!L19:L25)</f>
        <v>262767821.69693896</v>
      </c>
      <c r="I20" s="42">
        <f>SUM(CPSX!M19:M25)</f>
        <v>372217673.85276997</v>
      </c>
      <c r="J20" s="42">
        <f>SUM(CPSX!N19:N25)</f>
        <v>410279291.238047</v>
      </c>
      <c r="K20" s="42">
        <f>SUM(CPSX!O19:O25)</f>
        <v>409018922.69269776</v>
      </c>
      <c r="L20" s="42">
        <f>SUM(CPSX!P19:P25)</f>
        <v>376475242.31976241</v>
      </c>
      <c r="M20" s="42">
        <f>SUM(CPSX!Q19:Q25)</f>
        <v>375851909.31976241</v>
      </c>
      <c r="N20" s="42">
        <f>SUM(CPSX!R19:R25)</f>
        <v>375966909.31976241</v>
      </c>
      <c r="O20" s="42">
        <f>SUM(CPSX!S19:S25)</f>
        <v>375701909.31976241</v>
      </c>
      <c r="P20" s="42">
        <f>SUM(CPSX!T19:T25)</f>
        <v>377241909.31976241</v>
      </c>
      <c r="Q20" s="42">
        <f>SUM(CPSX!U19:U25)</f>
        <v>375701909.31976241</v>
      </c>
      <c r="R20" s="42">
        <f>SUM(CPSX!V19:V25)</f>
        <v>375816909.31976241</v>
      </c>
      <c r="S20" s="42">
        <f>SUM(G20:R20)</f>
        <v>4425760464.1862831</v>
      </c>
      <c r="U20" s="1299">
        <f t="shared" si="3"/>
        <v>1.3148312941101156E-2</v>
      </c>
      <c r="V20" s="1299">
        <f t="shared" si="4"/>
        <v>4.5727453621234537E-2</v>
      </c>
    </row>
    <row r="21" spans="2:22" x14ac:dyDescent="0.35">
      <c r="B21" s="1055" t="s">
        <v>187</v>
      </c>
      <c r="C21" s="43" t="s">
        <v>188</v>
      </c>
      <c r="D21" s="758"/>
      <c r="E21" s="758"/>
      <c r="F21" s="751">
        <f>CPSX!$AK$18</f>
        <v>1308278310.3212671</v>
      </c>
      <c r="G21" s="42">
        <f>CPSX!K$18</f>
        <v>114751738.63636364</v>
      </c>
      <c r="H21" s="42">
        <f>CPSX!L$18</f>
        <v>89251352.272727281</v>
      </c>
      <c r="I21" s="42">
        <f>CPSX!M$18</f>
        <v>127501931.81818181</v>
      </c>
      <c r="J21" s="42">
        <f>CPSX!N$18</f>
        <v>140252125</v>
      </c>
      <c r="K21" s="42">
        <f>CPSX!O$18</f>
        <v>140294746.4285714</v>
      </c>
      <c r="L21" s="42">
        <f>CPSX!P$18</f>
        <v>140337367.85714287</v>
      </c>
      <c r="M21" s="42">
        <f>CPSX!Q$18</f>
        <v>140337367.85714287</v>
      </c>
      <c r="N21" s="42">
        <f>CPSX!R$18</f>
        <v>140337367.85714287</v>
      </c>
      <c r="O21" s="42">
        <f>CPSX!S$18</f>
        <v>140337367.85714287</v>
      </c>
      <c r="P21" s="42">
        <f>CPSX!T$18</f>
        <v>140337367.85714287</v>
      </c>
      <c r="Q21" s="42">
        <f>CPSX!U$18</f>
        <v>140337367.85714287</v>
      </c>
      <c r="R21" s="42">
        <f>CPSX!V$18</f>
        <v>140337367.85714287</v>
      </c>
      <c r="S21" s="42">
        <f t="shared" si="1"/>
        <v>1594413469.1558447</v>
      </c>
      <c r="U21" s="1384">
        <f t="shared" si="3"/>
        <v>7.7241240160190929E-3</v>
      </c>
      <c r="V21" s="1384">
        <f t="shared" si="4"/>
        <v>1.6473658833070271E-2</v>
      </c>
    </row>
    <row r="22" spans="2:22" x14ac:dyDescent="0.35">
      <c r="B22" s="1055" t="s">
        <v>189</v>
      </c>
      <c r="C22" s="43" t="s">
        <v>190</v>
      </c>
      <c r="D22" s="758"/>
      <c r="E22" s="758"/>
      <c r="F22" s="751">
        <f>SUM(CPSX!AK6:AK16)</f>
        <v>6675431826</v>
      </c>
      <c r="G22" s="42">
        <f>SUM(CPSX!K6:K16)</f>
        <v>661896097.03846157</v>
      </c>
      <c r="H22" s="42">
        <f>SUM(CPSX!L6:L16)</f>
        <v>506671758.15384614</v>
      </c>
      <c r="I22" s="42">
        <f>SUM(CPSX!M6:M16)</f>
        <v>641525595.07692313</v>
      </c>
      <c r="J22" s="42">
        <f>SUM(CPSX!N6:N16)</f>
        <v>645697725.96153843</v>
      </c>
      <c r="K22" s="42">
        <f>SUM(CPSX!O6:O16)</f>
        <v>646506879.15384614</v>
      </c>
      <c r="L22" s="42">
        <f>SUM(CPSX!P6:P16)</f>
        <v>716617605.96153843</v>
      </c>
      <c r="M22" s="42">
        <f>SUM(CPSX!Q6:Q16)</f>
        <v>730711118</v>
      </c>
      <c r="N22" s="42">
        <f>SUM(CPSX!R6:R16)</f>
        <v>730711118</v>
      </c>
      <c r="O22" s="42">
        <f>SUM(CPSX!S6:S16)</f>
        <v>688919016.03846157</v>
      </c>
      <c r="P22" s="42">
        <f>SUM(CPSX!T6:T16)</f>
        <v>720864630.03846157</v>
      </c>
      <c r="Q22" s="42">
        <f>SUM(CPSX!U6:U16)</f>
        <v>728587605.96153843</v>
      </c>
      <c r="R22" s="42">
        <f>SUM(CPSX!V6:V16)</f>
        <v>718741118</v>
      </c>
      <c r="S22" s="42">
        <f t="shared" si="1"/>
        <v>8137450267.3846149</v>
      </c>
      <c r="U22" s="1384">
        <f t="shared" si="3"/>
        <v>3.9411998867307528E-2</v>
      </c>
      <c r="V22" s="1384">
        <f t="shared" si="4"/>
        <v>8.4077049064910814E-2</v>
      </c>
    </row>
    <row r="23" spans="2:22" x14ac:dyDescent="0.35">
      <c r="B23" s="44">
        <v>3.2</v>
      </c>
      <c r="C23" s="45" t="s">
        <v>191</v>
      </c>
      <c r="D23" s="759">
        <f>D24</f>
        <v>0</v>
      </c>
      <c r="E23" s="759">
        <f>E24</f>
        <v>0</v>
      </c>
      <c r="F23" s="747">
        <f>F24</f>
        <v>3159455200.0000005</v>
      </c>
      <c r="G23" s="40">
        <f t="shared" ref="G23:R23" si="8">G24</f>
        <v>265168000</v>
      </c>
      <c r="H23" s="40">
        <f t="shared" si="8"/>
        <v>206241777.77777776</v>
      </c>
      <c r="I23" s="40">
        <f t="shared" si="8"/>
        <v>294631111.1111111</v>
      </c>
      <c r="J23" s="40">
        <f t="shared" si="8"/>
        <v>324094222.22222221</v>
      </c>
      <c r="K23" s="40">
        <f t="shared" si="8"/>
        <v>323665955.55555552</v>
      </c>
      <c r="L23" s="40">
        <f t="shared" si="8"/>
        <v>114971022.22222222</v>
      </c>
      <c r="M23" s="40">
        <f t="shared" si="8"/>
        <v>114971022.22222222</v>
      </c>
      <c r="N23" s="40">
        <f t="shared" si="8"/>
        <v>114971022.22222222</v>
      </c>
      <c r="O23" s="40">
        <f t="shared" si="8"/>
        <v>114971022.22222222</v>
      </c>
      <c r="P23" s="40">
        <f t="shared" si="8"/>
        <v>114971022.22222222</v>
      </c>
      <c r="Q23" s="40">
        <f t="shared" si="8"/>
        <v>114971022.22222222</v>
      </c>
      <c r="R23" s="40">
        <f t="shared" si="8"/>
        <v>114971022.22222222</v>
      </c>
      <c r="S23" s="40">
        <f t="shared" si="1"/>
        <v>2218598222.2222228</v>
      </c>
      <c r="T23" s="22"/>
      <c r="U23" s="1384">
        <f t="shared" si="3"/>
        <v>1.8653541525016675E-2</v>
      </c>
      <c r="V23" s="1384">
        <f t="shared" si="4"/>
        <v>2.2922805726105371E-2</v>
      </c>
    </row>
    <row r="24" spans="2:22" x14ac:dyDescent="0.35">
      <c r="B24" s="46"/>
      <c r="C24" s="47" t="s">
        <v>192</v>
      </c>
      <c r="D24" s="758"/>
      <c r="E24" s="758"/>
      <c r="F24" s="751">
        <f>CPBH!AK8</f>
        <v>3159455200.0000005</v>
      </c>
      <c r="G24" s="42">
        <f>SUM(CPBH!K5:K6)</f>
        <v>265168000</v>
      </c>
      <c r="H24" s="42">
        <f>SUM(CPBH!L5:L6)</f>
        <v>206241777.77777776</v>
      </c>
      <c r="I24" s="42">
        <f>SUM(CPBH!M5:M6)</f>
        <v>294631111.1111111</v>
      </c>
      <c r="J24" s="42">
        <f>SUM(CPBH!N5:N6)</f>
        <v>324094222.22222221</v>
      </c>
      <c r="K24" s="42">
        <f>SUM(CPBH!O5:O6)</f>
        <v>323665955.55555552</v>
      </c>
      <c r="L24" s="42">
        <f>SUM(CPBH!P5:P6)</f>
        <v>114971022.22222222</v>
      </c>
      <c r="M24" s="42">
        <f>SUM(CPBH!Q5:Q6)</f>
        <v>114971022.22222222</v>
      </c>
      <c r="N24" s="42">
        <f>SUM(CPBH!R5:R6)</f>
        <v>114971022.22222222</v>
      </c>
      <c r="O24" s="42">
        <f>SUM(CPBH!S5:S6)</f>
        <v>114971022.22222222</v>
      </c>
      <c r="P24" s="42">
        <f>SUM(CPBH!T5:T6)</f>
        <v>114971022.22222222</v>
      </c>
      <c r="Q24" s="42">
        <f>SUM(CPBH!U5:U6)</f>
        <v>114971022.22222222</v>
      </c>
      <c r="R24" s="42">
        <f>SUM(CPBH!V5:V6)</f>
        <v>114971022.22222222</v>
      </c>
      <c r="S24" s="42">
        <f t="shared" si="1"/>
        <v>2218598222.2222228</v>
      </c>
      <c r="U24" s="1299">
        <f t="shared" si="3"/>
        <v>1.8653541525016675E-2</v>
      </c>
      <c r="V24" s="1299">
        <f t="shared" si="4"/>
        <v>2.2922805726105371E-2</v>
      </c>
    </row>
    <row r="25" spans="2:22" x14ac:dyDescent="0.35">
      <c r="B25" s="65">
        <v>4</v>
      </c>
      <c r="C25" s="66" t="s">
        <v>193</v>
      </c>
      <c r="D25" s="757">
        <f>D9-D14</f>
        <v>0</v>
      </c>
      <c r="E25" s="757">
        <f>E9-E14</f>
        <v>64684339330</v>
      </c>
      <c r="F25" s="750">
        <f>F9-F14</f>
        <v>17646810468.832581</v>
      </c>
      <c r="G25" s="67">
        <f t="shared" ref="G25:R25" si="9">G9-G14</f>
        <v>913406607.85768127</v>
      </c>
      <c r="H25" s="67">
        <f t="shared" si="9"/>
        <v>719244790.09871101</v>
      </c>
      <c r="I25" s="67">
        <f t="shared" si="9"/>
        <v>1112948688.1410141</v>
      </c>
      <c r="J25" s="67">
        <f>J9-J14</f>
        <v>1283384135.5781937</v>
      </c>
      <c r="K25" s="67">
        <f>K9-K14</f>
        <v>1266992246.1693287</v>
      </c>
      <c r="L25" s="67">
        <f t="shared" si="9"/>
        <v>-1428824988.3606653</v>
      </c>
      <c r="M25" s="67">
        <f t="shared" si="9"/>
        <v>-1442295167.399127</v>
      </c>
      <c r="N25" s="67">
        <f t="shared" si="9"/>
        <v>-1442410167.399127</v>
      </c>
      <c r="O25" s="67">
        <f t="shared" si="9"/>
        <v>-1400353065.4375887</v>
      </c>
      <c r="P25" s="67">
        <f t="shared" si="9"/>
        <v>-1433838679.4375887</v>
      </c>
      <c r="Q25" s="67">
        <f t="shared" si="9"/>
        <v>-1440021655.3606653</v>
      </c>
      <c r="R25" s="67">
        <f t="shared" si="9"/>
        <v>-1430290167.399127</v>
      </c>
      <c r="S25" s="67">
        <f t="shared" si="1"/>
        <v>-4722057422.9489603</v>
      </c>
      <c r="U25" s="1299">
        <f t="shared" si="3"/>
        <v>0.1041874282200512</v>
      </c>
      <c r="V25" s="1299">
        <f t="shared" si="4"/>
        <v>-4.8788827039333488E-2</v>
      </c>
    </row>
    <row r="26" spans="2:22" x14ac:dyDescent="0.35">
      <c r="B26" s="72" t="s">
        <v>194</v>
      </c>
      <c r="C26" s="73" t="s">
        <v>195</v>
      </c>
      <c r="D26" s="761">
        <f>IFERROR(D23/$F$9,0)</f>
        <v>0</v>
      </c>
      <c r="E26" s="761">
        <f>IFERROR(E23/$F$9,0)</f>
        <v>0</v>
      </c>
      <c r="F26" s="753">
        <f>IFERROR(F23/$F$9,0)</f>
        <v>1.8653541525016675E-2</v>
      </c>
      <c r="G26" s="74">
        <f>G25/G9</f>
        <v>8.0014997916872804E-2</v>
      </c>
      <c r="H26" s="74">
        <f t="shared" ref="H26:S26" si="10">H25/H9</f>
        <v>8.1008099471876413E-2</v>
      </c>
      <c r="I26" s="74">
        <f t="shared" si="10"/>
        <v>8.7745509587290438E-2</v>
      </c>
      <c r="J26" s="74">
        <f t="shared" si="10"/>
        <v>9.1984306825869222E-2</v>
      </c>
      <c r="K26" s="74">
        <f t="shared" si="10"/>
        <v>9.092172072162856E-2</v>
      </c>
      <c r="L26" s="74">
        <f t="shared" si="10"/>
        <v>-0.27844197376218754</v>
      </c>
      <c r="M26" s="74">
        <f t="shared" si="10"/>
        <v>-0.28106697211324699</v>
      </c>
      <c r="N26" s="74">
        <f t="shared" si="10"/>
        <v>-0.28108938271443573</v>
      </c>
      <c r="O26" s="74">
        <f t="shared" si="10"/>
        <v>-0.2728935136777918</v>
      </c>
      <c r="P26" s="74">
        <f t="shared" si="10"/>
        <v>-0.27941901577269584</v>
      </c>
      <c r="Q26" s="74">
        <f t="shared" si="10"/>
        <v>-0.28062392192549263</v>
      </c>
      <c r="R26" s="74">
        <f t="shared" si="10"/>
        <v>-0.27872750022393589</v>
      </c>
      <c r="S26" s="74">
        <f t="shared" si="10"/>
        <v>-4.8788827039333488E-2</v>
      </c>
      <c r="T26" s="1044"/>
      <c r="U26" s="1382">
        <f t="shared" si="3"/>
        <v>1.101312059830826E-13</v>
      </c>
      <c r="V26" s="1382">
        <f t="shared" si="4"/>
        <v>-5.0409163435955262E-13</v>
      </c>
    </row>
    <row r="27" spans="2:22" ht="26" x14ac:dyDescent="0.35">
      <c r="B27" s="44">
        <v>5</v>
      </c>
      <c r="C27" s="45" t="s">
        <v>196</v>
      </c>
      <c r="D27" s="759">
        <f>D28+D29+D30</f>
        <v>0</v>
      </c>
      <c r="E27" s="759">
        <f>E28+E29+E30</f>
        <v>0</v>
      </c>
      <c r="F27" s="747">
        <f>F28+F29+F30</f>
        <v>11353832700</v>
      </c>
      <c r="G27" s="40">
        <f>G28+G29+G30</f>
        <v>754272282.07222223</v>
      </c>
      <c r="H27" s="40">
        <f t="shared" ref="H27:R27" si="11">H28+H29+H30</f>
        <v>751572282.07222223</v>
      </c>
      <c r="I27" s="40">
        <f t="shared" si="11"/>
        <v>753441473.6277777</v>
      </c>
      <c r="J27" s="40">
        <f t="shared" si="11"/>
        <v>753058140.6277777</v>
      </c>
      <c r="K27" s="40">
        <f t="shared" si="11"/>
        <v>752224807.29444432</v>
      </c>
      <c r="L27" s="40">
        <f t="shared" si="11"/>
        <v>749037307.29444432</v>
      </c>
      <c r="M27" s="40">
        <f t="shared" si="11"/>
        <v>748008140.96111107</v>
      </c>
      <c r="N27" s="40">
        <f t="shared" si="11"/>
        <v>747858140.96111107</v>
      </c>
      <c r="O27" s="40">
        <f t="shared" si="11"/>
        <v>746052585.40555549</v>
      </c>
      <c r="P27" s="40">
        <f t="shared" si="11"/>
        <v>744447029.51666665</v>
      </c>
      <c r="Q27" s="40">
        <f t="shared" si="11"/>
        <v>744447029.51666665</v>
      </c>
      <c r="R27" s="40">
        <f t="shared" si="11"/>
        <v>743613696.18333328</v>
      </c>
      <c r="S27" s="40">
        <f t="shared" si="1"/>
        <v>8988032915.5333309</v>
      </c>
      <c r="T27" s="22"/>
      <c r="U27" s="1299">
        <f t="shared" si="3"/>
        <v>6.7033452393166451E-2</v>
      </c>
      <c r="V27" s="1299">
        <f t="shared" si="4"/>
        <v>9.2865364408452222E-2</v>
      </c>
    </row>
    <row r="28" spans="2:22" x14ac:dyDescent="0.35">
      <c r="B28" s="46" t="s">
        <v>229</v>
      </c>
      <c r="C28" s="43" t="s">
        <v>197</v>
      </c>
      <c r="D28" s="758"/>
      <c r="E28" s="758"/>
      <c r="F28" s="751">
        <f>SUM(CPSX!AK72:AK82)</f>
        <v>4201558148</v>
      </c>
      <c r="G28" s="42">
        <f>SUM(CPSX!K$72:K$82)</f>
        <v>295552650.33333331</v>
      </c>
      <c r="H28" s="42">
        <f>SUM(CPSX!L$72:L$82)</f>
        <v>293241995.33333331</v>
      </c>
      <c r="I28" s="42">
        <f>SUM(CPSX!M$72:M$82)</f>
        <v>278393082.33333331</v>
      </c>
      <c r="J28" s="42">
        <f>SUM(CPSX!N$72:N$82)</f>
        <v>302560166.33333331</v>
      </c>
      <c r="K28" s="42">
        <f>SUM(CPSX!O$72:O$82)</f>
        <v>287275491.33333331</v>
      </c>
      <c r="L28" s="42">
        <f>SUM(CPSX!P$72:P$82)</f>
        <v>302560166.33333331</v>
      </c>
      <c r="M28" s="42">
        <f>SUM(CPSX!Q$72:Q$82)</f>
        <v>295315265.33333331</v>
      </c>
      <c r="N28" s="42">
        <f>SUM(CPSX!R$72:R$82)</f>
        <v>295315265.33333331</v>
      </c>
      <c r="O28" s="42">
        <f>SUM(CPSX!S$72:S$82)</f>
        <v>302206425.33333331</v>
      </c>
      <c r="P28" s="42">
        <f>SUM(CPSX!T$72:T$82)</f>
        <v>287404659.33333331</v>
      </c>
      <c r="Q28" s="42">
        <f>SUM(CPSX!U$72:U$82)</f>
        <v>302560166.33333331</v>
      </c>
      <c r="R28" s="42">
        <f>SUM(CPSX!V$72:V$82)</f>
        <v>295315265.33333331</v>
      </c>
      <c r="S28" s="42">
        <f>SUM(G28:R28)</f>
        <v>3537700599.0000005</v>
      </c>
      <c r="U28" s="1384">
        <f t="shared" si="3"/>
        <v>2.4806156258677176E-2</v>
      </c>
      <c r="V28" s="1384">
        <f t="shared" si="4"/>
        <v>3.6551919466868185E-2</v>
      </c>
    </row>
    <row r="29" spans="2:22" x14ac:dyDescent="0.35">
      <c r="B29" s="46" t="s">
        <v>230</v>
      </c>
      <c r="C29" s="43" t="s">
        <v>132</v>
      </c>
      <c r="D29" s="758"/>
      <c r="E29" s="758"/>
      <c r="F29" s="751">
        <f>CPSX!AK88</f>
        <v>2815076112</v>
      </c>
      <c r="G29" s="42">
        <f>CPSX!K$88</f>
        <v>230839676</v>
      </c>
      <c r="H29" s="42">
        <f>CPSX!L$88</f>
        <v>230839676</v>
      </c>
      <c r="I29" s="42">
        <f>CPSX!M$88</f>
        <v>230839676</v>
      </c>
      <c r="J29" s="42">
        <f>CPSX!N$88</f>
        <v>230839676</v>
      </c>
      <c r="K29" s="42">
        <f>CPSX!O$88</f>
        <v>230839676</v>
      </c>
      <c r="L29" s="42">
        <f>CPSX!P$88</f>
        <v>230839676</v>
      </c>
      <c r="M29" s="42">
        <f>CPSX!Q$88</f>
        <v>230839676</v>
      </c>
      <c r="N29" s="42">
        <f>CPSX!R$88</f>
        <v>230839676</v>
      </c>
      <c r="O29" s="42">
        <f>CPSX!S$88</f>
        <v>230839676</v>
      </c>
      <c r="P29" s="42">
        <f>CPSX!T$88</f>
        <v>230839676</v>
      </c>
      <c r="Q29" s="42">
        <f>CPSX!U$88</f>
        <v>230839676</v>
      </c>
      <c r="R29" s="42">
        <f>CPSX!V$88</f>
        <v>230839676</v>
      </c>
      <c r="S29" s="42">
        <f t="shared" si="1"/>
        <v>2770076112</v>
      </c>
      <c r="U29" s="1299">
        <f t="shared" si="3"/>
        <v>1.6620314524882166E-2</v>
      </c>
      <c r="V29" s="1299">
        <f t="shared" si="4"/>
        <v>2.862073715100143E-2</v>
      </c>
    </row>
    <row r="30" spans="2:22" ht="37.5" x14ac:dyDescent="0.35">
      <c r="B30" s="46" t="s">
        <v>231</v>
      </c>
      <c r="C30" s="43" t="s">
        <v>198</v>
      </c>
      <c r="D30" s="758"/>
      <c r="E30" s="758"/>
      <c r="F30" s="751">
        <f>SUM(CPSX!AK16:AK17,CPSX!$AK$71)-'KQKD PET'!F28-'KQKD PET'!F29-'KQKD PET'!F31</f>
        <v>4337198440</v>
      </c>
      <c r="G30" s="42">
        <f>SUM(CPSX!K16:K17,CPSX!$K$71)-'KQKD PET'!G28-'KQKD PET'!G29-'KQKD PET'!G31</f>
        <v>227879955.73888886</v>
      </c>
      <c r="H30" s="42">
        <f>SUM(CPSX!L16:L17,CPSX!$K$71)-'KQKD PET'!H28-'KQKD PET'!H29-'KQKD PET'!H31</f>
        <v>227490610.73888886</v>
      </c>
      <c r="I30" s="42">
        <f>SUM(CPSX!M16:M17,CPSX!$K$71)-'KQKD PET'!I28-'KQKD PET'!I29-'KQKD PET'!I31</f>
        <v>244208715.29444441</v>
      </c>
      <c r="J30" s="42">
        <f>SUM(CPSX!N16:N17,CPSX!$K$71)-'KQKD PET'!J28-'KQKD PET'!J29-'KQKD PET'!J31</f>
        <v>219658298.29444441</v>
      </c>
      <c r="K30" s="42">
        <f>SUM(CPSX!O16:O17,CPSX!$K$71)-'KQKD PET'!K28-'KQKD PET'!K29-'KQKD PET'!K31</f>
        <v>234109639.96111107</v>
      </c>
      <c r="L30" s="42">
        <f>SUM(CPSX!P16:P17,CPSX!$K$71)-'KQKD PET'!L28-'KQKD PET'!L29-'KQKD PET'!L31</f>
        <v>215637464.96111107</v>
      </c>
      <c r="M30" s="42">
        <f>SUM(CPSX!Q16:Q17,CPSX!$K$71)-'KQKD PET'!M28-'KQKD PET'!M29-'KQKD PET'!M31</f>
        <v>221853199.62777776</v>
      </c>
      <c r="N30" s="42">
        <f>SUM(CPSX!R16:R17,CPSX!$K$71)-'KQKD PET'!N28-'KQKD PET'!N29-'KQKD PET'!N31</f>
        <v>221703199.62777776</v>
      </c>
      <c r="O30" s="42">
        <f>SUM(CPSX!S16:S17,CPSX!$K$71)-'KQKD PET'!O28-'KQKD PET'!O29-'KQKD PET'!O31</f>
        <v>213006484.0722222</v>
      </c>
      <c r="P30" s="42">
        <f>SUM(CPSX!T16:T17,CPSX!$K$71)-'KQKD PET'!P28-'KQKD PET'!P29-'KQKD PET'!P31</f>
        <v>226202694.18333331</v>
      </c>
      <c r="Q30" s="42">
        <f>SUM(CPSX!U16:U17,CPSX!$K$71)-'KQKD PET'!Q28-'KQKD PET'!Q29-'KQKD PET'!Q31</f>
        <v>211047187.18333331</v>
      </c>
      <c r="R30" s="42">
        <f>SUM(CPSX!V16:V17,CPSX!$K$71)-'KQKD PET'!R28-'KQKD PET'!R29-'KQKD PET'!R31</f>
        <v>217458754.84999996</v>
      </c>
      <c r="S30" s="42">
        <f>SUM(G30:R30)</f>
        <v>2680256204.5333333</v>
      </c>
      <c r="U30" s="1299">
        <f t="shared" si="3"/>
        <v>2.5606981609607105E-2</v>
      </c>
      <c r="V30" s="1299">
        <f t="shared" si="4"/>
        <v>2.7692707790582638E-2</v>
      </c>
    </row>
    <row r="31" spans="2:22" ht="26" x14ac:dyDescent="0.35">
      <c r="B31" s="44">
        <v>6</v>
      </c>
      <c r="C31" s="39" t="s">
        <v>199</v>
      </c>
      <c r="D31" s="759"/>
      <c r="E31" s="759"/>
      <c r="F31" s="747">
        <f>CPSX!AK99</f>
        <v>3687386689</v>
      </c>
      <c r="G31" s="40">
        <f>CPSX!K$99</f>
        <v>146441160.14758909</v>
      </c>
      <c r="H31" s="40">
        <f>CPSX!L$99+CPSX!L$97</f>
        <v>148941160.14758909</v>
      </c>
      <c r="I31" s="40">
        <f>CPSX!M$99+CPSX!M$97</f>
        <v>147071968.59203354</v>
      </c>
      <c r="J31" s="40">
        <f>CPSX!N$99+CPSX!N$97</f>
        <v>147071968.59203354</v>
      </c>
      <c r="K31" s="40">
        <f>CPSX!O$99+CPSX!O$97</f>
        <v>147905301.92536688</v>
      </c>
      <c r="L31" s="40">
        <f>CPSX!P$99+CPSX!P$97</f>
        <v>151092801.92536688</v>
      </c>
      <c r="M31" s="40">
        <f>CPSX!Q$99+CPSX!Q$97</f>
        <v>151926135.25870019</v>
      </c>
      <c r="N31" s="40">
        <f>CPSX!R$99+CPSX!R$97</f>
        <v>151926135.25870019</v>
      </c>
      <c r="O31" s="40">
        <f>CPSX!S$99+CPSX!S$97</f>
        <v>153731690.81425574</v>
      </c>
      <c r="P31" s="40">
        <f>CPSX!T$99+CPSX!T$97</f>
        <v>155120579.70314464</v>
      </c>
      <c r="Q31" s="40">
        <f>CPSX!U$99+CPSX!U$97</f>
        <v>155120579.70314464</v>
      </c>
      <c r="R31" s="40">
        <f>CPSX!V$99+CPSX!V$97</f>
        <v>155953913.03647798</v>
      </c>
      <c r="S31" s="40">
        <f t="shared" si="1"/>
        <v>1812303395.1044021</v>
      </c>
      <c r="U31" s="1299">
        <f t="shared" si="3"/>
        <v>2.1770468757415912E-2</v>
      </c>
      <c r="V31" s="1299">
        <f t="shared" si="4"/>
        <v>1.8724921992017304E-2</v>
      </c>
    </row>
    <row r="32" spans="2:22" x14ac:dyDescent="0.35">
      <c r="B32" s="65">
        <v>7</v>
      </c>
      <c r="C32" s="66" t="s">
        <v>200</v>
      </c>
      <c r="D32" s="757">
        <f>D25-D27-D31</f>
        <v>0</v>
      </c>
      <c r="E32" s="757">
        <f>E25-E27-E31</f>
        <v>64684339330</v>
      </c>
      <c r="F32" s="750">
        <f>F25-F27-F31</f>
        <v>2605591079.8325806</v>
      </c>
      <c r="G32" s="67">
        <f t="shared" ref="G32:R32" si="12">G25-G27-G31</f>
        <v>12693165.637869954</v>
      </c>
      <c r="H32" s="67">
        <f t="shared" si="12"/>
        <v>-181268652.12110031</v>
      </c>
      <c r="I32" s="67">
        <f t="shared" si="12"/>
        <v>212435245.92120287</v>
      </c>
      <c r="J32" s="67">
        <f t="shared" si="12"/>
        <v>383254026.35838246</v>
      </c>
      <c r="K32" s="67">
        <f>K25-K27-K31</f>
        <v>366862136.94951749</v>
      </c>
      <c r="L32" s="1325">
        <f t="shared" si="12"/>
        <v>-2328955097.5804763</v>
      </c>
      <c r="M32" s="1325">
        <f t="shared" si="12"/>
        <v>-2342229443.6189384</v>
      </c>
      <c r="N32" s="1325">
        <f t="shared" si="12"/>
        <v>-2342194443.6189384</v>
      </c>
      <c r="O32" s="1325">
        <f t="shared" si="12"/>
        <v>-2300137341.6574001</v>
      </c>
      <c r="P32" s="1325">
        <f t="shared" si="12"/>
        <v>-2333406288.6573997</v>
      </c>
      <c r="Q32" s="1325">
        <f t="shared" si="12"/>
        <v>-2339589264.5804763</v>
      </c>
      <c r="R32" s="1325">
        <f t="shared" si="12"/>
        <v>-2329857776.6189384</v>
      </c>
      <c r="S32" s="1325">
        <f t="shared" si="1"/>
        <v>-15522393733.586697</v>
      </c>
      <c r="U32" s="1384">
        <f t="shared" si="3"/>
        <v>1.5383507069468836E-2</v>
      </c>
      <c r="V32" s="1384">
        <f t="shared" si="4"/>
        <v>-0.16037911343980304</v>
      </c>
    </row>
    <row r="33" spans="2:22" x14ac:dyDescent="0.35">
      <c r="B33" s="72" t="s">
        <v>201</v>
      </c>
      <c r="C33" s="73" t="s">
        <v>202</v>
      </c>
      <c r="D33" s="761">
        <f>IFERROR(D30/$F$9,0)</f>
        <v>0</v>
      </c>
      <c r="E33" s="761">
        <f>IFERROR(E30/$F$9,0)</f>
        <v>0</v>
      </c>
      <c r="F33" s="753">
        <f>IFERROR(F30/$F$9,0)</f>
        <v>2.5606981609607105E-2</v>
      </c>
      <c r="G33" s="74">
        <f t="shared" ref="G33:S33" si="13">G32/G9</f>
        <v>1.111929356910164E-3</v>
      </c>
      <c r="H33" s="74">
        <f t="shared" si="13"/>
        <v>-2.0416177085055776E-2</v>
      </c>
      <c r="I33" s="74">
        <f t="shared" si="13"/>
        <v>1.6748515997437909E-2</v>
      </c>
      <c r="J33" s="74">
        <f t="shared" si="13"/>
        <v>2.7469060100946928E-2</v>
      </c>
      <c r="K33" s="74">
        <f t="shared" si="13"/>
        <v>2.6326709464807578E-2</v>
      </c>
      <c r="L33" s="74">
        <f t="shared" si="13"/>
        <v>-0.45385464242043777</v>
      </c>
      <c r="M33" s="74">
        <f t="shared" si="13"/>
        <v>-0.4564414778561704</v>
      </c>
      <c r="N33" s="74">
        <f t="shared" si="13"/>
        <v>-0.45643465723841731</v>
      </c>
      <c r="O33" s="74">
        <f t="shared" si="13"/>
        <v>-0.44823878820177337</v>
      </c>
      <c r="P33" s="74">
        <f t="shared" si="13"/>
        <v>-0.45472206735991416</v>
      </c>
      <c r="Q33" s="74">
        <f t="shared" si="13"/>
        <v>-0.45592697351271094</v>
      </c>
      <c r="R33" s="74">
        <f t="shared" si="13"/>
        <v>-0.45403055181115431</v>
      </c>
      <c r="S33" s="74">
        <f t="shared" si="13"/>
        <v>-0.16037911343980304</v>
      </c>
      <c r="T33" s="1044"/>
      <c r="U33" s="1299">
        <f t="shared" si="3"/>
        <v>1.5118457599435004E-13</v>
      </c>
      <c r="V33" s="1299">
        <f t="shared" si="4"/>
        <v>-1.6570549922388716E-12</v>
      </c>
    </row>
    <row r="34" spans="2:22" ht="26" x14ac:dyDescent="0.35">
      <c r="B34" s="44">
        <v>8</v>
      </c>
      <c r="C34" s="39" t="s">
        <v>203</v>
      </c>
      <c r="D34" s="759">
        <f>D35+D36+D37</f>
        <v>0</v>
      </c>
      <c r="E34" s="759">
        <f>E35+E36+E37</f>
        <v>0</v>
      </c>
      <c r="F34" s="747">
        <f>F35+F36+F37</f>
        <v>0</v>
      </c>
      <c r="G34" s="40">
        <f t="shared" ref="G34:R34" si="14">G35+G36+G37</f>
        <v>0</v>
      </c>
      <c r="H34" s="40">
        <f t="shared" si="14"/>
        <v>0</v>
      </c>
      <c r="I34" s="40">
        <f t="shared" si="14"/>
        <v>0</v>
      </c>
      <c r="J34" s="40">
        <f t="shared" si="14"/>
        <v>0</v>
      </c>
      <c r="K34" s="40">
        <f t="shared" si="14"/>
        <v>0</v>
      </c>
      <c r="L34" s="40">
        <f t="shared" si="14"/>
        <v>0</v>
      </c>
      <c r="M34" s="40">
        <f t="shared" si="14"/>
        <v>0</v>
      </c>
      <c r="N34" s="40">
        <f t="shared" si="14"/>
        <v>0</v>
      </c>
      <c r="O34" s="40">
        <f t="shared" si="14"/>
        <v>0</v>
      </c>
      <c r="P34" s="40">
        <f t="shared" si="14"/>
        <v>0</v>
      </c>
      <c r="Q34" s="40">
        <f t="shared" si="14"/>
        <v>0</v>
      </c>
      <c r="R34" s="40">
        <f t="shared" si="14"/>
        <v>0</v>
      </c>
      <c r="S34" s="40">
        <f t="shared" si="1"/>
        <v>0</v>
      </c>
      <c r="U34" s="1299">
        <f t="shared" si="3"/>
        <v>0</v>
      </c>
      <c r="V34" s="1299">
        <f t="shared" si="4"/>
        <v>0</v>
      </c>
    </row>
    <row r="35" spans="2:22" x14ac:dyDescent="0.35">
      <c r="B35" s="46" t="s">
        <v>232</v>
      </c>
      <c r="C35" s="43" t="s">
        <v>204</v>
      </c>
      <c r="D35" s="758"/>
      <c r="E35" s="758"/>
      <c r="F35" s="751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>
        <f t="shared" si="1"/>
        <v>0</v>
      </c>
      <c r="U35" s="1299">
        <f t="shared" si="3"/>
        <v>0</v>
      </c>
      <c r="V35" s="1299">
        <f t="shared" si="4"/>
        <v>0</v>
      </c>
    </row>
    <row r="36" spans="2:22" ht="25" x14ac:dyDescent="0.35">
      <c r="B36" s="46" t="s">
        <v>233</v>
      </c>
      <c r="C36" s="43" t="s">
        <v>205</v>
      </c>
      <c r="D36" s="758"/>
      <c r="E36" s="758"/>
      <c r="F36" s="751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>
        <f t="shared" si="1"/>
        <v>0</v>
      </c>
      <c r="U36" s="1299">
        <f t="shared" si="3"/>
        <v>0</v>
      </c>
      <c r="V36" s="1299">
        <f t="shared" si="4"/>
        <v>0</v>
      </c>
    </row>
    <row r="37" spans="2:22" x14ac:dyDescent="0.35">
      <c r="B37" s="46" t="s">
        <v>234</v>
      </c>
      <c r="C37" s="43" t="s">
        <v>206</v>
      </c>
      <c r="D37" s="758"/>
      <c r="E37" s="758"/>
      <c r="F37" s="751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>
        <f t="shared" si="1"/>
        <v>0</v>
      </c>
      <c r="U37" s="1299">
        <f t="shared" si="3"/>
        <v>0</v>
      </c>
      <c r="V37" s="1299">
        <f t="shared" si="4"/>
        <v>0</v>
      </c>
    </row>
    <row r="38" spans="2:22" x14ac:dyDescent="0.35">
      <c r="B38" s="44">
        <v>9</v>
      </c>
      <c r="C38" s="39" t="s">
        <v>207</v>
      </c>
      <c r="D38" s="759">
        <f>D39+D40+D41</f>
        <v>0</v>
      </c>
      <c r="E38" s="759">
        <f>E39+E40+E41</f>
        <v>0</v>
      </c>
      <c r="F38" s="747">
        <f>F39+F40+F41</f>
        <v>3999101100</v>
      </c>
      <c r="G38" s="40">
        <f t="shared" ref="G38:R38" si="15">G39+G40+G41</f>
        <v>557450326.95105529</v>
      </c>
      <c r="H38" s="40">
        <f t="shared" si="15"/>
        <v>491305876.61772192</v>
      </c>
      <c r="I38" s="40">
        <f t="shared" si="15"/>
        <v>520520513.28438854</v>
      </c>
      <c r="J38" s="40">
        <f t="shared" si="15"/>
        <v>525352353.72883302</v>
      </c>
      <c r="K38" s="40">
        <f t="shared" si="15"/>
        <v>506877391.22883302</v>
      </c>
      <c r="L38" s="40">
        <f t="shared" si="15"/>
        <v>669664297.47327757</v>
      </c>
      <c r="M38" s="40">
        <f t="shared" si="15"/>
        <v>494437435.27327752</v>
      </c>
      <c r="N38" s="40">
        <f t="shared" si="15"/>
        <v>524812435.07327753</v>
      </c>
      <c r="O38" s="40">
        <f t="shared" si="15"/>
        <v>503502636.77327752</v>
      </c>
      <c r="P38" s="40">
        <f t="shared" si="15"/>
        <v>485022616.10661083</v>
      </c>
      <c r="Q38" s="40">
        <f t="shared" si="15"/>
        <v>500559340.10661083</v>
      </c>
      <c r="R38" s="40">
        <f t="shared" si="15"/>
        <v>494722478.10661083</v>
      </c>
      <c r="S38" s="40">
        <f t="shared" si="1"/>
        <v>6274227700.7237749</v>
      </c>
      <c r="T38" s="22"/>
      <c r="U38" s="1299">
        <f t="shared" si="3"/>
        <v>2.3610842284324796E-2</v>
      </c>
      <c r="V38" s="1299">
        <f t="shared" si="4"/>
        <v>6.4826024479989891E-2</v>
      </c>
    </row>
    <row r="39" spans="2:22" x14ac:dyDescent="0.35">
      <c r="B39" s="46" t="s">
        <v>235</v>
      </c>
      <c r="C39" s="47" t="s">
        <v>204</v>
      </c>
      <c r="D39" s="758"/>
      <c r="E39" s="758"/>
      <c r="F39" s="751">
        <f>SUM(CPQL!AK5:AK14)</f>
        <v>2254151653</v>
      </c>
      <c r="G39" s="42">
        <f>SUM(CPQL!K5:K14)</f>
        <v>324799137.66666669</v>
      </c>
      <c r="H39" s="42">
        <f>SUM(CPQL!L5:L14)</f>
        <v>325691015.66666669</v>
      </c>
      <c r="I39" s="42">
        <f>SUM(CPQL!M5:M14)</f>
        <v>309654659.66666669</v>
      </c>
      <c r="J39" s="42">
        <f>SUM(CPQL!N5:N14)</f>
        <v>332723245.66666669</v>
      </c>
      <c r="K39" s="42">
        <f>SUM(CPQL!O5:O14)</f>
        <v>319935783.66666669</v>
      </c>
      <c r="L39" s="42">
        <f>SUM(CPQL!P5:P14)</f>
        <v>333028245.66666669</v>
      </c>
      <c r="M39" s="42">
        <f>SUM(CPQL!Q5:Q14)</f>
        <v>325801383.66666669</v>
      </c>
      <c r="N39" s="42">
        <f>SUM(CPQL!R5:R14)</f>
        <v>325801383.66666669</v>
      </c>
      <c r="O39" s="42">
        <f>SUM(CPQL!S5:S14)</f>
        <v>333409875.66666669</v>
      </c>
      <c r="P39" s="42">
        <f>SUM(CPQL!T5:T14)</f>
        <v>317796521.66666669</v>
      </c>
      <c r="Q39" s="42">
        <f>SUM(CPQL!U5:U14)</f>
        <v>333333245.66666669</v>
      </c>
      <c r="R39" s="42">
        <f>SUM(CPQL!V5:V14)</f>
        <v>325496383.66666669</v>
      </c>
      <c r="S39" s="42">
        <f>SUM(G39:R39)</f>
        <v>3907470881.9999995</v>
      </c>
      <c r="U39" s="1299">
        <f t="shared" si="3"/>
        <v>1.3308595565121631E-2</v>
      </c>
      <c r="V39" s="1299">
        <f t="shared" si="4"/>
        <v>4.0372427513614008E-2</v>
      </c>
    </row>
    <row r="40" spans="2:22" ht="25" x14ac:dyDescent="0.35">
      <c r="B40" s="46" t="s">
        <v>236</v>
      </c>
      <c r="C40" s="47" t="s">
        <v>208</v>
      </c>
      <c r="D40" s="758"/>
      <c r="E40" s="758"/>
      <c r="F40" s="751">
        <f>CPQL!AK65-'KQKD PET'!F39-'KQKD PET'!F41</f>
        <v>1658847971</v>
      </c>
      <c r="G40" s="42">
        <f>CPQL!K65-G39-G41</f>
        <v>224046622.2843886</v>
      </c>
      <c r="H40" s="42">
        <f>CPQL!L65-H39-H41</f>
        <v>157010293.95105523</v>
      </c>
      <c r="I40" s="42">
        <f>CPQL!M65-I39-I41</f>
        <v>202261286.61772186</v>
      </c>
      <c r="J40" s="42">
        <f>CPQL!N65-J39-J41</f>
        <v>184024541.06216633</v>
      </c>
      <c r="K40" s="42">
        <f>CPQL!O65-K39-K41</f>
        <v>178337040.56216633</v>
      </c>
      <c r="L40" s="42">
        <f>CPQL!P65-L39-L41</f>
        <v>328031484.80661088</v>
      </c>
      <c r="M40" s="42">
        <f>CPQL!Q65-M39-M41</f>
        <v>160031484.60661083</v>
      </c>
      <c r="N40" s="42">
        <f>CPQL!R65-N39-N41</f>
        <v>190406484.40661085</v>
      </c>
      <c r="O40" s="42">
        <f>CPQL!S65-O39-O41</f>
        <v>161488194.10661083</v>
      </c>
      <c r="P40" s="42">
        <f>CPQL!T65-P39-P41</f>
        <v>158621527.43994415</v>
      </c>
      <c r="Q40" s="42">
        <f>CPQL!U65-Q39-Q41</f>
        <v>158621527.43994415</v>
      </c>
      <c r="R40" s="42">
        <f>CPQL!V65-R39-R41</f>
        <v>160621527.43994415</v>
      </c>
      <c r="S40" s="42">
        <f t="shared" si="1"/>
        <v>2263502014.7237744</v>
      </c>
      <c r="U40" s="1299">
        <f t="shared" si="3"/>
        <v>9.7939003885031059E-3</v>
      </c>
      <c r="V40" s="1299">
        <f t="shared" si="4"/>
        <v>2.3386756747776797E-2</v>
      </c>
    </row>
    <row r="41" spans="2:22" x14ac:dyDescent="0.35">
      <c r="B41" s="46" t="s">
        <v>237</v>
      </c>
      <c r="C41" s="47" t="s">
        <v>206</v>
      </c>
      <c r="D41" s="758"/>
      <c r="E41" s="758"/>
      <c r="F41" s="751">
        <f>CPQL!AK61</f>
        <v>86101476</v>
      </c>
      <c r="G41" s="42">
        <f>CPQL!K61</f>
        <v>8604567</v>
      </c>
      <c r="H41" s="42">
        <f>CPQL!L61</f>
        <v>8604567</v>
      </c>
      <c r="I41" s="42">
        <f>CPQL!M61</f>
        <v>8604567</v>
      </c>
      <c r="J41" s="42">
        <f>CPQL!N61</f>
        <v>8604567</v>
      </c>
      <c r="K41" s="42">
        <f>CPQL!O61</f>
        <v>8604567</v>
      </c>
      <c r="L41" s="42">
        <f>CPQL!P61</f>
        <v>8604567</v>
      </c>
      <c r="M41" s="42">
        <f>CPQL!Q61</f>
        <v>8604567</v>
      </c>
      <c r="N41" s="42">
        <f>CPQL!R61</f>
        <v>8604567</v>
      </c>
      <c r="O41" s="42">
        <f>CPQL!S61</f>
        <v>8604567</v>
      </c>
      <c r="P41" s="42">
        <f>CPQL!T61</f>
        <v>8604567</v>
      </c>
      <c r="Q41" s="42">
        <f>CPQL!U61</f>
        <v>8604567</v>
      </c>
      <c r="R41" s="42">
        <f>CPQL!V61</f>
        <v>8604567</v>
      </c>
      <c r="S41" s="42">
        <f t="shared" si="1"/>
        <v>103254804</v>
      </c>
      <c r="U41" s="1299">
        <f t="shared" si="3"/>
        <v>5.0834633070006077E-4</v>
      </c>
      <c r="V41" s="1299">
        <f t="shared" si="4"/>
        <v>1.0668402185990806E-3</v>
      </c>
    </row>
    <row r="42" spans="2:22" ht="26" x14ac:dyDescent="0.35">
      <c r="B42" s="44">
        <v>10</v>
      </c>
      <c r="C42" s="45" t="s">
        <v>209</v>
      </c>
      <c r="D42" s="758"/>
      <c r="E42" s="758"/>
      <c r="F42" s="751">
        <v>-14027331</v>
      </c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>
        <f t="shared" si="1"/>
        <v>0</v>
      </c>
      <c r="U42" s="1299">
        <f t="shared" si="3"/>
        <v>-8.2817886227237432E-5</v>
      </c>
      <c r="V42" s="1299">
        <f t="shared" si="4"/>
        <v>0</v>
      </c>
    </row>
    <row r="43" spans="2:22" ht="39" x14ac:dyDescent="0.35">
      <c r="B43" s="65">
        <v>11</v>
      </c>
      <c r="C43" s="66" t="s">
        <v>210</v>
      </c>
      <c r="D43" s="757">
        <f>D32-D34-D38+D42</f>
        <v>0</v>
      </c>
      <c r="E43" s="757">
        <f>E32-E34-E38+E42</f>
        <v>64684339330</v>
      </c>
      <c r="F43" s="750">
        <f>F32-F34-F38+F42</f>
        <v>-1407537351.1674194</v>
      </c>
      <c r="G43" s="67">
        <f t="shared" ref="G43:R43" si="16">G32-G34-G38+G42</f>
        <v>-544757161.31318533</v>
      </c>
      <c r="H43" s="67">
        <f t="shared" si="16"/>
        <v>-672574528.73882222</v>
      </c>
      <c r="I43" s="67">
        <f t="shared" si="16"/>
        <v>-308085267.36318564</v>
      </c>
      <c r="J43" s="67">
        <f t="shared" si="16"/>
        <v>-142098327.37045056</v>
      </c>
      <c r="K43" s="67">
        <f t="shared" si="16"/>
        <v>-140015254.27931553</v>
      </c>
      <c r="L43" s="67">
        <f>L32-L34-L38+L42</f>
        <v>-2998619395.0537539</v>
      </c>
      <c r="M43" s="67">
        <f t="shared" si="16"/>
        <v>-2836666878.8922157</v>
      </c>
      <c r="N43" s="67">
        <f t="shared" si="16"/>
        <v>-2867006878.6922159</v>
      </c>
      <c r="O43" s="67">
        <f t="shared" si="16"/>
        <v>-2803639978.4306774</v>
      </c>
      <c r="P43" s="67">
        <f t="shared" si="16"/>
        <v>-2818428904.7640104</v>
      </c>
      <c r="Q43" s="67">
        <f t="shared" si="16"/>
        <v>-2840148604.6870871</v>
      </c>
      <c r="R43" s="67">
        <f t="shared" si="16"/>
        <v>-2824580254.7255492</v>
      </c>
      <c r="S43" s="67">
        <f t="shared" si="1"/>
        <v>-21796621434.310467</v>
      </c>
      <c r="U43" s="1299">
        <f t="shared" si="3"/>
        <v>-8.310153101083198E-3</v>
      </c>
      <c r="V43" s="1299">
        <f t="shared" si="4"/>
        <v>-0.22520513791979288</v>
      </c>
    </row>
    <row r="44" spans="2:22" x14ac:dyDescent="0.35">
      <c r="B44" s="44">
        <v>12</v>
      </c>
      <c r="C44" s="45" t="s">
        <v>211</v>
      </c>
      <c r="D44" s="759"/>
      <c r="E44" s="759"/>
      <c r="F44" s="747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>
        <f t="shared" si="1"/>
        <v>0</v>
      </c>
      <c r="U44" s="1299">
        <f t="shared" si="3"/>
        <v>0</v>
      </c>
      <c r="V44" s="1299">
        <f t="shared" si="4"/>
        <v>0</v>
      </c>
    </row>
    <row r="45" spans="2:22" x14ac:dyDescent="0.35">
      <c r="B45" s="44">
        <v>13</v>
      </c>
      <c r="C45" s="45" t="s">
        <v>212</v>
      </c>
      <c r="D45" s="759"/>
      <c r="E45" s="759"/>
      <c r="F45" s="747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>
        <f t="shared" si="1"/>
        <v>0</v>
      </c>
      <c r="U45" s="1299">
        <f t="shared" si="3"/>
        <v>0</v>
      </c>
      <c r="V45" s="1299">
        <f t="shared" si="4"/>
        <v>0</v>
      </c>
    </row>
    <row r="46" spans="2:22" x14ac:dyDescent="0.35">
      <c r="B46" s="51" t="s">
        <v>239</v>
      </c>
      <c r="C46" s="52" t="s">
        <v>213</v>
      </c>
      <c r="D46" s="759"/>
      <c r="E46" s="759"/>
      <c r="F46" s="747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>
        <f t="shared" si="1"/>
        <v>0</v>
      </c>
      <c r="U46" s="1299">
        <f t="shared" si="3"/>
        <v>0</v>
      </c>
      <c r="V46" s="1299">
        <f t="shared" si="4"/>
        <v>0</v>
      </c>
    </row>
    <row r="47" spans="2:22" ht="26" x14ac:dyDescent="0.35">
      <c r="B47" s="65">
        <v>14</v>
      </c>
      <c r="C47" s="66" t="s">
        <v>214</v>
      </c>
      <c r="D47" s="757">
        <f>D43+D44-D45</f>
        <v>0</v>
      </c>
      <c r="E47" s="757">
        <f>E43+E44-E45</f>
        <v>64684339330</v>
      </c>
      <c r="F47" s="750">
        <f>F43+F44-F45</f>
        <v>-1407537351.1674194</v>
      </c>
      <c r="G47" s="67">
        <f t="shared" ref="G47:R47" si="17">G43+G44-G45</f>
        <v>-544757161.31318533</v>
      </c>
      <c r="H47" s="67">
        <f t="shared" si="17"/>
        <v>-672574528.73882222</v>
      </c>
      <c r="I47" s="67">
        <f t="shared" si="17"/>
        <v>-308085267.36318564</v>
      </c>
      <c r="J47" s="67">
        <f>J43+J44-J45</f>
        <v>-142098327.37045056</v>
      </c>
      <c r="K47" s="67">
        <f>K43+K44-K45</f>
        <v>-140015254.27931553</v>
      </c>
      <c r="L47" s="67">
        <f t="shared" si="17"/>
        <v>-2998619395.0537539</v>
      </c>
      <c r="M47" s="67">
        <f t="shared" si="17"/>
        <v>-2836666878.8922157</v>
      </c>
      <c r="N47" s="67">
        <f t="shared" si="17"/>
        <v>-2867006878.6922159</v>
      </c>
      <c r="O47" s="67">
        <f t="shared" si="17"/>
        <v>-2803639978.4306774</v>
      </c>
      <c r="P47" s="67">
        <f t="shared" si="17"/>
        <v>-2818428904.7640104</v>
      </c>
      <c r="Q47" s="67">
        <f t="shared" si="17"/>
        <v>-2840148604.6870871</v>
      </c>
      <c r="R47" s="67">
        <f t="shared" si="17"/>
        <v>-2824580254.7255492</v>
      </c>
      <c r="S47" s="67">
        <f t="shared" si="1"/>
        <v>-21796621434.310467</v>
      </c>
      <c r="T47" s="37">
        <v>1231380289.639843</v>
      </c>
      <c r="U47" s="1299">
        <f t="shared" si="3"/>
        <v>-8.310153101083198E-3</v>
      </c>
      <c r="V47" s="1299">
        <f t="shared" si="4"/>
        <v>-0.22520513791979288</v>
      </c>
    </row>
    <row r="48" spans="2:22" x14ac:dyDescent="0.35">
      <c r="B48" s="46">
        <v>15</v>
      </c>
      <c r="C48" s="47" t="s">
        <v>215</v>
      </c>
      <c r="D48" s="759"/>
      <c r="E48" s="759"/>
      <c r="F48" s="747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>
        <f t="shared" si="1"/>
        <v>0</v>
      </c>
      <c r="T48" s="22">
        <f>T47-S47</f>
        <v>23028001723.95031</v>
      </c>
      <c r="U48" s="1299">
        <f t="shared" si="3"/>
        <v>0</v>
      </c>
      <c r="V48" s="1299">
        <f t="shared" si="4"/>
        <v>0</v>
      </c>
    </row>
    <row r="49" spans="2:26" x14ac:dyDescent="0.35">
      <c r="B49" s="65">
        <v>16</v>
      </c>
      <c r="C49" s="66" t="s">
        <v>216</v>
      </c>
      <c r="D49" s="757">
        <f>D47-D48</f>
        <v>0</v>
      </c>
      <c r="E49" s="757">
        <f>E47-E48</f>
        <v>64684339330</v>
      </c>
      <c r="F49" s="750">
        <f>F47-F48</f>
        <v>-1407537351.1674194</v>
      </c>
      <c r="G49" s="67">
        <f t="shared" ref="G49:R49" si="18">G47-G48</f>
        <v>-544757161.31318533</v>
      </c>
      <c r="H49" s="67">
        <f t="shared" si="18"/>
        <v>-672574528.73882222</v>
      </c>
      <c r="I49" s="67">
        <f t="shared" si="18"/>
        <v>-308085267.36318564</v>
      </c>
      <c r="J49" s="67">
        <f t="shared" si="18"/>
        <v>-142098327.37045056</v>
      </c>
      <c r="K49" s="67">
        <f>K47-K48</f>
        <v>-140015254.27931553</v>
      </c>
      <c r="L49" s="67">
        <f t="shared" si="18"/>
        <v>-2998619395.0537539</v>
      </c>
      <c r="M49" s="67">
        <f t="shared" si="18"/>
        <v>-2836666878.8922157</v>
      </c>
      <c r="N49" s="67">
        <f t="shared" si="18"/>
        <v>-2867006878.6922159</v>
      </c>
      <c r="O49" s="67">
        <f t="shared" si="18"/>
        <v>-2803639978.4306774</v>
      </c>
      <c r="P49" s="67">
        <f t="shared" si="18"/>
        <v>-2818428904.7640104</v>
      </c>
      <c r="Q49" s="67">
        <f t="shared" si="18"/>
        <v>-2840148604.6870871</v>
      </c>
      <c r="R49" s="67">
        <f t="shared" si="18"/>
        <v>-2824580254.7255492</v>
      </c>
      <c r="S49" s="67">
        <f t="shared" si="1"/>
        <v>-21796621434.310467</v>
      </c>
      <c r="U49" s="1299">
        <f t="shared" si="3"/>
        <v>-8.310153101083198E-3</v>
      </c>
      <c r="V49" s="1299">
        <f t="shared" si="4"/>
        <v>-0.22520513791979288</v>
      </c>
    </row>
    <row r="50" spans="2:26" x14ac:dyDescent="0.35">
      <c r="B50" s="78" t="s">
        <v>217</v>
      </c>
      <c r="C50" s="73" t="s">
        <v>218</v>
      </c>
      <c r="D50" s="761">
        <f>IFERROR(D47/$F$9,0)</f>
        <v>0</v>
      </c>
      <c r="E50" s="761">
        <f>IFERROR(E47/$F$9,0)</f>
        <v>0.38189875574447907</v>
      </c>
      <c r="F50" s="753">
        <f>IFERROR(F47/$F$9,0)</f>
        <v>-8.310153101083198E-3</v>
      </c>
      <c r="G50" s="74">
        <f>G49/G9</f>
        <v>-4.7721072688438081E-2</v>
      </c>
      <c r="H50" s="74">
        <f t="shared" ref="H50:S50" si="19">H49/H9</f>
        <v>-7.5751656565836767E-2</v>
      </c>
      <c r="I50" s="74">
        <f t="shared" si="19"/>
        <v>-2.4289618262880924E-2</v>
      </c>
      <c r="J50" s="74">
        <f t="shared" si="19"/>
        <v>-1.0184648369833273E-2</v>
      </c>
      <c r="K50" s="74">
        <f t="shared" si="19"/>
        <v>-1.0047755134130759E-2</v>
      </c>
      <c r="L50" s="74">
        <f t="shared" si="19"/>
        <v>-0.58435533373355819</v>
      </c>
      <c r="M50" s="74">
        <f t="shared" si="19"/>
        <v>-0.55279487067957045</v>
      </c>
      <c r="N50" s="74">
        <f t="shared" si="19"/>
        <v>-0.55870737185856301</v>
      </c>
      <c r="O50" s="74">
        <f t="shared" si="19"/>
        <v>-0.54635876029049546</v>
      </c>
      <c r="P50" s="74">
        <f t="shared" si="19"/>
        <v>-0.54924074924759048</v>
      </c>
      <c r="Q50" s="74">
        <f t="shared" si="19"/>
        <v>-0.55347337127293916</v>
      </c>
      <c r="R50" s="74">
        <f t="shared" si="19"/>
        <v>-0.55043949229768085</v>
      </c>
      <c r="S50" s="74">
        <f t="shared" si="19"/>
        <v>-0.22520513791979288</v>
      </c>
      <c r="T50" s="1044"/>
      <c r="U50" s="1299">
        <f t="shared" si="3"/>
        <v>-4.9063454341843973E-14</v>
      </c>
      <c r="V50" s="1299">
        <f t="shared" si="4"/>
        <v>-2.326844749693079E-12</v>
      </c>
      <c r="W50" s="1306"/>
      <c r="X50" s="1306"/>
      <c r="Y50" s="1306"/>
      <c r="Z50" s="1306"/>
    </row>
    <row r="51" spans="2:26" x14ac:dyDescent="0.35">
      <c r="B51" s="46">
        <v>17</v>
      </c>
      <c r="C51" s="47" t="s">
        <v>206</v>
      </c>
      <c r="D51" s="758"/>
      <c r="E51" s="758"/>
      <c r="F51" s="751">
        <f>CPSX!AK99+F41</f>
        <v>3773488165</v>
      </c>
      <c r="G51" s="42">
        <f>SUM(PB_TSCD!AF130:AF131,PB_TSCD!AF134,PB_TSCD!AF135)</f>
        <v>146441160.14758909</v>
      </c>
      <c r="H51" s="42">
        <f>SUM(PB_TSCD!AG130:AG131,PB_TSCD!AG134,PB_TSCD!AG135)</f>
        <v>146441160.14758909</v>
      </c>
      <c r="I51" s="42">
        <f>SUM(PB_TSCD!AH130:AH131,PB_TSCD!AH134,PB_TSCD!AH135)</f>
        <v>143877524.14758909</v>
      </c>
      <c r="J51" s="42">
        <f>SUM(PB_TSCD!AI130:AI131,PB_TSCD!AI134,PB_TSCD!AI135)</f>
        <v>143877524.14758909</v>
      </c>
      <c r="K51" s="42">
        <f>SUM(PB_TSCD!AJ130:AJ131,PB_TSCD!AJ134,PB_TSCD!AJ135)</f>
        <v>143877524.14758909</v>
      </c>
      <c r="L51" s="42">
        <f>SUM(PB_TSCD!AK130:AK131,PB_TSCD!AK134,PB_TSCD!AK135)</f>
        <v>143877524.14758909</v>
      </c>
      <c r="M51" s="42">
        <f>SUM(PB_TSCD!AL130:AL131,PB_TSCD!AL134,PB_TSCD!AL135)</f>
        <v>143877524.14758909</v>
      </c>
      <c r="N51" s="42">
        <f>SUM(PB_TSCD!AM130:AM131,PB_TSCD!AM134,PB_TSCD!AM135)</f>
        <v>143877524.14758909</v>
      </c>
      <c r="O51" s="42">
        <f>SUM(PB_TSCD!AN130:AN131,PB_TSCD!AN134,PB_TSCD!AN135)</f>
        <v>143877524.14758909</v>
      </c>
      <c r="P51" s="42">
        <f>SUM(PB_TSCD!AO130:AO131,PB_TSCD!AO134,PB_TSCD!AO135)</f>
        <v>143877524.14758909</v>
      </c>
      <c r="Q51" s="42">
        <f>SUM(PB_TSCD!AP130:AP131,PB_TSCD!AP134,PB_TSCD!AP135)</f>
        <v>143877524.14758909</v>
      </c>
      <c r="R51" s="42">
        <f>SUM(PB_TSCD!AQ130:AQ131,PB_TSCD!AQ134,PB_TSCD!AQ135)</f>
        <v>143877524.14758909</v>
      </c>
      <c r="S51" s="42">
        <f t="shared" si="1"/>
        <v>1731657561.7710695</v>
      </c>
      <c r="T51" s="22">
        <f>'KQKD HD'!S51</f>
        <v>2925770795.3709679</v>
      </c>
      <c r="U51" s="1299">
        <f t="shared" si="3"/>
        <v>2.2278815088115973E-2</v>
      </c>
      <c r="V51" s="1299">
        <f t="shared" si="4"/>
        <v>1.789168019474037E-2</v>
      </c>
    </row>
    <row r="52" spans="2:26" ht="39" x14ac:dyDescent="0.35">
      <c r="B52" s="65">
        <v>18</v>
      </c>
      <c r="C52" s="66" t="s">
        <v>219</v>
      </c>
      <c r="D52" s="757">
        <f t="shared" ref="D52" si="20">D49+D51</f>
        <v>0</v>
      </c>
      <c r="E52" s="757">
        <f t="shared" ref="E52:I52" si="21">E49+E51</f>
        <v>64684339330</v>
      </c>
      <c r="F52" s="750">
        <f t="shared" si="21"/>
        <v>2365950813.8325806</v>
      </c>
      <c r="G52" s="67">
        <f t="shared" si="21"/>
        <v>-398316001.16559625</v>
      </c>
      <c r="H52" s="67">
        <f t="shared" si="21"/>
        <v>-526133368.59123313</v>
      </c>
      <c r="I52" s="67">
        <f t="shared" si="21"/>
        <v>-164207743.21559656</v>
      </c>
      <c r="J52" s="67">
        <f>J49+J51</f>
        <v>1779196.7771385312</v>
      </c>
      <c r="K52" s="67">
        <f t="shared" ref="K52:R52" si="22">K49+K51</f>
        <v>3862269.8682735562</v>
      </c>
      <c r="L52" s="67">
        <f t="shared" si="22"/>
        <v>-2854741870.9061646</v>
      </c>
      <c r="M52" s="67">
        <f t="shared" si="22"/>
        <v>-2692789354.7446265</v>
      </c>
      <c r="N52" s="67">
        <f t="shared" si="22"/>
        <v>-2723129354.5446267</v>
      </c>
      <c r="O52" s="67">
        <f t="shared" si="22"/>
        <v>-2659762454.2830882</v>
      </c>
      <c r="P52" s="67">
        <f t="shared" si="22"/>
        <v>-2674551380.6164212</v>
      </c>
      <c r="Q52" s="67">
        <f t="shared" si="22"/>
        <v>-2696271080.5394979</v>
      </c>
      <c r="R52" s="67">
        <f t="shared" si="22"/>
        <v>-2680702730.57796</v>
      </c>
      <c r="S52" s="67">
        <f>SUM(G52:R52)</f>
        <v>-20064963872.539402</v>
      </c>
      <c r="U52" s="1299">
        <f t="shared" si="3"/>
        <v>1.3968661987032775E-2</v>
      </c>
      <c r="V52" s="1299">
        <f t="shared" si="4"/>
        <v>-0.20731345772505258</v>
      </c>
      <c r="W52" s="77"/>
    </row>
    <row r="53" spans="2:26" ht="26" x14ac:dyDescent="0.35">
      <c r="B53" s="78" t="s">
        <v>220</v>
      </c>
      <c r="C53" s="73" t="s">
        <v>221</v>
      </c>
      <c r="D53" s="761">
        <f>IFERROR(D50/$F$9,0)</f>
        <v>0</v>
      </c>
      <c r="E53" s="761">
        <f>IFERROR(E50/$F$9,0)</f>
        <v>2.2547445200779679E-12</v>
      </c>
      <c r="F53" s="753">
        <f>IFERROR(F50/$F$9,0)</f>
        <v>-4.9063454341843973E-14</v>
      </c>
      <c r="G53" s="74">
        <f t="shared" ref="G53:S53" si="23">G52/G9</f>
        <v>-3.4892734220823785E-2</v>
      </c>
      <c r="H53" s="74">
        <f t="shared" si="23"/>
        <v>-5.9258078536046963E-2</v>
      </c>
      <c r="I53" s="74">
        <f t="shared" si="23"/>
        <v>-1.2946232166999826E-2</v>
      </c>
      <c r="J53" s="74">
        <f t="shared" si="23"/>
        <v>1.2752080824045452E-4</v>
      </c>
      <c r="K53" s="74">
        <f t="shared" si="23"/>
        <v>2.7716367118776956E-4</v>
      </c>
      <c r="L53" s="74">
        <f t="shared" si="23"/>
        <v>-0.5563172310057809</v>
      </c>
      <c r="M53" s="74">
        <f t="shared" si="23"/>
        <v>-0.52475676795179316</v>
      </c>
      <c r="N53" s="74">
        <f t="shared" si="23"/>
        <v>-0.53066926913078571</v>
      </c>
      <c r="O53" s="74">
        <f t="shared" si="23"/>
        <v>-0.51832065756271817</v>
      </c>
      <c r="P53" s="74">
        <f t="shared" si="23"/>
        <v>-0.52120264651981318</v>
      </c>
      <c r="Q53" s="74">
        <f t="shared" si="23"/>
        <v>-0.52543526854516176</v>
      </c>
      <c r="R53" s="74">
        <f t="shared" si="23"/>
        <v>-0.52240138956990356</v>
      </c>
      <c r="S53" s="74">
        <f t="shared" si="23"/>
        <v>-0.20731345772505258</v>
      </c>
      <c r="T53" s="1044"/>
      <c r="U53" s="1299"/>
      <c r="V53" s="1299"/>
      <c r="W53" s="77"/>
    </row>
    <row r="54" spans="2:26" x14ac:dyDescent="0.35">
      <c r="B54" s="55"/>
      <c r="C54" s="56"/>
      <c r="D54" s="762"/>
      <c r="E54" s="762"/>
      <c r="F54" s="754"/>
      <c r="G54" s="765"/>
      <c r="H54" s="763"/>
      <c r="I54" s="763"/>
      <c r="J54" s="763"/>
      <c r="K54" s="763"/>
      <c r="L54" s="763"/>
      <c r="M54" s="763"/>
      <c r="N54" s="763"/>
      <c r="O54" s="764"/>
      <c r="P54" s="763"/>
      <c r="Q54" s="763"/>
      <c r="R54" s="763"/>
      <c r="S54" s="763"/>
      <c r="T54" s="50"/>
      <c r="U54" s="1299"/>
      <c r="V54" s="1299"/>
    </row>
    <row r="55" spans="2:26" x14ac:dyDescent="0.35">
      <c r="U55" s="1299"/>
      <c r="V55" s="1299"/>
    </row>
    <row r="56" spans="2:26" ht="39" x14ac:dyDescent="0.35">
      <c r="B56" s="138" t="s">
        <v>222</v>
      </c>
      <c r="C56" s="61"/>
      <c r="D56" s="516" t="str">
        <f>D4</f>
        <v>Thực tế năm 2023</v>
      </c>
      <c r="E56" s="516" t="str">
        <f>E4</f>
        <v>Thực tế năm 2024</v>
      </c>
      <c r="F56" s="516" t="str">
        <f>F4</f>
        <v>KQKD 2025</v>
      </c>
      <c r="G56" s="139" t="str">
        <f>G4</f>
        <v>T1</v>
      </c>
      <c r="H56" s="139" t="str">
        <f t="shared" ref="H56:S56" si="24">H4</f>
        <v>T2</v>
      </c>
      <c r="I56" s="139" t="str">
        <f t="shared" si="24"/>
        <v>T3</v>
      </c>
      <c r="J56" s="139" t="str">
        <f t="shared" si="24"/>
        <v>T4</v>
      </c>
      <c r="K56" s="139" t="str">
        <f t="shared" si="24"/>
        <v>T5</v>
      </c>
      <c r="L56" s="139" t="str">
        <f t="shared" si="24"/>
        <v>T6</v>
      </c>
      <c r="M56" s="139" t="str">
        <f t="shared" si="24"/>
        <v>T7</v>
      </c>
      <c r="N56" s="139" t="str">
        <f t="shared" si="24"/>
        <v>T8</v>
      </c>
      <c r="O56" s="139" t="str">
        <f t="shared" si="24"/>
        <v>T9</v>
      </c>
      <c r="P56" s="139" t="str">
        <f t="shared" si="24"/>
        <v>T10</v>
      </c>
      <c r="Q56" s="139" t="str">
        <f t="shared" si="24"/>
        <v>T11</v>
      </c>
      <c r="R56" s="139" t="str">
        <f t="shared" si="24"/>
        <v>T12</v>
      </c>
      <c r="S56" s="139" t="str">
        <f t="shared" si="24"/>
        <v>KH 2026</v>
      </c>
      <c r="U56" s="77"/>
      <c r="V56" s="77"/>
      <c r="W56" s="77"/>
    </row>
    <row r="57" spans="2:26" x14ac:dyDescent="0.35">
      <c r="B57" s="17" t="s">
        <v>223</v>
      </c>
      <c r="D57" s="537">
        <f>IFERROR(D$58*(1+(D$17+D$18)/D$16),0)</f>
        <v>0</v>
      </c>
      <c r="E57" s="537">
        <f>IFERROR(E$58*(1+(E$17+E$18)/E$16),0)</f>
        <v>0</v>
      </c>
      <c r="F57" s="537">
        <f>IFERROR(F$58*(1+(F$17+F$18)/F$16),0)</f>
        <v>10250089.581745455</v>
      </c>
      <c r="G57" s="140">
        <f>G$58*(1+(G$17+G$18)/G$16)</f>
        <v>1406449.2746960262</v>
      </c>
      <c r="H57" s="140">
        <f t="shared" ref="H57:S57" si="25">H$58*(1+(H$17+H$18)/H$16)</f>
        <v>1326000.1876521967</v>
      </c>
      <c r="I57" s="140">
        <f t="shared" si="25"/>
        <v>1249881.1649051306</v>
      </c>
      <c r="J57" s="140">
        <f>J$58*(1+(J$17+J$18)/J$16)</f>
        <v>1196016.8750736464</v>
      </c>
      <c r="K57" s="140">
        <f>K$58*(1+(K$17+K$18)/K$16)</f>
        <v>1195415.0370444218</v>
      </c>
      <c r="L57" s="140">
        <f t="shared" si="25"/>
        <v>-535301.33661209559</v>
      </c>
      <c r="M57" s="140">
        <f t="shared" si="25"/>
        <v>-471041.31677293376</v>
      </c>
      <c r="N57" s="140">
        <f t="shared" si="25"/>
        <v>-481213.44148094667</v>
      </c>
      <c r="O57" s="140">
        <f t="shared" si="25"/>
        <v>-488251.4210113794</v>
      </c>
      <c r="P57" s="140">
        <f t="shared" si="25"/>
        <v>-470495.58976357809</v>
      </c>
      <c r="Q57" s="140">
        <f t="shared" si="25"/>
        <v>-473732.28067314636</v>
      </c>
      <c r="R57" s="140">
        <f t="shared" si="25"/>
        <v>-474967.1503843675</v>
      </c>
      <c r="S57" s="140">
        <f t="shared" si="25"/>
        <v>-29621961.739562742</v>
      </c>
    </row>
    <row r="58" spans="2:26" x14ac:dyDescent="0.35">
      <c r="B58" s="17" t="s">
        <v>224</v>
      </c>
      <c r="C58" s="60"/>
      <c r="D58" s="537">
        <f>IFERROR((D$27+D$31+D$34+D$38)/(D$25/D$5),0)</f>
        <v>0</v>
      </c>
      <c r="E58" s="537">
        <f>IFERROR((E$27+E$31+E$34+E$38)/(E$25/E$5),0)</f>
        <v>0</v>
      </c>
      <c r="F58" s="537">
        <f>IFERROR((F$27+F$31+F$34+F$38)/(F$25/F$5),0)</f>
        <v>10250089.581745455</v>
      </c>
      <c r="G58" s="140">
        <f>(G$27+G$31+G$34+G$38)/(G$25/G$5)</f>
        <v>1228071.8399441401</v>
      </c>
      <c r="H58" s="140">
        <f t="shared" ref="H58:S58" si="26">(H$27+H$31+H$34+H$38)/(H$25/H$5)</f>
        <v>1157825.9660791939</v>
      </c>
      <c r="I58" s="140">
        <f t="shared" si="26"/>
        <v>1091360.982235434</v>
      </c>
      <c r="J58" s="140">
        <f>(J$27+J$31+J$34+J$38)/(J$25/J$5)</f>
        <v>1044328.2035133347</v>
      </c>
      <c r="K58" s="140">
        <f t="shared" si="26"/>
        <v>1042846.5820853369</v>
      </c>
      <c r="L58" s="140">
        <f t="shared" si="26"/>
        <v>-386909.97969411674</v>
      </c>
      <c r="M58" s="140">
        <f t="shared" si="26"/>
        <v>-340463.53678315791</v>
      </c>
      <c r="N58" s="140">
        <f t="shared" si="26"/>
        <v>-347815.83780510601</v>
      </c>
      <c r="O58" s="140">
        <f t="shared" si="26"/>
        <v>-352902.81280584395</v>
      </c>
      <c r="P58" s="140">
        <f t="shared" si="26"/>
        <v>-340069.09124068142</v>
      </c>
      <c r="Q58" s="140">
        <f t="shared" si="26"/>
        <v>-342408.53620082856</v>
      </c>
      <c r="R58" s="140">
        <f t="shared" si="26"/>
        <v>-343301.08658734045</v>
      </c>
      <c r="S58" s="140">
        <f t="shared" si="26"/>
        <v>-23744998.611174382</v>
      </c>
    </row>
    <row r="59" spans="2:26" x14ac:dyDescent="0.35">
      <c r="B59" s="17" t="s">
        <v>225</v>
      </c>
      <c r="D59" s="538">
        <f>IFERROR(D$58*(D$9/D$5),0)</f>
        <v>0</v>
      </c>
      <c r="E59" s="538">
        <f>IFERROR(E$58*(E$9/E$5),0)</f>
        <v>0</v>
      </c>
      <c r="F59" s="538">
        <f>IFERROR(F$58*(F$9/F$5),0)</f>
        <v>182750652495.09277</v>
      </c>
      <c r="G59" s="24">
        <f>G$58*(G$9/G$5)</f>
        <v>18223630658.414135</v>
      </c>
      <c r="H59" s="24">
        <f t="shared" ref="H59:S59" si="27">H$58*(H$9/H$5)</f>
        <v>17181236541.918022</v>
      </c>
      <c r="I59" s="24">
        <f t="shared" si="27"/>
        <v>16194947891.783976</v>
      </c>
      <c r="J59" s="24">
        <f t="shared" si="27"/>
        <v>15497018047.297482</v>
      </c>
      <c r="K59" s="24">
        <f t="shared" si="27"/>
        <v>15474932604.458986</v>
      </c>
      <c r="L59" s="24">
        <f t="shared" si="27"/>
        <v>-5637779338.6632967</v>
      </c>
      <c r="M59" s="24">
        <f t="shared" si="27"/>
        <v>-4960994530.9805765</v>
      </c>
      <c r="N59" s="24">
        <f t="shared" si="27"/>
        <v>-5068127075.9357157</v>
      </c>
      <c r="O59" s="24">
        <f t="shared" si="27"/>
        <v>-5142250887.8315229</v>
      </c>
      <c r="P59" s="24">
        <f t="shared" si="27"/>
        <v>-4955246948.7358389</v>
      </c>
      <c r="Q59" s="24">
        <f t="shared" si="27"/>
        <v>-4989335690.6976891</v>
      </c>
      <c r="R59" s="24">
        <f t="shared" si="27"/>
        <v>-5002341305.419157</v>
      </c>
      <c r="S59" s="24">
        <f t="shared" si="27"/>
        <v>-349968733570.82379</v>
      </c>
    </row>
    <row r="60" spans="2:26" ht="39" x14ac:dyDescent="0.35">
      <c r="B60" s="138" t="s">
        <v>226</v>
      </c>
      <c r="C60" s="61"/>
      <c r="D60" s="517" t="str">
        <f>D56</f>
        <v>Thực tế năm 2023</v>
      </c>
      <c r="E60" s="517" t="str">
        <f>E56</f>
        <v>Thực tế năm 2024</v>
      </c>
      <c r="F60" s="517" t="str">
        <f>F56</f>
        <v>KQKD 2025</v>
      </c>
      <c r="G60" s="141" t="str">
        <f>G56</f>
        <v>T1</v>
      </c>
      <c r="H60" s="141" t="str">
        <f t="shared" ref="H60:S60" si="28">H56</f>
        <v>T2</v>
      </c>
      <c r="I60" s="141" t="str">
        <f t="shared" si="28"/>
        <v>T3</v>
      </c>
      <c r="J60" s="141" t="str">
        <f t="shared" si="28"/>
        <v>T4</v>
      </c>
      <c r="K60" s="141" t="str">
        <f t="shared" si="28"/>
        <v>T5</v>
      </c>
      <c r="L60" s="141" t="str">
        <f t="shared" si="28"/>
        <v>T6</v>
      </c>
      <c r="M60" s="141" t="str">
        <f t="shared" si="28"/>
        <v>T7</v>
      </c>
      <c r="N60" s="141" t="str">
        <f t="shared" si="28"/>
        <v>T8</v>
      </c>
      <c r="O60" s="141" t="str">
        <f t="shared" si="28"/>
        <v>T9</v>
      </c>
      <c r="P60" s="141" t="str">
        <f t="shared" si="28"/>
        <v>T10</v>
      </c>
      <c r="Q60" s="141" t="str">
        <f t="shared" si="28"/>
        <v>T11</v>
      </c>
      <c r="R60" s="141" t="str">
        <f t="shared" si="28"/>
        <v>T12</v>
      </c>
      <c r="S60" s="141" t="str">
        <f t="shared" si="28"/>
        <v>KH 2026</v>
      </c>
    </row>
    <row r="61" spans="2:26" x14ac:dyDescent="0.35">
      <c r="B61" s="17" t="s">
        <v>223</v>
      </c>
      <c r="D61" s="537">
        <f>IFERROR(D$62*(1+(D$17+D$18)/D$16),0)</f>
        <v>0</v>
      </c>
      <c r="E61" s="537">
        <f>IFERROR(E$62*(1+(E$17+E$18)/E$16),0)</f>
        <v>0</v>
      </c>
      <c r="F61" s="537">
        <f>IFERROR(F$62*(1+(F$17+F$18)/F$16),0)</f>
        <v>8218685.134049749</v>
      </c>
      <c r="G61" s="140">
        <f>G$62*(1+(G$17+G$18)/G$16)</f>
        <v>1265201.722240149</v>
      </c>
      <c r="H61" s="140">
        <f t="shared" ref="H61:S61" si="29">H$62*(1+(H$17+H$18)/H$16)</f>
        <v>1186484.2295047762</v>
      </c>
      <c r="I61" s="140">
        <f t="shared" si="29"/>
        <v>1123332.600186669</v>
      </c>
      <c r="J61" s="140">
        <f>J$62*(1+(J$17+J$18)/J$16)</f>
        <v>1075299.8888622683</v>
      </c>
      <c r="K61" s="140">
        <f>K$62*(1+(K$17+K$18)/K$16)</f>
        <v>1073174.4975988911</v>
      </c>
      <c r="L61" s="140">
        <f t="shared" si="29"/>
        <v>-486238.96853620961</v>
      </c>
      <c r="M61" s="140">
        <f t="shared" si="29"/>
        <v>-422437.16203435283</v>
      </c>
      <c r="N61" s="140">
        <f t="shared" si="29"/>
        <v>-432613.1618383138</v>
      </c>
      <c r="O61" s="140">
        <f t="shared" si="29"/>
        <v>-438191.51881587919</v>
      </c>
      <c r="P61" s="140">
        <f t="shared" si="29"/>
        <v>-421604.7776378573</v>
      </c>
      <c r="Q61" s="140">
        <f t="shared" si="29"/>
        <v>-425051.38949764724</v>
      </c>
      <c r="R61" s="140">
        <f t="shared" si="29"/>
        <v>-425955.04144814459</v>
      </c>
      <c r="S61" s="140">
        <f t="shared" si="29"/>
        <v>-26617779.963285759</v>
      </c>
    </row>
    <row r="62" spans="2:26" x14ac:dyDescent="0.35">
      <c r="B62" s="17" t="s">
        <v>224</v>
      </c>
      <c r="C62" s="60"/>
      <c r="D62" s="537">
        <f>IFERROR((D$27+D$31+D$34+D$38-D51)/(D$25/D$5),0)</f>
        <v>0</v>
      </c>
      <c r="E62" s="537">
        <f>IFERROR((E$27+E$31+E$34+E$38-E51)/(E$25/E$5),0)</f>
        <v>0</v>
      </c>
      <c r="F62" s="537">
        <f>IFERROR((F$27+F$31+F$34+F$38-F51)/(F$25/F$5),0)</f>
        <v>8218685.134049749</v>
      </c>
      <c r="G62" s="140">
        <f>(G$27+G$31+G$34+G$38-G51)/(G$25/G$5)</f>
        <v>1104738.4608078143</v>
      </c>
      <c r="H62" s="140">
        <f t="shared" ref="H62:S62" si="30">(H$27+H$31+H$34+H$38-H51)/(H$25/H$5)</f>
        <v>1036004.5662560806</v>
      </c>
      <c r="I62" s="140">
        <f t="shared" si="30"/>
        <v>980862.34462926805</v>
      </c>
      <c r="J62" s="140">
        <f>(J$27+J$31+J$34+J$38-J51)/(J$25/J$5)</f>
        <v>938921.53578892688</v>
      </c>
      <c r="K62" s="140">
        <f t="shared" si="30"/>
        <v>936207.36072484602</v>
      </c>
      <c r="L62" s="140">
        <f t="shared" si="30"/>
        <v>-351448.23406103585</v>
      </c>
      <c r="M62" s="140">
        <f t="shared" si="30"/>
        <v>-305332.98276292509</v>
      </c>
      <c r="N62" s="140">
        <f t="shared" si="30"/>
        <v>-312688.08466204652</v>
      </c>
      <c r="O62" s="140">
        <f t="shared" si="30"/>
        <v>-316720.06036862015</v>
      </c>
      <c r="P62" s="140">
        <f t="shared" si="30"/>
        <v>-304731.34438110434</v>
      </c>
      <c r="Q62" s="140">
        <f t="shared" si="30"/>
        <v>-307222.51791921782</v>
      </c>
      <c r="R62" s="140">
        <f t="shared" si="30"/>
        <v>-307875.66771336982</v>
      </c>
      <c r="S62" s="140">
        <f t="shared" si="30"/>
        <v>-21336843.042931274</v>
      </c>
    </row>
    <row r="63" spans="2:26" x14ac:dyDescent="0.35">
      <c r="B63" s="17" t="s">
        <v>225</v>
      </c>
      <c r="D63" s="538">
        <f>IFERROR(D$62*(D$9/D$5),0)</f>
        <v>0</v>
      </c>
      <c r="E63" s="538">
        <f>IFERROR(E$62*(E$9/E$5),0)</f>
        <v>0</v>
      </c>
      <c r="F63" s="538">
        <f>IFERROR(F$62*(F$9/F$5),0)</f>
        <v>146532384807.07452</v>
      </c>
      <c r="G63" s="24">
        <f>G$62*(G$9/G$5)</f>
        <v>16393459266.049341</v>
      </c>
      <c r="H63" s="24">
        <f t="shared" ref="H63:S63" si="31">H$62*(H$9/H$5)</f>
        <v>15373501746.233438</v>
      </c>
      <c r="I63" s="24">
        <f t="shared" si="31"/>
        <v>14555234078.230272</v>
      </c>
      <c r="J63" s="24">
        <f t="shared" si="31"/>
        <v>13932865105.209694</v>
      </c>
      <c r="K63" s="24">
        <f>K$62*(K$9/K$5)</f>
        <v>13892499682.978174</v>
      </c>
      <c r="L63" s="24">
        <f t="shared" si="31"/>
        <v>-5121055792.2684126</v>
      </c>
      <c r="M63" s="24">
        <f t="shared" si="31"/>
        <v>-4449096875.1805258</v>
      </c>
      <c r="N63" s="24">
        <f t="shared" si="31"/>
        <v>-4556270232.5423927</v>
      </c>
      <c r="O63" s="24">
        <f t="shared" si="31"/>
        <v>-4615021338.8087234</v>
      </c>
      <c r="P63" s="24">
        <f t="shared" si="31"/>
        <v>-4440330225.0128117</v>
      </c>
      <c r="Q63" s="24">
        <f t="shared" si="31"/>
        <v>-4476629848.7994719</v>
      </c>
      <c r="R63" s="24">
        <f t="shared" si="31"/>
        <v>-4486147086.9369678</v>
      </c>
      <c r="S63" s="24">
        <f t="shared" si="31"/>
        <v>-314475821220.7276</v>
      </c>
    </row>
    <row r="64" spans="2:26" x14ac:dyDescent="0.35">
      <c r="F64" s="539"/>
    </row>
    <row r="65" spans="2:19" x14ac:dyDescent="0.35">
      <c r="B65" s="1346" t="s">
        <v>2248</v>
      </c>
      <c r="F65" s="1335">
        <f>(F17+F18)/F9</f>
        <v>0</v>
      </c>
      <c r="G65" s="1335">
        <f t="shared" ref="G65:S65" si="32">(G17+G18)/G9</f>
        <v>0.11606189378992536</v>
      </c>
      <c r="H65" s="1335">
        <f t="shared" si="32"/>
        <v>0.11606189378992536</v>
      </c>
      <c r="I65" s="1335">
        <f t="shared" si="32"/>
        <v>0.11606189378992536</v>
      </c>
      <c r="J65" s="1335">
        <f t="shared" si="32"/>
        <v>0.11606189378992536</v>
      </c>
      <c r="K65" s="1335">
        <f t="shared" si="32"/>
        <v>0.11704542785901269</v>
      </c>
      <c r="L65" s="1347">
        <f t="shared" si="32"/>
        <v>0.38954030010718116</v>
      </c>
      <c r="M65" s="1347">
        <f t="shared" si="32"/>
        <v>0.38954030010718116</v>
      </c>
      <c r="N65" s="1347">
        <f t="shared" si="32"/>
        <v>0.38954030010718116</v>
      </c>
      <c r="O65" s="1347">
        <f t="shared" si="32"/>
        <v>0.38954030010718116</v>
      </c>
      <c r="P65" s="1347">
        <f t="shared" si="32"/>
        <v>0.38954030010718116</v>
      </c>
      <c r="Q65" s="1347">
        <f t="shared" si="32"/>
        <v>0.38954030010718116</v>
      </c>
      <c r="R65" s="1347">
        <f t="shared" si="32"/>
        <v>0.38954030010718116</v>
      </c>
      <c r="S65" s="1345">
        <f t="shared" si="32"/>
        <v>0.21770080954036242</v>
      </c>
    </row>
    <row r="66" spans="2:19" x14ac:dyDescent="0.35">
      <c r="B66" s="17" t="s">
        <v>2249</v>
      </c>
      <c r="F66" s="1335">
        <f>(F17)/F9</f>
        <v>0</v>
      </c>
      <c r="G66" s="1348">
        <f t="shared" ref="G66:S66" si="33">(G17)/G9</f>
        <v>9.2889467491076239E-2</v>
      </c>
      <c r="H66" s="1348">
        <f t="shared" si="33"/>
        <v>9.2889467491076239E-2</v>
      </c>
      <c r="I66" s="1348">
        <f t="shared" si="33"/>
        <v>9.2889467491076239E-2</v>
      </c>
      <c r="J66" s="1348">
        <f t="shared" si="33"/>
        <v>9.2889467491076239E-2</v>
      </c>
      <c r="K66" s="1348">
        <f t="shared" si="33"/>
        <v>9.3804350078395327E-2</v>
      </c>
      <c r="L66" s="1350">
        <f t="shared" si="33"/>
        <v>0.25690541264737404</v>
      </c>
      <c r="M66" s="1345">
        <f t="shared" si="33"/>
        <v>0.25690541264737404</v>
      </c>
      <c r="N66" s="1345">
        <f t="shared" si="33"/>
        <v>0.25690541264737404</v>
      </c>
      <c r="O66" s="1345">
        <f t="shared" si="33"/>
        <v>0.25690541264737404</v>
      </c>
      <c r="P66" s="1345">
        <f t="shared" si="33"/>
        <v>0.25690541264737404</v>
      </c>
      <c r="Q66" s="1345">
        <f t="shared" si="33"/>
        <v>0.25690541264737404</v>
      </c>
      <c r="R66" s="1345">
        <f>(R17)/R9</f>
        <v>0.25690541264737404</v>
      </c>
      <c r="S66" s="1349">
        <f t="shared" si="33"/>
        <v>0.15389318830319662</v>
      </c>
    </row>
    <row r="67" spans="2:19" x14ac:dyDescent="0.35">
      <c r="B67" s="17" t="s">
        <v>2250</v>
      </c>
      <c r="F67" s="1335">
        <f>(F18)/F9</f>
        <v>0</v>
      </c>
      <c r="G67" s="1335">
        <f t="shared" ref="G67:S67" si="34">(G18)/G9</f>
        <v>2.3172426298849125E-2</v>
      </c>
      <c r="H67" s="1335">
        <f t="shared" si="34"/>
        <v>2.3172426298849125E-2</v>
      </c>
      <c r="I67" s="1335">
        <f t="shared" si="34"/>
        <v>2.3172426298849125E-2</v>
      </c>
      <c r="J67" s="1335">
        <f t="shared" si="34"/>
        <v>2.3172426298849125E-2</v>
      </c>
      <c r="K67" s="1335">
        <f t="shared" si="34"/>
        <v>2.3241077780617351E-2</v>
      </c>
      <c r="L67" s="1345">
        <f t="shared" si="34"/>
        <v>0.13263488745980706</v>
      </c>
      <c r="M67" s="1345">
        <f t="shared" si="34"/>
        <v>0.13263488745980706</v>
      </c>
      <c r="N67" s="1345">
        <f t="shared" si="34"/>
        <v>0.13263488745980706</v>
      </c>
      <c r="O67" s="1345">
        <f t="shared" si="34"/>
        <v>0.13263488745980706</v>
      </c>
      <c r="P67" s="1345">
        <f t="shared" si="34"/>
        <v>0.13263488745980706</v>
      </c>
      <c r="Q67" s="1345">
        <f t="shared" si="34"/>
        <v>0.13263488745980706</v>
      </c>
      <c r="R67" s="1345">
        <f t="shared" si="34"/>
        <v>0.13263488745980706</v>
      </c>
      <c r="S67" s="1349">
        <f t="shared" si="34"/>
        <v>6.3807621237165824E-2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CL66"/>
  <sheetViews>
    <sheetView topLeftCell="B11" zoomScale="70" zoomScaleNormal="70" workbookViewId="0">
      <selection activeCell="O7" sqref="O7"/>
    </sheetView>
  </sheetViews>
  <sheetFormatPr defaultRowHeight="14.5" x14ac:dyDescent="0.35"/>
  <cols>
    <col min="3" max="3" width="25" customWidth="1"/>
  </cols>
  <sheetData>
    <row r="1" spans="2:26" ht="16" x14ac:dyDescent="0.35">
      <c r="B1" s="92"/>
      <c r="L1" s="24">
        <v>62610818</v>
      </c>
    </row>
    <row r="2" spans="2:26" x14ac:dyDescent="0.35">
      <c r="D2" s="137"/>
      <c r="E2" s="137"/>
      <c r="F2" s="137"/>
      <c r="G2" s="137"/>
      <c r="S2" s="137"/>
    </row>
    <row r="3" spans="2:26" ht="15.5" x14ac:dyDescent="0.35">
      <c r="B3" s="62" t="s">
        <v>144</v>
      </c>
      <c r="C3" s="12"/>
      <c r="D3" s="12"/>
      <c r="E3" s="12"/>
      <c r="F3" s="26">
        <v>215.28200000000001</v>
      </c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7" t="s">
        <v>145</v>
      </c>
    </row>
    <row r="4" spans="2:26" ht="39" x14ac:dyDescent="0.35">
      <c r="B4" s="536" t="s">
        <v>36</v>
      </c>
      <c r="C4" s="536" t="s">
        <v>146</v>
      </c>
      <c r="D4" s="536" t="s">
        <v>227</v>
      </c>
      <c r="E4" s="536" t="s">
        <v>147</v>
      </c>
      <c r="F4" s="116" t="s">
        <v>148</v>
      </c>
      <c r="G4" s="116" t="s">
        <v>149</v>
      </c>
      <c r="H4" s="116" t="s">
        <v>150</v>
      </c>
      <c r="I4" s="116" t="s">
        <v>151</v>
      </c>
      <c r="J4" s="116" t="s">
        <v>152</v>
      </c>
      <c r="K4" s="116" t="s">
        <v>153</v>
      </c>
      <c r="L4" s="116" t="s">
        <v>154</v>
      </c>
      <c r="M4" s="116" t="s">
        <v>155</v>
      </c>
      <c r="N4" s="116" t="s">
        <v>156</v>
      </c>
      <c r="O4" s="116" t="s">
        <v>157</v>
      </c>
      <c r="P4" s="116" t="s">
        <v>158</v>
      </c>
      <c r="Q4" s="116" t="s">
        <v>159</v>
      </c>
      <c r="R4" s="116" t="s">
        <v>160</v>
      </c>
      <c r="S4" s="116" t="s">
        <v>2147</v>
      </c>
      <c r="U4" s="800" t="s">
        <v>148</v>
      </c>
      <c r="V4" s="116" t="s">
        <v>2147</v>
      </c>
      <c r="X4" s="800" t="s">
        <v>148</v>
      </c>
      <c r="Y4" s="116" t="s">
        <v>2147</v>
      </c>
    </row>
    <row r="5" spans="2:26" x14ac:dyDescent="0.35">
      <c r="B5" s="28" t="s">
        <v>162</v>
      </c>
      <c r="C5" s="29" t="s">
        <v>163</v>
      </c>
      <c r="D5" s="30"/>
      <c r="E5" s="30"/>
      <c r="F5" s="30">
        <f>F6+F7+F8</f>
        <v>215282</v>
      </c>
      <c r="G5" s="30">
        <f>G6+G7+G8</f>
        <v>0</v>
      </c>
      <c r="H5" s="30">
        <f t="shared" ref="H5:R5" si="0">H6+H7+H8</f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550605</v>
      </c>
      <c r="M5" s="30">
        <f t="shared" si="0"/>
        <v>550605</v>
      </c>
      <c r="N5" s="30">
        <f t="shared" si="0"/>
        <v>550605</v>
      </c>
      <c r="O5" s="30">
        <f t="shared" si="0"/>
        <v>550605</v>
      </c>
      <c r="P5" s="30">
        <f t="shared" si="0"/>
        <v>550605</v>
      </c>
      <c r="Q5" s="30">
        <f t="shared" si="0"/>
        <v>550605</v>
      </c>
      <c r="R5" s="30">
        <f t="shared" si="0"/>
        <v>550605</v>
      </c>
      <c r="S5" s="30">
        <f>SUM(G5:R5)</f>
        <v>3854235</v>
      </c>
      <c r="T5" s="31"/>
    </row>
    <row r="6" spans="2:26" x14ac:dyDescent="0.35">
      <c r="B6" s="33" t="s">
        <v>164</v>
      </c>
      <c r="C6" s="34" t="s">
        <v>165</v>
      </c>
      <c r="D6" s="35"/>
      <c r="E6" s="35"/>
      <c r="F6" s="35">
        <f>'4.Doanh thu'!E22</f>
        <v>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>
        <f t="shared" ref="S6:S52" si="1">SUM(G6:R6)</f>
        <v>0</v>
      </c>
      <c r="T6" s="36"/>
    </row>
    <row r="7" spans="2:26" x14ac:dyDescent="0.35">
      <c r="B7" s="33" t="s">
        <v>166</v>
      </c>
      <c r="C7" s="34" t="s">
        <v>167</v>
      </c>
      <c r="D7" s="35"/>
      <c r="E7" s="35"/>
      <c r="F7" s="35"/>
      <c r="G7" s="35">
        <f>'4.Doanh thu'!F99</f>
        <v>0</v>
      </c>
      <c r="H7" s="35">
        <f>'4.Doanh thu'!G99</f>
        <v>0</v>
      </c>
      <c r="I7" s="35">
        <f>'4.Doanh thu'!H99</f>
        <v>0</v>
      </c>
      <c r="J7" s="35">
        <f>'4.Doanh thu'!I99</f>
        <v>0</v>
      </c>
      <c r="K7" s="35">
        <f>'4.Doanh thu'!J99</f>
        <v>0</v>
      </c>
      <c r="L7" s="35">
        <f>'4.Doanh thu'!K99</f>
        <v>550605</v>
      </c>
      <c r="M7" s="35">
        <f>'4.Doanh thu'!L99</f>
        <v>550605</v>
      </c>
      <c r="N7" s="35">
        <f>'4.Doanh thu'!M99</f>
        <v>550605</v>
      </c>
      <c r="O7" s="35">
        <f>'4.Doanh thu'!N99</f>
        <v>550605</v>
      </c>
      <c r="P7" s="35">
        <f>'4.Doanh thu'!O99</f>
        <v>550605</v>
      </c>
      <c r="Q7" s="35">
        <f>'4.Doanh thu'!P99</f>
        <v>550605</v>
      </c>
      <c r="R7" s="35">
        <f>'4.Doanh thu'!Q99</f>
        <v>550605</v>
      </c>
      <c r="S7" s="35">
        <f t="shared" si="1"/>
        <v>3854235</v>
      </c>
      <c r="T7" s="36"/>
    </row>
    <row r="8" spans="2:26" x14ac:dyDescent="0.35">
      <c r="B8" s="33" t="s">
        <v>168</v>
      </c>
      <c r="C8" s="34" t="s">
        <v>169</v>
      </c>
      <c r="D8" s="35"/>
      <c r="E8" s="35"/>
      <c r="F8" s="35">
        <f>'4.Doanh thu'!AF161</f>
        <v>215282</v>
      </c>
      <c r="G8" s="35">
        <f>'4.Doanh thu'!F161</f>
        <v>0</v>
      </c>
      <c r="H8" s="35">
        <f>'4.Doanh thu'!G161</f>
        <v>0</v>
      </c>
      <c r="I8" s="35">
        <f>'4.Doanh thu'!H161</f>
        <v>0</v>
      </c>
      <c r="J8" s="35">
        <f>'4.Doanh thu'!I161</f>
        <v>0</v>
      </c>
      <c r="K8" s="35">
        <f>'4.Doanh thu'!J161</f>
        <v>0</v>
      </c>
      <c r="L8" s="35">
        <f>'4.Doanh thu'!K161</f>
        <v>0</v>
      </c>
      <c r="M8" s="35">
        <f>'4.Doanh thu'!L161</f>
        <v>0</v>
      </c>
      <c r="N8" s="35">
        <f>'4.Doanh thu'!M161</f>
        <v>0</v>
      </c>
      <c r="O8" s="35">
        <f>'4.Doanh thu'!N161</f>
        <v>0</v>
      </c>
      <c r="P8" s="35">
        <f>'4.Doanh thu'!O161</f>
        <v>0</v>
      </c>
      <c r="Q8" s="35">
        <f>'4.Doanh thu'!P161</f>
        <v>0</v>
      </c>
      <c r="R8" s="35">
        <f>'4.Doanh thu'!Q161</f>
        <v>0</v>
      </c>
      <c r="S8" s="35">
        <f t="shared" si="1"/>
        <v>0</v>
      </c>
      <c r="T8" s="36"/>
    </row>
    <row r="9" spans="2:26" x14ac:dyDescent="0.35">
      <c r="B9" s="65">
        <v>2</v>
      </c>
      <c r="C9" s="66" t="s">
        <v>170</v>
      </c>
      <c r="D9" s="67"/>
      <c r="E9" s="67"/>
      <c r="F9" s="67">
        <f>F10+F11+F12+F13</f>
        <v>2657864180</v>
      </c>
      <c r="G9" s="67">
        <f>SUM(G10:G13)</f>
        <v>0</v>
      </c>
      <c r="H9" s="67">
        <f t="shared" ref="H9:R9" si="2">SUM(H10:H13)</f>
        <v>0</v>
      </c>
      <c r="I9" s="67">
        <f t="shared" si="2"/>
        <v>0</v>
      </c>
      <c r="J9" s="67">
        <f t="shared" si="2"/>
        <v>0</v>
      </c>
      <c r="K9" s="67">
        <f t="shared" si="2"/>
        <v>0</v>
      </c>
      <c r="L9" s="67">
        <f t="shared" si="2"/>
        <v>8894613750</v>
      </c>
      <c r="M9" s="67">
        <f t="shared" si="2"/>
        <v>8894613750</v>
      </c>
      <c r="N9" s="67">
        <f t="shared" si="2"/>
        <v>8894613750</v>
      </c>
      <c r="O9" s="67">
        <f t="shared" si="2"/>
        <v>8894613750</v>
      </c>
      <c r="P9" s="67">
        <f t="shared" si="2"/>
        <v>8894613750</v>
      </c>
      <c r="Q9" s="67">
        <f t="shared" si="2"/>
        <v>8894613750</v>
      </c>
      <c r="R9" s="67">
        <f t="shared" si="2"/>
        <v>8894613750</v>
      </c>
      <c r="S9" s="67">
        <f t="shared" si="1"/>
        <v>62262296250</v>
      </c>
      <c r="U9" s="1382">
        <f t="shared" ref="U9:U52" si="3">F9/F$9</f>
        <v>1</v>
      </c>
      <c r="V9" s="1382">
        <f t="shared" ref="V9:V52" si="4">S9/S$9</f>
        <v>1</v>
      </c>
      <c r="X9" s="1387">
        <f>F9/F5</f>
        <v>12345.965663641178</v>
      </c>
      <c r="Y9" s="1387">
        <f>S9/S5</f>
        <v>16154.255319148937</v>
      </c>
      <c r="Z9" s="1388">
        <f>Y9-X9</f>
        <v>3808.2896555077587</v>
      </c>
    </row>
    <row r="10" spans="2:26" x14ac:dyDescent="0.35">
      <c r="B10" s="41" t="s">
        <v>171</v>
      </c>
      <c r="C10" s="34" t="s">
        <v>165</v>
      </c>
      <c r="D10" s="42"/>
      <c r="E10" s="42"/>
      <c r="F10" s="42">
        <f>'4.Doanh thu'!E60</f>
        <v>0</v>
      </c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>
        <f t="shared" si="1"/>
        <v>0</v>
      </c>
      <c r="U10" s="1299">
        <f t="shared" si="3"/>
        <v>0</v>
      </c>
      <c r="V10" s="1299">
        <f t="shared" si="4"/>
        <v>0</v>
      </c>
    </row>
    <row r="11" spans="2:26" x14ac:dyDescent="0.35">
      <c r="B11" s="41" t="s">
        <v>172</v>
      </c>
      <c r="C11" s="34" t="s">
        <v>167</v>
      </c>
      <c r="D11" s="42"/>
      <c r="E11" s="42"/>
      <c r="F11" s="42"/>
      <c r="G11" s="42">
        <f>'4.Doanh thu'!F157</f>
        <v>0</v>
      </c>
      <c r="H11" s="42">
        <f>'4.Doanh thu'!G157</f>
        <v>0</v>
      </c>
      <c r="I11" s="42">
        <f>'4.Doanh thu'!H157</f>
        <v>0</v>
      </c>
      <c r="J11" s="42">
        <f>'4.Doanh thu'!I157</f>
        <v>0</v>
      </c>
      <c r="K11" s="42">
        <f>'4.Doanh thu'!J157</f>
        <v>0</v>
      </c>
      <c r="L11" s="42">
        <f>'4.Doanh thu'!K157</f>
        <v>8894613750</v>
      </c>
      <c r="M11" s="42">
        <f>'4.Doanh thu'!L157</f>
        <v>8894613750</v>
      </c>
      <c r="N11" s="42">
        <f>'4.Doanh thu'!M157</f>
        <v>8894613750</v>
      </c>
      <c r="O11" s="42">
        <f>'4.Doanh thu'!N157</f>
        <v>8894613750</v>
      </c>
      <c r="P11" s="42">
        <f>'4.Doanh thu'!O157</f>
        <v>8894613750</v>
      </c>
      <c r="Q11" s="42">
        <f>'4.Doanh thu'!P157</f>
        <v>8894613750</v>
      </c>
      <c r="R11" s="42">
        <f>'4.Doanh thu'!Q157</f>
        <v>8894613750</v>
      </c>
      <c r="S11" s="42">
        <f t="shared" si="1"/>
        <v>62262296250</v>
      </c>
      <c r="U11" s="1384">
        <f t="shared" si="3"/>
        <v>0</v>
      </c>
      <c r="V11" s="1384">
        <f t="shared" si="4"/>
        <v>1</v>
      </c>
    </row>
    <row r="12" spans="2:26" x14ac:dyDescent="0.35">
      <c r="B12" s="41" t="s">
        <v>173</v>
      </c>
      <c r="C12" s="34" t="s">
        <v>169</v>
      </c>
      <c r="D12" s="42"/>
      <c r="E12" s="42"/>
      <c r="F12" s="42">
        <f>'4.Doanh thu'!AF163</f>
        <v>2657864180</v>
      </c>
      <c r="G12" s="42">
        <f>'4.Doanh thu'!F163</f>
        <v>0</v>
      </c>
      <c r="H12" s="42">
        <f>'4.Doanh thu'!G163</f>
        <v>0</v>
      </c>
      <c r="I12" s="42">
        <f>'4.Doanh thu'!H163</f>
        <v>0</v>
      </c>
      <c r="J12" s="42">
        <f>'4.Doanh thu'!I163</f>
        <v>0</v>
      </c>
      <c r="K12" s="42">
        <f>'4.Doanh thu'!J163</f>
        <v>0</v>
      </c>
      <c r="L12" s="42">
        <f>'4.Doanh thu'!K163</f>
        <v>0</v>
      </c>
      <c r="M12" s="42">
        <f>'4.Doanh thu'!L163</f>
        <v>0</v>
      </c>
      <c r="N12" s="42">
        <f>'4.Doanh thu'!M163</f>
        <v>0</v>
      </c>
      <c r="O12" s="42">
        <f>'4.Doanh thu'!N163</f>
        <v>0</v>
      </c>
      <c r="P12" s="42">
        <f>'4.Doanh thu'!O163</f>
        <v>0</v>
      </c>
      <c r="Q12" s="42">
        <f>'4.Doanh thu'!P163</f>
        <v>0</v>
      </c>
      <c r="R12" s="42">
        <f>'4.Doanh thu'!Q163</f>
        <v>0</v>
      </c>
      <c r="S12" s="42">
        <f t="shared" si="1"/>
        <v>0</v>
      </c>
      <c r="U12" s="1299">
        <f t="shared" si="3"/>
        <v>1</v>
      </c>
      <c r="V12" s="1299">
        <f t="shared" si="4"/>
        <v>0</v>
      </c>
    </row>
    <row r="13" spans="2:26" x14ac:dyDescent="0.35">
      <c r="B13" s="41" t="s">
        <v>174</v>
      </c>
      <c r="C13" s="43" t="s">
        <v>175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>
        <f t="shared" si="1"/>
        <v>0</v>
      </c>
      <c r="U13" s="1299">
        <f t="shared" si="3"/>
        <v>0</v>
      </c>
      <c r="V13" s="1299">
        <f t="shared" si="4"/>
        <v>0</v>
      </c>
    </row>
    <row r="14" spans="2:26" x14ac:dyDescent="0.35">
      <c r="B14" s="38">
        <v>3</v>
      </c>
      <c r="C14" s="39" t="s">
        <v>176</v>
      </c>
      <c r="D14" s="40"/>
      <c r="E14" s="40"/>
      <c r="F14" s="40">
        <f>F15+F23</f>
        <v>3423596304</v>
      </c>
      <c r="G14" s="40">
        <f t="shared" ref="G14:R14" si="5">G15+G23</f>
        <v>0</v>
      </c>
      <c r="H14" s="40">
        <f t="shared" si="5"/>
        <v>0</v>
      </c>
      <c r="I14" s="40">
        <f t="shared" si="5"/>
        <v>0</v>
      </c>
      <c r="J14" s="40">
        <f t="shared" si="5"/>
        <v>0</v>
      </c>
      <c r="K14" s="40">
        <f t="shared" si="5"/>
        <v>0</v>
      </c>
      <c r="L14" s="40">
        <f t="shared" si="5"/>
        <v>6576491871.0714283</v>
      </c>
      <c r="M14" s="40">
        <f t="shared" si="5"/>
        <v>6576491871.0714283</v>
      </c>
      <c r="N14" s="40">
        <f t="shared" si="5"/>
        <v>6576491871.0714283</v>
      </c>
      <c r="O14" s="40">
        <f t="shared" si="5"/>
        <v>6576491871.0714283</v>
      </c>
      <c r="P14" s="40">
        <f t="shared" si="5"/>
        <v>6576491871.0714283</v>
      </c>
      <c r="Q14" s="40">
        <f t="shared" si="5"/>
        <v>6576491871.0714283</v>
      </c>
      <c r="R14" s="40">
        <f t="shared" si="5"/>
        <v>6576491871.0714283</v>
      </c>
      <c r="S14" s="40">
        <f t="shared" si="1"/>
        <v>46035443097.499992</v>
      </c>
      <c r="U14" s="1299">
        <f t="shared" si="3"/>
        <v>1.2881005469587239</v>
      </c>
      <c r="V14" s="1299">
        <f t="shared" si="4"/>
        <v>0.73937914067054655</v>
      </c>
    </row>
    <row r="15" spans="2:26" x14ac:dyDescent="0.35">
      <c r="B15" s="44">
        <v>3.1</v>
      </c>
      <c r="C15" s="45" t="s">
        <v>177</v>
      </c>
      <c r="D15" s="40"/>
      <c r="E15" s="40"/>
      <c r="F15" s="40">
        <f>F16+F20+F21+F22</f>
        <v>3423596304</v>
      </c>
      <c r="G15" s="40">
        <f t="shared" ref="G15:R15" si="6">G16+G20+G21+G22</f>
        <v>0</v>
      </c>
      <c r="H15" s="40">
        <f t="shared" si="6"/>
        <v>0</v>
      </c>
      <c r="I15" s="40">
        <f t="shared" si="6"/>
        <v>0</v>
      </c>
      <c r="J15" s="40">
        <f t="shared" si="6"/>
        <v>0</v>
      </c>
      <c r="K15" s="40">
        <f t="shared" si="6"/>
        <v>0</v>
      </c>
      <c r="L15" s="40">
        <f t="shared" si="6"/>
        <v>6400298271.0714283</v>
      </c>
      <c r="M15" s="40">
        <f t="shared" si="6"/>
        <v>6400298271.0714283</v>
      </c>
      <c r="N15" s="40">
        <f t="shared" si="6"/>
        <v>6400298271.0714283</v>
      </c>
      <c r="O15" s="40">
        <f t="shared" si="6"/>
        <v>6400298271.0714283</v>
      </c>
      <c r="P15" s="40">
        <f t="shared" si="6"/>
        <v>6400298271.0714283</v>
      </c>
      <c r="Q15" s="40">
        <f t="shared" si="6"/>
        <v>6400298271.0714283</v>
      </c>
      <c r="R15" s="40">
        <f t="shared" si="6"/>
        <v>6400298271.0714283</v>
      </c>
      <c r="S15" s="40">
        <f t="shared" si="1"/>
        <v>44802087897.499992</v>
      </c>
      <c r="U15" s="1383">
        <f t="shared" si="3"/>
        <v>1.2881005469587239</v>
      </c>
      <c r="V15" s="1383">
        <f t="shared" si="4"/>
        <v>0.71957011860930187</v>
      </c>
    </row>
    <row r="16" spans="2:26" ht="25" x14ac:dyDescent="0.35">
      <c r="B16" s="46" t="s">
        <v>178</v>
      </c>
      <c r="C16" s="47" t="s">
        <v>179</v>
      </c>
      <c r="D16" s="42"/>
      <c r="E16" s="42"/>
      <c r="F16" s="42">
        <v>3293596304</v>
      </c>
      <c r="G16" s="42">
        <f>'3.Thanh pham'!F102*'1.NVL Chai'!H34</f>
        <v>0</v>
      </c>
      <c r="H16" s="42">
        <f>'3.Thanh pham'!G102*'1.NVL Chai'!I34</f>
        <v>0</v>
      </c>
      <c r="I16" s="42">
        <f>'3.Thanh pham'!H102*'1.NVL Chai'!J34</f>
        <v>0</v>
      </c>
      <c r="J16" s="42">
        <f>'3.Thanh pham'!I102*'1.NVL Chai'!K34</f>
        <v>0</v>
      </c>
      <c r="K16" s="42">
        <f>'3.Thanh pham'!J102*'1.NVL Chai'!L34</f>
        <v>0</v>
      </c>
      <c r="L16" s="42">
        <f>'3.Thanh pham'!K102*'1.NVL Chai'!M34</f>
        <v>5936576250</v>
      </c>
      <c r="M16" s="42">
        <f>'3.Thanh pham'!L102*'1.NVL Chai'!N34</f>
        <v>5936576250</v>
      </c>
      <c r="N16" s="42">
        <f>'3.Thanh pham'!M102*'1.NVL Chai'!O34</f>
        <v>5936576250</v>
      </c>
      <c r="O16" s="42">
        <f>'3.Thanh pham'!N102*'1.NVL Chai'!P34</f>
        <v>5936576250</v>
      </c>
      <c r="P16" s="42">
        <f>'3.Thanh pham'!O102*'1.NVL Chai'!Q34</f>
        <v>5936576250</v>
      </c>
      <c r="Q16" s="42">
        <f>'3.Thanh pham'!P102*'1.NVL Chai'!R34</f>
        <v>5936576250</v>
      </c>
      <c r="R16" s="42">
        <f>'3.Thanh pham'!Q102*'1.NVL Chai'!S34</f>
        <v>5936576250</v>
      </c>
      <c r="S16" s="42">
        <f t="shared" si="1"/>
        <v>41556033750</v>
      </c>
      <c r="T16" s="48"/>
      <c r="U16" s="1383">
        <f t="shared" si="3"/>
        <v>1.2391890935525531</v>
      </c>
      <c r="V16" s="1383">
        <f t="shared" si="4"/>
        <v>0.66743496871913077</v>
      </c>
    </row>
    <row r="17" spans="2:22" ht="26" x14ac:dyDescent="0.35">
      <c r="B17" s="51" t="s">
        <v>180</v>
      </c>
      <c r="C17" s="1376" t="s">
        <v>181</v>
      </c>
      <c r="D17" s="1375"/>
      <c r="E17" s="1375"/>
      <c r="F17" s="1375">
        <f>'1.NVL Chai'!G43</f>
        <v>0</v>
      </c>
      <c r="G17" s="1375"/>
      <c r="H17" s="1375"/>
      <c r="I17" s="1375"/>
      <c r="J17" s="1375"/>
      <c r="K17" s="1375"/>
      <c r="L17" s="1375"/>
      <c r="M17" s="1375"/>
      <c r="N17" s="1375"/>
      <c r="O17" s="1375"/>
      <c r="P17" s="1375"/>
      <c r="Q17" s="1375"/>
      <c r="R17" s="1375"/>
      <c r="S17" s="1375">
        <f>SUM(G17:R17)</f>
        <v>0</v>
      </c>
      <c r="T17" s="114"/>
      <c r="U17" s="1384">
        <f t="shared" si="3"/>
        <v>0</v>
      </c>
      <c r="V17" s="1384">
        <f t="shared" si="4"/>
        <v>0</v>
      </c>
    </row>
    <row r="18" spans="2:22" ht="26" x14ac:dyDescent="0.35">
      <c r="B18" s="51"/>
      <c r="C18" s="1376" t="s">
        <v>182</v>
      </c>
      <c r="D18" s="1375"/>
      <c r="E18" s="1375"/>
      <c r="F18" s="1375"/>
      <c r="G18" s="1375">
        <f>'1.NVL Chai'!H34*'3.Thanh pham'!F192</f>
        <v>0</v>
      </c>
      <c r="H18" s="1375">
        <f>'1.NVL Chai'!I34*'3.Thanh pham'!G192</f>
        <v>0</v>
      </c>
      <c r="I18" s="1375">
        <f>'1.NVL Chai'!J34*'3.Thanh pham'!H192</f>
        <v>0</v>
      </c>
      <c r="J18" s="1375">
        <f>'1.NVL Chai'!K34*'3.Thanh pham'!I192</f>
        <v>0</v>
      </c>
      <c r="K18" s="1375">
        <f>'1.NVL Chai'!L34*'3.Thanh pham'!J192</f>
        <v>0</v>
      </c>
      <c r="L18" s="1375">
        <f>'1.NVL Chai'!M34*'3.Thanh pham'!K192</f>
        <v>356194575</v>
      </c>
      <c r="M18" s="1375">
        <f>'1.NVL Chai'!N34*'3.Thanh pham'!L192</f>
        <v>356194575</v>
      </c>
      <c r="N18" s="1375">
        <f>'1.NVL Chai'!O34*'3.Thanh pham'!M192</f>
        <v>356194575</v>
      </c>
      <c r="O18" s="1375">
        <f>'1.NVL Chai'!P34*'3.Thanh pham'!N192</f>
        <v>356194575</v>
      </c>
      <c r="P18" s="1375">
        <f>'1.NVL Chai'!Q34*'3.Thanh pham'!O192</f>
        <v>356194575</v>
      </c>
      <c r="Q18" s="1375">
        <f>'1.NVL Chai'!R34*'3.Thanh pham'!P192</f>
        <v>356194575</v>
      </c>
      <c r="R18" s="1375">
        <f>'1.NVL Chai'!S34*'3.Thanh pham'!Q192</f>
        <v>356194575</v>
      </c>
      <c r="S18" s="1375">
        <f>SUM(G18:R18)</f>
        <v>2493362025</v>
      </c>
      <c r="T18" s="54"/>
      <c r="U18" s="1299">
        <f t="shared" si="3"/>
        <v>0</v>
      </c>
      <c r="V18" s="1299">
        <f t="shared" si="4"/>
        <v>4.0046098123147841E-2</v>
      </c>
    </row>
    <row r="19" spans="2:22" ht="26" x14ac:dyDescent="0.35">
      <c r="B19" s="76" t="s">
        <v>183</v>
      </c>
      <c r="C19" s="73" t="s">
        <v>184</v>
      </c>
      <c r="D19" s="74"/>
      <c r="E19" s="74"/>
      <c r="F19" s="515">
        <f t="shared" ref="F19:R19" si="7">IFERROR(F16/F$9,0)</f>
        <v>1.2391890935525531</v>
      </c>
      <c r="G19" s="515">
        <f t="shared" si="7"/>
        <v>0</v>
      </c>
      <c r="H19" s="515">
        <f t="shared" si="7"/>
        <v>0</v>
      </c>
      <c r="I19" s="515">
        <f t="shared" si="7"/>
        <v>0</v>
      </c>
      <c r="J19" s="515">
        <f t="shared" si="7"/>
        <v>0</v>
      </c>
      <c r="K19" s="515">
        <f t="shared" si="7"/>
        <v>0</v>
      </c>
      <c r="L19" s="515">
        <f t="shared" si="7"/>
        <v>0.66743496871913077</v>
      </c>
      <c r="M19" s="515">
        <f t="shared" si="7"/>
        <v>0.66743496871913077</v>
      </c>
      <c r="N19" s="515">
        <f t="shared" si="7"/>
        <v>0.66743496871913077</v>
      </c>
      <c r="O19" s="515">
        <f t="shared" si="7"/>
        <v>0.66743496871913077</v>
      </c>
      <c r="P19" s="515">
        <f t="shared" si="7"/>
        <v>0.66743496871913077</v>
      </c>
      <c r="Q19" s="515">
        <f t="shared" si="7"/>
        <v>0.66743496871913077</v>
      </c>
      <c r="R19" s="515">
        <f t="shared" si="7"/>
        <v>0.66743496871913077</v>
      </c>
      <c r="S19" s="1377">
        <f>IFERROR(S16/S$9,0)</f>
        <v>0.66743496871913077</v>
      </c>
      <c r="U19" s="1299">
        <f t="shared" si="3"/>
        <v>4.6623492008254275E-10</v>
      </c>
      <c r="V19" s="1299">
        <f t="shared" si="4"/>
        <v>1.0719729417610916E-11</v>
      </c>
    </row>
    <row r="20" spans="2:22" x14ac:dyDescent="0.35">
      <c r="B20" s="51" t="s">
        <v>185</v>
      </c>
      <c r="C20" s="47" t="s">
        <v>186</v>
      </c>
      <c r="D20" s="42"/>
      <c r="E20" s="42"/>
      <c r="F20" s="42"/>
      <c r="G20" s="42">
        <f>SUM(CPSX!K119:K125)</f>
        <v>0</v>
      </c>
      <c r="H20" s="42">
        <f>SUM(CPSX!L119:L125)</f>
        <v>0</v>
      </c>
      <c r="I20" s="42">
        <f>SUM(CPSX!M119:M125)</f>
        <v>0</v>
      </c>
      <c r="J20" s="42">
        <f>SUM(CPSX!N119:N125)</f>
        <v>0</v>
      </c>
      <c r="K20" s="42">
        <f>SUM(CPSX!O119:O125)</f>
        <v>0</v>
      </c>
      <c r="L20" s="42">
        <f>SUM(CPSX!P119:P125)</f>
        <v>250085328.57142857</v>
      </c>
      <c r="M20" s="42">
        <f>SUM(CPSX!Q119:Q125)</f>
        <v>250085328.57142857</v>
      </c>
      <c r="N20" s="42">
        <f>SUM(CPSX!R119:R125)</f>
        <v>250085328.57142857</v>
      </c>
      <c r="O20" s="42">
        <f>SUM(CPSX!S119:S125)</f>
        <v>250085328.57142857</v>
      </c>
      <c r="P20" s="42">
        <f>SUM(CPSX!T119:T125)</f>
        <v>250085328.57142857</v>
      </c>
      <c r="Q20" s="42">
        <f>SUM(CPSX!U119:U125)</f>
        <v>250085328.57142857</v>
      </c>
      <c r="R20" s="42">
        <f>SUM(CPSX!V119:V125)</f>
        <v>250085328.57142857</v>
      </c>
      <c r="S20" s="42">
        <f t="shared" si="1"/>
        <v>1750597300</v>
      </c>
      <c r="T20" s="48"/>
      <c r="U20" s="1299">
        <f t="shared" si="3"/>
        <v>0</v>
      </c>
      <c r="V20" s="1299">
        <f t="shared" si="4"/>
        <v>2.8116491126040023E-2</v>
      </c>
    </row>
    <row r="21" spans="2:22" x14ac:dyDescent="0.35">
      <c r="B21" s="51" t="s">
        <v>187</v>
      </c>
      <c r="C21" s="47" t="s">
        <v>188</v>
      </c>
      <c r="D21" s="42"/>
      <c r="E21" s="42"/>
      <c r="F21" s="42">
        <f>SUM(CPSX!AK118)</f>
        <v>70000000</v>
      </c>
      <c r="G21" s="42">
        <f>CPSX!K118</f>
        <v>0</v>
      </c>
      <c r="H21" s="42">
        <f>CPSX!L118</f>
        <v>0</v>
      </c>
      <c r="I21" s="42">
        <f>CPSX!M118</f>
        <v>0</v>
      </c>
      <c r="J21" s="42">
        <f>CPSX!N118</f>
        <v>0</v>
      </c>
      <c r="K21" s="42">
        <f>CPSX!O118</f>
        <v>0</v>
      </c>
      <c r="L21" s="42">
        <f>CPSX!P118</f>
        <v>151025875</v>
      </c>
      <c r="M21" s="42">
        <f>CPSX!Q118</f>
        <v>151025875</v>
      </c>
      <c r="N21" s="42">
        <f>CPSX!R118</f>
        <v>151025875</v>
      </c>
      <c r="O21" s="42">
        <f>CPSX!S118</f>
        <v>151025875</v>
      </c>
      <c r="P21" s="42">
        <f>CPSX!T118</f>
        <v>151025875</v>
      </c>
      <c r="Q21" s="42">
        <f>CPSX!U118</f>
        <v>151025875</v>
      </c>
      <c r="R21" s="42">
        <f>CPSX!V118</f>
        <v>151025875</v>
      </c>
      <c r="S21" s="42">
        <f t="shared" si="1"/>
        <v>1057181125</v>
      </c>
      <c r="T21" s="48"/>
      <c r="U21" s="1384">
        <f t="shared" si="3"/>
        <v>2.6336936449476513E-2</v>
      </c>
      <c r="V21" s="1384">
        <f t="shared" si="4"/>
        <v>1.6979475359455602E-2</v>
      </c>
    </row>
    <row r="22" spans="2:22" x14ac:dyDescent="0.35">
      <c r="B22" s="51" t="s">
        <v>189</v>
      </c>
      <c r="C22" s="47" t="s">
        <v>190</v>
      </c>
      <c r="D22" s="42"/>
      <c r="E22" s="42"/>
      <c r="F22" s="42">
        <f>SUM(CPSX!AK106:AK116)</f>
        <v>60000000</v>
      </c>
      <c r="G22" s="42">
        <f>SUM(CPSX!K106:K115)</f>
        <v>0</v>
      </c>
      <c r="H22" s="42">
        <f>SUM(CPSX!L106:L115)</f>
        <v>0</v>
      </c>
      <c r="I22" s="42">
        <f>SUM(CPSX!M106:M115)</f>
        <v>0</v>
      </c>
      <c r="J22" s="42">
        <f>SUM(CPSX!N106:N115)</f>
        <v>0</v>
      </c>
      <c r="K22" s="42">
        <f>SUM(CPSX!O106:O115)</f>
        <v>0</v>
      </c>
      <c r="L22" s="42">
        <f>SUM(CPSX!P106:P115)</f>
        <v>62610817.5</v>
      </c>
      <c r="M22" s="42">
        <f>SUM(CPSX!Q106:Q115)</f>
        <v>62610817.5</v>
      </c>
      <c r="N22" s="42">
        <f>SUM(CPSX!R106:R115)</f>
        <v>62610817.5</v>
      </c>
      <c r="O22" s="42">
        <f>SUM(CPSX!S106:S115)</f>
        <v>62610817.5</v>
      </c>
      <c r="P22" s="42">
        <f>SUM(CPSX!T106:T115)</f>
        <v>62610817.5</v>
      </c>
      <c r="Q22" s="42">
        <f>SUM(CPSX!U106:U115)</f>
        <v>62610817.5</v>
      </c>
      <c r="R22" s="42">
        <f>SUM(CPSX!V106:V115)</f>
        <v>62610817.5</v>
      </c>
      <c r="S22" s="42">
        <f t="shared" si="1"/>
        <v>438275722.5</v>
      </c>
      <c r="T22" s="48"/>
      <c r="U22" s="1384">
        <f t="shared" si="3"/>
        <v>2.2574516956694154E-2</v>
      </c>
      <c r="V22" s="1384">
        <f t="shared" si="4"/>
        <v>7.0391834046756672E-3</v>
      </c>
    </row>
    <row r="23" spans="2:22" x14ac:dyDescent="0.35">
      <c r="B23" s="44">
        <v>3.2</v>
      </c>
      <c r="C23" s="45" t="s">
        <v>191</v>
      </c>
      <c r="D23" s="40"/>
      <c r="E23" s="40"/>
      <c r="F23" s="40">
        <f>F24</f>
        <v>0</v>
      </c>
      <c r="G23" s="40">
        <f t="shared" ref="G23:R23" si="8">G24</f>
        <v>0</v>
      </c>
      <c r="H23" s="40">
        <f t="shared" si="8"/>
        <v>0</v>
      </c>
      <c r="I23" s="40">
        <f t="shared" si="8"/>
        <v>0</v>
      </c>
      <c r="J23" s="40">
        <f t="shared" si="8"/>
        <v>0</v>
      </c>
      <c r="K23" s="40">
        <f t="shared" si="8"/>
        <v>0</v>
      </c>
      <c r="L23" s="40">
        <f t="shared" si="8"/>
        <v>176193600</v>
      </c>
      <c r="M23" s="40">
        <f t="shared" si="8"/>
        <v>176193600</v>
      </c>
      <c r="N23" s="40">
        <f t="shared" si="8"/>
        <v>176193600</v>
      </c>
      <c r="O23" s="40">
        <f t="shared" si="8"/>
        <v>176193600</v>
      </c>
      <c r="P23" s="40">
        <f t="shared" si="8"/>
        <v>176193600</v>
      </c>
      <c r="Q23" s="40">
        <f t="shared" si="8"/>
        <v>176193600</v>
      </c>
      <c r="R23" s="40">
        <f t="shared" si="8"/>
        <v>176193600</v>
      </c>
      <c r="S23" s="40">
        <f t="shared" si="1"/>
        <v>1233355200</v>
      </c>
      <c r="T23" s="48"/>
      <c r="U23" s="1384">
        <f t="shared" si="3"/>
        <v>0</v>
      </c>
      <c r="V23" s="1384">
        <f t="shared" si="4"/>
        <v>1.9809022061244651E-2</v>
      </c>
    </row>
    <row r="24" spans="2:22" x14ac:dyDescent="0.35">
      <c r="B24" s="46"/>
      <c r="C24" s="47" t="s">
        <v>192</v>
      </c>
      <c r="D24" s="42"/>
      <c r="E24" s="42"/>
      <c r="F24" s="42">
        <f>SUM(CPBH!AK14)</f>
        <v>0</v>
      </c>
      <c r="G24" s="42">
        <f>CPBH!K7</f>
        <v>0</v>
      </c>
      <c r="H24" s="42">
        <f>CPBH!L7</f>
        <v>0</v>
      </c>
      <c r="I24" s="42">
        <f>CPBH!M7</f>
        <v>0</v>
      </c>
      <c r="J24" s="42">
        <f>CPBH!N7</f>
        <v>0</v>
      </c>
      <c r="K24" s="42">
        <f>CPBH!O7</f>
        <v>0</v>
      </c>
      <c r="L24" s="42">
        <f>CPBH!P7</f>
        <v>176193600</v>
      </c>
      <c r="M24" s="42">
        <f>CPBH!Q7</f>
        <v>176193600</v>
      </c>
      <c r="N24" s="42">
        <f>CPBH!R7</f>
        <v>176193600</v>
      </c>
      <c r="O24" s="42">
        <f>CPBH!S7</f>
        <v>176193600</v>
      </c>
      <c r="P24" s="42">
        <f>CPBH!T7</f>
        <v>176193600</v>
      </c>
      <c r="Q24" s="42">
        <f>CPBH!U7</f>
        <v>176193600</v>
      </c>
      <c r="R24" s="42">
        <f>CPBH!V7</f>
        <v>176193600</v>
      </c>
      <c r="S24" s="42">
        <f t="shared" si="1"/>
        <v>1233355200</v>
      </c>
      <c r="U24" s="1299">
        <f t="shared" si="3"/>
        <v>0</v>
      </c>
      <c r="V24" s="1299">
        <f t="shared" si="4"/>
        <v>1.9809022061244651E-2</v>
      </c>
    </row>
    <row r="25" spans="2:22" x14ac:dyDescent="0.35">
      <c r="B25" s="65">
        <v>4</v>
      </c>
      <c r="C25" s="66" t="s">
        <v>193</v>
      </c>
      <c r="D25" s="67"/>
      <c r="E25" s="67"/>
      <c r="F25" s="67">
        <f>F9-F14</f>
        <v>-765732124</v>
      </c>
      <c r="G25" s="67">
        <f t="shared" ref="G25:R25" si="9">G9-G14</f>
        <v>0</v>
      </c>
      <c r="H25" s="67">
        <f t="shared" si="9"/>
        <v>0</v>
      </c>
      <c r="I25" s="67">
        <f t="shared" si="9"/>
        <v>0</v>
      </c>
      <c r="J25" s="67">
        <f t="shared" si="9"/>
        <v>0</v>
      </c>
      <c r="K25" s="67">
        <f t="shared" si="9"/>
        <v>0</v>
      </c>
      <c r="L25" s="67">
        <f t="shared" si="9"/>
        <v>2318121878.9285717</v>
      </c>
      <c r="M25" s="67">
        <f t="shared" si="9"/>
        <v>2318121878.9285717</v>
      </c>
      <c r="N25" s="67">
        <f t="shared" si="9"/>
        <v>2318121878.9285717</v>
      </c>
      <c r="O25" s="67">
        <f t="shared" si="9"/>
        <v>2318121878.9285717</v>
      </c>
      <c r="P25" s="67">
        <f t="shared" si="9"/>
        <v>2318121878.9285717</v>
      </c>
      <c r="Q25" s="67">
        <f t="shared" si="9"/>
        <v>2318121878.9285717</v>
      </c>
      <c r="R25" s="67">
        <f t="shared" si="9"/>
        <v>2318121878.9285717</v>
      </c>
      <c r="S25" s="67">
        <f t="shared" si="1"/>
        <v>16226853152.500002</v>
      </c>
      <c r="U25" s="1299">
        <f t="shared" si="3"/>
        <v>-0.28810054695872384</v>
      </c>
      <c r="V25" s="1299">
        <f t="shared" si="4"/>
        <v>0.26062085932945339</v>
      </c>
    </row>
    <row r="26" spans="2:22" x14ac:dyDescent="0.35">
      <c r="B26" s="72" t="s">
        <v>194</v>
      </c>
      <c r="C26" s="73" t="s">
        <v>195</v>
      </c>
      <c r="D26" s="74"/>
      <c r="E26" s="74"/>
      <c r="F26" s="74">
        <f>IFERROR(F25/F$9,0)</f>
        <v>-0.28810054695872384</v>
      </c>
      <c r="G26" s="79">
        <f t="shared" ref="G26" si="10">IFERROR(G25/G$9,0)</f>
        <v>0</v>
      </c>
      <c r="H26" s="79">
        <f t="shared" ref="H26" si="11">IFERROR(H25/H$9,0)</f>
        <v>0</v>
      </c>
      <c r="I26" s="79">
        <f t="shared" ref="I26" si="12">IFERROR(I25/I$9,0)</f>
        <v>0</v>
      </c>
      <c r="J26" s="79">
        <f t="shared" ref="J26" si="13">IFERROR(J25/J$9,0)</f>
        <v>0</v>
      </c>
      <c r="K26" s="79">
        <f t="shared" ref="K26" si="14">IFERROR(K25/K$9,0)</f>
        <v>0</v>
      </c>
      <c r="L26" s="79">
        <f t="shared" ref="L26" si="15">IFERROR(L25/L$9,0)</f>
        <v>0.26062085932945339</v>
      </c>
      <c r="M26" s="79">
        <f t="shared" ref="M26" si="16">IFERROR(M25/M$9,0)</f>
        <v>0.26062085932945339</v>
      </c>
      <c r="N26" s="79">
        <f t="shared" ref="N26" si="17">IFERROR(N25/N$9,0)</f>
        <v>0.26062085932945339</v>
      </c>
      <c r="O26" s="79">
        <f t="shared" ref="O26" si="18">IFERROR(O25/O$9,0)</f>
        <v>0.26062085932945339</v>
      </c>
      <c r="P26" s="79">
        <f t="shared" ref="P26" si="19">IFERROR(P25/P$9,0)</f>
        <v>0.26062085932945339</v>
      </c>
      <c r="Q26" s="79">
        <f t="shared" ref="Q26" si="20">IFERROR(Q25/Q$9,0)</f>
        <v>0.26062085932945339</v>
      </c>
      <c r="R26" s="79">
        <f t="shared" ref="R26" si="21">IFERROR(R25/R$9,0)</f>
        <v>0.26062085932945339</v>
      </c>
      <c r="S26" s="79">
        <f t="shared" ref="S26" si="22">IFERROR(S25/S$9,0)</f>
        <v>0.26062085932945339</v>
      </c>
      <c r="U26" s="1382">
        <f t="shared" si="3"/>
        <v>-1.0839551137587619E-10</v>
      </c>
      <c r="V26" s="1382">
        <f t="shared" si="4"/>
        <v>4.1858536389822496E-12</v>
      </c>
    </row>
    <row r="27" spans="2:22" x14ac:dyDescent="0.35">
      <c r="B27" s="44">
        <v>5</v>
      </c>
      <c r="C27" s="45" t="s">
        <v>196</v>
      </c>
      <c r="D27" s="40"/>
      <c r="E27" s="40"/>
      <c r="F27" s="40">
        <f>F28+F29+F30</f>
        <v>2927437824</v>
      </c>
      <c r="G27" s="40">
        <f t="shared" ref="G27:R27" si="23">G28+G29+G30</f>
        <v>243953152</v>
      </c>
      <c r="H27" s="40">
        <f t="shared" si="23"/>
        <v>243953152</v>
      </c>
      <c r="I27" s="40">
        <f t="shared" si="23"/>
        <v>243953152</v>
      </c>
      <c r="J27" s="40">
        <f t="shared" si="23"/>
        <v>243953152</v>
      </c>
      <c r="K27" s="40">
        <f t="shared" si="23"/>
        <v>243953152</v>
      </c>
      <c r="L27" s="40">
        <f t="shared" si="23"/>
        <v>260518862.83333334</v>
      </c>
      <c r="M27" s="40">
        <f t="shared" si="23"/>
        <v>260124222</v>
      </c>
      <c r="N27" s="40">
        <f t="shared" si="23"/>
        <v>260124222</v>
      </c>
      <c r="O27" s="40">
        <f t="shared" si="23"/>
        <v>260621196.16666666</v>
      </c>
      <c r="P27" s="40">
        <f t="shared" si="23"/>
        <v>259729581.16666666</v>
      </c>
      <c r="Q27" s="40">
        <f t="shared" si="23"/>
        <v>260518862.83333334</v>
      </c>
      <c r="R27" s="40">
        <f t="shared" si="23"/>
        <v>260124222</v>
      </c>
      <c r="S27" s="40">
        <f t="shared" si="1"/>
        <v>3041526929</v>
      </c>
      <c r="T27" s="49"/>
      <c r="U27" s="1299">
        <f t="shared" si="3"/>
        <v>1.1014249132925973</v>
      </c>
      <c r="V27" s="1299">
        <f t="shared" si="4"/>
        <v>4.8850220955350646E-2</v>
      </c>
    </row>
    <row r="28" spans="2:22" x14ac:dyDescent="0.35">
      <c r="B28" s="46">
        <v>5.0999999999999996</v>
      </c>
      <c r="C28" s="43" t="s">
        <v>197</v>
      </c>
      <c r="D28" s="42"/>
      <c r="E28" s="42"/>
      <c r="F28" s="42">
        <f>SUM(CPSX!AK128:AK138)</f>
        <v>0</v>
      </c>
      <c r="G28" s="42">
        <f>CPSX!K128</f>
        <v>0</v>
      </c>
      <c r="H28" s="42">
        <f>CPSX!L128</f>
        <v>0</v>
      </c>
      <c r="I28" s="42">
        <f>CPSX!M128</f>
        <v>0</v>
      </c>
      <c r="J28" s="42">
        <f>CPSX!N128</f>
        <v>0</v>
      </c>
      <c r="K28" s="42">
        <f>CPSX!O128</f>
        <v>0</v>
      </c>
      <c r="L28" s="42">
        <f>CPSX!P128</f>
        <v>16565710.833333334</v>
      </c>
      <c r="M28" s="42">
        <f>CPSX!Q128</f>
        <v>16171070</v>
      </c>
      <c r="N28" s="42">
        <f>CPSX!R128</f>
        <v>16171070</v>
      </c>
      <c r="O28" s="42">
        <f>CPSX!S128</f>
        <v>16668044.166666666</v>
      </c>
      <c r="P28" s="42">
        <f>CPSX!T128</f>
        <v>15776429.166666666</v>
      </c>
      <c r="Q28" s="42">
        <f>CPSX!U128</f>
        <v>16565710.833333334</v>
      </c>
      <c r="R28" s="42">
        <f>CPSX!V128</f>
        <v>16171070</v>
      </c>
      <c r="S28" s="42">
        <f t="shared" si="1"/>
        <v>114089105</v>
      </c>
      <c r="T28" s="48"/>
      <c r="U28" s="1384">
        <f t="shared" si="3"/>
        <v>0</v>
      </c>
      <c r="V28" s="1384">
        <f t="shared" si="4"/>
        <v>1.8323947536708462E-3</v>
      </c>
    </row>
    <row r="29" spans="2:22" x14ac:dyDescent="0.35">
      <c r="B29" s="46">
        <v>5.2</v>
      </c>
      <c r="C29" s="43" t="s">
        <v>132</v>
      </c>
      <c r="D29" s="42"/>
      <c r="E29" s="42"/>
      <c r="F29" s="42">
        <f>SUM(CPSX!AK144)</f>
        <v>2770076112</v>
      </c>
      <c r="G29" s="42">
        <f>CPSX!K144</f>
        <v>230839676</v>
      </c>
      <c r="H29" s="42">
        <f>CPSX!L144</f>
        <v>230839676</v>
      </c>
      <c r="I29" s="42">
        <f>CPSX!M144</f>
        <v>230839676</v>
      </c>
      <c r="J29" s="42">
        <f>CPSX!N144</f>
        <v>230839676</v>
      </c>
      <c r="K29" s="42">
        <f>CPSX!O144</f>
        <v>230839676</v>
      </c>
      <c r="L29" s="42">
        <f>CPSX!P144</f>
        <v>230839676</v>
      </c>
      <c r="M29" s="42">
        <f>CPSX!Q144</f>
        <v>230839676</v>
      </c>
      <c r="N29" s="42">
        <f>CPSX!R144</f>
        <v>230839676</v>
      </c>
      <c r="O29" s="42">
        <f>CPSX!S144</f>
        <v>230839676</v>
      </c>
      <c r="P29" s="42">
        <f>CPSX!T144</f>
        <v>230839676</v>
      </c>
      <c r="Q29" s="42">
        <f>CPSX!U144</f>
        <v>230839676</v>
      </c>
      <c r="R29" s="42">
        <f>CPSX!V144</f>
        <v>230839676</v>
      </c>
      <c r="S29" s="42">
        <f t="shared" si="1"/>
        <v>2770076112</v>
      </c>
      <c r="T29" s="48"/>
      <c r="U29" s="1299">
        <f t="shared" si="3"/>
        <v>1.042218836027957</v>
      </c>
      <c r="V29" s="1299">
        <f t="shared" si="4"/>
        <v>4.4490426451305194E-2</v>
      </c>
    </row>
    <row r="30" spans="2:22" ht="37.5" x14ac:dyDescent="0.35">
      <c r="B30" s="46">
        <v>5.3</v>
      </c>
      <c r="C30" s="43" t="s">
        <v>198</v>
      </c>
      <c r="D30" s="42"/>
      <c r="E30" s="42"/>
      <c r="F30" s="42">
        <f>CPSX!AK127-SUM('KQKD HD'!F28,'KQKD HD'!F29,'KQKD HD'!F31)</f>
        <v>157361712</v>
      </c>
      <c r="G30" s="42">
        <f>$F$30/12</f>
        <v>13113476</v>
      </c>
      <c r="H30" s="42">
        <f t="shared" ref="H30:R30" si="24">$F$30/12</f>
        <v>13113476</v>
      </c>
      <c r="I30" s="42">
        <f t="shared" si="24"/>
        <v>13113476</v>
      </c>
      <c r="J30" s="42">
        <f t="shared" si="24"/>
        <v>13113476</v>
      </c>
      <c r="K30" s="42">
        <f t="shared" si="24"/>
        <v>13113476</v>
      </c>
      <c r="L30" s="42">
        <f t="shared" si="24"/>
        <v>13113476</v>
      </c>
      <c r="M30" s="42">
        <f t="shared" si="24"/>
        <v>13113476</v>
      </c>
      <c r="N30" s="42">
        <f t="shared" si="24"/>
        <v>13113476</v>
      </c>
      <c r="O30" s="42">
        <f t="shared" si="24"/>
        <v>13113476</v>
      </c>
      <c r="P30" s="42">
        <f t="shared" si="24"/>
        <v>13113476</v>
      </c>
      <c r="Q30" s="42">
        <f t="shared" si="24"/>
        <v>13113476</v>
      </c>
      <c r="R30" s="42">
        <f t="shared" si="24"/>
        <v>13113476</v>
      </c>
      <c r="S30" s="42">
        <f t="shared" si="1"/>
        <v>157361712</v>
      </c>
      <c r="T30" s="48"/>
      <c r="U30" s="1299">
        <f t="shared" si="3"/>
        <v>5.9206077264640361E-2</v>
      </c>
      <c r="V30" s="1299">
        <f t="shared" si="4"/>
        <v>2.5273997503746097E-3</v>
      </c>
    </row>
    <row r="31" spans="2:22" x14ac:dyDescent="0.35">
      <c r="B31" s="44">
        <v>6</v>
      </c>
      <c r="C31" s="39" t="s">
        <v>199</v>
      </c>
      <c r="D31" s="40"/>
      <c r="E31" s="40"/>
      <c r="F31" s="40">
        <f>CPSX!AK155</f>
        <v>3462360432</v>
      </c>
      <c r="G31" s="40">
        <f>CPSX!K155</f>
        <v>233686918.13276589</v>
      </c>
      <c r="H31" s="40">
        <f>CPSX!L155</f>
        <v>233686918.13276589</v>
      </c>
      <c r="I31" s="40">
        <f>CPSX!M155</f>
        <v>233686918.13276589</v>
      </c>
      <c r="J31" s="40">
        <f>CPSX!N155</f>
        <v>233686918.13276589</v>
      </c>
      <c r="K31" s="40">
        <f>CPSX!O155</f>
        <v>233686918.13276589</v>
      </c>
      <c r="L31" s="40">
        <f>CPSX!P155</f>
        <v>251048029.24387699</v>
      </c>
      <c r="M31" s="40">
        <f>CPSX!Q155</f>
        <v>251048029.24387699</v>
      </c>
      <c r="N31" s="40">
        <f>CPSX!R155</f>
        <v>251048029.24387699</v>
      </c>
      <c r="O31" s="40">
        <f>CPSX!S155</f>
        <v>251048029.24387699</v>
      </c>
      <c r="P31" s="40">
        <f>CPSX!T155</f>
        <v>251048029.24387699</v>
      </c>
      <c r="Q31" s="40">
        <f>CPSX!U155</f>
        <v>251048029.24387699</v>
      </c>
      <c r="R31" s="40">
        <f>CPSX!V155</f>
        <v>251048029.24387699</v>
      </c>
      <c r="S31" s="40">
        <f t="shared" si="1"/>
        <v>2925770795.3709679</v>
      </c>
      <c r="U31" s="1299">
        <f t="shared" si="3"/>
        <v>1.3026852380395149</v>
      </c>
      <c r="V31" s="1299">
        <f t="shared" si="4"/>
        <v>4.6991051914038073E-2</v>
      </c>
    </row>
    <row r="32" spans="2:22" x14ac:dyDescent="0.35">
      <c r="B32" s="65">
        <v>7</v>
      </c>
      <c r="C32" s="66" t="s">
        <v>200</v>
      </c>
      <c r="D32" s="67"/>
      <c r="E32" s="67"/>
      <c r="F32" s="67">
        <f>F25-F27-F31</f>
        <v>-7155530380</v>
      </c>
      <c r="G32" s="67">
        <f t="shared" ref="G32:R32" si="25">G25-G27-G31</f>
        <v>-477640070.13276589</v>
      </c>
      <c r="H32" s="67">
        <f t="shared" si="25"/>
        <v>-477640070.13276589</v>
      </c>
      <c r="I32" s="67">
        <f t="shared" si="25"/>
        <v>-477640070.13276589</v>
      </c>
      <c r="J32" s="67">
        <f t="shared" si="25"/>
        <v>-477640070.13276589</v>
      </c>
      <c r="K32" s="67">
        <f t="shared" si="25"/>
        <v>-477640070.13276589</v>
      </c>
      <c r="L32" s="1324">
        <f t="shared" si="25"/>
        <v>1806554986.8513615</v>
      </c>
      <c r="M32" s="1324">
        <f t="shared" si="25"/>
        <v>1806949627.6846948</v>
      </c>
      <c r="N32" s="1324">
        <f t="shared" si="25"/>
        <v>1806949627.6846948</v>
      </c>
      <c r="O32" s="1324">
        <f t="shared" si="25"/>
        <v>1806452653.518028</v>
      </c>
      <c r="P32" s="1324">
        <f t="shared" si="25"/>
        <v>1807344268.518028</v>
      </c>
      <c r="Q32" s="1324">
        <f t="shared" si="25"/>
        <v>1806554986.8513615</v>
      </c>
      <c r="R32" s="1324">
        <f t="shared" si="25"/>
        <v>1806949627.6846948</v>
      </c>
      <c r="S32" s="1324">
        <f t="shared" si="1"/>
        <v>10259555428.129034</v>
      </c>
      <c r="U32" s="1384">
        <f t="shared" si="3"/>
        <v>-2.692210698290836</v>
      </c>
      <c r="V32" s="1384">
        <f t="shared" si="4"/>
        <v>0.16477958646006466</v>
      </c>
    </row>
    <row r="33" spans="2:22" x14ac:dyDescent="0.35">
      <c r="B33" s="72" t="s">
        <v>201</v>
      </c>
      <c r="C33" s="73" t="s">
        <v>202</v>
      </c>
      <c r="D33" s="74"/>
      <c r="E33" s="74"/>
      <c r="F33" s="74">
        <f>IFERROR(F32/F$9,0)</f>
        <v>-2.692210698290836</v>
      </c>
      <c r="G33" s="79">
        <f t="shared" ref="G33" si="26">IFERROR(G32/G$9,0)</f>
        <v>0</v>
      </c>
      <c r="H33" s="79">
        <f t="shared" ref="H33" si="27">IFERROR(H32/H$9,0)</f>
        <v>0</v>
      </c>
      <c r="I33" s="79">
        <f t="shared" ref="I33" si="28">IFERROR(I32/I$9,0)</f>
        <v>0</v>
      </c>
      <c r="J33" s="79">
        <f t="shared" ref="J33" si="29">IFERROR(J32/J$9,0)</f>
        <v>0</v>
      </c>
      <c r="K33" s="79">
        <f t="shared" ref="K33" si="30">IFERROR(K32/K$9,0)</f>
        <v>0</v>
      </c>
      <c r="L33" s="79">
        <f t="shared" ref="L33" si="31">IFERROR(L32/L$9,0)</f>
        <v>0.20310662583311856</v>
      </c>
      <c r="M33" s="79">
        <f t="shared" ref="M33" si="32">IFERROR(M32/M$9,0)</f>
        <v>0.20315099435146297</v>
      </c>
      <c r="N33" s="79">
        <f t="shared" ref="N33" si="33">IFERROR(N32/N$9,0)</f>
        <v>0.20315099435146297</v>
      </c>
      <c r="O33" s="79">
        <f t="shared" ref="O33" si="34">IFERROR(O32/O$9,0)</f>
        <v>0.20309512074293593</v>
      </c>
      <c r="P33" s="79">
        <f t="shared" ref="P33" si="35">IFERROR(P32/P$9,0)</f>
        <v>0.20319536286980736</v>
      </c>
      <c r="Q33" s="79">
        <f t="shared" ref="Q33" si="36">IFERROR(Q32/Q$9,0)</f>
        <v>0.20310662583311856</v>
      </c>
      <c r="R33" s="79">
        <f t="shared" ref="R33" si="37">IFERROR(R32/R$9,0)</f>
        <v>0.20315099435146297</v>
      </c>
      <c r="S33" s="79">
        <f t="shared" ref="S33" si="38">IFERROR(S32/S$9,0)</f>
        <v>0.16477958646006466</v>
      </c>
      <c r="U33" s="1299">
        <f t="shared" si="3"/>
        <v>-1.0129226009926648E-9</v>
      </c>
      <c r="V33" s="1299">
        <f t="shared" si="4"/>
        <v>2.6465388587409297E-12</v>
      </c>
    </row>
    <row r="34" spans="2:22" ht="26" x14ac:dyDescent="0.35">
      <c r="B34" s="44">
        <v>8</v>
      </c>
      <c r="C34" s="39" t="s">
        <v>203</v>
      </c>
      <c r="D34" s="40"/>
      <c r="E34" s="40"/>
      <c r="F34" s="40">
        <f>F35+F36+F37</f>
        <v>0</v>
      </c>
      <c r="G34" s="40">
        <f t="shared" ref="G34:R34" si="39">G35+G36+G37</f>
        <v>0</v>
      </c>
      <c r="H34" s="40">
        <f t="shared" si="39"/>
        <v>0</v>
      </c>
      <c r="I34" s="40">
        <f t="shared" si="39"/>
        <v>0</v>
      </c>
      <c r="J34" s="40">
        <f t="shared" si="39"/>
        <v>0</v>
      </c>
      <c r="K34" s="40">
        <f t="shared" si="39"/>
        <v>0</v>
      </c>
      <c r="L34" s="40">
        <f t="shared" si="39"/>
        <v>0</v>
      </c>
      <c r="M34" s="40">
        <f t="shared" si="39"/>
        <v>0</v>
      </c>
      <c r="N34" s="40">
        <f t="shared" si="39"/>
        <v>0</v>
      </c>
      <c r="O34" s="40">
        <f t="shared" si="39"/>
        <v>0</v>
      </c>
      <c r="P34" s="40">
        <f t="shared" si="39"/>
        <v>0</v>
      </c>
      <c r="Q34" s="40">
        <f t="shared" si="39"/>
        <v>0</v>
      </c>
      <c r="R34" s="40">
        <f t="shared" si="39"/>
        <v>0</v>
      </c>
      <c r="S34" s="40">
        <f t="shared" si="1"/>
        <v>0</v>
      </c>
      <c r="U34" s="1299">
        <f t="shared" si="3"/>
        <v>0</v>
      </c>
      <c r="V34" s="1299">
        <f t="shared" si="4"/>
        <v>0</v>
      </c>
    </row>
    <row r="35" spans="2:22" x14ac:dyDescent="0.35">
      <c r="B35" s="46">
        <v>8.1</v>
      </c>
      <c r="C35" s="43" t="s">
        <v>204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>
        <f t="shared" si="1"/>
        <v>0</v>
      </c>
      <c r="U35" s="1299">
        <f t="shared" si="3"/>
        <v>0</v>
      </c>
      <c r="V35" s="1299">
        <f t="shared" si="4"/>
        <v>0</v>
      </c>
    </row>
    <row r="36" spans="2:22" ht="25" x14ac:dyDescent="0.35">
      <c r="B36" s="46">
        <v>8.1999999999999993</v>
      </c>
      <c r="C36" s="43" t="s">
        <v>205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>
        <f t="shared" si="1"/>
        <v>0</v>
      </c>
      <c r="U36" s="1299">
        <f t="shared" si="3"/>
        <v>0</v>
      </c>
      <c r="V36" s="1299">
        <f t="shared" si="4"/>
        <v>0</v>
      </c>
    </row>
    <row r="37" spans="2:22" x14ac:dyDescent="0.35">
      <c r="B37" s="46">
        <v>83</v>
      </c>
      <c r="C37" s="43" t="s">
        <v>206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>
        <f t="shared" si="1"/>
        <v>0</v>
      </c>
      <c r="U37" s="1299">
        <f t="shared" si="3"/>
        <v>0</v>
      </c>
      <c r="V37" s="1299">
        <f t="shared" si="4"/>
        <v>0</v>
      </c>
    </row>
    <row r="38" spans="2:22" x14ac:dyDescent="0.35">
      <c r="B38" s="44">
        <v>9</v>
      </c>
      <c r="C38" s="39" t="s">
        <v>207</v>
      </c>
      <c r="D38" s="40"/>
      <c r="E38" s="40"/>
      <c r="F38" s="40">
        <f>F39+F40+F41</f>
        <v>0</v>
      </c>
      <c r="G38" s="40">
        <f t="shared" ref="G38:R38" si="40">G39+G40+G41</f>
        <v>0</v>
      </c>
      <c r="H38" s="40">
        <f t="shared" si="40"/>
        <v>0</v>
      </c>
      <c r="I38" s="40">
        <f t="shared" si="40"/>
        <v>0</v>
      </c>
      <c r="J38" s="40">
        <f t="shared" si="40"/>
        <v>0</v>
      </c>
      <c r="K38" s="40">
        <f t="shared" si="40"/>
        <v>0</v>
      </c>
      <c r="L38" s="40">
        <f t="shared" si="40"/>
        <v>0</v>
      </c>
      <c r="M38" s="40">
        <f t="shared" si="40"/>
        <v>0</v>
      </c>
      <c r="N38" s="40">
        <f t="shared" si="40"/>
        <v>0</v>
      </c>
      <c r="O38" s="40">
        <f t="shared" si="40"/>
        <v>0</v>
      </c>
      <c r="P38" s="40">
        <f t="shared" si="40"/>
        <v>0</v>
      </c>
      <c r="Q38" s="40">
        <f t="shared" si="40"/>
        <v>0</v>
      </c>
      <c r="R38" s="40">
        <f t="shared" si="40"/>
        <v>0</v>
      </c>
      <c r="S38" s="40">
        <f t="shared" si="1"/>
        <v>0</v>
      </c>
      <c r="T38" s="48"/>
      <c r="U38" s="1299">
        <f t="shared" si="3"/>
        <v>0</v>
      </c>
      <c r="V38" s="1299">
        <f t="shared" si="4"/>
        <v>0</v>
      </c>
    </row>
    <row r="39" spans="2:22" x14ac:dyDescent="0.35">
      <c r="B39" s="46">
        <v>9.1</v>
      </c>
      <c r="C39" s="47" t="s">
        <v>204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>
        <f t="shared" si="1"/>
        <v>0</v>
      </c>
      <c r="T39" s="48"/>
      <c r="U39" s="1299">
        <f t="shared" si="3"/>
        <v>0</v>
      </c>
      <c r="V39" s="1299">
        <f t="shared" si="4"/>
        <v>0</v>
      </c>
    </row>
    <row r="40" spans="2:22" ht="25" x14ac:dyDescent="0.35">
      <c r="B40" s="46">
        <v>9.1999999999999993</v>
      </c>
      <c r="C40" s="47" t="s">
        <v>208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>
        <f t="shared" si="1"/>
        <v>0</v>
      </c>
      <c r="T40" s="48"/>
      <c r="U40" s="1299">
        <f t="shared" si="3"/>
        <v>0</v>
      </c>
      <c r="V40" s="1299">
        <f t="shared" si="4"/>
        <v>0</v>
      </c>
    </row>
    <row r="41" spans="2:22" x14ac:dyDescent="0.35">
      <c r="B41" s="46">
        <v>9.3000000000000007</v>
      </c>
      <c r="C41" s="47" t="s">
        <v>206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>
        <f t="shared" si="1"/>
        <v>0</v>
      </c>
      <c r="T41" s="48"/>
      <c r="U41" s="1299">
        <f t="shared" si="3"/>
        <v>0</v>
      </c>
      <c r="V41" s="1299">
        <f t="shared" si="4"/>
        <v>0</v>
      </c>
    </row>
    <row r="42" spans="2:22" x14ac:dyDescent="0.35">
      <c r="B42" s="44">
        <v>10</v>
      </c>
      <c r="C42" s="45" t="s">
        <v>209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>
        <f t="shared" si="1"/>
        <v>0</v>
      </c>
      <c r="U42" s="1299">
        <f t="shared" si="3"/>
        <v>0</v>
      </c>
      <c r="V42" s="1299">
        <f t="shared" si="4"/>
        <v>0</v>
      </c>
    </row>
    <row r="43" spans="2:22" ht="26" x14ac:dyDescent="0.35">
      <c r="B43" s="65">
        <v>11</v>
      </c>
      <c r="C43" s="66" t="s">
        <v>210</v>
      </c>
      <c r="D43" s="67"/>
      <c r="E43" s="67"/>
      <c r="F43" s="67">
        <f>F32-F34-F38+F42</f>
        <v>-7155530380</v>
      </c>
      <c r="G43" s="67">
        <f t="shared" ref="G43:R43" si="41">G32-G34-G38+G42</f>
        <v>-477640070.13276589</v>
      </c>
      <c r="H43" s="67">
        <f t="shared" si="41"/>
        <v>-477640070.13276589</v>
      </c>
      <c r="I43" s="67">
        <f t="shared" si="41"/>
        <v>-477640070.13276589</v>
      </c>
      <c r="J43" s="67">
        <f t="shared" si="41"/>
        <v>-477640070.13276589</v>
      </c>
      <c r="K43" s="67">
        <f t="shared" si="41"/>
        <v>-477640070.13276589</v>
      </c>
      <c r="L43" s="67">
        <f t="shared" si="41"/>
        <v>1806554986.8513615</v>
      </c>
      <c r="M43" s="67">
        <f t="shared" si="41"/>
        <v>1806949627.6846948</v>
      </c>
      <c r="N43" s="67">
        <f t="shared" si="41"/>
        <v>1806949627.6846948</v>
      </c>
      <c r="O43" s="67">
        <f t="shared" si="41"/>
        <v>1806452653.518028</v>
      </c>
      <c r="P43" s="67">
        <f t="shared" si="41"/>
        <v>1807344268.518028</v>
      </c>
      <c r="Q43" s="67">
        <f t="shared" si="41"/>
        <v>1806554986.8513615</v>
      </c>
      <c r="R43" s="67">
        <f t="shared" si="41"/>
        <v>1806949627.6846948</v>
      </c>
      <c r="S43" s="67">
        <f t="shared" si="1"/>
        <v>10259555428.129034</v>
      </c>
      <c r="U43" s="1299">
        <f t="shared" si="3"/>
        <v>-2.692210698290836</v>
      </c>
      <c r="V43" s="1299">
        <f t="shared" si="4"/>
        <v>0.16477958646006466</v>
      </c>
    </row>
    <row r="44" spans="2:22" x14ac:dyDescent="0.35">
      <c r="B44" s="44">
        <v>12</v>
      </c>
      <c r="C44" s="45" t="s">
        <v>211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>
        <f t="shared" si="1"/>
        <v>0</v>
      </c>
      <c r="U44" s="1299">
        <f t="shared" si="3"/>
        <v>0</v>
      </c>
      <c r="V44" s="1299">
        <f t="shared" si="4"/>
        <v>0</v>
      </c>
    </row>
    <row r="45" spans="2:22" x14ac:dyDescent="0.35">
      <c r="B45" s="44">
        <v>13</v>
      </c>
      <c r="C45" s="45" t="s">
        <v>212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>
        <f t="shared" si="1"/>
        <v>0</v>
      </c>
      <c r="U45" s="1299">
        <f t="shared" si="3"/>
        <v>0</v>
      </c>
      <c r="V45" s="1299">
        <f t="shared" si="4"/>
        <v>0</v>
      </c>
    </row>
    <row r="46" spans="2:22" x14ac:dyDescent="0.35">
      <c r="B46" s="51">
        <v>13.1</v>
      </c>
      <c r="C46" s="52" t="s">
        <v>213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>
        <f t="shared" si="1"/>
        <v>0</v>
      </c>
      <c r="U46" s="1299">
        <f t="shared" si="3"/>
        <v>0</v>
      </c>
      <c r="V46" s="1299">
        <f t="shared" si="4"/>
        <v>0</v>
      </c>
    </row>
    <row r="47" spans="2:22" x14ac:dyDescent="0.35">
      <c r="B47" s="65">
        <v>14</v>
      </c>
      <c r="C47" s="66" t="s">
        <v>214</v>
      </c>
      <c r="D47" s="67"/>
      <c r="E47" s="67"/>
      <c r="F47" s="67">
        <f>F43+F44-F45</f>
        <v>-7155530380</v>
      </c>
      <c r="G47" s="67">
        <f t="shared" ref="G47:R47" si="42">G43+G44-G45</f>
        <v>-477640070.13276589</v>
      </c>
      <c r="H47" s="67">
        <f t="shared" si="42"/>
        <v>-477640070.13276589</v>
      </c>
      <c r="I47" s="67">
        <f t="shared" si="42"/>
        <v>-477640070.13276589</v>
      </c>
      <c r="J47" s="67">
        <f t="shared" si="42"/>
        <v>-477640070.13276589</v>
      </c>
      <c r="K47" s="67">
        <f t="shared" si="42"/>
        <v>-477640070.13276589</v>
      </c>
      <c r="L47" s="67">
        <f t="shared" si="42"/>
        <v>1806554986.8513615</v>
      </c>
      <c r="M47" s="67">
        <f t="shared" si="42"/>
        <v>1806949627.6846948</v>
      </c>
      <c r="N47" s="67">
        <f t="shared" si="42"/>
        <v>1806949627.6846948</v>
      </c>
      <c r="O47" s="67">
        <f t="shared" si="42"/>
        <v>1806452653.518028</v>
      </c>
      <c r="P47" s="67">
        <f t="shared" si="42"/>
        <v>1807344268.518028</v>
      </c>
      <c r="Q47" s="67">
        <f t="shared" si="42"/>
        <v>1806554986.8513615</v>
      </c>
      <c r="R47" s="67">
        <f t="shared" si="42"/>
        <v>1806949627.6846948</v>
      </c>
      <c r="S47" s="67">
        <f t="shared" si="1"/>
        <v>10259555428.129034</v>
      </c>
      <c r="U47" s="1299">
        <f t="shared" si="3"/>
        <v>-2.692210698290836</v>
      </c>
      <c r="V47" s="1299">
        <f t="shared" si="4"/>
        <v>0.16477958646006466</v>
      </c>
    </row>
    <row r="48" spans="2:22" x14ac:dyDescent="0.35">
      <c r="B48" s="46">
        <v>15</v>
      </c>
      <c r="C48" s="47" t="s">
        <v>215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>
        <f t="shared" si="1"/>
        <v>0</v>
      </c>
      <c r="U48" s="1299">
        <f t="shared" si="3"/>
        <v>0</v>
      </c>
      <c r="V48" s="1299">
        <f t="shared" si="4"/>
        <v>0</v>
      </c>
    </row>
    <row r="49" spans="2:90" x14ac:dyDescent="0.35">
      <c r="B49" s="65">
        <v>16</v>
      </c>
      <c r="C49" s="66" t="s">
        <v>216</v>
      </c>
      <c r="D49" s="67"/>
      <c r="E49" s="67"/>
      <c r="F49" s="67">
        <f>F47-F48</f>
        <v>-7155530380</v>
      </c>
      <c r="G49" s="67">
        <f t="shared" ref="G49:R49" si="43">G47-G48</f>
        <v>-477640070.13276589</v>
      </c>
      <c r="H49" s="67">
        <f t="shared" si="43"/>
        <v>-477640070.13276589</v>
      </c>
      <c r="I49" s="67">
        <f t="shared" si="43"/>
        <v>-477640070.13276589</v>
      </c>
      <c r="J49" s="67">
        <f t="shared" si="43"/>
        <v>-477640070.13276589</v>
      </c>
      <c r="K49" s="67">
        <f t="shared" si="43"/>
        <v>-477640070.13276589</v>
      </c>
      <c r="L49" s="67">
        <f t="shared" si="43"/>
        <v>1806554986.8513615</v>
      </c>
      <c r="M49" s="67">
        <f t="shared" si="43"/>
        <v>1806949627.6846948</v>
      </c>
      <c r="N49" s="67">
        <f t="shared" si="43"/>
        <v>1806949627.6846948</v>
      </c>
      <c r="O49" s="67">
        <f t="shared" si="43"/>
        <v>1806452653.518028</v>
      </c>
      <c r="P49" s="67">
        <f t="shared" si="43"/>
        <v>1807344268.518028</v>
      </c>
      <c r="Q49" s="67">
        <f t="shared" si="43"/>
        <v>1806554986.8513615</v>
      </c>
      <c r="R49" s="67">
        <f t="shared" si="43"/>
        <v>1806949627.6846948</v>
      </c>
      <c r="S49" s="67">
        <f t="shared" si="1"/>
        <v>10259555428.129034</v>
      </c>
      <c r="U49" s="1299">
        <f t="shared" si="3"/>
        <v>-2.692210698290836</v>
      </c>
      <c r="V49" s="1299">
        <f t="shared" si="4"/>
        <v>0.16477958646006466</v>
      </c>
    </row>
    <row r="50" spans="2:90" x14ac:dyDescent="0.35">
      <c r="B50" s="78" t="s">
        <v>217</v>
      </c>
      <c r="C50" s="73" t="s">
        <v>218</v>
      </c>
      <c r="D50" s="74"/>
      <c r="E50" s="74"/>
      <c r="F50" s="74">
        <f>IFERROR(F49/F$9,0)</f>
        <v>-2.692210698290836</v>
      </c>
      <c r="G50" s="74">
        <f t="shared" ref="G50:S50" si="44">IFERROR(G49/G$9,0)</f>
        <v>0</v>
      </c>
      <c r="H50" s="74">
        <f t="shared" si="44"/>
        <v>0</v>
      </c>
      <c r="I50" s="74">
        <f t="shared" si="44"/>
        <v>0</v>
      </c>
      <c r="J50" s="74">
        <f t="shared" si="44"/>
        <v>0</v>
      </c>
      <c r="K50" s="74">
        <f t="shared" si="44"/>
        <v>0</v>
      </c>
      <c r="L50" s="74">
        <f t="shared" si="44"/>
        <v>0.20310662583311856</v>
      </c>
      <c r="M50" s="74">
        <f t="shared" si="44"/>
        <v>0.20315099435146297</v>
      </c>
      <c r="N50" s="74">
        <f t="shared" si="44"/>
        <v>0.20315099435146297</v>
      </c>
      <c r="O50" s="74">
        <f t="shared" si="44"/>
        <v>0.20309512074293593</v>
      </c>
      <c r="P50" s="74">
        <f t="shared" si="44"/>
        <v>0.20319536286980736</v>
      </c>
      <c r="Q50" s="74">
        <f t="shared" si="44"/>
        <v>0.20310662583311856</v>
      </c>
      <c r="R50" s="74">
        <f t="shared" si="44"/>
        <v>0.20315099435146297</v>
      </c>
      <c r="S50" s="74">
        <f t="shared" si="44"/>
        <v>0.16477958646006466</v>
      </c>
      <c r="U50" s="1299">
        <f t="shared" si="3"/>
        <v>-1.0129226009926648E-9</v>
      </c>
      <c r="V50" s="1299">
        <f t="shared" si="4"/>
        <v>2.6465388587409297E-12</v>
      </c>
      <c r="W50" s="1306"/>
      <c r="X50" s="1306"/>
      <c r="Y50" s="1306"/>
      <c r="Z50" s="1306"/>
    </row>
    <row r="51" spans="2:90" x14ac:dyDescent="0.35">
      <c r="B51" s="46">
        <v>17</v>
      </c>
      <c r="C51" s="47" t="s">
        <v>206</v>
      </c>
      <c r="D51" s="42"/>
      <c r="E51" s="42"/>
      <c r="F51" s="42">
        <f>F31+F37+F41</f>
        <v>3462360432</v>
      </c>
      <c r="G51" s="42">
        <f>G31+G37+G41</f>
        <v>233686918.13276589</v>
      </c>
      <c r="H51" s="42">
        <f>H31+H37+H41</f>
        <v>233686918.13276589</v>
      </c>
      <c r="I51" s="42">
        <f t="shared" ref="I51:R51" si="45">I31+I37+I41</f>
        <v>233686918.13276589</v>
      </c>
      <c r="J51" s="42">
        <f t="shared" si="45"/>
        <v>233686918.13276589</v>
      </c>
      <c r="K51" s="42">
        <f t="shared" si="45"/>
        <v>233686918.13276589</v>
      </c>
      <c r="L51" s="42">
        <f t="shared" si="45"/>
        <v>251048029.24387699</v>
      </c>
      <c r="M51" s="42">
        <f t="shared" si="45"/>
        <v>251048029.24387699</v>
      </c>
      <c r="N51" s="42">
        <f t="shared" si="45"/>
        <v>251048029.24387699</v>
      </c>
      <c r="O51" s="42">
        <f t="shared" si="45"/>
        <v>251048029.24387699</v>
      </c>
      <c r="P51" s="42">
        <f t="shared" si="45"/>
        <v>251048029.24387699</v>
      </c>
      <c r="Q51" s="42">
        <f t="shared" si="45"/>
        <v>251048029.24387699</v>
      </c>
      <c r="R51" s="42">
        <f t="shared" si="45"/>
        <v>251048029.24387699</v>
      </c>
      <c r="S51" s="42">
        <f t="shared" si="1"/>
        <v>2925770795.3709679</v>
      </c>
      <c r="U51" s="1299">
        <f t="shared" si="3"/>
        <v>1.3026852380395149</v>
      </c>
      <c r="V51" s="1299">
        <f t="shared" si="4"/>
        <v>4.6991051914038073E-2</v>
      </c>
      <c r="CL51" s="22" t="s">
        <v>2106</v>
      </c>
    </row>
    <row r="52" spans="2:90" ht="26" x14ac:dyDescent="0.35">
      <c r="B52" s="65">
        <v>18</v>
      </c>
      <c r="C52" s="66" t="s">
        <v>219</v>
      </c>
      <c r="D52" s="67"/>
      <c r="E52" s="67"/>
      <c r="F52" s="67">
        <f>F49+F51</f>
        <v>-3693169948</v>
      </c>
      <c r="G52" s="67">
        <f t="shared" ref="G52:R52" si="46">G49+G51</f>
        <v>-243953152</v>
      </c>
      <c r="H52" s="67">
        <f t="shared" si="46"/>
        <v>-243953152</v>
      </c>
      <c r="I52" s="67">
        <f t="shared" si="46"/>
        <v>-243953152</v>
      </c>
      <c r="J52" s="67">
        <f t="shared" si="46"/>
        <v>-243953152</v>
      </c>
      <c r="K52" s="67">
        <f t="shared" si="46"/>
        <v>-243953152</v>
      </c>
      <c r="L52" s="67">
        <f t="shared" si="46"/>
        <v>2057603016.0952384</v>
      </c>
      <c r="M52" s="67">
        <f t="shared" si="46"/>
        <v>2057997656.9285717</v>
      </c>
      <c r="N52" s="67">
        <f t="shared" si="46"/>
        <v>2057997656.9285717</v>
      </c>
      <c r="O52" s="67">
        <f t="shared" si="46"/>
        <v>2057500682.761905</v>
      </c>
      <c r="P52" s="67">
        <f t="shared" si="46"/>
        <v>2058392297.761905</v>
      </c>
      <c r="Q52" s="67">
        <f t="shared" si="46"/>
        <v>2057603016.0952384</v>
      </c>
      <c r="R52" s="67">
        <f t="shared" si="46"/>
        <v>2057997656.9285717</v>
      </c>
      <c r="S52" s="67">
        <f t="shared" si="1"/>
        <v>13185326223.500002</v>
      </c>
      <c r="U52" s="1299">
        <f t="shared" si="3"/>
        <v>-1.389525460251321</v>
      </c>
      <c r="V52" s="1299">
        <f t="shared" si="4"/>
        <v>0.21177063837410273</v>
      </c>
      <c r="W52" s="77"/>
    </row>
    <row r="53" spans="2:90" ht="26" x14ac:dyDescent="0.35">
      <c r="B53" s="78" t="s">
        <v>220</v>
      </c>
      <c r="C53" s="73" t="s">
        <v>221</v>
      </c>
      <c r="D53" s="79"/>
      <c r="E53" s="79"/>
      <c r="F53" s="74">
        <f>IFERROR(F52/F$9,0)</f>
        <v>-1.389525460251321</v>
      </c>
      <c r="G53" s="79">
        <f t="shared" ref="G53:S53" si="47">IFERROR(G52/G$9,0)</f>
        <v>0</v>
      </c>
      <c r="H53" s="79">
        <f t="shared" si="47"/>
        <v>0</v>
      </c>
      <c r="I53" s="79">
        <f t="shared" si="47"/>
        <v>0</v>
      </c>
      <c r="J53" s="79">
        <f t="shared" si="47"/>
        <v>0</v>
      </c>
      <c r="K53" s="79">
        <f t="shared" si="47"/>
        <v>0</v>
      </c>
      <c r="L53" s="79">
        <f t="shared" si="47"/>
        <v>0.23133135107696368</v>
      </c>
      <c r="M53" s="79">
        <f t="shared" si="47"/>
        <v>0.23137571959530809</v>
      </c>
      <c r="N53" s="79">
        <f t="shared" si="47"/>
        <v>0.23137571959530809</v>
      </c>
      <c r="O53" s="79">
        <f t="shared" si="47"/>
        <v>0.23131984598678104</v>
      </c>
      <c r="P53" s="79">
        <f t="shared" si="47"/>
        <v>0.23142008811365247</v>
      </c>
      <c r="Q53" s="79">
        <f t="shared" si="47"/>
        <v>0.23133135107696368</v>
      </c>
      <c r="R53" s="79">
        <f t="shared" si="47"/>
        <v>0.23137571959530809</v>
      </c>
      <c r="S53" s="79">
        <f t="shared" si="47"/>
        <v>0.21177063837410273</v>
      </c>
      <c r="U53" s="1299"/>
      <c r="V53" s="1299"/>
      <c r="W53" s="77"/>
    </row>
    <row r="54" spans="2:90" x14ac:dyDescent="0.35">
      <c r="B54" s="55"/>
      <c r="C54" s="56"/>
      <c r="D54" s="135"/>
      <c r="E54" s="135"/>
      <c r="F54" s="57"/>
      <c r="G54" s="58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U54" s="1299"/>
      <c r="V54" s="1299"/>
    </row>
    <row r="55" spans="2:90" x14ac:dyDescent="0.35">
      <c r="U55" s="1299"/>
      <c r="V55" s="1299"/>
    </row>
    <row r="56" spans="2:90" x14ac:dyDescent="0.35">
      <c r="B56" s="1346" t="s">
        <v>2248</v>
      </c>
      <c r="C56" s="61"/>
      <c r="D56" s="139"/>
      <c r="E56" s="139"/>
      <c r="F56" s="1335">
        <f>(F17+F18)/F9</f>
        <v>0</v>
      </c>
      <c r="G56" s="1335" t="e">
        <f t="shared" ref="G56:S56" si="48">(G17+G18)/G9</f>
        <v>#DIV/0!</v>
      </c>
      <c r="H56" s="1335" t="e">
        <f t="shared" si="48"/>
        <v>#DIV/0!</v>
      </c>
      <c r="I56" s="1335" t="e">
        <f t="shared" si="48"/>
        <v>#DIV/0!</v>
      </c>
      <c r="J56" s="1335" t="e">
        <f t="shared" si="48"/>
        <v>#DIV/0!</v>
      </c>
      <c r="K56" s="1335" t="e">
        <f t="shared" si="48"/>
        <v>#DIV/0!</v>
      </c>
      <c r="L56" s="1335">
        <f t="shared" si="48"/>
        <v>4.0046098123147841E-2</v>
      </c>
      <c r="M56" s="1335">
        <f t="shared" si="48"/>
        <v>4.0046098123147841E-2</v>
      </c>
      <c r="N56" s="1335">
        <f t="shared" si="48"/>
        <v>4.0046098123147841E-2</v>
      </c>
      <c r="O56" s="1335">
        <f t="shared" si="48"/>
        <v>4.0046098123147841E-2</v>
      </c>
      <c r="P56" s="1335">
        <f t="shared" si="48"/>
        <v>4.0046098123147841E-2</v>
      </c>
      <c r="Q56" s="1335">
        <f t="shared" si="48"/>
        <v>4.0046098123147841E-2</v>
      </c>
      <c r="R56" s="1335">
        <f t="shared" si="48"/>
        <v>4.0046098123147841E-2</v>
      </c>
      <c r="S56" s="1335">
        <f t="shared" si="48"/>
        <v>4.0046098123147841E-2</v>
      </c>
      <c r="U56" s="77"/>
      <c r="V56" s="77"/>
      <c r="W56" s="77"/>
    </row>
    <row r="57" spans="2:90" x14ac:dyDescent="0.35">
      <c r="B57" s="17" t="s">
        <v>2249</v>
      </c>
      <c r="D57" s="140"/>
      <c r="E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</row>
    <row r="58" spans="2:90" x14ac:dyDescent="0.35">
      <c r="B58" s="17" t="s">
        <v>2250</v>
      </c>
      <c r="C58" s="6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</row>
    <row r="59" spans="2:90" x14ac:dyDescent="0.35">
      <c r="B59" s="17"/>
      <c r="D59" s="24"/>
      <c r="E59" s="24"/>
      <c r="F59" s="24"/>
    </row>
    <row r="60" spans="2:90" x14ac:dyDescent="0.35">
      <c r="B60" s="138"/>
      <c r="C60" s="6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</row>
    <row r="61" spans="2:90" x14ac:dyDescent="0.35">
      <c r="B61" s="17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</row>
    <row r="62" spans="2:90" x14ac:dyDescent="0.35">
      <c r="B62" s="17"/>
      <c r="C62" s="6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</row>
    <row r="63" spans="2:90" x14ac:dyDescent="0.35">
      <c r="B63" s="17"/>
      <c r="D63" s="24"/>
      <c r="E63" s="24"/>
      <c r="F63" s="24"/>
    </row>
    <row r="65" spans="7:18" x14ac:dyDescent="0.35">
      <c r="G65" s="17"/>
      <c r="H65" s="17"/>
      <c r="I65" s="17"/>
      <c r="J65" s="17"/>
      <c r="K65" s="17"/>
      <c r="L65" s="17"/>
      <c r="M65" s="115"/>
      <c r="N65" s="115"/>
      <c r="O65" s="115"/>
      <c r="P65" s="115"/>
      <c r="Q65" s="115"/>
      <c r="R65" s="115"/>
    </row>
    <row r="66" spans="7:18" x14ac:dyDescent="0.35">
      <c r="G66" s="17"/>
      <c r="H66" s="17"/>
      <c r="I66" s="17"/>
      <c r="J66" s="17"/>
      <c r="K66" s="17"/>
      <c r="L66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Z70"/>
  <sheetViews>
    <sheetView topLeftCell="A4" zoomScale="70" zoomScaleNormal="70" workbookViewId="0">
      <pane ySplit="1" topLeftCell="A5" activePane="bottomLeft" state="frozen"/>
      <selection activeCell="A4" sqref="A4"/>
      <selection pane="bottomLeft" activeCell="L11" sqref="L11"/>
    </sheetView>
  </sheetViews>
  <sheetFormatPr defaultRowHeight="14.5" x14ac:dyDescent="0.35"/>
  <cols>
    <col min="1" max="1" width="1.1796875" customWidth="1"/>
    <col min="3" max="3" width="26" customWidth="1"/>
    <col min="18" max="18" width="8.90625" customWidth="1"/>
    <col min="20" max="20" width="10.1796875" bestFit="1" customWidth="1"/>
  </cols>
  <sheetData>
    <row r="1" spans="2:26" ht="16" x14ac:dyDescent="0.35">
      <c r="B1" s="92"/>
    </row>
    <row r="2" spans="2:26" x14ac:dyDescent="0.35">
      <c r="E2" s="24"/>
      <c r="R2" s="24">
        <f>SUM(R24,R30,R41)</f>
        <v>16134986575.884615</v>
      </c>
    </row>
    <row r="3" spans="2:26" ht="15.5" x14ac:dyDescent="0.35">
      <c r="B3" s="62" t="s">
        <v>144</v>
      </c>
      <c r="C3" s="12"/>
      <c r="D3" s="12"/>
      <c r="E3" s="1098"/>
      <c r="F3" s="1097">
        <f>'1.NVL Chai'!H16*11000</f>
        <v>9900000000</v>
      </c>
      <c r="G3" s="1097">
        <f>'1.NVL Chai'!I16*11000</f>
        <v>7700000000</v>
      </c>
      <c r="H3" s="1097">
        <f>'1.NVL Chai'!J16*11000</f>
        <v>11000000000</v>
      </c>
      <c r="I3" s="1097">
        <f>'1.NVL Chai'!K16*11000</f>
        <v>12100000000</v>
      </c>
      <c r="J3" s="1097">
        <f>'1.NVL Chai'!L16*11000</f>
        <v>12100000000</v>
      </c>
      <c r="K3" s="1097">
        <f>'1.NVL Chai'!M16*11000</f>
        <v>12100000000</v>
      </c>
      <c r="L3" s="1097">
        <f>'1.NVL Chai'!N16*11000</f>
        <v>12100000000</v>
      </c>
      <c r="M3" s="1097">
        <f>'1.NVL Chai'!O16*11000</f>
        <v>12100000000</v>
      </c>
      <c r="N3" s="1097">
        <f>'1.NVL Chai'!P16*11000</f>
        <v>12100000000</v>
      </c>
      <c r="O3" s="1097">
        <f>'1.NVL Chai'!Q16*11000</f>
        <v>12100000000</v>
      </c>
      <c r="P3" s="1097">
        <f>'1.NVL Chai'!R16*11000</f>
        <v>12100000000</v>
      </c>
      <c r="Q3" s="1097">
        <f>'1.NVL Chai'!S16*11000</f>
        <v>12100000000</v>
      </c>
      <c r="R3" s="7" t="s">
        <v>145</v>
      </c>
      <c r="S3" s="17"/>
    </row>
    <row r="4" spans="2:26" ht="39" x14ac:dyDescent="0.35">
      <c r="B4" s="136" t="s">
        <v>36</v>
      </c>
      <c r="C4" s="136" t="s">
        <v>146</v>
      </c>
      <c r="D4" s="136" t="s">
        <v>147</v>
      </c>
      <c r="E4" s="800" t="s">
        <v>148</v>
      </c>
      <c r="F4" s="116" t="s">
        <v>149</v>
      </c>
      <c r="G4" s="116" t="s">
        <v>150</v>
      </c>
      <c r="H4" s="116" t="s">
        <v>151</v>
      </c>
      <c r="I4" s="116" t="s">
        <v>152</v>
      </c>
      <c r="J4" s="116" t="s">
        <v>153</v>
      </c>
      <c r="K4" s="116" t="s">
        <v>154</v>
      </c>
      <c r="L4" s="116" t="s">
        <v>155</v>
      </c>
      <c r="M4" s="116" t="s">
        <v>156</v>
      </c>
      <c r="N4" s="116" t="s">
        <v>157</v>
      </c>
      <c r="O4" s="116" t="s">
        <v>158</v>
      </c>
      <c r="P4" s="116" t="s">
        <v>159</v>
      </c>
      <c r="Q4" s="116" t="s">
        <v>160</v>
      </c>
      <c r="R4" s="116" t="s">
        <v>2147</v>
      </c>
      <c r="S4" s="37"/>
      <c r="U4" s="800" t="s">
        <v>148</v>
      </c>
      <c r="V4" s="116" t="s">
        <v>2147</v>
      </c>
      <c r="X4" s="800" t="s">
        <v>148</v>
      </c>
      <c r="Y4" s="116" t="s">
        <v>2147</v>
      </c>
    </row>
    <row r="5" spans="2:26" x14ac:dyDescent="0.35">
      <c r="B5" s="877" t="s">
        <v>162</v>
      </c>
      <c r="C5" s="878" t="s">
        <v>163</v>
      </c>
      <c r="D5" s="879">
        <f>'KQKD PET'!E5</f>
        <v>0</v>
      </c>
      <c r="E5" s="1326">
        <f>'KQKD PET'!F5</f>
        <v>9499913</v>
      </c>
      <c r="F5" s="879">
        <f>F6+F7+F8</f>
        <v>769275</v>
      </c>
      <c r="G5" s="879">
        <f t="shared" ref="G5:Q5" si="0">G6+G7+G8</f>
        <v>598325</v>
      </c>
      <c r="H5" s="879">
        <f t="shared" si="0"/>
        <v>854750</v>
      </c>
      <c r="I5" s="879">
        <f t="shared" si="0"/>
        <v>940225</v>
      </c>
      <c r="J5" s="879">
        <f t="shared" si="0"/>
        <v>939070</v>
      </c>
      <c r="K5" s="879">
        <f t="shared" si="0"/>
        <v>902770</v>
      </c>
      <c r="L5" s="879">
        <f t="shared" si="0"/>
        <v>902770</v>
      </c>
      <c r="M5" s="879">
        <f t="shared" si="0"/>
        <v>902770</v>
      </c>
      <c r="N5" s="879">
        <f t="shared" si="0"/>
        <v>902770</v>
      </c>
      <c r="O5" s="879">
        <f t="shared" si="0"/>
        <v>902770</v>
      </c>
      <c r="P5" s="879">
        <f t="shared" si="0"/>
        <v>902770</v>
      </c>
      <c r="Q5" s="879">
        <f t="shared" si="0"/>
        <v>902770</v>
      </c>
      <c r="R5" s="879">
        <f>SUM(F5:Q5)</f>
        <v>10421035</v>
      </c>
      <c r="S5" s="1379">
        <f>R5/E5</f>
        <v>1.0969610984858493</v>
      </c>
    </row>
    <row r="6" spans="2:26" x14ac:dyDescent="0.35">
      <c r="B6" s="880" t="s">
        <v>164</v>
      </c>
      <c r="C6" s="881" t="s">
        <v>165</v>
      </c>
      <c r="D6" s="882">
        <f>'KQKD PET'!E6</f>
        <v>0</v>
      </c>
      <c r="E6" s="1327">
        <f>'KQKD PET'!F6</f>
        <v>8083894</v>
      </c>
      <c r="F6" s="882">
        <f>'KQKD PET'!G6+'KQKD HD'!G6</f>
        <v>534375</v>
      </c>
      <c r="G6" s="882">
        <f>'KQKD PET'!H6+'KQKD HD'!H6</f>
        <v>415625</v>
      </c>
      <c r="H6" s="882">
        <f>'KQKD PET'!I6+'KQKD HD'!I6</f>
        <v>593750</v>
      </c>
      <c r="I6" s="882">
        <f>'KQKD PET'!J6+'KQKD HD'!J6</f>
        <v>653125</v>
      </c>
      <c r="J6" s="882">
        <f>'KQKD PET'!K6+'KQKD HD'!K6</f>
        <v>651475</v>
      </c>
      <c r="K6" s="882">
        <f>'KQKD PET'!L6+'KQKD HD'!L6</f>
        <v>64075</v>
      </c>
      <c r="L6" s="882">
        <f>'KQKD PET'!M6+'KQKD HD'!M6</f>
        <v>64075</v>
      </c>
      <c r="M6" s="882">
        <f>'KQKD PET'!N6+'KQKD HD'!N6</f>
        <v>64075</v>
      </c>
      <c r="N6" s="882">
        <f>'KQKD PET'!O6+'KQKD HD'!O6</f>
        <v>64075</v>
      </c>
      <c r="O6" s="882">
        <f>'KQKD PET'!P6+'KQKD HD'!P6</f>
        <v>64075</v>
      </c>
      <c r="P6" s="882">
        <f>'KQKD PET'!Q6+'KQKD HD'!Q6</f>
        <v>64075</v>
      </c>
      <c r="Q6" s="882">
        <f>'KQKD PET'!R6+'KQKD HD'!R6</f>
        <v>64075</v>
      </c>
      <c r="R6" s="882">
        <f t="shared" ref="R6:R54" si="1">SUM(F6:Q6)</f>
        <v>3296875</v>
      </c>
      <c r="S6" s="1334">
        <f t="shared" ref="S6:S40" si="2">R6/E6</f>
        <v>0.40783253714113521</v>
      </c>
    </row>
    <row r="7" spans="2:26" x14ac:dyDescent="0.35">
      <c r="B7" s="880" t="s">
        <v>166</v>
      </c>
      <c r="C7" s="881" t="s">
        <v>167</v>
      </c>
      <c r="D7" s="882">
        <f>'KQKD PET'!E7</f>
        <v>0</v>
      </c>
      <c r="E7" s="1327">
        <f>'KQKD PET'!F7</f>
        <v>1416019</v>
      </c>
      <c r="F7" s="882">
        <f>'KQKD PET'!G7+'KQKD HD'!G7</f>
        <v>234900</v>
      </c>
      <c r="G7" s="882">
        <f>'KQKD PET'!H7+'KQKD HD'!H7</f>
        <v>182700</v>
      </c>
      <c r="H7" s="882">
        <f>'KQKD PET'!I7+'KQKD HD'!I7</f>
        <v>261000</v>
      </c>
      <c r="I7" s="882">
        <f>'KQKD PET'!J7+'KQKD HD'!J7</f>
        <v>287100</v>
      </c>
      <c r="J7" s="882">
        <f>'KQKD PET'!K7+'KQKD HD'!K7</f>
        <v>287594.99999999994</v>
      </c>
      <c r="K7" s="882">
        <f>'KQKD PET'!L7+'KQKD HD'!L7</f>
        <v>838695</v>
      </c>
      <c r="L7" s="882">
        <f>'KQKD PET'!M7+'KQKD HD'!M7</f>
        <v>838695</v>
      </c>
      <c r="M7" s="882">
        <f>'KQKD PET'!N7+'KQKD HD'!N7</f>
        <v>838695</v>
      </c>
      <c r="N7" s="882">
        <f>'KQKD PET'!O7+'KQKD HD'!O7</f>
        <v>838695</v>
      </c>
      <c r="O7" s="882">
        <f>'KQKD PET'!P7+'KQKD HD'!P7</f>
        <v>838695</v>
      </c>
      <c r="P7" s="882">
        <f>'KQKD PET'!Q7+'KQKD HD'!Q7</f>
        <v>838695</v>
      </c>
      <c r="Q7" s="882">
        <f>'KQKD PET'!R7+'KQKD HD'!R7</f>
        <v>838695</v>
      </c>
      <c r="R7" s="882">
        <f t="shared" si="1"/>
        <v>7124160</v>
      </c>
      <c r="S7" s="1334">
        <f t="shared" si="2"/>
        <v>5.0311189327261854</v>
      </c>
    </row>
    <row r="8" spans="2:26" x14ac:dyDescent="0.35">
      <c r="B8" s="880" t="s">
        <v>168</v>
      </c>
      <c r="C8" s="881" t="s">
        <v>169</v>
      </c>
      <c r="D8" s="882">
        <f>'KQKD PET'!E8</f>
        <v>0</v>
      </c>
      <c r="E8" s="1327">
        <f>'KQKD HD'!F5</f>
        <v>215282</v>
      </c>
      <c r="F8" s="882">
        <f>'KQKD PET'!G8+'KQKD HD'!G8</f>
        <v>0</v>
      </c>
      <c r="G8" s="882">
        <f>'KQKD PET'!H8+'KQKD HD'!H8</f>
        <v>0</v>
      </c>
      <c r="H8" s="882">
        <f>'KQKD PET'!I8+'KQKD HD'!I8</f>
        <v>0</v>
      </c>
      <c r="I8" s="882">
        <f>'KQKD PET'!J8+'KQKD HD'!J8</f>
        <v>0</v>
      </c>
      <c r="J8" s="882">
        <f>'KQKD PET'!K8+'KQKD HD'!K8</f>
        <v>0</v>
      </c>
      <c r="K8" s="882">
        <f>'KQKD PET'!L8+'KQKD HD'!L8</f>
        <v>0</v>
      </c>
      <c r="L8" s="882">
        <f>'KQKD PET'!M8+'KQKD HD'!M8</f>
        <v>0</v>
      </c>
      <c r="M8" s="882">
        <f>'KQKD PET'!N8+'KQKD HD'!N8</f>
        <v>0</v>
      </c>
      <c r="N8" s="882">
        <f>'KQKD PET'!O8+'KQKD HD'!O8</f>
        <v>0</v>
      </c>
      <c r="O8" s="882">
        <f>'KQKD PET'!P8+'KQKD HD'!P8</f>
        <v>0</v>
      </c>
      <c r="P8" s="882">
        <f>'KQKD PET'!Q8+'KQKD HD'!Q8</f>
        <v>0</v>
      </c>
      <c r="Q8" s="882">
        <f>'KQKD PET'!R8+'KQKD HD'!R8</f>
        <v>0</v>
      </c>
      <c r="R8" s="882">
        <f t="shared" si="1"/>
        <v>0</v>
      </c>
      <c r="S8" s="1334">
        <f t="shared" si="2"/>
        <v>0</v>
      </c>
    </row>
    <row r="9" spans="2:26" x14ac:dyDescent="0.35">
      <c r="B9" s="1127">
        <v>1.4</v>
      </c>
      <c r="C9" s="881" t="s">
        <v>2164</v>
      </c>
      <c r="D9" s="882"/>
      <c r="E9" s="1327"/>
      <c r="F9" s="882">
        <f>'KDKD DAY DAI'!G6</f>
        <v>0</v>
      </c>
      <c r="G9" s="882">
        <f>'KDKD DAY DAI'!H6</f>
        <v>0</v>
      </c>
      <c r="H9" s="882">
        <f>'KDKD DAY DAI'!I6</f>
        <v>0</v>
      </c>
      <c r="I9" s="882">
        <f>'KDKD DAY DAI'!J6</f>
        <v>0</v>
      </c>
      <c r="J9" s="882">
        <f>'KDKD DAY DAI'!K6</f>
        <v>0</v>
      </c>
      <c r="K9" s="882">
        <f>'KDKD DAY DAI'!L6</f>
        <v>0</v>
      </c>
      <c r="L9" s="882">
        <f>'KDKD DAY DAI'!M6</f>
        <v>0</v>
      </c>
      <c r="M9" s="882">
        <f>'KDKD DAY DAI'!N6</f>
        <v>0</v>
      </c>
      <c r="N9" s="882">
        <f>'KDKD DAY DAI'!O6</f>
        <v>0</v>
      </c>
      <c r="O9" s="882">
        <f>'KDKD DAY DAI'!P6</f>
        <v>0</v>
      </c>
      <c r="P9" s="882">
        <f>'KDKD DAY DAI'!Q6</f>
        <v>0</v>
      </c>
      <c r="Q9" s="882">
        <f>'KDKD DAY DAI'!R6</f>
        <v>0</v>
      </c>
      <c r="R9" s="882">
        <f t="shared" si="1"/>
        <v>0</v>
      </c>
      <c r="S9" s="1334" t="e">
        <f t="shared" si="2"/>
        <v>#DIV/0!</v>
      </c>
    </row>
    <row r="10" spans="2:26" x14ac:dyDescent="0.35">
      <c r="B10" s="883">
        <v>2</v>
      </c>
      <c r="C10" s="884" t="s">
        <v>170</v>
      </c>
      <c r="D10" s="885">
        <f>'KQKD PET'!E9</f>
        <v>64684339330</v>
      </c>
      <c r="E10" s="1318">
        <f>'KQKD PET'!F9+'KQKD HD'!F9</f>
        <v>172033486271</v>
      </c>
      <c r="F10" s="885">
        <f>SUM(F11:F14)</f>
        <v>11415442500</v>
      </c>
      <c r="G10" s="885">
        <f t="shared" ref="G10:Q10" si="3">SUM(G11:G14)</f>
        <v>8878677500</v>
      </c>
      <c r="H10" s="885">
        <f t="shared" si="3"/>
        <v>12683825000</v>
      </c>
      <c r="I10" s="885">
        <f t="shared" si="3"/>
        <v>13952207500</v>
      </c>
      <c r="J10" s="885">
        <f t="shared" si="3"/>
        <v>13934978750</v>
      </c>
      <c r="K10" s="885">
        <f t="shared" si="3"/>
        <v>14026113750</v>
      </c>
      <c r="L10" s="885">
        <f t="shared" si="3"/>
        <v>14026113750</v>
      </c>
      <c r="M10" s="885">
        <f t="shared" si="3"/>
        <v>14026113750</v>
      </c>
      <c r="N10" s="885">
        <f t="shared" si="3"/>
        <v>14026113750</v>
      </c>
      <c r="O10" s="885">
        <f t="shared" si="3"/>
        <v>14026113750</v>
      </c>
      <c r="P10" s="885">
        <f t="shared" si="3"/>
        <v>14026113750</v>
      </c>
      <c r="Q10" s="885">
        <f t="shared" si="3"/>
        <v>14026113750</v>
      </c>
      <c r="R10" s="885">
        <f t="shared" si="1"/>
        <v>159047927500</v>
      </c>
      <c r="S10" s="1381">
        <f t="shared" si="2"/>
        <v>0.92451726083987984</v>
      </c>
      <c r="U10" s="1382">
        <f>E10/E$10</f>
        <v>1</v>
      </c>
      <c r="V10" s="1382">
        <f>R10/R$10</f>
        <v>1</v>
      </c>
      <c r="X10" s="1387">
        <f>E10/E5</f>
        <v>18108.953868419638</v>
      </c>
      <c r="Y10" s="1387">
        <f>R10/R5</f>
        <v>15262.200683521358</v>
      </c>
      <c r="Z10" s="1388">
        <f>Y10-X10</f>
        <v>-2846.7531848982799</v>
      </c>
    </row>
    <row r="11" spans="2:26" x14ac:dyDescent="0.35">
      <c r="B11" s="886" t="s">
        <v>171</v>
      </c>
      <c r="C11" s="881" t="s">
        <v>165</v>
      </c>
      <c r="D11" s="887">
        <f>'KQKD PET'!E10</f>
        <v>64684339330</v>
      </c>
      <c r="E11" s="1328">
        <f>'KQKD PET'!F10+'KQKD HD'!F10</f>
        <v>142921750387</v>
      </c>
      <c r="F11" s="887">
        <f>'KQKD PET'!G10+'KQKD HD'!G10</f>
        <v>7846267500</v>
      </c>
      <c r="G11" s="887">
        <f>'KQKD PET'!H10+'KQKD HD'!H10</f>
        <v>6102652500</v>
      </c>
      <c r="H11" s="887">
        <f>'KQKD PET'!I10+'KQKD HD'!I10</f>
        <v>8718075000</v>
      </c>
      <c r="I11" s="887">
        <f>'KQKD PET'!J10+'KQKD HD'!J10</f>
        <v>9589882500</v>
      </c>
      <c r="J11" s="887">
        <f>'KQKD PET'!K10+'KQKD HD'!K10</f>
        <v>9565132500</v>
      </c>
      <c r="K11" s="887">
        <f>'KQKD PET'!L10+'KQKD HD'!L10</f>
        <v>754132500</v>
      </c>
      <c r="L11" s="887">
        <f>'KQKD PET'!M10+'KQKD HD'!M10</f>
        <v>754132500</v>
      </c>
      <c r="M11" s="887">
        <f>'KQKD PET'!N10+'KQKD HD'!N10</f>
        <v>754132500</v>
      </c>
      <c r="N11" s="887">
        <f>'KQKD PET'!O10+'KQKD HD'!O10</f>
        <v>754132500</v>
      </c>
      <c r="O11" s="887">
        <f>'KQKD PET'!P10+'KQKD HD'!P10</f>
        <v>754132500</v>
      </c>
      <c r="P11" s="887">
        <f>'KQKD PET'!Q10+'KQKD HD'!Q10</f>
        <v>754132500</v>
      </c>
      <c r="Q11" s="887">
        <f>'KQKD PET'!R10+'KQKD HD'!R10</f>
        <v>754132500</v>
      </c>
      <c r="R11" s="887">
        <f t="shared" si="1"/>
        <v>47100937500</v>
      </c>
      <c r="S11" s="1334">
        <f t="shared" si="2"/>
        <v>0.32955751921916182</v>
      </c>
      <c r="U11" s="1299">
        <f>E11/E$10</f>
        <v>0.83077866690359914</v>
      </c>
      <c r="V11" s="1299">
        <f>R11/R$10</f>
        <v>0.2961430446806671</v>
      </c>
    </row>
    <row r="12" spans="2:26" x14ac:dyDescent="0.35">
      <c r="B12" s="1337" t="s">
        <v>172</v>
      </c>
      <c r="C12" s="1338" t="s">
        <v>167</v>
      </c>
      <c r="D12" s="1339">
        <f>'KQKD PET'!E11</f>
        <v>0</v>
      </c>
      <c r="E12" s="1340">
        <f>'KQKD PET'!F11+'KQKD HD'!F11</f>
        <v>26453871704</v>
      </c>
      <c r="F12" s="1339">
        <f>'KQKD PET'!G11+'KQKD HD'!G11</f>
        <v>3569175000</v>
      </c>
      <c r="G12" s="1339">
        <f>'KQKD PET'!H11+'KQKD HD'!H11</f>
        <v>2776025000</v>
      </c>
      <c r="H12" s="1339">
        <f>'KQKD PET'!I11+'KQKD HD'!I11</f>
        <v>3965750000</v>
      </c>
      <c r="I12" s="1339">
        <f>'KQKD PET'!J11+'KQKD HD'!J11</f>
        <v>4362325000</v>
      </c>
      <c r="J12" s="1339">
        <f>'KQKD PET'!K11+'KQKD HD'!K11</f>
        <v>4369846249.999999</v>
      </c>
      <c r="K12" s="1339">
        <f>'KQKD PET'!L11+'KQKD HD'!L11</f>
        <v>13271981250</v>
      </c>
      <c r="L12" s="1339">
        <f>'KQKD PET'!M11+'KQKD HD'!M11</f>
        <v>13271981250</v>
      </c>
      <c r="M12" s="1339">
        <f>'KQKD PET'!N11+'KQKD HD'!N11</f>
        <v>13271981250</v>
      </c>
      <c r="N12" s="1339">
        <f>'KQKD PET'!O11+'KQKD HD'!O11</f>
        <v>13271981250</v>
      </c>
      <c r="O12" s="1339">
        <f>'KQKD PET'!P11+'KQKD HD'!P11</f>
        <v>13271981250</v>
      </c>
      <c r="P12" s="1339">
        <f>'KQKD PET'!Q11+'KQKD HD'!Q11</f>
        <v>13271981250</v>
      </c>
      <c r="Q12" s="1339">
        <f>'KQKD PET'!R11+'KQKD HD'!R11</f>
        <v>13271981250</v>
      </c>
      <c r="R12" s="1339">
        <f t="shared" si="1"/>
        <v>111946990000</v>
      </c>
      <c r="S12" s="1380">
        <f t="shared" si="2"/>
        <v>4.2317809374978133</v>
      </c>
      <c r="T12" s="1306"/>
      <c r="U12" s="1384">
        <f t="shared" ref="U12:U55" si="4">E12/E$10</f>
        <v>0.15377164223904574</v>
      </c>
      <c r="V12" s="1384">
        <f t="shared" ref="V12:V55" si="5">R12/R$10</f>
        <v>0.7038569553193329</v>
      </c>
    </row>
    <row r="13" spans="2:26" x14ac:dyDescent="0.35">
      <c r="B13" s="886" t="s">
        <v>173</v>
      </c>
      <c r="C13" s="881" t="s">
        <v>169</v>
      </c>
      <c r="D13" s="887">
        <f>'KQKD PET'!E12</f>
        <v>0</v>
      </c>
      <c r="E13" s="1328">
        <f>'KQKD PET'!F12+'KQKD HD'!F12</f>
        <v>2657864180</v>
      </c>
      <c r="F13" s="887">
        <f>'KQKD PET'!G12+'KQKD HD'!G12</f>
        <v>0</v>
      </c>
      <c r="G13" s="887">
        <f>'KQKD PET'!H12+'KQKD HD'!H12</f>
        <v>0</v>
      </c>
      <c r="H13" s="887">
        <f>'KQKD PET'!I12+'KQKD HD'!I12</f>
        <v>0</v>
      </c>
      <c r="I13" s="887">
        <f>'KQKD PET'!J12+'KQKD HD'!J12</f>
        <v>0</v>
      </c>
      <c r="J13" s="887">
        <f>'KQKD PET'!K12+'KQKD HD'!K12</f>
        <v>0</v>
      </c>
      <c r="K13" s="887">
        <f>'KQKD PET'!L12+'KQKD HD'!L12</f>
        <v>0</v>
      </c>
      <c r="L13" s="887">
        <f>'KQKD PET'!M12+'KQKD HD'!M12</f>
        <v>0</v>
      </c>
      <c r="M13" s="887">
        <f>'KQKD PET'!N12+'KQKD HD'!N12</f>
        <v>0</v>
      </c>
      <c r="N13" s="887">
        <f>'KQKD PET'!O12+'KQKD HD'!O12</f>
        <v>0</v>
      </c>
      <c r="O13" s="887">
        <f>'KQKD PET'!P12+'KQKD HD'!P12</f>
        <v>0</v>
      </c>
      <c r="P13" s="887">
        <f>'KQKD PET'!Q12+'KQKD HD'!Q12</f>
        <v>0</v>
      </c>
      <c r="Q13" s="887">
        <f>'KQKD PET'!R12+'KQKD HD'!R12</f>
        <v>0</v>
      </c>
      <c r="R13" s="887">
        <f t="shared" si="1"/>
        <v>0</v>
      </c>
      <c r="S13" s="1334">
        <f t="shared" si="2"/>
        <v>0</v>
      </c>
      <c r="U13" s="1299">
        <f t="shared" si="4"/>
        <v>1.5449690857355142E-2</v>
      </c>
      <c r="V13" s="1299">
        <f t="shared" si="5"/>
        <v>0</v>
      </c>
    </row>
    <row r="14" spans="2:26" x14ac:dyDescent="0.35">
      <c r="B14" s="1128" t="s">
        <v>174</v>
      </c>
      <c r="C14" s="881" t="s">
        <v>2164</v>
      </c>
      <c r="D14" s="887"/>
      <c r="E14" s="1328"/>
      <c r="F14" s="887">
        <f>'KDKD DAY DAI'!G10</f>
        <v>0</v>
      </c>
      <c r="G14" s="887">
        <f>'KDKD DAY DAI'!H10</f>
        <v>0</v>
      </c>
      <c r="H14" s="887">
        <f>'KDKD DAY DAI'!I10</f>
        <v>0</v>
      </c>
      <c r="I14" s="887">
        <f>'KDKD DAY DAI'!J10</f>
        <v>0</v>
      </c>
      <c r="J14" s="887">
        <f>'KDKD DAY DAI'!K10</f>
        <v>0</v>
      </c>
      <c r="K14" s="887">
        <f>'KDKD DAY DAI'!L10</f>
        <v>0</v>
      </c>
      <c r="L14" s="887">
        <f>'KDKD DAY DAI'!M10</f>
        <v>0</v>
      </c>
      <c r="M14" s="887">
        <f>'KDKD DAY DAI'!N10</f>
        <v>0</v>
      </c>
      <c r="N14" s="887">
        <f>'KDKD DAY DAI'!O10</f>
        <v>0</v>
      </c>
      <c r="O14" s="887">
        <f>'KDKD DAY DAI'!P10</f>
        <v>0</v>
      </c>
      <c r="P14" s="887">
        <f>'KDKD DAY DAI'!Q10</f>
        <v>0</v>
      </c>
      <c r="Q14" s="887">
        <f>'KDKD DAY DAI'!R10</f>
        <v>0</v>
      </c>
      <c r="R14" s="887">
        <f t="shared" si="1"/>
        <v>0</v>
      </c>
      <c r="S14" s="1334" t="e">
        <f t="shared" si="2"/>
        <v>#DIV/0!</v>
      </c>
      <c r="U14" s="1299">
        <f t="shared" si="4"/>
        <v>0</v>
      </c>
      <c r="V14" s="1299">
        <f t="shared" si="5"/>
        <v>0</v>
      </c>
    </row>
    <row r="15" spans="2:26" x14ac:dyDescent="0.35">
      <c r="B15" s="886" t="s">
        <v>174</v>
      </c>
      <c r="C15" s="888" t="s">
        <v>175</v>
      </c>
      <c r="D15" s="887">
        <f>'KQKD PET'!E13</f>
        <v>0</v>
      </c>
      <c r="E15" s="1328">
        <f>'KQKD PET'!F13+'KQKD HD'!F13</f>
        <v>0</v>
      </c>
      <c r="F15" s="887">
        <f>'KQKD PET'!G13+'KQKD HD'!G13</f>
        <v>0</v>
      </c>
      <c r="G15" s="887">
        <f>'KQKD PET'!H13+'KQKD HD'!H13</f>
        <v>0</v>
      </c>
      <c r="H15" s="887">
        <f>'KQKD PET'!I13+'KQKD HD'!I13</f>
        <v>0</v>
      </c>
      <c r="I15" s="887">
        <f>'KQKD PET'!J13+'KQKD HD'!J13</f>
        <v>0</v>
      </c>
      <c r="J15" s="887">
        <f>'KQKD PET'!K13+'KQKD HD'!K13</f>
        <v>0</v>
      </c>
      <c r="K15" s="887">
        <f>'KQKD PET'!L13+'KQKD HD'!L13</f>
        <v>0</v>
      </c>
      <c r="L15" s="887">
        <f>'KQKD PET'!M13+'KQKD HD'!M13</f>
        <v>0</v>
      </c>
      <c r="M15" s="887">
        <f>'KQKD PET'!N13+'KQKD HD'!N13</f>
        <v>0</v>
      </c>
      <c r="N15" s="887">
        <f>'KQKD PET'!O13+'KQKD HD'!O13</f>
        <v>0</v>
      </c>
      <c r="O15" s="887">
        <f>'KQKD PET'!P13+'KQKD HD'!P13</f>
        <v>0</v>
      </c>
      <c r="P15" s="887">
        <f>'KQKD PET'!Q13+'KQKD HD'!Q13</f>
        <v>0</v>
      </c>
      <c r="Q15" s="887">
        <f>'KQKD PET'!R13+'KQKD HD'!R13</f>
        <v>0</v>
      </c>
      <c r="R15" s="887">
        <f t="shared" si="1"/>
        <v>0</v>
      </c>
      <c r="S15" s="1334" t="e">
        <f t="shared" si="2"/>
        <v>#DIV/0!</v>
      </c>
      <c r="U15" s="1299">
        <f t="shared" si="4"/>
        <v>0</v>
      </c>
      <c r="V15" s="1299">
        <f t="shared" si="5"/>
        <v>0</v>
      </c>
    </row>
    <row r="16" spans="2:26" x14ac:dyDescent="0.35">
      <c r="B16" s="889">
        <v>3</v>
      </c>
      <c r="C16" s="890" t="s">
        <v>176</v>
      </c>
      <c r="D16" s="891">
        <f>'KQKD PET'!E14</f>
        <v>0</v>
      </c>
      <c r="E16" s="1322">
        <f>'KQKD PET'!F14+'KQKD HD'!F14</f>
        <v>155152407926.16742</v>
      </c>
      <c r="F16" s="891">
        <f t="shared" ref="F16:Q16" si="6">F17+F25</f>
        <v>10502035892.142319</v>
      </c>
      <c r="G16" s="891">
        <f t="shared" si="6"/>
        <v>8159432709.901289</v>
      </c>
      <c r="H16" s="891">
        <f t="shared" si="6"/>
        <v>11570876311.858986</v>
      </c>
      <c r="I16" s="891">
        <f t="shared" si="6"/>
        <v>12668823364.421806</v>
      </c>
      <c r="J16" s="891">
        <f t="shared" si="6"/>
        <v>12667986503.830671</v>
      </c>
      <c r="K16" s="891">
        <f t="shared" si="6"/>
        <v>13136816859.432095</v>
      </c>
      <c r="L16" s="891">
        <f t="shared" si="6"/>
        <v>13150287038.470556</v>
      </c>
      <c r="M16" s="891">
        <f t="shared" si="6"/>
        <v>13150402038.470556</v>
      </c>
      <c r="N16" s="891">
        <f t="shared" si="6"/>
        <v>13108344936.509018</v>
      </c>
      <c r="O16" s="891">
        <f t="shared" si="6"/>
        <v>13141830550.509018</v>
      </c>
      <c r="P16" s="891">
        <f t="shared" si="6"/>
        <v>13148013526.432095</v>
      </c>
      <c r="Q16" s="891">
        <f t="shared" si="6"/>
        <v>13138282038.470556</v>
      </c>
      <c r="R16" s="1386">
        <f t="shared" si="1"/>
        <v>147543131770.44897</v>
      </c>
      <c r="S16" s="1379">
        <f t="shared" si="2"/>
        <v>0.95095611948646341</v>
      </c>
      <c r="U16" s="1383">
        <f t="shared" si="4"/>
        <v>0.90187329972351871</v>
      </c>
      <c r="V16" s="1383">
        <f t="shared" si="5"/>
        <v>0.92766459827305181</v>
      </c>
    </row>
    <row r="17" spans="2:22" x14ac:dyDescent="0.35">
      <c r="B17" s="892">
        <v>3.1</v>
      </c>
      <c r="C17" s="893" t="s">
        <v>177</v>
      </c>
      <c r="D17" s="891">
        <f>'KQKD PET'!E15</f>
        <v>0</v>
      </c>
      <c r="E17" s="1322">
        <f>'KQKD PET'!F15+'KQKD HD'!F15</f>
        <v>151992952726.16742</v>
      </c>
      <c r="F17" s="891">
        <f t="shared" ref="F17:P17" si="7">F18+F22+F23+F24</f>
        <v>10236867892.142319</v>
      </c>
      <c r="G17" s="891">
        <f t="shared" si="7"/>
        <v>7953190932.1235113</v>
      </c>
      <c r="H17" s="891">
        <f t="shared" si="7"/>
        <v>11276245200.747875</v>
      </c>
      <c r="I17" s="891">
        <f t="shared" si="7"/>
        <v>12344729142.199585</v>
      </c>
      <c r="J17" s="891">
        <f t="shared" si="7"/>
        <v>12344320548.275116</v>
      </c>
      <c r="K17" s="891">
        <f t="shared" si="7"/>
        <v>12845652237.209873</v>
      </c>
      <c r="L17" s="891">
        <f t="shared" si="7"/>
        <v>12859122416.248335</v>
      </c>
      <c r="M17" s="891">
        <f t="shared" si="7"/>
        <v>12859237416.248335</v>
      </c>
      <c r="N17" s="891">
        <f t="shared" si="7"/>
        <v>12817180314.286797</v>
      </c>
      <c r="O17" s="891">
        <f t="shared" si="7"/>
        <v>12850665928.286797</v>
      </c>
      <c r="P17" s="891">
        <f t="shared" si="7"/>
        <v>12856848904.209873</v>
      </c>
      <c r="Q17" s="891">
        <f>Q18+Q22+Q23+Q24</f>
        <v>12847117416.248335</v>
      </c>
      <c r="R17" s="1386">
        <f>SUM(F17:Q17)</f>
        <v>144091178348.22675</v>
      </c>
      <c r="S17" s="1334">
        <f t="shared" si="2"/>
        <v>0.94801223190803707</v>
      </c>
      <c r="U17" s="1383">
        <f t="shared" si="4"/>
        <v>0.88350794964845836</v>
      </c>
      <c r="V17" s="1383">
        <f t="shared" si="5"/>
        <v>0.90596074160241258</v>
      </c>
    </row>
    <row r="18" spans="2:22" ht="25" x14ac:dyDescent="0.35">
      <c r="B18" s="894" t="s">
        <v>178</v>
      </c>
      <c r="C18" s="895" t="s">
        <v>179</v>
      </c>
      <c r="D18" s="896">
        <f>'KQKD PET'!E16</f>
        <v>0</v>
      </c>
      <c r="E18" s="1385">
        <f>'KQKD PET'!F16+'KQKD HD'!F16</f>
        <v>141652238906</v>
      </c>
      <c r="F18" s="896">
        <f>'KQKD PET'!G16+'KQKD HD'!G16+'KDKD DAY DAI'!G16</f>
        <v>9121500000</v>
      </c>
      <c r="G18" s="896">
        <f>'KQKD PET'!H16+'KQKD HD'!H16+'KDKD DAY DAI'!H16</f>
        <v>7094500000</v>
      </c>
      <c r="H18" s="896">
        <f>'KQKD PET'!I16+'KQKD HD'!I16+'KDKD DAY DAI'!I16</f>
        <v>10135000000</v>
      </c>
      <c r="I18" s="896">
        <f>'KQKD PET'!J16+'KQKD HD'!J16+'KDKD DAY DAI'!J16</f>
        <v>11148500000</v>
      </c>
      <c r="J18" s="896">
        <f>'KQKD PET'!K16+'KQKD HD'!K16+'KDKD DAY DAI'!K16</f>
        <v>11148500000</v>
      </c>
      <c r="K18" s="896">
        <f>'KQKD PET'!L16+'KQKD HD'!L16+'KDKD DAY DAI'!L16</f>
        <v>11148500000</v>
      </c>
      <c r="L18" s="896">
        <f>'KQKD PET'!M16+'KQKD HD'!M16+'KDKD DAY DAI'!M16</f>
        <v>11148500000</v>
      </c>
      <c r="M18" s="896">
        <f>'KQKD PET'!N16+'KQKD HD'!N16+'KDKD DAY DAI'!N16</f>
        <v>11148500000</v>
      </c>
      <c r="N18" s="896">
        <f>'KQKD PET'!O16+'KQKD HD'!O16+'KDKD DAY DAI'!O16</f>
        <v>11148500000</v>
      </c>
      <c r="O18" s="896">
        <f>'KQKD PET'!P16+'KQKD HD'!P16+'KDKD DAY DAI'!P16</f>
        <v>11148500000</v>
      </c>
      <c r="P18" s="896">
        <f>'KQKD PET'!Q16+'KQKD HD'!Q16+'KDKD DAY DAI'!Q16</f>
        <v>11148500000</v>
      </c>
      <c r="Q18" s="896">
        <f>'KQKD PET'!R16+'KQKD HD'!R16+'KDKD DAY DAI'!R16</f>
        <v>11148500000</v>
      </c>
      <c r="R18" s="1371">
        <f t="shared" si="1"/>
        <v>126687500000</v>
      </c>
      <c r="S18" s="1334">
        <f t="shared" si="2"/>
        <v>0.89435578977378138</v>
      </c>
      <c r="U18" s="1384">
        <f t="shared" si="4"/>
        <v>0.82339922288651879</v>
      </c>
      <c r="V18" s="1384">
        <f t="shared" si="5"/>
        <v>0.79653662887245102</v>
      </c>
    </row>
    <row r="19" spans="2:22" ht="26" x14ac:dyDescent="0.35">
      <c r="B19" s="897" t="s">
        <v>180</v>
      </c>
      <c r="C19" s="898" t="s">
        <v>181</v>
      </c>
      <c r="D19" s="887">
        <f>'KQKD PET'!E17</f>
        <v>0</v>
      </c>
      <c r="E19" s="1328">
        <f>'KQKD PET'!F17</f>
        <v>0</v>
      </c>
      <c r="F19" s="887">
        <f>'KQKD PET'!G17+'KQKD HD'!G17</f>
        <v>1060374375</v>
      </c>
      <c r="G19" s="887">
        <f>'KQKD PET'!H17+'KQKD HD'!H17</f>
        <v>824735625</v>
      </c>
      <c r="H19" s="887">
        <f>'KQKD PET'!I17+'KQKD HD'!I17</f>
        <v>1178193750</v>
      </c>
      <c r="I19" s="887">
        <f>'KQKD PET'!J17+'KQKD HD'!J17</f>
        <v>1296013125</v>
      </c>
      <c r="J19" s="887">
        <f>'KQKD PET'!K17+'KQKD HD'!K17</f>
        <v>1307161624.9999998</v>
      </c>
      <c r="K19" s="887">
        <f>'KQKD PET'!L17+'KQKD HD'!L17</f>
        <v>1318310125</v>
      </c>
      <c r="L19" s="887">
        <f>'KQKD PET'!M17+'KQKD HD'!M17</f>
        <v>1318310125</v>
      </c>
      <c r="M19" s="887">
        <f>'KQKD PET'!N17+'KQKD HD'!N17</f>
        <v>1318310125</v>
      </c>
      <c r="N19" s="887">
        <f>'KQKD PET'!O17+'KQKD HD'!O17</f>
        <v>1318310125</v>
      </c>
      <c r="O19" s="887">
        <f>'KQKD PET'!P17+'KQKD HD'!P17</f>
        <v>1318310125</v>
      </c>
      <c r="P19" s="887">
        <f>'KQKD PET'!Q17+'KQKD HD'!Q17</f>
        <v>1318310125</v>
      </c>
      <c r="Q19" s="887">
        <f>'KQKD PET'!R17+'KQKD HD'!R17</f>
        <v>1318310125</v>
      </c>
      <c r="R19" s="1340">
        <f>SUM(F19:Q19)</f>
        <v>14894649375</v>
      </c>
      <c r="S19" s="1334" t="e">
        <f t="shared" si="2"/>
        <v>#DIV/0!</v>
      </c>
      <c r="U19" s="1299">
        <f t="shared" si="4"/>
        <v>0</v>
      </c>
      <c r="V19" s="1299">
        <f t="shared" si="5"/>
        <v>9.3648811456534073E-2</v>
      </c>
    </row>
    <row r="20" spans="2:22" ht="26" x14ac:dyDescent="0.35">
      <c r="B20" s="897"/>
      <c r="C20" s="898" t="s">
        <v>182</v>
      </c>
      <c r="D20" s="887">
        <f>'KQKD PET'!E18</f>
        <v>0</v>
      </c>
      <c r="E20" s="1328">
        <f>'KQKD PET'!F18</f>
        <v>0</v>
      </c>
      <c r="F20" s="887">
        <f>'KQKD PET'!G18+'KQKD HD'!G18</f>
        <v>264523500</v>
      </c>
      <c r="G20" s="887">
        <f>'KQKD PET'!H18+'KQKD HD'!H18</f>
        <v>205740500</v>
      </c>
      <c r="H20" s="887">
        <f>'KQKD PET'!I18+'KQKD HD'!I18</f>
        <v>293915000</v>
      </c>
      <c r="I20" s="887">
        <f>'KQKD PET'!J18+'KQKD HD'!J18</f>
        <v>323306500</v>
      </c>
      <c r="J20" s="887">
        <f>'KQKD PET'!K18+'KQKD HD'!K18</f>
        <v>323863924.99999994</v>
      </c>
      <c r="K20" s="887">
        <f>'KQKD PET'!L18+'KQKD HD'!L18</f>
        <v>1036810500</v>
      </c>
      <c r="L20" s="887">
        <f>'KQKD PET'!M18+'KQKD HD'!M18</f>
        <v>1036810500</v>
      </c>
      <c r="M20" s="887">
        <f>'KQKD PET'!N18+'KQKD HD'!N18</f>
        <v>1036810500</v>
      </c>
      <c r="N20" s="887">
        <f>'KQKD PET'!O18+'KQKD HD'!O18</f>
        <v>1036810500</v>
      </c>
      <c r="O20" s="887">
        <f>'KQKD PET'!P18+'KQKD HD'!P18</f>
        <v>1036810500</v>
      </c>
      <c r="P20" s="887">
        <f>'KQKD PET'!Q18+'KQKD HD'!Q18</f>
        <v>1036810500</v>
      </c>
      <c r="Q20" s="887">
        <f>'KQKD PET'!R18+'KQKD HD'!R18</f>
        <v>1036810500</v>
      </c>
      <c r="R20" s="1340">
        <f>SUM(F20:Q20)</f>
        <v>8669022925</v>
      </c>
      <c r="S20" s="1334" t="e">
        <f t="shared" si="2"/>
        <v>#DIV/0!</v>
      </c>
      <c r="T20" s="54"/>
      <c r="U20" s="1299">
        <f t="shared" si="4"/>
        <v>0</v>
      </c>
      <c r="V20" s="1299">
        <f t="shared" si="5"/>
        <v>5.4505727055135629E-2</v>
      </c>
    </row>
    <row r="21" spans="2:22" ht="26" x14ac:dyDescent="0.35">
      <c r="B21" s="899" t="s">
        <v>183</v>
      </c>
      <c r="C21" s="900" t="s">
        <v>184</v>
      </c>
      <c r="D21" s="901">
        <f>'KQKD PET'!E19</f>
        <v>0</v>
      </c>
      <c r="E21" s="1330">
        <f>E18/E10</f>
        <v>0.82339922288651879</v>
      </c>
      <c r="F21" s="901">
        <f>F18/F10</f>
        <v>0.79904918271893532</v>
      </c>
      <c r="G21" s="901">
        <f t="shared" ref="G21:Q21" si="8">G18/G10</f>
        <v>0.79904918271893532</v>
      </c>
      <c r="H21" s="901">
        <f t="shared" si="8"/>
        <v>0.79904918271893532</v>
      </c>
      <c r="I21" s="901">
        <f>I18/I10</f>
        <v>0.79904918271893532</v>
      </c>
      <c r="J21" s="901">
        <f>J18/J10</f>
        <v>0.80003710088183666</v>
      </c>
      <c r="K21" s="901">
        <f t="shared" si="8"/>
        <v>0.79483884122927495</v>
      </c>
      <c r="L21" s="901">
        <f t="shared" si="8"/>
        <v>0.79483884122927495</v>
      </c>
      <c r="M21" s="901">
        <f t="shared" si="8"/>
        <v>0.79483884122927495</v>
      </c>
      <c r="N21" s="901">
        <f t="shared" si="8"/>
        <v>0.79483884122927495</v>
      </c>
      <c r="O21" s="901">
        <f t="shared" si="8"/>
        <v>0.79483884122927495</v>
      </c>
      <c r="P21" s="901">
        <f t="shared" si="8"/>
        <v>0.79483884122927495</v>
      </c>
      <c r="Q21" s="901">
        <f t="shared" si="8"/>
        <v>0.79483884122927495</v>
      </c>
      <c r="R21" s="901">
        <f>R18/R10</f>
        <v>0.79653662887245102</v>
      </c>
      <c r="S21" s="1334">
        <f t="shared" si="2"/>
        <v>0.96737597842283851</v>
      </c>
      <c r="U21" s="1299">
        <f t="shared" si="4"/>
        <v>4.7862729561234307E-12</v>
      </c>
      <c r="V21" s="1299">
        <f t="shared" si="5"/>
        <v>5.0081547203590629E-12</v>
      </c>
    </row>
    <row r="22" spans="2:22" x14ac:dyDescent="0.35">
      <c r="B22" s="1056" t="s">
        <v>185</v>
      </c>
      <c r="C22" s="888" t="s">
        <v>186</v>
      </c>
      <c r="D22" s="896">
        <f>'KQKD PET'!E20</f>
        <v>0</v>
      </c>
      <c r="E22" s="1385">
        <f>'KQKD PET'!F20+'KQKD HD'!F20</f>
        <v>2227003683.8461542</v>
      </c>
      <c r="F22" s="896">
        <f>'KQKD PET'!G20+'KQKD HD'!G20+'KDKD DAY DAI'!G20</f>
        <v>338720056.467493</v>
      </c>
      <c r="G22" s="896">
        <f>'KQKD PET'!H20+'KQKD HD'!H20+'KDKD DAY DAI'!H20</f>
        <v>262767821.69693896</v>
      </c>
      <c r="H22" s="896">
        <f>'KQKD PET'!I20+'KQKD HD'!I20+'KDKD DAY DAI'!I20</f>
        <v>372217673.85276997</v>
      </c>
      <c r="I22" s="896">
        <f>'KQKD PET'!J20+'KQKD HD'!J20+'KDKD DAY DAI'!J20</f>
        <v>410279291.238047</v>
      </c>
      <c r="J22" s="896">
        <f>'KQKD PET'!K20+'KQKD HD'!K20+'KDKD DAY DAI'!K20</f>
        <v>409018922.69269776</v>
      </c>
      <c r="K22" s="896">
        <f>'KQKD PET'!L20+'KQKD HD'!L20+'KDKD DAY DAI'!L20</f>
        <v>626560570.89119101</v>
      </c>
      <c r="L22" s="896">
        <f>'KQKD PET'!M20+'KQKD HD'!M20+'KDKD DAY DAI'!M20</f>
        <v>625937237.89119101</v>
      </c>
      <c r="M22" s="896">
        <f>'KQKD PET'!N20+'KQKD HD'!N20+'KDKD DAY DAI'!N20</f>
        <v>626052237.89119101</v>
      </c>
      <c r="N22" s="896">
        <f>'KQKD PET'!O20+'KQKD HD'!O20+'KDKD DAY DAI'!O20</f>
        <v>625787237.89119101</v>
      </c>
      <c r="O22" s="896">
        <f>'KQKD PET'!P20+'KQKD HD'!P20+'KDKD DAY DAI'!P20</f>
        <v>627327237.89119101</v>
      </c>
      <c r="P22" s="896">
        <f>'KQKD PET'!Q20+'KQKD HD'!Q20+'KDKD DAY DAI'!Q20</f>
        <v>625787237.89119101</v>
      </c>
      <c r="Q22" s="896">
        <f>'KQKD PET'!R20+'KQKD HD'!R20+'KDKD DAY DAI'!R20</f>
        <v>625902237.89119101</v>
      </c>
      <c r="R22" s="1371">
        <f t="shared" si="1"/>
        <v>6176357764.186285</v>
      </c>
      <c r="S22" s="1334">
        <f t="shared" si="2"/>
        <v>2.7733936001036987</v>
      </c>
      <c r="U22" s="1384">
        <f t="shared" si="4"/>
        <v>1.2945175570865381E-2</v>
      </c>
      <c r="V22" s="1384">
        <f t="shared" si="5"/>
        <v>3.8833311827884617E-2</v>
      </c>
    </row>
    <row r="23" spans="2:22" x14ac:dyDescent="0.35">
      <c r="B23" s="897" t="s">
        <v>187</v>
      </c>
      <c r="C23" s="895" t="s">
        <v>188</v>
      </c>
      <c r="D23" s="896">
        <f>'KQKD PET'!E21</f>
        <v>0</v>
      </c>
      <c r="E23" s="1385">
        <f>'KQKD PET'!F21+'KQKD HD'!F21</f>
        <v>1378278310.3212671</v>
      </c>
      <c r="F23" s="896">
        <f>'KQKD PET'!G21+'KQKD HD'!G21+'KDKD DAY DAI'!G21</f>
        <v>114751738.63636364</v>
      </c>
      <c r="G23" s="896">
        <f>'KQKD PET'!H21+'KQKD HD'!H21+'KDKD DAY DAI'!H21</f>
        <v>89251352.272727281</v>
      </c>
      <c r="H23" s="896">
        <f>'KQKD PET'!I21+'KQKD HD'!I21+'KDKD DAY DAI'!I21</f>
        <v>127501931.81818181</v>
      </c>
      <c r="I23" s="896">
        <f>'KQKD PET'!J21+'KQKD HD'!J21+'KDKD DAY DAI'!J21</f>
        <v>140252125</v>
      </c>
      <c r="J23" s="896">
        <f>'KQKD PET'!K21+'KQKD HD'!K21+'KDKD DAY DAI'!K21</f>
        <v>140294746.4285714</v>
      </c>
      <c r="K23" s="896">
        <f>'KQKD PET'!L21+'KQKD HD'!L21+'KDKD DAY DAI'!L21</f>
        <v>291363242.85714287</v>
      </c>
      <c r="L23" s="896">
        <f>'KQKD PET'!M21+'KQKD HD'!M21+'KDKD DAY DAI'!M21</f>
        <v>291363242.85714287</v>
      </c>
      <c r="M23" s="896">
        <f>'KQKD PET'!N21+'KQKD HD'!N21+'KDKD DAY DAI'!N21</f>
        <v>291363242.85714287</v>
      </c>
      <c r="N23" s="896">
        <f>'KQKD PET'!O21+'KQKD HD'!O21+'KDKD DAY DAI'!O21</f>
        <v>291363242.85714287</v>
      </c>
      <c r="O23" s="896">
        <f>'KQKD PET'!P21+'KQKD HD'!P21+'KDKD DAY DAI'!P21</f>
        <v>291363242.85714287</v>
      </c>
      <c r="P23" s="896">
        <f>'KQKD PET'!Q21+'KQKD HD'!Q21+'KDKD DAY DAI'!Q21</f>
        <v>291363242.85714287</v>
      </c>
      <c r="Q23" s="896">
        <f>'KQKD PET'!R21+'KQKD HD'!R21+'KDKD DAY DAI'!R21</f>
        <v>291363242.85714287</v>
      </c>
      <c r="R23" s="1371">
        <f t="shared" si="1"/>
        <v>2651594594.1558447</v>
      </c>
      <c r="S23" s="1334">
        <f t="shared" si="2"/>
        <v>1.9238455501325973</v>
      </c>
      <c r="U23" s="1384">
        <f t="shared" si="4"/>
        <v>8.0116862141019467E-3</v>
      </c>
      <c r="V23" s="1384">
        <f t="shared" si="5"/>
        <v>1.6671670205547599E-2</v>
      </c>
    </row>
    <row r="24" spans="2:22" x14ac:dyDescent="0.35">
      <c r="B24" s="897" t="s">
        <v>189</v>
      </c>
      <c r="C24" s="895" t="s">
        <v>190</v>
      </c>
      <c r="D24" s="896">
        <f>'KQKD PET'!E22</f>
        <v>0</v>
      </c>
      <c r="E24" s="1385">
        <f>'KQKD PET'!F22+'KQKD HD'!F22</f>
        <v>6735431826</v>
      </c>
      <c r="F24" s="896">
        <f>'KQKD PET'!G22+'KQKD HD'!G22+'KDKD DAY DAI'!G22</f>
        <v>661896097.03846157</v>
      </c>
      <c r="G24" s="896">
        <f>'KQKD PET'!H22+'KQKD HD'!H22+'KDKD DAY DAI'!H22</f>
        <v>506671758.15384614</v>
      </c>
      <c r="H24" s="896">
        <f>'KQKD PET'!I22+'KQKD HD'!I22+'KDKD DAY DAI'!I22</f>
        <v>641525595.07692313</v>
      </c>
      <c r="I24" s="896">
        <f>'KQKD PET'!J22+'KQKD HD'!J22+'KDKD DAY DAI'!J22</f>
        <v>645697725.96153843</v>
      </c>
      <c r="J24" s="896">
        <f>'KQKD PET'!K22+'KQKD HD'!K22+'KDKD DAY DAI'!K22</f>
        <v>646506879.15384614</v>
      </c>
      <c r="K24" s="896">
        <f>'KQKD PET'!L22+'KQKD HD'!L22+'KDKD DAY DAI'!L22</f>
        <v>779228423.46153843</v>
      </c>
      <c r="L24" s="896">
        <f>'KQKD PET'!M22+'KQKD HD'!M22+'KDKD DAY DAI'!M22</f>
        <v>793321935.5</v>
      </c>
      <c r="M24" s="896">
        <f>'KQKD PET'!N22+'KQKD HD'!N22+'KDKD DAY DAI'!N22</f>
        <v>793321935.5</v>
      </c>
      <c r="N24" s="896">
        <f>'KQKD PET'!O22+'KQKD HD'!O22+'KDKD DAY DAI'!O22</f>
        <v>751529833.53846157</v>
      </c>
      <c r="O24" s="896">
        <f>'KQKD PET'!P22+'KQKD HD'!P22+'KDKD DAY DAI'!P22</f>
        <v>783475447.53846157</v>
      </c>
      <c r="P24" s="896">
        <f>'KQKD PET'!Q22+'KQKD HD'!Q22+'KDKD DAY DAI'!Q22</f>
        <v>791198423.46153843</v>
      </c>
      <c r="Q24" s="896">
        <f>'KQKD PET'!R22+'KQKD HD'!R22+'KDKD DAY DAI'!R22</f>
        <v>781351935.5</v>
      </c>
      <c r="R24" s="1371">
        <f t="shared" si="1"/>
        <v>8575725989.8846149</v>
      </c>
      <c r="S24" s="1334">
        <f t="shared" si="2"/>
        <v>1.2732258615966896</v>
      </c>
      <c r="U24" s="1384">
        <f t="shared" si="4"/>
        <v>3.9151864976972241E-2</v>
      </c>
      <c r="V24" s="1384">
        <f t="shared" si="5"/>
        <v>5.3919130696529288E-2</v>
      </c>
    </row>
    <row r="25" spans="2:22" x14ac:dyDescent="0.35">
      <c r="B25" s="892">
        <v>3.2</v>
      </c>
      <c r="C25" s="893" t="s">
        <v>191</v>
      </c>
      <c r="D25" s="891">
        <f>'KQKD PET'!E23</f>
        <v>0</v>
      </c>
      <c r="E25" s="1318">
        <f>'KQKD PET'!F23+'KQKD HD'!F23</f>
        <v>3159455200.0000005</v>
      </c>
      <c r="F25" s="891">
        <f t="shared" ref="F25:Q25" si="9">F26</f>
        <v>265168000</v>
      </c>
      <c r="G25" s="891">
        <f t="shared" si="9"/>
        <v>206241777.77777776</v>
      </c>
      <c r="H25" s="891">
        <f t="shared" si="9"/>
        <v>294631111.1111111</v>
      </c>
      <c r="I25" s="891">
        <f t="shared" si="9"/>
        <v>324094222.22222221</v>
      </c>
      <c r="J25" s="891">
        <f t="shared" si="9"/>
        <v>323665955.55555552</v>
      </c>
      <c r="K25" s="891">
        <f t="shared" si="9"/>
        <v>291164622.22222221</v>
      </c>
      <c r="L25" s="891">
        <f t="shared" si="9"/>
        <v>291164622.22222221</v>
      </c>
      <c r="M25" s="891">
        <f t="shared" si="9"/>
        <v>291164622.22222221</v>
      </c>
      <c r="N25" s="891">
        <f t="shared" si="9"/>
        <v>291164622.22222221</v>
      </c>
      <c r="O25" s="891">
        <f t="shared" si="9"/>
        <v>291164622.22222221</v>
      </c>
      <c r="P25" s="891">
        <f t="shared" si="9"/>
        <v>291164622.22222221</v>
      </c>
      <c r="Q25" s="891">
        <f t="shared" si="9"/>
        <v>291164622.22222221</v>
      </c>
      <c r="R25" s="891">
        <f t="shared" si="1"/>
        <v>3451953422.2222228</v>
      </c>
      <c r="S25" s="1334">
        <f t="shared" si="2"/>
        <v>1.0925786895861738</v>
      </c>
      <c r="U25" s="1299">
        <f t="shared" si="4"/>
        <v>1.8365350075060332E-2</v>
      </c>
      <c r="V25" s="1299">
        <f t="shared" si="5"/>
        <v>2.170385667063925E-2</v>
      </c>
    </row>
    <row r="26" spans="2:22" x14ac:dyDescent="0.35">
      <c r="B26" s="894"/>
      <c r="C26" s="895" t="s">
        <v>192</v>
      </c>
      <c r="D26" s="896">
        <f>'KQKD PET'!E24</f>
        <v>0</v>
      </c>
      <c r="E26" s="1329">
        <f>'KQKD PET'!F24+'KQKD HD'!F24</f>
        <v>3159455200.0000005</v>
      </c>
      <c r="F26" s="896">
        <f>'KQKD PET'!G24+'KQKD HD'!G24+'KDKD DAY DAI'!G24</f>
        <v>265168000</v>
      </c>
      <c r="G26" s="896">
        <f>'KQKD PET'!H24+'KQKD HD'!H24+'KDKD DAY DAI'!H24</f>
        <v>206241777.77777776</v>
      </c>
      <c r="H26" s="896">
        <f>'KQKD PET'!I24+'KQKD HD'!I24+'KDKD DAY DAI'!I24</f>
        <v>294631111.1111111</v>
      </c>
      <c r="I26" s="896">
        <f>'KQKD PET'!J24+'KQKD HD'!J24+'KDKD DAY DAI'!J24</f>
        <v>324094222.22222221</v>
      </c>
      <c r="J26" s="896">
        <f>'KQKD PET'!K24+'KQKD HD'!K24+'KDKD DAY DAI'!K24</f>
        <v>323665955.55555552</v>
      </c>
      <c r="K26" s="896">
        <f>'KQKD PET'!L24+'KQKD HD'!L24+'KDKD DAY DAI'!L24</f>
        <v>291164622.22222221</v>
      </c>
      <c r="L26" s="896">
        <f>'KQKD PET'!M24+'KQKD HD'!M24+'KDKD DAY DAI'!M24</f>
        <v>291164622.22222221</v>
      </c>
      <c r="M26" s="896">
        <f>'KQKD PET'!N24+'KQKD HD'!N24+'KDKD DAY DAI'!N24</f>
        <v>291164622.22222221</v>
      </c>
      <c r="N26" s="896">
        <f>'KQKD PET'!O24+'KQKD HD'!O24+'KDKD DAY DAI'!O24</f>
        <v>291164622.22222221</v>
      </c>
      <c r="O26" s="896">
        <f>'KQKD PET'!P24+'KQKD HD'!P24+'KDKD DAY DAI'!P24</f>
        <v>291164622.22222221</v>
      </c>
      <c r="P26" s="896">
        <f>'KQKD PET'!Q24+'KQKD HD'!Q24+'KDKD DAY DAI'!Q24</f>
        <v>291164622.22222221</v>
      </c>
      <c r="Q26" s="896">
        <f>'KQKD PET'!R24+'KQKD HD'!R24+'KDKD DAY DAI'!R24</f>
        <v>291164622.22222221</v>
      </c>
      <c r="R26" s="896">
        <f t="shared" si="1"/>
        <v>3451953422.2222228</v>
      </c>
      <c r="S26" s="1334">
        <f t="shared" si="2"/>
        <v>1.0925786895861738</v>
      </c>
      <c r="U26" s="1299">
        <f t="shared" si="4"/>
        <v>1.8365350075060332E-2</v>
      </c>
      <c r="V26" s="1299">
        <f t="shared" si="5"/>
        <v>2.170385667063925E-2</v>
      </c>
    </row>
    <row r="27" spans="2:22" x14ac:dyDescent="0.35">
      <c r="B27" s="883">
        <v>4</v>
      </c>
      <c r="C27" s="884" t="s">
        <v>193</v>
      </c>
      <c r="D27" s="885">
        <f>'KQKD PET'!E25</f>
        <v>64684339330</v>
      </c>
      <c r="E27" s="1318">
        <f>'KQKD PET'!F25+'KQKD HD'!F25</f>
        <v>16881078344.832581</v>
      </c>
      <c r="F27" s="885">
        <f t="shared" ref="F27:Q27" si="10">F10-F16</f>
        <v>913406607.85768127</v>
      </c>
      <c r="G27" s="885">
        <f>G10-G16</f>
        <v>719244790.09871101</v>
      </c>
      <c r="H27" s="885">
        <f t="shared" si="10"/>
        <v>1112948688.1410141</v>
      </c>
      <c r="I27" s="885">
        <f t="shared" si="10"/>
        <v>1283384135.5781937</v>
      </c>
      <c r="J27" s="885">
        <f t="shared" si="10"/>
        <v>1266992246.1693287</v>
      </c>
      <c r="K27" s="885">
        <f t="shared" si="10"/>
        <v>889296890.56790543</v>
      </c>
      <c r="L27" s="885">
        <f t="shared" si="10"/>
        <v>875826711.52944374</v>
      </c>
      <c r="M27" s="885">
        <f t="shared" si="10"/>
        <v>875711711.52944374</v>
      </c>
      <c r="N27" s="885">
        <f t="shared" si="10"/>
        <v>917768813.49098206</v>
      </c>
      <c r="O27" s="885">
        <f t="shared" si="10"/>
        <v>884283199.49098206</v>
      </c>
      <c r="P27" s="885">
        <f t="shared" si="10"/>
        <v>878100223.56790543</v>
      </c>
      <c r="Q27" s="885">
        <f t="shared" si="10"/>
        <v>887831711.52944374</v>
      </c>
      <c r="R27" s="885">
        <f t="shared" si="1"/>
        <v>11504795729.551035</v>
      </c>
      <c r="S27" s="1334">
        <f t="shared" si="2"/>
        <v>0.68152019050801549</v>
      </c>
      <c r="U27" s="1382">
        <f t="shared" si="4"/>
        <v>9.8126700276481321E-2</v>
      </c>
      <c r="V27" s="1382">
        <f t="shared" si="5"/>
        <v>7.2335401726948217E-2</v>
      </c>
    </row>
    <row r="28" spans="2:22" x14ac:dyDescent="0.35">
      <c r="B28" s="902" t="s">
        <v>194</v>
      </c>
      <c r="C28" s="900" t="s">
        <v>195</v>
      </c>
      <c r="D28" s="901">
        <f>'KQKD PET'!E26</f>
        <v>0</v>
      </c>
      <c r="E28" s="1330">
        <f>E27/E10</f>
        <v>9.8126700276481321E-2</v>
      </c>
      <c r="F28" s="901">
        <f>F27/F10</f>
        <v>8.0014997916872804E-2</v>
      </c>
      <c r="G28" s="901">
        <f>G27/G10</f>
        <v>8.1008099471876413E-2</v>
      </c>
      <c r="H28" s="901">
        <f t="shared" ref="H28:R28" si="11">H27/H10</f>
        <v>8.7745509587290438E-2</v>
      </c>
      <c r="I28" s="901">
        <f>I27/I10</f>
        <v>9.1984306825869222E-2</v>
      </c>
      <c r="J28" s="901">
        <f t="shared" si="11"/>
        <v>9.092172072162856E-2</v>
      </c>
      <c r="K28" s="901">
        <f t="shared" si="11"/>
        <v>6.3402942997514575E-2</v>
      </c>
      <c r="L28" s="901">
        <f t="shared" si="11"/>
        <v>6.2442578688586763E-2</v>
      </c>
      <c r="M28" s="901">
        <f t="shared" si="11"/>
        <v>6.2434379696189458E-2</v>
      </c>
      <c r="N28" s="901">
        <f t="shared" si="11"/>
        <v>6.5432865428671008E-2</v>
      </c>
      <c r="O28" s="901">
        <f t="shared" si="11"/>
        <v>6.3045488953843834E-2</v>
      </c>
      <c r="P28" s="901">
        <f t="shared" si="11"/>
        <v>6.2604670061791379E-2</v>
      </c>
      <c r="Q28" s="901">
        <f t="shared" si="11"/>
        <v>6.3298482199279457E-2</v>
      </c>
      <c r="R28" s="901">
        <f t="shared" si="11"/>
        <v>7.2335401726948217E-2</v>
      </c>
      <c r="S28" s="1334">
        <f t="shared" si="2"/>
        <v>0.73716329524111512</v>
      </c>
      <c r="U28" s="1299">
        <f t="shared" si="4"/>
        <v>5.7039302291360188E-13</v>
      </c>
      <c r="V28" s="1299">
        <f t="shared" si="5"/>
        <v>4.5480254200073252E-13</v>
      </c>
    </row>
    <row r="29" spans="2:22" x14ac:dyDescent="0.35">
      <c r="B29" s="892">
        <v>5</v>
      </c>
      <c r="C29" s="893" t="s">
        <v>196</v>
      </c>
      <c r="D29" s="891">
        <f>'KQKD PET'!E27</f>
        <v>0</v>
      </c>
      <c r="E29" s="1318">
        <f>'KQKD PET'!F27+'KQKD HD'!F27</f>
        <v>14281270524</v>
      </c>
      <c r="F29" s="891">
        <f t="shared" ref="F29:Q29" si="12">F30+F31+F32</f>
        <v>998225434.07222211</v>
      </c>
      <c r="G29" s="891">
        <f t="shared" si="12"/>
        <v>995525434.07222211</v>
      </c>
      <c r="H29" s="891">
        <f t="shared" si="12"/>
        <v>997394625.6277777</v>
      </c>
      <c r="I29" s="891">
        <f t="shared" si="12"/>
        <v>997011292.6277777</v>
      </c>
      <c r="J29" s="891">
        <f t="shared" si="12"/>
        <v>996177959.29444432</v>
      </c>
      <c r="K29" s="891">
        <f t="shared" si="12"/>
        <v>1009556170.1277777</v>
      </c>
      <c r="L29" s="891">
        <f t="shared" si="12"/>
        <v>1008132362.9611111</v>
      </c>
      <c r="M29" s="891">
        <f t="shared" si="12"/>
        <v>1007982362.9611111</v>
      </c>
      <c r="N29" s="891">
        <f t="shared" si="12"/>
        <v>1006673781.5722222</v>
      </c>
      <c r="O29" s="891">
        <f t="shared" si="12"/>
        <v>1004176610.6833333</v>
      </c>
      <c r="P29" s="891">
        <f t="shared" si="12"/>
        <v>1004965892.3499999</v>
      </c>
      <c r="Q29" s="891">
        <f t="shared" si="12"/>
        <v>1003737918.1833332</v>
      </c>
      <c r="R29" s="891">
        <f t="shared" si="1"/>
        <v>12029559844.533331</v>
      </c>
      <c r="S29" s="1379">
        <f t="shared" si="2"/>
        <v>0.84233120745926504</v>
      </c>
      <c r="U29" s="1384">
        <f t="shared" si="4"/>
        <v>8.3014480689550613E-2</v>
      </c>
      <c r="V29" s="1384">
        <f t="shared" si="5"/>
        <v>7.5634810422369886E-2</v>
      </c>
    </row>
    <row r="30" spans="2:22" x14ac:dyDescent="0.35">
      <c r="B30" s="894">
        <v>5.0999999999999996</v>
      </c>
      <c r="C30" s="888" t="s">
        <v>197</v>
      </c>
      <c r="D30" s="896">
        <f>'KQKD PET'!E28</f>
        <v>0</v>
      </c>
      <c r="E30" s="1329">
        <f>'KQKD PET'!F28+'KQKD HD'!F28</f>
        <v>4201558148</v>
      </c>
      <c r="F30" s="896">
        <f>'KQKD PET'!G28+'KQKD HD'!G28+'KDKD DAY DAI'!G28</f>
        <v>295552650.33333331</v>
      </c>
      <c r="G30" s="896">
        <f>'KQKD PET'!H28+'KQKD HD'!H28+'KDKD DAY DAI'!H28</f>
        <v>293241995.33333331</v>
      </c>
      <c r="H30" s="896">
        <f>'KQKD PET'!I28+'KQKD HD'!I28+'KDKD DAY DAI'!I28</f>
        <v>278393082.33333331</v>
      </c>
      <c r="I30" s="896">
        <f>'KQKD PET'!J28+'KQKD HD'!J28+'KDKD DAY DAI'!J28</f>
        <v>302560166.33333331</v>
      </c>
      <c r="J30" s="896">
        <f>'KQKD PET'!K28+'KQKD HD'!K28+'KDKD DAY DAI'!K28</f>
        <v>287275491.33333331</v>
      </c>
      <c r="K30" s="896">
        <f>'KQKD PET'!L28+'KQKD HD'!L28+'KDKD DAY DAI'!L28</f>
        <v>319125877.16666663</v>
      </c>
      <c r="L30" s="896">
        <f>'KQKD PET'!M28+'KQKD HD'!M28+'KDKD DAY DAI'!M28</f>
        <v>311486335.33333331</v>
      </c>
      <c r="M30" s="896">
        <f>'KQKD PET'!N28+'KQKD HD'!N28+'KDKD DAY DAI'!N28</f>
        <v>311486335.33333331</v>
      </c>
      <c r="N30" s="896">
        <f>'KQKD PET'!O28+'KQKD HD'!O28+'KDKD DAY DAI'!O28</f>
        <v>318874469.5</v>
      </c>
      <c r="O30" s="896">
        <f>'KQKD PET'!P28+'KQKD HD'!P28+'KDKD DAY DAI'!P28</f>
        <v>303181088.5</v>
      </c>
      <c r="P30" s="896">
        <f>'KQKD PET'!Q28+'KQKD HD'!Q28+'KDKD DAY DAI'!Q28</f>
        <v>319125877.16666663</v>
      </c>
      <c r="Q30" s="896">
        <f>'KQKD PET'!R28+'KQKD HD'!R28+'KDKD DAY DAI'!R28</f>
        <v>311486335.33333331</v>
      </c>
      <c r="R30" s="896">
        <f t="shared" si="1"/>
        <v>3651789703.9999995</v>
      </c>
      <c r="S30" s="1334">
        <f t="shared" si="2"/>
        <v>0.86915129467821406</v>
      </c>
      <c r="U30" s="1299">
        <f t="shared" si="4"/>
        <v>2.4422908813121369E-2</v>
      </c>
      <c r="V30" s="1299">
        <f t="shared" si="5"/>
        <v>2.2960309897782225E-2</v>
      </c>
    </row>
    <row r="31" spans="2:22" x14ac:dyDescent="0.35">
      <c r="B31" s="894">
        <v>5.2</v>
      </c>
      <c r="C31" s="888" t="s">
        <v>132</v>
      </c>
      <c r="D31" s="896">
        <f>'KQKD PET'!E29</f>
        <v>0</v>
      </c>
      <c r="E31" s="1329">
        <f>'KQKD PET'!F29+'KQKD HD'!F29</f>
        <v>5585152224</v>
      </c>
      <c r="F31" s="896">
        <f>'KQKD PET'!G29+'KQKD HD'!G29</f>
        <v>461679352</v>
      </c>
      <c r="G31" s="896">
        <f>'KQKD PET'!H29+'KQKD HD'!H29</f>
        <v>461679352</v>
      </c>
      <c r="H31" s="896">
        <f>'KQKD PET'!I29+'KQKD HD'!I29</f>
        <v>461679352</v>
      </c>
      <c r="I31" s="896">
        <f>'KQKD PET'!J29+'KQKD HD'!J29</f>
        <v>461679352</v>
      </c>
      <c r="J31" s="896">
        <f>'KQKD PET'!K29+'KQKD HD'!K29</f>
        <v>461679352</v>
      </c>
      <c r="K31" s="896">
        <f>'KQKD PET'!L29+'KQKD HD'!L29</f>
        <v>461679352</v>
      </c>
      <c r="L31" s="896">
        <f>'KQKD PET'!M29+'KQKD HD'!M29</f>
        <v>461679352</v>
      </c>
      <c r="M31" s="896">
        <f>'KQKD PET'!N29+'KQKD HD'!N29</f>
        <v>461679352</v>
      </c>
      <c r="N31" s="896">
        <f>'KQKD PET'!O29+'KQKD HD'!O29</f>
        <v>461679352</v>
      </c>
      <c r="O31" s="896">
        <f>'KQKD PET'!P29+'KQKD HD'!P29</f>
        <v>461679352</v>
      </c>
      <c r="P31" s="896">
        <f>'KQKD PET'!Q29+'KQKD HD'!Q29</f>
        <v>461679352</v>
      </c>
      <c r="Q31" s="896">
        <f>'KQKD PET'!R29+'KQKD HD'!R29</f>
        <v>461679352</v>
      </c>
      <c r="R31" s="896">
        <f t="shared" si="1"/>
        <v>5540152224</v>
      </c>
      <c r="S31" s="1334">
        <f t="shared" si="2"/>
        <v>0.99194292327313294</v>
      </c>
      <c r="U31" s="1299">
        <f t="shared" si="4"/>
        <v>3.246549462586517E-2</v>
      </c>
      <c r="V31" s="1299">
        <f t="shared" si="5"/>
        <v>3.4833224871792183E-2</v>
      </c>
    </row>
    <row r="32" spans="2:22" ht="25" x14ac:dyDescent="0.35">
      <c r="B32" s="199">
        <v>5.3</v>
      </c>
      <c r="C32" s="888" t="s">
        <v>198</v>
      </c>
      <c r="D32" s="896">
        <f>'KQKD PET'!E30</f>
        <v>0</v>
      </c>
      <c r="E32" s="1329">
        <f>'KQKD PET'!F30+'KQKD HD'!F30</f>
        <v>4494560152</v>
      </c>
      <c r="F32" s="896">
        <f>'KQKD PET'!G30+'KQKD HD'!G30+'KDKD DAY DAI'!G30</f>
        <v>240993431.73888886</v>
      </c>
      <c r="G32" s="896">
        <f>'KQKD PET'!H30+'KQKD HD'!H30+'KDKD DAY DAI'!H30</f>
        <v>240604086.73888886</v>
      </c>
      <c r="H32" s="896">
        <f>'KQKD PET'!I30+'KQKD HD'!I30+'KDKD DAY DAI'!I30</f>
        <v>257322191.29444441</v>
      </c>
      <c r="I32" s="896">
        <f>'KQKD PET'!J30+'KQKD HD'!J30+'KDKD DAY DAI'!J30</f>
        <v>232771774.29444441</v>
      </c>
      <c r="J32" s="896">
        <f>'KQKD PET'!K30+'KQKD HD'!K30+'KDKD DAY DAI'!K30</f>
        <v>247223115.96111107</v>
      </c>
      <c r="K32" s="896">
        <f>'KQKD PET'!L30+'KQKD HD'!L30+'KDKD DAY DAI'!L30</f>
        <v>228750940.96111107</v>
      </c>
      <c r="L32" s="896">
        <f>'KQKD PET'!M30+'KQKD HD'!M30+'KDKD DAY DAI'!M30</f>
        <v>234966675.62777776</v>
      </c>
      <c r="M32" s="896">
        <f>'KQKD PET'!N30+'KQKD HD'!N30+'KDKD DAY DAI'!N30</f>
        <v>234816675.62777776</v>
      </c>
      <c r="N32" s="896">
        <f>'KQKD PET'!O30+'KQKD HD'!O30+'KDKD DAY DAI'!O30</f>
        <v>226119960.0722222</v>
      </c>
      <c r="O32" s="896">
        <f>'KQKD PET'!P30+'KQKD HD'!P30+'KDKD DAY DAI'!P30</f>
        <v>239316170.18333331</v>
      </c>
      <c r="P32" s="896">
        <f>'KQKD PET'!Q30+'KQKD HD'!Q30+'KDKD DAY DAI'!Q30</f>
        <v>224160663.18333331</v>
      </c>
      <c r="Q32" s="896">
        <f>'KQKD PET'!R30+'KQKD HD'!R30+'KDKD DAY DAI'!R30</f>
        <v>230572230.84999996</v>
      </c>
      <c r="R32" s="896">
        <f t="shared" si="1"/>
        <v>2837617916.5333333</v>
      </c>
      <c r="S32" s="1334">
        <f t="shared" si="2"/>
        <v>0.63134496381601291</v>
      </c>
      <c r="U32" s="1299">
        <f t="shared" si="4"/>
        <v>2.6126077250564074E-2</v>
      </c>
      <c r="V32" s="1299">
        <f t="shared" si="5"/>
        <v>1.7841275652795495E-2</v>
      </c>
    </row>
    <row r="33" spans="2:22" x14ac:dyDescent="0.35">
      <c r="B33" s="892">
        <v>6</v>
      </c>
      <c r="C33" s="890" t="s">
        <v>199</v>
      </c>
      <c r="D33" s="891">
        <f>'KQKD PET'!E31</f>
        <v>0</v>
      </c>
      <c r="E33" s="1318">
        <f>'KQKD PET'!F31+'KQKD HD'!F31</f>
        <v>7149747121</v>
      </c>
      <c r="F33" s="891">
        <f>'KQKD PET'!G31+'KQKD HD'!G31</f>
        <v>380128078.28035498</v>
      </c>
      <c r="G33" s="891">
        <f>'KQKD PET'!H31+'KQKD HD'!H31</f>
        <v>382628078.28035498</v>
      </c>
      <c r="H33" s="891">
        <f>'KQKD PET'!I31+'KQKD HD'!I31</f>
        <v>380758886.72479939</v>
      </c>
      <c r="I33" s="891">
        <f>'KQKD PET'!J31+'KQKD HD'!J31</f>
        <v>380758886.72479939</v>
      </c>
      <c r="J33" s="891">
        <f>'KQKD PET'!K31+'KQKD HD'!K31</f>
        <v>381592220.05813277</v>
      </c>
      <c r="K33" s="891">
        <f>'KQKD PET'!L31+'KQKD HD'!L31</f>
        <v>402140831.16924387</v>
      </c>
      <c r="L33" s="891">
        <f>'KQKD PET'!M31+'KQKD HD'!M31</f>
        <v>402974164.50257719</v>
      </c>
      <c r="M33" s="891">
        <f>'KQKD PET'!N31+'KQKD HD'!N31</f>
        <v>402974164.50257719</v>
      </c>
      <c r="N33" s="891">
        <f>'KQKD PET'!O31+'KQKD HD'!O31</f>
        <v>404779720.05813277</v>
      </c>
      <c r="O33" s="891">
        <f>'KQKD PET'!P31+'KQKD HD'!P31</f>
        <v>406168608.9470216</v>
      </c>
      <c r="P33" s="891">
        <f>'KQKD PET'!Q31+'KQKD HD'!Q31</f>
        <v>406168608.9470216</v>
      </c>
      <c r="Q33" s="891">
        <f>'KQKD PET'!R31+'KQKD HD'!R31</f>
        <v>407001942.28035498</v>
      </c>
      <c r="R33" s="891">
        <f t="shared" si="1"/>
        <v>4738074190.4753704</v>
      </c>
      <c r="S33" s="1334">
        <f t="shared" si="2"/>
        <v>0.66269115680453317</v>
      </c>
      <c r="U33" s="1384">
        <f t="shared" si="4"/>
        <v>4.1560205957444731E-2</v>
      </c>
      <c r="V33" s="1384">
        <f t="shared" si="5"/>
        <v>2.9790229052028171E-2</v>
      </c>
    </row>
    <row r="34" spans="2:22" x14ac:dyDescent="0.35">
      <c r="B34" s="883">
        <v>7</v>
      </c>
      <c r="C34" s="884" t="s">
        <v>200</v>
      </c>
      <c r="D34" s="885">
        <f>'KQKD PET'!E32</f>
        <v>64684339330</v>
      </c>
      <c r="E34" s="1318">
        <f>'KQKD PET'!F32+'KQKD HD'!F32</f>
        <v>-4549939300.1674194</v>
      </c>
      <c r="F34" s="885">
        <f t="shared" ref="F34:Q34" si="13">F27-F29-F33</f>
        <v>-464946904.49489582</v>
      </c>
      <c r="G34" s="885">
        <f t="shared" si="13"/>
        <v>-658908722.25386608</v>
      </c>
      <c r="H34" s="885">
        <f t="shared" si="13"/>
        <v>-265204824.21156299</v>
      </c>
      <c r="I34" s="885">
        <f t="shared" si="13"/>
        <v>-94386043.774383426</v>
      </c>
      <c r="J34" s="1318">
        <f t="shared" si="13"/>
        <v>-110777933.1832484</v>
      </c>
      <c r="K34" s="1318">
        <f t="shared" si="13"/>
        <v>-522400110.72911614</v>
      </c>
      <c r="L34" s="1318">
        <f t="shared" si="13"/>
        <v>-535279815.93424451</v>
      </c>
      <c r="M34" s="1318">
        <f t="shared" si="13"/>
        <v>-535244815.93424451</v>
      </c>
      <c r="N34" s="1318">
        <f t="shared" si="13"/>
        <v>-493684688.13937294</v>
      </c>
      <c r="O34" s="1318">
        <f t="shared" si="13"/>
        <v>-526062020.13937283</v>
      </c>
      <c r="P34" s="1318">
        <f t="shared" si="13"/>
        <v>-533034277.72911608</v>
      </c>
      <c r="Q34" s="1318">
        <f t="shared" si="13"/>
        <v>-522908148.93424439</v>
      </c>
      <c r="R34" s="885">
        <f t="shared" si="1"/>
        <v>-5262838305.4576683</v>
      </c>
      <c r="S34" s="1334">
        <f t="shared" si="2"/>
        <v>1.156683190315092</v>
      </c>
      <c r="U34" s="1299">
        <f t="shared" si="4"/>
        <v>-2.6447986370514025E-2</v>
      </c>
      <c r="V34" s="1299">
        <f t="shared" si="5"/>
        <v>-3.3089637747449857E-2</v>
      </c>
    </row>
    <row r="35" spans="2:22" x14ac:dyDescent="0.35">
      <c r="B35" s="902" t="s">
        <v>201</v>
      </c>
      <c r="C35" s="900" t="s">
        <v>202</v>
      </c>
      <c r="D35" s="901">
        <f>'KQKD PET'!E33</f>
        <v>0</v>
      </c>
      <c r="E35" s="1330">
        <f t="shared" ref="E35:R35" si="14">E34/E10</f>
        <v>-2.6447986370514025E-2</v>
      </c>
      <c r="F35" s="901">
        <f t="shared" si="14"/>
        <v>-4.0729643594183566E-2</v>
      </c>
      <c r="G35" s="901">
        <f t="shared" si="14"/>
        <v>-7.4212485165033426E-2</v>
      </c>
      <c r="H35" s="901">
        <f t="shared" si="14"/>
        <v>-2.0908899658546455E-2</v>
      </c>
      <c r="I35" s="901">
        <f t="shared" si="14"/>
        <v>-6.7649541317661328E-3</v>
      </c>
      <c r="J35" s="901">
        <f t="shared" si="14"/>
        <v>-7.9496305786076922E-3</v>
      </c>
      <c r="K35" s="901">
        <f t="shared" si="14"/>
        <v>-3.7244822054085802E-2</v>
      </c>
      <c r="L35" s="901">
        <f t="shared" si="14"/>
        <v>-3.8163088185010942E-2</v>
      </c>
      <c r="M35" s="901">
        <f t="shared" si="14"/>
        <v>-3.8160592839498721E-2</v>
      </c>
      <c r="N35" s="901">
        <f t="shared" si="14"/>
        <v>-3.5197539171488108E-2</v>
      </c>
      <c r="O35" s="901">
        <f t="shared" si="14"/>
        <v>-3.7505900031601612E-2</v>
      </c>
      <c r="P35" s="901">
        <f t="shared" si="14"/>
        <v>-3.8002991222648261E-2</v>
      </c>
      <c r="Q35" s="901">
        <f t="shared" si="14"/>
        <v>-3.7281042935663089E-2</v>
      </c>
      <c r="R35" s="901">
        <f t="shared" si="14"/>
        <v>-3.3089637747449857E-2</v>
      </c>
      <c r="S35" s="1334">
        <f t="shared" si="2"/>
        <v>1.2511212492282735</v>
      </c>
      <c r="U35" s="1299">
        <f t="shared" si="4"/>
        <v>-1.5373743184423515E-13</v>
      </c>
      <c r="V35" s="1299">
        <f t="shared" si="5"/>
        <v>-2.0804821708506611E-13</v>
      </c>
    </row>
    <row r="36" spans="2:22" ht="26" x14ac:dyDescent="0.35">
      <c r="B36" s="892">
        <v>8</v>
      </c>
      <c r="C36" s="890" t="s">
        <v>203</v>
      </c>
      <c r="D36" s="891">
        <f>'KQKD PET'!E34</f>
        <v>0</v>
      </c>
      <c r="E36" s="1318">
        <f>'KQKD PET'!F34+'KQKD HD'!F34</f>
        <v>0</v>
      </c>
      <c r="F36" s="891">
        <f t="shared" ref="F36:Q36" si="15">F37+F38+F39</f>
        <v>0</v>
      </c>
      <c r="G36" s="891">
        <f t="shared" si="15"/>
        <v>0</v>
      </c>
      <c r="H36" s="891">
        <f t="shared" si="15"/>
        <v>0</v>
      </c>
      <c r="I36" s="891">
        <f t="shared" si="15"/>
        <v>0</v>
      </c>
      <c r="J36" s="891">
        <f t="shared" si="15"/>
        <v>0</v>
      </c>
      <c r="K36" s="891">
        <f t="shared" si="15"/>
        <v>0</v>
      </c>
      <c r="L36" s="891">
        <f t="shared" si="15"/>
        <v>0</v>
      </c>
      <c r="M36" s="891">
        <f t="shared" si="15"/>
        <v>0</v>
      </c>
      <c r="N36" s="891">
        <f t="shared" si="15"/>
        <v>0</v>
      </c>
      <c r="O36" s="891">
        <f t="shared" si="15"/>
        <v>0</v>
      </c>
      <c r="P36" s="891">
        <f t="shared" si="15"/>
        <v>0</v>
      </c>
      <c r="Q36" s="891">
        <f t="shared" si="15"/>
        <v>0</v>
      </c>
      <c r="R36" s="891">
        <f t="shared" si="1"/>
        <v>0</v>
      </c>
      <c r="S36" s="1334" t="e">
        <f t="shared" si="2"/>
        <v>#DIV/0!</v>
      </c>
      <c r="U36" s="1299">
        <f t="shared" si="4"/>
        <v>0</v>
      </c>
      <c r="V36" s="1299">
        <f t="shared" si="5"/>
        <v>0</v>
      </c>
    </row>
    <row r="37" spans="2:22" x14ac:dyDescent="0.35">
      <c r="B37" s="894">
        <v>8.1</v>
      </c>
      <c r="C37" s="888" t="s">
        <v>204</v>
      </c>
      <c r="D37" s="896">
        <f>'KQKD PET'!E35</f>
        <v>0</v>
      </c>
      <c r="E37" s="1329">
        <f>'KQKD PET'!F35+'KQKD HD'!F35</f>
        <v>0</v>
      </c>
      <c r="F37" s="896">
        <f>'KQKD PET'!G35+'KQKD HD'!G35+'KDKD DAY DAI'!G35</f>
        <v>0</v>
      </c>
      <c r="G37" s="896">
        <f>'KQKD PET'!H35+'KQKD HD'!H35+'KDKD DAY DAI'!H35</f>
        <v>0</v>
      </c>
      <c r="H37" s="896">
        <f>'KQKD PET'!I35+'KQKD HD'!I35+'KDKD DAY DAI'!I35</f>
        <v>0</v>
      </c>
      <c r="I37" s="896">
        <f>'KQKD PET'!J35+'KQKD HD'!J35+'KDKD DAY DAI'!J35</f>
        <v>0</v>
      </c>
      <c r="J37" s="896">
        <f>'KQKD PET'!K35+'KQKD HD'!K35+'KDKD DAY DAI'!K35</f>
        <v>0</v>
      </c>
      <c r="K37" s="896">
        <f>'KQKD PET'!L35+'KQKD HD'!L35+'KDKD DAY DAI'!L35</f>
        <v>0</v>
      </c>
      <c r="L37" s="896">
        <f>'KQKD PET'!M35+'KQKD HD'!M35+'KDKD DAY DAI'!M35</f>
        <v>0</v>
      </c>
      <c r="M37" s="896">
        <f>'KQKD PET'!N35+'KQKD HD'!N35+'KDKD DAY DAI'!N35</f>
        <v>0</v>
      </c>
      <c r="N37" s="896">
        <f>'KQKD PET'!O35+'KQKD HD'!O35+'KDKD DAY DAI'!O35</f>
        <v>0</v>
      </c>
      <c r="O37" s="896">
        <f>'KQKD PET'!P35+'KQKD HD'!P35+'KDKD DAY DAI'!P35</f>
        <v>0</v>
      </c>
      <c r="P37" s="896">
        <f>'KQKD PET'!Q35+'KQKD HD'!Q35+'KDKD DAY DAI'!Q35</f>
        <v>0</v>
      </c>
      <c r="Q37" s="896">
        <f>'KQKD PET'!R35+'KQKD HD'!R35+'KDKD DAY DAI'!R35</f>
        <v>0</v>
      </c>
      <c r="R37" s="896">
        <f t="shared" si="1"/>
        <v>0</v>
      </c>
      <c r="S37" s="1334" t="e">
        <f t="shared" si="2"/>
        <v>#DIV/0!</v>
      </c>
      <c r="U37" s="1299">
        <f t="shared" si="4"/>
        <v>0</v>
      </c>
      <c r="V37" s="1299">
        <f t="shared" si="5"/>
        <v>0</v>
      </c>
    </row>
    <row r="38" spans="2:22" ht="25" x14ac:dyDescent="0.35">
      <c r="B38" s="894">
        <v>8.1999999999999993</v>
      </c>
      <c r="C38" s="888" t="s">
        <v>205</v>
      </c>
      <c r="D38" s="896">
        <f>'KQKD PET'!E36</f>
        <v>0</v>
      </c>
      <c r="E38" s="1329">
        <f>'KQKD PET'!F36+'KQKD HD'!F36</f>
        <v>0</v>
      </c>
      <c r="F38" s="896">
        <f>'KQKD PET'!G36+'KQKD HD'!G36+'KDKD DAY DAI'!G36</f>
        <v>0</v>
      </c>
      <c r="G38" s="896">
        <f>'KQKD PET'!H36+'KQKD HD'!H36+'KDKD DAY DAI'!H36</f>
        <v>0</v>
      </c>
      <c r="H38" s="896">
        <f>'KQKD PET'!I36+'KQKD HD'!I36+'KDKD DAY DAI'!I36</f>
        <v>0</v>
      </c>
      <c r="I38" s="896">
        <f>'KQKD PET'!J36+'KQKD HD'!J36+'KDKD DAY DAI'!J36</f>
        <v>0</v>
      </c>
      <c r="J38" s="896">
        <f>'KQKD PET'!K36+'KQKD HD'!K36+'KDKD DAY DAI'!K36</f>
        <v>0</v>
      </c>
      <c r="K38" s="896">
        <f>'KQKD PET'!L36+'KQKD HD'!L36+'KDKD DAY DAI'!L36</f>
        <v>0</v>
      </c>
      <c r="L38" s="896">
        <f>'KQKD PET'!M36+'KQKD HD'!M36+'KDKD DAY DAI'!M36</f>
        <v>0</v>
      </c>
      <c r="M38" s="896">
        <f>'KQKD PET'!N36+'KQKD HD'!N36+'KDKD DAY DAI'!N36</f>
        <v>0</v>
      </c>
      <c r="N38" s="896">
        <f>'KQKD PET'!O36+'KQKD HD'!O36+'KDKD DAY DAI'!O36</f>
        <v>0</v>
      </c>
      <c r="O38" s="896">
        <f>'KQKD PET'!P36+'KQKD HD'!P36+'KDKD DAY DAI'!P36</f>
        <v>0</v>
      </c>
      <c r="P38" s="896">
        <f>'KQKD PET'!Q36+'KQKD HD'!Q36+'KDKD DAY DAI'!Q36</f>
        <v>0</v>
      </c>
      <c r="Q38" s="896">
        <f>'KQKD PET'!R36+'KQKD HD'!R36+'KDKD DAY DAI'!R36</f>
        <v>0</v>
      </c>
      <c r="R38" s="896">
        <f t="shared" si="1"/>
        <v>0</v>
      </c>
      <c r="S38" s="1334" t="e">
        <f t="shared" si="2"/>
        <v>#DIV/0!</v>
      </c>
      <c r="U38" s="1299">
        <f t="shared" si="4"/>
        <v>0</v>
      </c>
      <c r="V38" s="1299">
        <f t="shared" si="5"/>
        <v>0</v>
      </c>
    </row>
    <row r="39" spans="2:22" x14ac:dyDescent="0.35">
      <c r="B39" s="894">
        <v>83</v>
      </c>
      <c r="C39" s="888" t="s">
        <v>206</v>
      </c>
      <c r="D39" s="896">
        <f>'KQKD PET'!E37</f>
        <v>0</v>
      </c>
      <c r="E39" s="1329">
        <f>'KQKD PET'!F37+'KQKD HD'!F37</f>
        <v>0</v>
      </c>
      <c r="F39" s="896">
        <f>'KQKD PET'!G37+'KQKD HD'!G37+'KDKD DAY DAI'!G37</f>
        <v>0</v>
      </c>
      <c r="G39" s="896">
        <f>'KQKD PET'!H37+'KQKD HD'!H37+'KDKD DAY DAI'!H37</f>
        <v>0</v>
      </c>
      <c r="H39" s="896">
        <f>'KQKD PET'!I37+'KQKD HD'!I37+'KDKD DAY DAI'!I37</f>
        <v>0</v>
      </c>
      <c r="I39" s="896">
        <f>'KQKD PET'!J37+'KQKD HD'!J37+'KDKD DAY DAI'!J37</f>
        <v>0</v>
      </c>
      <c r="J39" s="896">
        <f>'KQKD PET'!K37+'KQKD HD'!K37+'KDKD DAY DAI'!K37</f>
        <v>0</v>
      </c>
      <c r="K39" s="896">
        <f>'KQKD PET'!L37+'KQKD HD'!L37+'KDKD DAY DAI'!L37</f>
        <v>0</v>
      </c>
      <c r="L39" s="896">
        <f>'KQKD PET'!M37+'KQKD HD'!M37+'KDKD DAY DAI'!M37</f>
        <v>0</v>
      </c>
      <c r="M39" s="896">
        <f>'KQKD PET'!N37+'KQKD HD'!N37+'KDKD DAY DAI'!N37</f>
        <v>0</v>
      </c>
      <c r="N39" s="896">
        <f>'KQKD PET'!O37+'KQKD HD'!O37+'KDKD DAY DAI'!O37</f>
        <v>0</v>
      </c>
      <c r="O39" s="896">
        <f>'KQKD PET'!P37+'KQKD HD'!P37+'KDKD DAY DAI'!P37</f>
        <v>0</v>
      </c>
      <c r="P39" s="896">
        <f>'KQKD PET'!Q37+'KQKD HD'!Q37+'KDKD DAY DAI'!Q37</f>
        <v>0</v>
      </c>
      <c r="Q39" s="896">
        <f>'KQKD PET'!R37+'KQKD HD'!R37+'KDKD DAY DAI'!R37</f>
        <v>0</v>
      </c>
      <c r="R39" s="896">
        <f t="shared" si="1"/>
        <v>0</v>
      </c>
      <c r="S39" s="1334" t="e">
        <f t="shared" si="2"/>
        <v>#DIV/0!</v>
      </c>
      <c r="U39" s="1299">
        <f t="shared" si="4"/>
        <v>0</v>
      </c>
      <c r="V39" s="1299">
        <f t="shared" si="5"/>
        <v>0</v>
      </c>
    </row>
    <row r="40" spans="2:22" x14ac:dyDescent="0.35">
      <c r="B40" s="892">
        <v>9</v>
      </c>
      <c r="C40" s="890" t="s">
        <v>207</v>
      </c>
      <c r="D40" s="891">
        <f>'KQKD PET'!E38</f>
        <v>0</v>
      </c>
      <c r="E40" s="1318">
        <f>'KQKD PET'!F38+'KQKD HD'!F38</f>
        <v>3999101100</v>
      </c>
      <c r="F40" s="891">
        <f t="shared" ref="F40:Q40" si="16">F41+F42+F43</f>
        <v>557450326.95105529</v>
      </c>
      <c r="G40" s="891">
        <f t="shared" si="16"/>
        <v>491305876.61772192</v>
      </c>
      <c r="H40" s="891">
        <f t="shared" si="16"/>
        <v>520520513.28438854</v>
      </c>
      <c r="I40" s="891">
        <f t="shared" si="16"/>
        <v>525352353.72883302</v>
      </c>
      <c r="J40" s="891">
        <f t="shared" si="16"/>
        <v>506877391.22883302</v>
      </c>
      <c r="K40" s="891">
        <f t="shared" si="16"/>
        <v>669664297.47327757</v>
      </c>
      <c r="L40" s="891">
        <f t="shared" si="16"/>
        <v>494437435.27327752</v>
      </c>
      <c r="M40" s="891">
        <f t="shared" si="16"/>
        <v>524812435.07327753</v>
      </c>
      <c r="N40" s="891">
        <f t="shared" si="16"/>
        <v>503502636.77327752</v>
      </c>
      <c r="O40" s="891">
        <f t="shared" si="16"/>
        <v>485022616.10661083</v>
      </c>
      <c r="P40" s="891">
        <f t="shared" si="16"/>
        <v>500559340.10661083</v>
      </c>
      <c r="Q40" s="891">
        <f t="shared" si="16"/>
        <v>494722478.10661083</v>
      </c>
      <c r="R40" s="891">
        <f>SUM(F40:Q40)</f>
        <v>6274227700.7237749</v>
      </c>
      <c r="S40" s="1379">
        <f t="shared" si="2"/>
        <v>1.5689094983679646</v>
      </c>
      <c r="U40" s="1299">
        <f t="shared" si="4"/>
        <v>2.324606207015021E-2</v>
      </c>
      <c r="V40" s="1299">
        <f t="shared" si="5"/>
        <v>3.9448660534880435E-2</v>
      </c>
    </row>
    <row r="41" spans="2:22" x14ac:dyDescent="0.35">
      <c r="B41" s="894">
        <v>9.1</v>
      </c>
      <c r="C41" s="895" t="s">
        <v>204</v>
      </c>
      <c r="D41" s="896">
        <f>'KQKD PET'!E39</f>
        <v>0</v>
      </c>
      <c r="E41" s="1329">
        <f>'KQKD PET'!F39+'KQKD HD'!F39</f>
        <v>2254151653</v>
      </c>
      <c r="F41" s="896">
        <f>'KQKD PET'!G39+'KQKD HD'!G39</f>
        <v>324799137.66666669</v>
      </c>
      <c r="G41" s="896">
        <f>'KQKD PET'!H39+'KQKD HD'!H39</f>
        <v>325691015.66666669</v>
      </c>
      <c r="H41" s="896">
        <f>'KQKD PET'!I39+'KQKD HD'!I39</f>
        <v>309654659.66666669</v>
      </c>
      <c r="I41" s="896">
        <f>'KQKD PET'!J39+'KQKD HD'!J39</f>
        <v>332723245.66666669</v>
      </c>
      <c r="J41" s="896">
        <f>'KQKD PET'!K39+'KQKD HD'!K39</f>
        <v>319935783.66666669</v>
      </c>
      <c r="K41" s="896">
        <f>'KQKD PET'!L39+'KQKD HD'!L39</f>
        <v>333028245.66666669</v>
      </c>
      <c r="L41" s="896">
        <f>'KQKD PET'!M39+'KQKD HD'!M39</f>
        <v>325801383.66666669</v>
      </c>
      <c r="M41" s="896">
        <f>'KQKD PET'!N39+'KQKD HD'!N39</f>
        <v>325801383.66666669</v>
      </c>
      <c r="N41" s="896">
        <f>'KQKD PET'!O39+'KQKD HD'!O39</f>
        <v>333409875.66666669</v>
      </c>
      <c r="O41" s="896">
        <f>'KQKD PET'!P39+'KQKD HD'!P39</f>
        <v>317796521.66666669</v>
      </c>
      <c r="P41" s="896">
        <f>'KQKD PET'!Q39+'KQKD HD'!Q39</f>
        <v>333333245.66666669</v>
      </c>
      <c r="Q41" s="896">
        <f>'KQKD PET'!R39+'KQKD HD'!R39</f>
        <v>325496383.66666669</v>
      </c>
      <c r="R41" s="1371">
        <f t="shared" si="1"/>
        <v>3907470881.9999995</v>
      </c>
      <c r="S41" s="22" t="s">
        <v>2136</v>
      </c>
      <c r="U41" s="1299">
        <f t="shared" si="4"/>
        <v>1.3102981877894935E-2</v>
      </c>
      <c r="V41" s="1299">
        <f t="shared" si="5"/>
        <v>2.4567883048963336E-2</v>
      </c>
    </row>
    <row r="42" spans="2:22" ht="25" x14ac:dyDescent="0.35">
      <c r="B42" s="894">
        <v>9.1999999999999993</v>
      </c>
      <c r="C42" s="895" t="s">
        <v>208</v>
      </c>
      <c r="D42" s="896">
        <f>'KQKD PET'!E40</f>
        <v>0</v>
      </c>
      <c r="E42" s="1329">
        <f>'KQKD PET'!F40+'KQKD HD'!F40</f>
        <v>1658847971</v>
      </c>
      <c r="F42" s="896">
        <f>'KQKD PET'!G40+'KQKD HD'!G40</f>
        <v>224046622.2843886</v>
      </c>
      <c r="G42" s="896">
        <f>'KQKD PET'!H40+'KQKD HD'!H40</f>
        <v>157010293.95105523</v>
      </c>
      <c r="H42" s="896">
        <f>'KQKD PET'!I40+'KQKD HD'!I40</f>
        <v>202261286.61772186</v>
      </c>
      <c r="I42" s="896">
        <f>'KQKD PET'!J40+'KQKD HD'!J40</f>
        <v>184024541.06216633</v>
      </c>
      <c r="J42" s="896">
        <f>'KQKD PET'!K40+'KQKD HD'!K40</f>
        <v>178337040.56216633</v>
      </c>
      <c r="K42" s="896">
        <f>'KQKD PET'!L40+'KQKD HD'!L40</f>
        <v>328031484.80661088</v>
      </c>
      <c r="L42" s="896">
        <f>'KQKD PET'!M40+'KQKD HD'!M40</f>
        <v>160031484.60661083</v>
      </c>
      <c r="M42" s="896">
        <f>'KQKD PET'!N40+'KQKD HD'!N40</f>
        <v>190406484.40661085</v>
      </c>
      <c r="N42" s="896">
        <f>'KQKD PET'!O40+'KQKD HD'!O40</f>
        <v>161488194.10661083</v>
      </c>
      <c r="O42" s="896">
        <f>'KQKD PET'!P40+'KQKD HD'!P40</f>
        <v>158621527.43994415</v>
      </c>
      <c r="P42" s="896">
        <f>'KQKD PET'!Q40+'KQKD HD'!Q40</f>
        <v>158621527.43994415</v>
      </c>
      <c r="Q42" s="896">
        <f>'KQKD PET'!R40+'KQKD HD'!R40</f>
        <v>160621527.43994415</v>
      </c>
      <c r="R42" s="896">
        <f t="shared" si="1"/>
        <v>2263502014.7237744</v>
      </c>
      <c r="S42" s="22" t="s">
        <v>2133</v>
      </c>
      <c r="U42" s="1299">
        <f t="shared" si="4"/>
        <v>9.6425876552130012E-3</v>
      </c>
      <c r="V42" s="1299">
        <f t="shared" si="5"/>
        <v>1.4231571893470756E-2</v>
      </c>
    </row>
    <row r="43" spans="2:22" x14ac:dyDescent="0.35">
      <c r="B43" s="894">
        <v>9.3000000000000007</v>
      </c>
      <c r="C43" s="895" t="s">
        <v>206</v>
      </c>
      <c r="D43" s="896">
        <f>'KQKD PET'!E41</f>
        <v>0</v>
      </c>
      <c r="E43" s="1329">
        <f>'KQKD PET'!F41+'KQKD HD'!F41</f>
        <v>86101476</v>
      </c>
      <c r="F43" s="896">
        <f>'KQKD PET'!G41+'KQKD HD'!G41</f>
        <v>8604567</v>
      </c>
      <c r="G43" s="896">
        <f>'KQKD PET'!H41+'KQKD HD'!H41</f>
        <v>8604567</v>
      </c>
      <c r="H43" s="896">
        <f>'KQKD PET'!I41+'KQKD HD'!I41</f>
        <v>8604567</v>
      </c>
      <c r="I43" s="896">
        <f>'KQKD PET'!J41+'KQKD HD'!J41</f>
        <v>8604567</v>
      </c>
      <c r="J43" s="896">
        <f>'KQKD PET'!K41+'KQKD HD'!K41</f>
        <v>8604567</v>
      </c>
      <c r="K43" s="896">
        <f>'KQKD PET'!L41+'KQKD HD'!L41</f>
        <v>8604567</v>
      </c>
      <c r="L43" s="896">
        <f>'KQKD PET'!M41+'KQKD HD'!M41</f>
        <v>8604567</v>
      </c>
      <c r="M43" s="896">
        <f>'KQKD PET'!N41+'KQKD HD'!N41</f>
        <v>8604567</v>
      </c>
      <c r="N43" s="896">
        <f>'KQKD PET'!O41+'KQKD HD'!O41</f>
        <v>8604567</v>
      </c>
      <c r="O43" s="896">
        <f>'KQKD PET'!P41+'KQKD HD'!P41</f>
        <v>8604567</v>
      </c>
      <c r="P43" s="896">
        <f>'KQKD PET'!Q41+'KQKD HD'!Q41</f>
        <v>8604567</v>
      </c>
      <c r="Q43" s="896">
        <f>'KQKD PET'!R41+'KQKD HD'!R41</f>
        <v>8604567</v>
      </c>
      <c r="R43" s="896">
        <f t="shared" si="1"/>
        <v>103254804</v>
      </c>
      <c r="S43" s="1298">
        <f t="shared" ref="S43:S56" si="17">R43/E43</f>
        <v>1.1992222293610855</v>
      </c>
      <c r="U43" s="1299">
        <f t="shared" si="4"/>
        <v>5.0049253704227399E-4</v>
      </c>
      <c r="V43" s="1299">
        <f t="shared" si="5"/>
        <v>6.4920559244633985E-4</v>
      </c>
    </row>
    <row r="44" spans="2:22" x14ac:dyDescent="0.35">
      <c r="B44" s="892">
        <v>10</v>
      </c>
      <c r="C44" s="893" t="s">
        <v>209</v>
      </c>
      <c r="D44" s="891">
        <f>'KQKD PET'!E42</f>
        <v>0</v>
      </c>
      <c r="E44" s="1318">
        <f>'KQKD PET'!F42+'KQKD HD'!F42</f>
        <v>-14027331</v>
      </c>
      <c r="F44" s="891">
        <f>'KQKD PET'!G42+'KQKD HD'!G42</f>
        <v>0</v>
      </c>
      <c r="G44" s="891">
        <f>'KQKD PET'!H42+'KQKD HD'!H42</f>
        <v>0</v>
      </c>
      <c r="H44" s="891">
        <f>'KQKD PET'!I42+'KQKD HD'!I42</f>
        <v>0</v>
      </c>
      <c r="I44" s="891">
        <f>'KQKD PET'!J42+'KQKD HD'!J42</f>
        <v>0</v>
      </c>
      <c r="J44" s="891">
        <f>'KQKD PET'!K42+'KQKD HD'!K42</f>
        <v>0</v>
      </c>
      <c r="K44" s="891">
        <f>'KQKD PET'!L42+'KQKD HD'!L42</f>
        <v>0</v>
      </c>
      <c r="L44" s="891">
        <f>'KQKD PET'!M42+'KQKD HD'!M42</f>
        <v>0</v>
      </c>
      <c r="M44" s="891">
        <f>'KQKD PET'!N42+'KQKD HD'!N42</f>
        <v>0</v>
      </c>
      <c r="N44" s="891">
        <f>'KQKD PET'!O42+'KQKD HD'!O42</f>
        <v>0</v>
      </c>
      <c r="O44" s="891">
        <f>'KQKD PET'!P42+'KQKD HD'!P42</f>
        <v>0</v>
      </c>
      <c r="P44" s="891">
        <f>'KQKD PET'!Q42+'KQKD HD'!Q42</f>
        <v>0</v>
      </c>
      <c r="Q44" s="891">
        <f>'KQKD PET'!R42+'KQKD HD'!R42</f>
        <v>0</v>
      </c>
      <c r="R44" s="891">
        <f t="shared" ref="R44" si="18">SUM(F44:Q44)</f>
        <v>0</v>
      </c>
      <c r="S44" s="1298">
        <f t="shared" si="17"/>
        <v>0</v>
      </c>
      <c r="U44" s="1299">
        <f t="shared" si="4"/>
        <v>-8.1538375487567001E-5</v>
      </c>
      <c r="V44" s="1299">
        <f t="shared" si="5"/>
        <v>0</v>
      </c>
    </row>
    <row r="45" spans="2:22" ht="26" x14ac:dyDescent="0.35">
      <c r="B45" s="883">
        <v>11</v>
      </c>
      <c r="C45" s="884" t="s">
        <v>210</v>
      </c>
      <c r="D45" s="885">
        <f>'KQKD PET'!E43</f>
        <v>64684339330</v>
      </c>
      <c r="E45" s="1318">
        <f>'KQKD PET'!F43+'KQKD HD'!F43</f>
        <v>-8563067731.1674194</v>
      </c>
      <c r="F45" s="885">
        <f t="shared" ref="F45:Q45" si="19">F34-F36-F40+F44</f>
        <v>-1022397231.4459511</v>
      </c>
      <c r="G45" s="885">
        <f t="shared" si="19"/>
        <v>-1150214598.871588</v>
      </c>
      <c r="H45" s="885">
        <f t="shared" si="19"/>
        <v>-785725337.49595153</v>
      </c>
      <c r="I45" s="885">
        <f t="shared" si="19"/>
        <v>-619738397.50321651</v>
      </c>
      <c r="J45" s="885">
        <f t="shared" si="19"/>
        <v>-617655324.41208148</v>
      </c>
      <c r="K45" s="885">
        <f t="shared" si="19"/>
        <v>-1192064408.2023938</v>
      </c>
      <c r="L45" s="885">
        <f t="shared" si="19"/>
        <v>-1029717251.207522</v>
      </c>
      <c r="M45" s="885">
        <f t="shared" si="19"/>
        <v>-1060057251.0075221</v>
      </c>
      <c r="N45" s="885">
        <f t="shared" si="19"/>
        <v>-997187324.91265047</v>
      </c>
      <c r="O45" s="885">
        <f t="shared" si="19"/>
        <v>-1011084636.2459836</v>
      </c>
      <c r="P45" s="885">
        <f t="shared" si="19"/>
        <v>-1033593617.835727</v>
      </c>
      <c r="Q45" s="885">
        <f t="shared" si="19"/>
        <v>-1017630627.0408552</v>
      </c>
      <c r="R45" s="885">
        <f t="shared" si="1"/>
        <v>-11537066006.181444</v>
      </c>
      <c r="S45" s="1298">
        <f t="shared" si="17"/>
        <v>1.3473052378401045</v>
      </c>
      <c r="U45" s="1299">
        <f t="shared" si="4"/>
        <v>-4.9775586816151803E-2</v>
      </c>
      <c r="V45" s="1299">
        <f t="shared" si="5"/>
        <v>-7.2538298282330299E-2</v>
      </c>
    </row>
    <row r="46" spans="2:22" x14ac:dyDescent="0.35">
      <c r="B46" s="892">
        <v>12</v>
      </c>
      <c r="C46" s="893" t="s">
        <v>211</v>
      </c>
      <c r="D46" s="891">
        <f>'KQKD PET'!E44</f>
        <v>0</v>
      </c>
      <c r="E46" s="1318">
        <f>'KQKD PET'!F44+'KQKD HD'!F44</f>
        <v>0</v>
      </c>
      <c r="F46" s="891">
        <f>'KQKD PET'!G44+'KQKD HD'!G44</f>
        <v>0</v>
      </c>
      <c r="G46" s="891">
        <f>'KQKD PET'!H44+'KQKD HD'!H44</f>
        <v>0</v>
      </c>
      <c r="H46" s="891">
        <f>'KQKD PET'!I44+'KQKD HD'!I44</f>
        <v>0</v>
      </c>
      <c r="I46" s="891">
        <f>'KQKD PET'!J44+'KQKD HD'!J44</f>
        <v>0</v>
      </c>
      <c r="J46" s="891">
        <f>'KQKD PET'!K44+'KQKD HD'!K44</f>
        <v>0</v>
      </c>
      <c r="K46" s="891">
        <f>'KQKD PET'!L44+'KQKD HD'!L44</f>
        <v>0</v>
      </c>
      <c r="L46" s="891">
        <f>'KQKD PET'!M44+'KQKD HD'!M44</f>
        <v>0</v>
      </c>
      <c r="M46" s="891">
        <f>'KQKD PET'!N44+'KQKD HD'!N44</f>
        <v>0</v>
      </c>
      <c r="N46" s="891">
        <f>'KQKD PET'!O44+'KQKD HD'!O44</f>
        <v>0</v>
      </c>
      <c r="O46" s="891">
        <f>'KQKD PET'!P44+'KQKD HD'!P44</f>
        <v>0</v>
      </c>
      <c r="P46" s="891">
        <f>'KQKD PET'!Q44+'KQKD HD'!Q44</f>
        <v>0</v>
      </c>
      <c r="Q46" s="891">
        <f>'KQKD PET'!R44+'KQKD HD'!R44</f>
        <v>0</v>
      </c>
      <c r="R46" s="891">
        <f t="shared" si="1"/>
        <v>0</v>
      </c>
      <c r="S46" s="1298" t="e">
        <f t="shared" si="17"/>
        <v>#DIV/0!</v>
      </c>
      <c r="U46" s="1299">
        <f t="shared" si="4"/>
        <v>0</v>
      </c>
      <c r="V46" s="1299">
        <f t="shared" si="5"/>
        <v>0</v>
      </c>
    </row>
    <row r="47" spans="2:22" x14ac:dyDescent="0.35">
      <c r="B47" s="892">
        <v>13</v>
      </c>
      <c r="C47" s="893" t="s">
        <v>212</v>
      </c>
      <c r="D47" s="891">
        <f>'KQKD PET'!E45</f>
        <v>0</v>
      </c>
      <c r="E47" s="1318">
        <f>'KQKD PET'!F45+'KQKD HD'!F45</f>
        <v>0</v>
      </c>
      <c r="F47" s="891">
        <f>'KQKD PET'!G45+'KQKD HD'!G45</f>
        <v>0</v>
      </c>
      <c r="G47" s="891">
        <f>'KQKD PET'!H45+'KQKD HD'!H45</f>
        <v>0</v>
      </c>
      <c r="H47" s="891">
        <f>'KQKD PET'!I45+'KQKD HD'!I45</f>
        <v>0</v>
      </c>
      <c r="I47" s="891">
        <f>'KQKD PET'!J45+'KQKD HD'!J45</f>
        <v>0</v>
      </c>
      <c r="J47" s="891">
        <f>'KQKD PET'!K45+'KQKD HD'!K45</f>
        <v>0</v>
      </c>
      <c r="K47" s="891">
        <f>'KQKD PET'!L45+'KQKD HD'!L45</f>
        <v>0</v>
      </c>
      <c r="L47" s="891">
        <f>'KQKD PET'!M45+'KQKD HD'!M45</f>
        <v>0</v>
      </c>
      <c r="M47" s="891">
        <f>'KQKD PET'!N45+'KQKD HD'!N45</f>
        <v>0</v>
      </c>
      <c r="N47" s="891">
        <f>'KQKD PET'!O45+'KQKD HD'!O45</f>
        <v>0</v>
      </c>
      <c r="O47" s="891">
        <f>'KQKD PET'!P45+'KQKD HD'!P45</f>
        <v>0</v>
      </c>
      <c r="P47" s="891">
        <f>'KQKD PET'!Q45+'KQKD HD'!Q45</f>
        <v>0</v>
      </c>
      <c r="Q47" s="891">
        <f>'KQKD PET'!R45+'KQKD HD'!R45</f>
        <v>0</v>
      </c>
      <c r="R47" s="891">
        <f t="shared" si="1"/>
        <v>0</v>
      </c>
      <c r="S47" s="1298" t="e">
        <f t="shared" si="17"/>
        <v>#DIV/0!</v>
      </c>
      <c r="U47" s="1299">
        <f t="shared" si="4"/>
        <v>0</v>
      </c>
      <c r="V47" s="1299">
        <f t="shared" si="5"/>
        <v>0</v>
      </c>
    </row>
    <row r="48" spans="2:22" x14ac:dyDescent="0.35">
      <c r="B48" s="897">
        <v>13.1</v>
      </c>
      <c r="C48" s="898" t="s">
        <v>213</v>
      </c>
      <c r="D48" s="887">
        <f>'KQKD PET'!E46</f>
        <v>0</v>
      </c>
      <c r="E48" s="1328">
        <f>'KQKD PET'!F46+'KQKD HD'!F46</f>
        <v>0</v>
      </c>
      <c r="F48" s="887">
        <f>'KQKD PET'!G46+'KQKD HD'!G46</f>
        <v>0</v>
      </c>
      <c r="G48" s="887">
        <f>'KQKD PET'!H46+'KQKD HD'!H46</f>
        <v>0</v>
      </c>
      <c r="H48" s="887">
        <f>'KQKD PET'!I46+'KQKD HD'!I46</f>
        <v>0</v>
      </c>
      <c r="I48" s="887">
        <f>'KQKD PET'!J46+'KQKD HD'!J46</f>
        <v>0</v>
      </c>
      <c r="J48" s="887">
        <f>'KQKD PET'!K46+'KQKD HD'!K46</f>
        <v>0</v>
      </c>
      <c r="K48" s="887">
        <f>'KQKD PET'!L46+'KQKD HD'!L46</f>
        <v>0</v>
      </c>
      <c r="L48" s="887">
        <f>'KQKD PET'!M46+'KQKD HD'!M46</f>
        <v>0</v>
      </c>
      <c r="M48" s="887">
        <f>'KQKD PET'!N46+'KQKD HD'!N46</f>
        <v>0</v>
      </c>
      <c r="N48" s="887">
        <f>'KQKD PET'!O46+'KQKD HD'!O46</f>
        <v>0</v>
      </c>
      <c r="O48" s="887">
        <f>'KQKD PET'!P46+'KQKD HD'!P46</f>
        <v>0</v>
      </c>
      <c r="P48" s="887">
        <f>'KQKD PET'!Q46+'KQKD HD'!Q46</f>
        <v>0</v>
      </c>
      <c r="Q48" s="887">
        <f>'KQKD PET'!R46+'KQKD HD'!R46</f>
        <v>0</v>
      </c>
      <c r="R48" s="887">
        <f t="shared" si="1"/>
        <v>0</v>
      </c>
      <c r="S48" s="1298" t="e">
        <f t="shared" si="17"/>
        <v>#DIV/0!</v>
      </c>
      <c r="U48" s="1299">
        <f t="shared" si="4"/>
        <v>0</v>
      </c>
      <c r="V48" s="1299">
        <f t="shared" si="5"/>
        <v>0</v>
      </c>
    </row>
    <row r="49" spans="1:23" x14ac:dyDescent="0.35">
      <c r="B49" s="883">
        <v>14</v>
      </c>
      <c r="C49" s="884" t="s">
        <v>214</v>
      </c>
      <c r="D49" s="885">
        <f>'KQKD PET'!E47</f>
        <v>64684339330</v>
      </c>
      <c r="E49" s="1318">
        <f>'KQKD PET'!F47+'KQKD HD'!F47</f>
        <v>-8563067731.1674194</v>
      </c>
      <c r="F49" s="885">
        <f t="shared" ref="F49:Q49" si="20">F45+F46-F47</f>
        <v>-1022397231.4459511</v>
      </c>
      <c r="G49" s="885">
        <f t="shared" si="20"/>
        <v>-1150214598.871588</v>
      </c>
      <c r="H49" s="885">
        <f t="shared" si="20"/>
        <v>-785725337.49595153</v>
      </c>
      <c r="I49" s="885">
        <f t="shared" si="20"/>
        <v>-619738397.50321651</v>
      </c>
      <c r="J49" s="885">
        <f t="shared" si="20"/>
        <v>-617655324.41208148</v>
      </c>
      <c r="K49" s="885">
        <f t="shared" si="20"/>
        <v>-1192064408.2023938</v>
      </c>
      <c r="L49" s="885">
        <f t="shared" si="20"/>
        <v>-1029717251.207522</v>
      </c>
      <c r="M49" s="885">
        <f t="shared" si="20"/>
        <v>-1060057251.0075221</v>
      </c>
      <c r="N49" s="885">
        <f t="shared" si="20"/>
        <v>-997187324.91265047</v>
      </c>
      <c r="O49" s="885">
        <f t="shared" si="20"/>
        <v>-1011084636.2459836</v>
      </c>
      <c r="P49" s="885">
        <f t="shared" si="20"/>
        <v>-1033593617.835727</v>
      </c>
      <c r="Q49" s="885">
        <f t="shared" si="20"/>
        <v>-1017630627.0408552</v>
      </c>
      <c r="R49" s="885">
        <f t="shared" si="1"/>
        <v>-11537066006.181444</v>
      </c>
      <c r="S49" s="1298">
        <f t="shared" si="17"/>
        <v>1.3473052378401045</v>
      </c>
      <c r="U49" s="1299">
        <f t="shared" si="4"/>
        <v>-4.9775586816151803E-2</v>
      </c>
      <c r="V49" s="1299">
        <f t="shared" si="5"/>
        <v>-7.2538298282330299E-2</v>
      </c>
    </row>
    <row r="50" spans="1:23" x14ac:dyDescent="0.35">
      <c r="B50" s="894">
        <v>15</v>
      </c>
      <c r="C50" s="895" t="s">
        <v>215</v>
      </c>
      <c r="D50" s="896">
        <f>'KQKD PET'!E48</f>
        <v>0</v>
      </c>
      <c r="E50" s="1329">
        <f>'KQKD PET'!F48+'KQKD HD'!F48</f>
        <v>0</v>
      </c>
      <c r="F50" s="896"/>
      <c r="G50" s="896"/>
      <c r="H50" s="896"/>
      <c r="I50" s="896"/>
      <c r="J50" s="896"/>
      <c r="K50" s="896"/>
      <c r="L50" s="896"/>
      <c r="M50" s="896"/>
      <c r="N50" s="896"/>
      <c r="O50" s="896"/>
      <c r="P50" s="896"/>
      <c r="Q50" s="896"/>
      <c r="R50" s="896">
        <f t="shared" si="1"/>
        <v>0</v>
      </c>
      <c r="S50" s="1298" t="e">
        <f t="shared" si="17"/>
        <v>#DIV/0!</v>
      </c>
      <c r="U50" s="1299">
        <f t="shared" si="4"/>
        <v>0</v>
      </c>
      <c r="V50" s="1299">
        <f t="shared" si="5"/>
        <v>0</v>
      </c>
    </row>
    <row r="51" spans="1:23" s="1306" customFormat="1" x14ac:dyDescent="0.35">
      <c r="A51" s="1319"/>
      <c r="B51" s="1320">
        <v>16</v>
      </c>
      <c r="C51" s="1321" t="s">
        <v>216</v>
      </c>
      <c r="D51" s="1322">
        <f>'KQKD PET'!E49</f>
        <v>64684339330</v>
      </c>
      <c r="E51" s="1322">
        <f>'KQKD PET'!F49+'KQKD HD'!F49</f>
        <v>-8563067731.1674194</v>
      </c>
      <c r="F51" s="1322">
        <f t="shared" ref="F51:Q51" si="21">F49-F50</f>
        <v>-1022397231.4459511</v>
      </c>
      <c r="G51" s="1322">
        <f t="shared" si="21"/>
        <v>-1150214598.871588</v>
      </c>
      <c r="H51" s="1322">
        <f t="shared" si="21"/>
        <v>-785725337.49595153</v>
      </c>
      <c r="I51" s="1322">
        <f t="shared" si="21"/>
        <v>-619738397.50321651</v>
      </c>
      <c r="J51" s="1322">
        <f t="shared" si="21"/>
        <v>-617655324.41208148</v>
      </c>
      <c r="K51" s="1322">
        <f t="shared" si="21"/>
        <v>-1192064408.2023938</v>
      </c>
      <c r="L51" s="1322">
        <f t="shared" si="21"/>
        <v>-1029717251.207522</v>
      </c>
      <c r="M51" s="1322">
        <f t="shared" si="21"/>
        <v>-1060057251.0075221</v>
      </c>
      <c r="N51" s="1322">
        <f t="shared" si="21"/>
        <v>-997187324.91265047</v>
      </c>
      <c r="O51" s="1322">
        <f t="shared" si="21"/>
        <v>-1011084636.2459836</v>
      </c>
      <c r="P51" s="1322">
        <f t="shared" si="21"/>
        <v>-1033593617.835727</v>
      </c>
      <c r="Q51" s="1322">
        <f t="shared" si="21"/>
        <v>-1017630627.0408552</v>
      </c>
      <c r="R51" s="1322">
        <f t="shared" si="1"/>
        <v>-11537066006.181444</v>
      </c>
      <c r="S51" s="1335">
        <f t="shared" si="17"/>
        <v>1.3473052378401045</v>
      </c>
      <c r="U51" s="1299">
        <f t="shared" si="4"/>
        <v>-4.9775586816151803E-2</v>
      </c>
      <c r="V51" s="1299">
        <f t="shared" si="5"/>
        <v>-7.2538298282330299E-2</v>
      </c>
    </row>
    <row r="52" spans="1:23" x14ac:dyDescent="0.35">
      <c r="B52" s="903" t="s">
        <v>217</v>
      </c>
      <c r="C52" s="900" t="s">
        <v>218</v>
      </c>
      <c r="D52" s="901">
        <f>'KQKD PET'!E50</f>
        <v>0.38189875574447907</v>
      </c>
      <c r="E52" s="1331">
        <f>E51/E10</f>
        <v>-4.9775586816151803E-2</v>
      </c>
      <c r="F52" s="904">
        <f>F51/F10</f>
        <v>-8.9562645639531813E-2</v>
      </c>
      <c r="G52" s="904">
        <f t="shared" ref="G52:R52" si="22">G51/G10</f>
        <v>-0.12954796464581442</v>
      </c>
      <c r="H52" s="904">
        <f t="shared" si="22"/>
        <v>-6.1947033918865288E-2</v>
      </c>
      <c r="I52" s="904">
        <f t="shared" si="22"/>
        <v>-4.4418662602546337E-2</v>
      </c>
      <c r="J52" s="904">
        <f t="shared" si="22"/>
        <v>-4.4324095177546034E-2</v>
      </c>
      <c r="K52" s="904">
        <f t="shared" si="22"/>
        <v>-8.4988930608265872E-2</v>
      </c>
      <c r="L52" s="904">
        <f t="shared" si="22"/>
        <v>-7.3414294904568425E-2</v>
      </c>
      <c r="M52" s="904">
        <f t="shared" si="22"/>
        <v>-7.5577402971476831E-2</v>
      </c>
      <c r="N52" s="904">
        <f t="shared" si="22"/>
        <v>-7.1095054744772082E-2</v>
      </c>
      <c r="O52" s="904">
        <f t="shared" si="22"/>
        <v>-7.2085871700989415E-2</v>
      </c>
      <c r="P52" s="904">
        <f t="shared" si="22"/>
        <v>-7.3690662735123397E-2</v>
      </c>
      <c r="Q52" s="904">
        <f t="shared" si="22"/>
        <v>-7.255257195107627E-2</v>
      </c>
      <c r="R52" s="904">
        <f t="shared" si="22"/>
        <v>-7.2538298282330299E-2</v>
      </c>
      <c r="S52" s="1336">
        <f t="shared" si="17"/>
        <v>1.4573067425654571</v>
      </c>
      <c r="U52" s="1299">
        <f t="shared" si="4"/>
        <v>-2.8933661634771258E-13</v>
      </c>
      <c r="V52" s="1299">
        <f t="shared" si="5"/>
        <v>-4.5607823643178439E-13</v>
      </c>
    </row>
    <row r="53" spans="1:23" x14ac:dyDescent="0.35">
      <c r="B53" s="894">
        <v>17</v>
      </c>
      <c r="C53" s="895" t="s">
        <v>206</v>
      </c>
      <c r="D53" s="896">
        <f>'KQKD PET'!E51</f>
        <v>0</v>
      </c>
      <c r="E53" s="1329">
        <f>'KQKD PET'!F51+'KQKD HD'!F51</f>
        <v>7235848597</v>
      </c>
      <c r="F53" s="896">
        <f>'KQKD PET'!G51+'KQKD HD'!G51</f>
        <v>380128078.28035498</v>
      </c>
      <c r="G53" s="896">
        <f>'KQKD PET'!H51+'KQKD HD'!H51</f>
        <v>380128078.28035498</v>
      </c>
      <c r="H53" s="896">
        <f>'KQKD PET'!I51+'KQKD HD'!I51</f>
        <v>377564442.28035498</v>
      </c>
      <c r="I53" s="896">
        <f>'KQKD PET'!J51+'KQKD HD'!J51</f>
        <v>377564442.28035498</v>
      </c>
      <c r="J53" s="896">
        <f>'KQKD PET'!K51+'KQKD HD'!K51</f>
        <v>377564442.28035498</v>
      </c>
      <c r="K53" s="896">
        <f>'KQKD PET'!L51+'KQKD HD'!L51</f>
        <v>394925553.39146608</v>
      </c>
      <c r="L53" s="896">
        <f>'KQKD PET'!M51+'KQKD HD'!M51</f>
        <v>394925553.39146608</v>
      </c>
      <c r="M53" s="896">
        <f>'KQKD PET'!N51+'KQKD HD'!N51</f>
        <v>394925553.39146608</v>
      </c>
      <c r="N53" s="896">
        <f>'KQKD PET'!O51+'KQKD HD'!O51</f>
        <v>394925553.39146608</v>
      </c>
      <c r="O53" s="896">
        <f>'KQKD PET'!P51+'KQKD HD'!P51</f>
        <v>394925553.39146608</v>
      </c>
      <c r="P53" s="896">
        <f>'KQKD PET'!Q51+'KQKD HD'!Q51</f>
        <v>394925553.39146608</v>
      </c>
      <c r="Q53" s="896">
        <f>'KQKD PET'!R51+'KQKD HD'!R51</f>
        <v>394925553.39146608</v>
      </c>
      <c r="R53" s="896">
        <f t="shared" si="1"/>
        <v>4657428357.1420374</v>
      </c>
      <c r="S53" s="1298">
        <f t="shared" si="17"/>
        <v>0.64366028320064883</v>
      </c>
      <c r="T53" s="1044"/>
      <c r="U53" s="1299">
        <f t="shared" si="4"/>
        <v>4.2060698494487E-2</v>
      </c>
      <c r="V53" s="1299">
        <f t="shared" si="5"/>
        <v>2.9283175394674898E-2</v>
      </c>
      <c r="W53" s="77"/>
    </row>
    <row r="54" spans="1:23" ht="26" x14ac:dyDescent="0.35">
      <c r="B54" s="883">
        <v>18</v>
      </c>
      <c r="C54" s="884" t="s">
        <v>219</v>
      </c>
      <c r="D54" s="885">
        <f>'KQKD PET'!E52</f>
        <v>64684339330</v>
      </c>
      <c r="E54" s="1318">
        <f>'KQKD PET'!F52+'KQKD HD'!F52</f>
        <v>-1327219134.1674194</v>
      </c>
      <c r="F54" s="885">
        <f t="shared" ref="F54:Q54" si="23">F51+F53</f>
        <v>-642269153.16559613</v>
      </c>
      <c r="G54" s="885">
        <f t="shared" si="23"/>
        <v>-770086520.59123302</v>
      </c>
      <c r="H54" s="885">
        <f t="shared" si="23"/>
        <v>-408160895.21559656</v>
      </c>
      <c r="I54" s="885">
        <f>I51+I53</f>
        <v>-242173955.22286153</v>
      </c>
      <c r="J54" s="885">
        <f t="shared" si="23"/>
        <v>-240090882.1317265</v>
      </c>
      <c r="K54" s="885">
        <f t="shared" si="23"/>
        <v>-797138854.81092763</v>
      </c>
      <c r="L54" s="885">
        <f t="shared" si="23"/>
        <v>-634791697.81605601</v>
      </c>
      <c r="M54" s="885">
        <f t="shared" si="23"/>
        <v>-665131697.61605597</v>
      </c>
      <c r="N54" s="885">
        <f t="shared" si="23"/>
        <v>-602261771.52118444</v>
      </c>
      <c r="O54" s="885">
        <f t="shared" si="23"/>
        <v>-616159082.85451746</v>
      </c>
      <c r="P54" s="885">
        <f t="shared" si="23"/>
        <v>-638668064.44426084</v>
      </c>
      <c r="Q54" s="885">
        <f t="shared" si="23"/>
        <v>-622705073.64938903</v>
      </c>
      <c r="R54" s="885">
        <f t="shared" si="1"/>
        <v>-6879637649.0394049</v>
      </c>
      <c r="S54" s="1298">
        <f t="shared" si="17"/>
        <v>5.183497940869489</v>
      </c>
      <c r="U54" s="1299">
        <f t="shared" si="4"/>
        <v>-7.7148883216647994E-3</v>
      </c>
      <c r="V54" s="1299">
        <f t="shared" si="5"/>
        <v>-4.3255122887655387E-2</v>
      </c>
      <c r="W54" s="77"/>
    </row>
    <row r="55" spans="1:23" ht="26" x14ac:dyDescent="0.35">
      <c r="B55" s="903" t="s">
        <v>220</v>
      </c>
      <c r="C55" s="900" t="s">
        <v>221</v>
      </c>
      <c r="D55" s="905">
        <f>'KQKD PET'!E53</f>
        <v>2.2547445200779679E-12</v>
      </c>
      <c r="E55" s="1332">
        <f t="shared" ref="E55:R55" si="24">E54/E10</f>
        <v>-7.7148883216647994E-3</v>
      </c>
      <c r="F55" s="905">
        <f t="shared" si="24"/>
        <v>-5.626318499397602E-2</v>
      </c>
      <c r="G55" s="905">
        <f t="shared" si="24"/>
        <v>-8.67343723872427E-2</v>
      </c>
      <c r="H55" s="905">
        <f t="shared" si="24"/>
        <v>-3.2179637862836848E-2</v>
      </c>
      <c r="I55" s="905">
        <f t="shared" si="24"/>
        <v>-1.7357393460702294E-2</v>
      </c>
      <c r="J55" s="905">
        <f t="shared" si="24"/>
        <v>-1.7229368371424785E-2</v>
      </c>
      <c r="K55" s="905">
        <f t="shared" si="24"/>
        <v>-5.6832481827757006E-2</v>
      </c>
      <c r="L55" s="905">
        <f t="shared" si="24"/>
        <v>-4.5257846124059559E-2</v>
      </c>
      <c r="M55" s="905">
        <f t="shared" si="24"/>
        <v>-4.7420954190967972E-2</v>
      </c>
      <c r="N55" s="905">
        <f t="shared" si="24"/>
        <v>-4.293860596426323E-2</v>
      </c>
      <c r="O55" s="905">
        <f t="shared" si="24"/>
        <v>-4.3929422920480556E-2</v>
      </c>
      <c r="P55" s="905">
        <f t="shared" si="24"/>
        <v>-4.5534213954614537E-2</v>
      </c>
      <c r="Q55" s="905">
        <f t="shared" si="24"/>
        <v>-4.4396123170567403E-2</v>
      </c>
      <c r="R55" s="905">
        <f t="shared" si="24"/>
        <v>-4.3255122887655387E-2</v>
      </c>
      <c r="S55" s="1336">
        <f t="shared" si="17"/>
        <v>5.6067075872229015</v>
      </c>
      <c r="U55" s="1299">
        <f t="shared" si="4"/>
        <v>-4.4845271050961152E-14</v>
      </c>
      <c r="V55" s="1299">
        <f t="shared" si="5"/>
        <v>-2.7196282006035814E-13</v>
      </c>
    </row>
    <row r="56" spans="1:23" x14ac:dyDescent="0.35">
      <c r="B56" s="906"/>
      <c r="C56" s="907"/>
      <c r="D56" s="907"/>
      <c r="E56" s="1333"/>
      <c r="F56" s="908"/>
      <c r="G56" s="908"/>
      <c r="H56" s="908"/>
      <c r="I56" s="908"/>
      <c r="J56" s="908"/>
      <c r="K56" s="908"/>
      <c r="L56" s="908"/>
      <c r="M56" s="908"/>
      <c r="N56" s="908"/>
      <c r="O56" s="908"/>
      <c r="P56" s="908"/>
      <c r="Q56" s="908"/>
      <c r="R56" s="908"/>
      <c r="S56" s="54" t="e">
        <f t="shared" si="17"/>
        <v>#DIV/0!</v>
      </c>
      <c r="T56" s="77"/>
      <c r="U56" s="77"/>
      <c r="V56" s="77"/>
      <c r="W56" s="77"/>
    </row>
    <row r="58" spans="1:23" ht="39" x14ac:dyDescent="0.35">
      <c r="B58" s="138" t="s">
        <v>222</v>
      </c>
      <c r="C58" s="61"/>
      <c r="D58" s="516" t="str">
        <f>D4</f>
        <v>Thực tế năm 2024</v>
      </c>
      <c r="E58" s="516" t="str">
        <f>E4</f>
        <v>KQKD 2025</v>
      </c>
      <c r="F58" s="139" t="str">
        <f>F4</f>
        <v>T1</v>
      </c>
      <c r="G58" s="139" t="str">
        <f t="shared" ref="G58:R58" si="25">G4</f>
        <v>T2</v>
      </c>
      <c r="H58" s="139" t="str">
        <f t="shared" si="25"/>
        <v>T3</v>
      </c>
      <c r="I58" s="139" t="str">
        <f t="shared" si="25"/>
        <v>T4</v>
      </c>
      <c r="J58" s="139" t="str">
        <f t="shared" si="25"/>
        <v>T5</v>
      </c>
      <c r="K58" s="139" t="str">
        <f t="shared" si="25"/>
        <v>T6</v>
      </c>
      <c r="L58" s="139" t="str">
        <f t="shared" si="25"/>
        <v>T7</v>
      </c>
      <c r="M58" s="139" t="str">
        <f t="shared" si="25"/>
        <v>T8</v>
      </c>
      <c r="N58" s="139" t="str">
        <f t="shared" si="25"/>
        <v>T9</v>
      </c>
      <c r="O58" s="139" t="str">
        <f t="shared" si="25"/>
        <v>T10</v>
      </c>
      <c r="P58" s="139" t="str">
        <f t="shared" si="25"/>
        <v>T11</v>
      </c>
      <c r="Q58" s="139" t="str">
        <f t="shared" si="25"/>
        <v>T12</v>
      </c>
      <c r="R58" s="139" t="str">
        <f t="shared" si="25"/>
        <v>KH 2026</v>
      </c>
    </row>
    <row r="59" spans="1:23" x14ac:dyDescent="0.35">
      <c r="B59" s="17" t="s">
        <v>223</v>
      </c>
      <c r="D59" s="537">
        <f>IFERROR(D$60*(1+(D$19+D$20)/D$18),0)</f>
        <v>0</v>
      </c>
      <c r="E59" s="537">
        <f>IFERROR(E$60*(1+(E$19+E$20)/E$18),0)</f>
        <v>14310929.119709924</v>
      </c>
      <c r="F59" s="140">
        <f>F$60*(1+(F$19+F$20)/F$18)</f>
        <v>1867149.6050752194</v>
      </c>
      <c r="G59" s="140">
        <f t="shared" ref="G59:R59" si="26">G$60*(1+(G$19+G$20)/G$18)</f>
        <v>1781052.6603792165</v>
      </c>
      <c r="H59" s="140">
        <f t="shared" si="26"/>
        <v>1669993.1016752054</v>
      </c>
      <c r="I59" s="140">
        <f>I$60*(1+(I$19+I$20)/I$18)</f>
        <v>1596769.3213075143</v>
      </c>
      <c r="J59" s="140">
        <f>J$60*(1+(J$19+J$20)/J$18)</f>
        <v>1601225.3272877904</v>
      </c>
      <c r="K59" s="140">
        <f t="shared" si="26"/>
        <v>2559243.5049976949</v>
      </c>
      <c r="L59" s="140">
        <f t="shared" si="26"/>
        <v>2379094.511042967</v>
      </c>
      <c r="M59" s="140">
        <f t="shared" si="26"/>
        <v>2417148.1685684957</v>
      </c>
      <c r="N59" s="140">
        <f t="shared" si="26"/>
        <v>2281583.900674297</v>
      </c>
      <c r="O59" s="140">
        <f t="shared" si="26"/>
        <v>2343759.4768417473</v>
      </c>
      <c r="P59" s="140">
        <f t="shared" si="26"/>
        <v>2380593.0533243255</v>
      </c>
      <c r="Q59" s="140">
        <f t="shared" si="26"/>
        <v>2346824.5620874977</v>
      </c>
      <c r="R59" s="140">
        <f t="shared" si="26"/>
        <v>24753328.870127328</v>
      </c>
    </row>
    <row r="60" spans="1:23" x14ac:dyDescent="0.35">
      <c r="B60" s="17" t="s">
        <v>224</v>
      </c>
      <c r="C60" s="60"/>
      <c r="D60" s="537">
        <f>IFERROR((D$29+D$33+D$36+D$40)/(D$27/D$5),0)</f>
        <v>0</v>
      </c>
      <c r="E60" s="537">
        <f>IFERROR((E$29+E$33+E$36+E$40)/(E$27/E$5),0)</f>
        <v>14310929.119709924</v>
      </c>
      <c r="F60" s="140">
        <f>(F$29+F$33+F$36+F$40)/(F$27/F$5)</f>
        <v>1630342.3750929662</v>
      </c>
      <c r="G60" s="140">
        <f t="shared" ref="G60:R60" si="27">(G$29+G$33+G$36+G$40)/(G$27/G$5)</f>
        <v>1555164.9512152078</v>
      </c>
      <c r="H60" s="140">
        <f t="shared" si="27"/>
        <v>1458190.8768174683</v>
      </c>
      <c r="I60" s="140">
        <f t="shared" si="27"/>
        <v>1394253.9369635577</v>
      </c>
      <c r="J60" s="140">
        <f t="shared" si="27"/>
        <v>1396864.1082507111</v>
      </c>
      <c r="K60" s="140">
        <f t="shared" si="27"/>
        <v>2112894.5345698204</v>
      </c>
      <c r="L60" s="140">
        <f t="shared" si="27"/>
        <v>1964164.7149993535</v>
      </c>
      <c r="M60" s="140">
        <f t="shared" si="27"/>
        <v>1995581.5633176437</v>
      </c>
      <c r="N60" s="140">
        <f t="shared" si="27"/>
        <v>1883660.599111907</v>
      </c>
      <c r="O60" s="140">
        <f t="shared" si="27"/>
        <v>1934992.3441417934</v>
      </c>
      <c r="P60" s="140">
        <f t="shared" si="27"/>
        <v>1965401.9016093505</v>
      </c>
      <c r="Q60" s="140">
        <f t="shared" si="27"/>
        <v>1937522.8582765718</v>
      </c>
      <c r="R60" s="140">
        <f t="shared" si="27"/>
        <v>20871300.391406372</v>
      </c>
    </row>
    <row r="61" spans="1:23" x14ac:dyDescent="0.35">
      <c r="B61" s="17" t="s">
        <v>225</v>
      </c>
      <c r="D61" s="538">
        <f>IFERROR(D$60*(D$10/D$5),0)</f>
        <v>0</v>
      </c>
      <c r="E61" s="538">
        <f>IFERROR(E$60*(E$10/E$5),0)</f>
        <v>259155955243.05026</v>
      </c>
      <c r="F61" s="24">
        <f>F$60*(F$10/F$5)</f>
        <v>24193012431.428535</v>
      </c>
      <c r="G61" s="24">
        <f t="shared" ref="G61:R61" si="28">G$60*(G$10/G$5)</f>
        <v>23077437949.514164</v>
      </c>
      <c r="H61" s="24">
        <f t="shared" si="28"/>
        <v>21638418131.792133</v>
      </c>
      <c r="I61" s="24">
        <f t="shared" si="28"/>
        <v>20689643687.635914</v>
      </c>
      <c r="J61" s="24">
        <f t="shared" si="28"/>
        <v>20728243544.263325</v>
      </c>
      <c r="K61" s="24">
        <f t="shared" si="28"/>
        <v>32827518729.720314</v>
      </c>
      <c r="L61" s="24">
        <f t="shared" si="28"/>
        <v>30516740383.837814</v>
      </c>
      <c r="M61" s="24">
        <f t="shared" si="28"/>
        <v>31004856169.894985</v>
      </c>
      <c r="N61" s="24">
        <f t="shared" si="28"/>
        <v>29265967887.210201</v>
      </c>
      <c r="O61" s="24">
        <f t="shared" si="28"/>
        <v>30063496487.822968</v>
      </c>
      <c r="P61" s="24">
        <f t="shared" si="28"/>
        <v>30535962245.576454</v>
      </c>
      <c r="Q61" s="24">
        <f t="shared" si="28"/>
        <v>30102812458.779449</v>
      </c>
      <c r="R61" s="24">
        <f t="shared" si="28"/>
        <v>318541975099.7019</v>
      </c>
    </row>
    <row r="62" spans="1:23" ht="39" x14ac:dyDescent="0.35">
      <c r="B62" s="138" t="s">
        <v>226</v>
      </c>
      <c r="C62" s="61"/>
      <c r="D62" s="517" t="str">
        <f>D58</f>
        <v>Thực tế năm 2024</v>
      </c>
      <c r="E62" s="517" t="str">
        <f>E58</f>
        <v>KQKD 2025</v>
      </c>
      <c r="F62" s="141" t="str">
        <f>F58</f>
        <v>T1</v>
      </c>
      <c r="G62" s="141" t="str">
        <f t="shared" ref="G62:R62" si="29">G58</f>
        <v>T2</v>
      </c>
      <c r="H62" s="141" t="str">
        <f t="shared" si="29"/>
        <v>T3</v>
      </c>
      <c r="I62" s="141" t="str">
        <f t="shared" si="29"/>
        <v>T4</v>
      </c>
      <c r="J62" s="141" t="str">
        <f t="shared" si="29"/>
        <v>T5</v>
      </c>
      <c r="K62" s="141" t="str">
        <f t="shared" si="29"/>
        <v>T6</v>
      </c>
      <c r="L62" s="141" t="str">
        <f t="shared" si="29"/>
        <v>T7</v>
      </c>
      <c r="M62" s="141" t="str">
        <f t="shared" si="29"/>
        <v>T8</v>
      </c>
      <c r="N62" s="141" t="str">
        <f t="shared" si="29"/>
        <v>T9</v>
      </c>
      <c r="O62" s="141" t="str">
        <f t="shared" si="29"/>
        <v>T10</v>
      </c>
      <c r="P62" s="141" t="str">
        <f t="shared" si="29"/>
        <v>T11</v>
      </c>
      <c r="Q62" s="141" t="str">
        <f t="shared" si="29"/>
        <v>T12</v>
      </c>
      <c r="R62" s="141" t="str">
        <f t="shared" si="29"/>
        <v>KH 2026</v>
      </c>
    </row>
    <row r="63" spans="1:23" x14ac:dyDescent="0.35">
      <c r="B63" s="17" t="s">
        <v>223</v>
      </c>
      <c r="D63" s="537">
        <f>IFERROR(D$64*(1+(D$19+D$20)/D$18),0)</f>
        <v>0</v>
      </c>
      <c r="E63" s="537">
        <f>IFERROR(E$64*(1+(E$19+E$20)/E$18),0)</f>
        <v>10238918.389796225</v>
      </c>
      <c r="F63" s="140">
        <f>F$64*(1+(F$19+F$20)/F$18)</f>
        <v>1500502.955849393</v>
      </c>
      <c r="G63" s="140">
        <f t="shared" ref="G63:R63" si="30">G$64*(1+(G$19+G$20)/G$18)</f>
        <v>1418900.8377183492</v>
      </c>
      <c r="H63" s="140">
        <f t="shared" si="30"/>
        <v>1337903.4403998798</v>
      </c>
      <c r="I63" s="140">
        <f>I$64*(1+(I$19+I$20)/I$18)</f>
        <v>1279982.9306415892</v>
      </c>
      <c r="J63" s="140">
        <f>J$64*(1+(J$19+J$20)/J$18)</f>
        <v>1280440.8171758619</v>
      </c>
      <c r="K63" s="140">
        <f t="shared" si="30"/>
        <v>2073642.7310850283</v>
      </c>
      <c r="L63" s="140">
        <f t="shared" si="30"/>
        <v>1886025.2170683844</v>
      </c>
      <c r="M63" s="140">
        <f t="shared" si="30"/>
        <v>1924014.1238682347</v>
      </c>
      <c r="N63" s="140">
        <f t="shared" si="30"/>
        <v>1811047.9095293484</v>
      </c>
      <c r="O63" s="140">
        <f t="shared" si="30"/>
        <v>1855405.4534400995</v>
      </c>
      <c r="P63" s="140">
        <f t="shared" si="30"/>
        <v>1888800.377833101</v>
      </c>
      <c r="Q63" s="140">
        <f t="shared" si="30"/>
        <v>1860422.4064875608</v>
      </c>
      <c r="R63" s="140">
        <f t="shared" si="30"/>
        <v>19749963.381017957</v>
      </c>
    </row>
    <row r="64" spans="1:23" x14ac:dyDescent="0.35">
      <c r="B64" s="17" t="s">
        <v>224</v>
      </c>
      <c r="C64" s="60"/>
      <c r="D64" s="140">
        <f>IFERROR((D$29+D$33+D$36+D$40-D53)/(D$27/D$5),0)</f>
        <v>0</v>
      </c>
      <c r="E64" s="140">
        <f>IFERROR((E$29+E$33+E$36+E$40-E53)/(E$27/E$5),0)</f>
        <v>10238918.389796225</v>
      </c>
      <c r="F64" s="140">
        <f>(F$29+F$33+F$36+F$40-F53)/(F$27/F$5)</f>
        <v>1310196.8616890577</v>
      </c>
      <c r="G64" s="140">
        <f t="shared" ref="G64:R64" si="31">(G$29+G$33+G$36+G$40-G53)/(G$27/G$5)</f>
        <v>1238944.1935982094</v>
      </c>
      <c r="H64" s="140">
        <f t="shared" si="31"/>
        <v>1168219.5506656887</v>
      </c>
      <c r="I64" s="140">
        <f>(I$29+I$33+I$36+I$40-I53)/(I$27/I$5)</f>
        <v>1117644.995102894</v>
      </c>
      <c r="J64" s="140">
        <f>(J$29+J$33+J$36+J$40-J53)/(J$27/J$5)</f>
        <v>1117020.6901996527</v>
      </c>
      <c r="K64" s="140">
        <f t="shared" si="31"/>
        <v>1711985.7428978563</v>
      </c>
      <c r="L64" s="140">
        <f t="shared" si="31"/>
        <v>1557089.9624919584</v>
      </c>
      <c r="M64" s="140">
        <f t="shared" si="31"/>
        <v>1588453.3530387904</v>
      </c>
      <c r="N64" s="140">
        <f t="shared" si="31"/>
        <v>1495189.1925938893</v>
      </c>
      <c r="O64" s="140">
        <f t="shared" si="31"/>
        <v>1531810.4878762432</v>
      </c>
      <c r="P64" s="140">
        <f t="shared" si="31"/>
        <v>1559381.1168900731</v>
      </c>
      <c r="Q64" s="140">
        <f t="shared" si="31"/>
        <v>1535952.4511765209</v>
      </c>
      <c r="R64" s="140">
        <f t="shared" si="31"/>
        <v>16652605.417526666</v>
      </c>
    </row>
    <row r="65" spans="2:18" x14ac:dyDescent="0.35">
      <c r="B65" s="17" t="s">
        <v>225</v>
      </c>
      <c r="D65" s="24">
        <f>IFERROR(D$64*(D$10/D$5),0)</f>
        <v>0</v>
      </c>
      <c r="E65" s="24">
        <f>IFERROR(E$64*(E$10/E$5),0)</f>
        <v>185416100783.33331</v>
      </c>
      <c r="F65" s="24">
        <f>F$64*(F$10/F$5)</f>
        <v>19442302087.409431</v>
      </c>
      <c r="G65" s="24">
        <f t="shared" ref="G65:R65" si="32">G$64*(G$10/G$5)</f>
        <v>18384967927.892143</v>
      </c>
      <c r="H65" s="24">
        <f t="shared" si="32"/>
        <v>17335469250.918079</v>
      </c>
      <c r="I65" s="24">
        <f t="shared" si="32"/>
        <v>16584982193.636694</v>
      </c>
      <c r="J65" s="24">
        <f>J$64*(J$10/J$5)</f>
        <v>16575611595.772938</v>
      </c>
      <c r="K65" s="24">
        <f t="shared" si="32"/>
        <v>26598698193.630257</v>
      </c>
      <c r="L65" s="24">
        <f t="shared" si="32"/>
        <v>24192120842.402206</v>
      </c>
      <c r="M65" s="24">
        <f t="shared" si="32"/>
        <v>24679406068.313061</v>
      </c>
      <c r="N65" s="24">
        <f t="shared" si="32"/>
        <v>23230383921.81015</v>
      </c>
      <c r="O65" s="24">
        <f t="shared" si="32"/>
        <v>23799359910.492352</v>
      </c>
      <c r="P65" s="24">
        <f t="shared" si="32"/>
        <v>24227717940.452396</v>
      </c>
      <c r="Q65" s="24">
        <f t="shared" si="32"/>
        <v>23863712567.75613</v>
      </c>
      <c r="R65" s="24">
        <f t="shared" si="32"/>
        <v>254155405785.78696</v>
      </c>
    </row>
    <row r="69" spans="2:18" x14ac:dyDescent="0.35">
      <c r="E69" s="139"/>
    </row>
    <row r="70" spans="2:18" x14ac:dyDescent="0.35">
      <c r="E70" s="13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X58"/>
  <sheetViews>
    <sheetView topLeftCell="A18" zoomScale="85" zoomScaleNormal="85" workbookViewId="0">
      <selection activeCell="J34" sqref="J34"/>
    </sheetView>
  </sheetViews>
  <sheetFormatPr defaultRowHeight="14.5" x14ac:dyDescent="0.35"/>
  <cols>
    <col min="3" max="3" width="25.81640625" customWidth="1"/>
    <col min="22" max="22" width="12.1796875" bestFit="1" customWidth="1"/>
    <col min="23" max="23" width="11.36328125" customWidth="1"/>
    <col min="24" max="24" width="11.26953125" customWidth="1"/>
  </cols>
  <sheetData>
    <row r="1" spans="2:24" ht="15.5" x14ac:dyDescent="0.35">
      <c r="B1" s="261" t="s">
        <v>591</v>
      </c>
    </row>
    <row r="3" spans="2:24" x14ac:dyDescent="0.35">
      <c r="B3" s="64" t="s">
        <v>592</v>
      </c>
    </row>
    <row r="4" spans="2:24" x14ac:dyDescent="0.35">
      <c r="B4" s="4" t="s">
        <v>593</v>
      </c>
      <c r="H4" s="5">
        <f>SUM(H13:H14)/1000</f>
        <v>855</v>
      </c>
      <c r="I4" s="5">
        <f t="shared" ref="I4:S4" si="0">SUM(I13:I14)/1000</f>
        <v>665</v>
      </c>
      <c r="J4" s="5">
        <f t="shared" si="0"/>
        <v>950</v>
      </c>
      <c r="K4" s="5">
        <f t="shared" si="0"/>
        <v>1045</v>
      </c>
      <c r="L4" s="5">
        <f t="shared" si="0"/>
        <v>1044.9999999999998</v>
      </c>
      <c r="M4" s="5">
        <f t="shared" si="0"/>
        <v>1045</v>
      </c>
      <c r="N4" s="5">
        <f t="shared" si="0"/>
        <v>1045</v>
      </c>
      <c r="O4" s="5">
        <f t="shared" si="0"/>
        <v>1045</v>
      </c>
      <c r="P4" s="5">
        <f t="shared" si="0"/>
        <v>1045</v>
      </c>
      <c r="Q4" s="5">
        <f t="shared" si="0"/>
        <v>1045</v>
      </c>
      <c r="R4" s="5">
        <f t="shared" si="0"/>
        <v>1045</v>
      </c>
      <c r="S4" s="5">
        <f t="shared" si="0"/>
        <v>1045</v>
      </c>
    </row>
    <row r="5" spans="2:24" ht="39" x14ac:dyDescent="0.35">
      <c r="B5" s="116" t="s">
        <v>36</v>
      </c>
      <c r="C5" s="116" t="s">
        <v>594</v>
      </c>
      <c r="D5" s="116" t="s">
        <v>257</v>
      </c>
      <c r="E5" s="714" t="s">
        <v>227</v>
      </c>
      <c r="F5" s="714" t="s">
        <v>147</v>
      </c>
      <c r="G5" s="714" t="s">
        <v>148</v>
      </c>
      <c r="H5" s="116" t="s">
        <v>149</v>
      </c>
      <c r="I5" s="116" t="s">
        <v>150</v>
      </c>
      <c r="J5" s="116" t="s">
        <v>151</v>
      </c>
      <c r="K5" s="116" t="s">
        <v>152</v>
      </c>
      <c r="L5" s="116" t="s">
        <v>153</v>
      </c>
      <c r="M5" s="116" t="s">
        <v>154</v>
      </c>
      <c r="N5" s="116" t="s">
        <v>155</v>
      </c>
      <c r="O5" s="116" t="s">
        <v>156</v>
      </c>
      <c r="P5" s="116" t="s">
        <v>157</v>
      </c>
      <c r="Q5" s="116" t="s">
        <v>158</v>
      </c>
      <c r="R5" s="116" t="s">
        <v>159</v>
      </c>
      <c r="S5" s="116" t="s">
        <v>160</v>
      </c>
      <c r="T5" s="116" t="s">
        <v>2147</v>
      </c>
    </row>
    <row r="6" spans="2:24" x14ac:dyDescent="0.35">
      <c r="B6" s="945" t="s">
        <v>595</v>
      </c>
      <c r="C6" s="946"/>
      <c r="D6" s="946"/>
      <c r="E6" s="946"/>
      <c r="F6" s="946"/>
      <c r="G6" s="946"/>
      <c r="H6" s="946"/>
      <c r="I6" s="946"/>
      <c r="J6" s="946"/>
      <c r="K6" s="946"/>
      <c r="L6" s="946"/>
      <c r="M6" s="946"/>
      <c r="N6" s="946"/>
      <c r="O6" s="946"/>
      <c r="P6" s="946"/>
      <c r="Q6" s="946"/>
      <c r="R6" s="946"/>
      <c r="S6" s="946"/>
      <c r="T6" s="946"/>
    </row>
    <row r="7" spans="2:24" x14ac:dyDescent="0.35">
      <c r="B7" s="128">
        <v>1</v>
      </c>
      <c r="C7" s="129" t="s">
        <v>596</v>
      </c>
      <c r="D7" s="947" t="s">
        <v>87</v>
      </c>
      <c r="E7" s="790"/>
      <c r="F7" s="790"/>
      <c r="G7" s="1390">
        <f>G13/$G$16</f>
        <v>0.24307791816739763</v>
      </c>
      <c r="H7" s="1392">
        <v>0.45</v>
      </c>
      <c r="I7" s="948">
        <v>0.45</v>
      </c>
      <c r="J7" s="948">
        <v>0.45</v>
      </c>
      <c r="K7" s="948">
        <v>0.45</v>
      </c>
      <c r="L7" s="790">
        <v>0.4</v>
      </c>
      <c r="M7" s="790">
        <v>0.35</v>
      </c>
      <c r="N7" s="790">
        <v>0.35</v>
      </c>
      <c r="O7" s="790">
        <v>0.35</v>
      </c>
      <c r="P7" s="790">
        <v>0.35</v>
      </c>
      <c r="Q7" s="790">
        <v>0.35</v>
      </c>
      <c r="R7" s="790">
        <v>0.35</v>
      </c>
      <c r="S7" s="790">
        <v>0.35</v>
      </c>
      <c r="T7" s="790">
        <v>0.45</v>
      </c>
    </row>
    <row r="8" spans="2:24" x14ac:dyDescent="0.35">
      <c r="B8" s="128">
        <v>2</v>
      </c>
      <c r="C8" s="129" t="s">
        <v>597</v>
      </c>
      <c r="D8" s="947" t="s">
        <v>87</v>
      </c>
      <c r="E8" s="790"/>
      <c r="F8" s="790"/>
      <c r="G8" s="1390">
        <f>G14/$G$16</f>
        <v>0.53610582529596251</v>
      </c>
      <c r="H8" s="1392">
        <f>H10-H7-H9</f>
        <v>0.5</v>
      </c>
      <c r="I8" s="948">
        <f t="shared" ref="I8:T8" si="1">I10-I7-I9</f>
        <v>0.5</v>
      </c>
      <c r="J8" s="948">
        <f t="shared" si="1"/>
        <v>0.5</v>
      </c>
      <c r="K8" s="948">
        <f t="shared" si="1"/>
        <v>0.5</v>
      </c>
      <c r="L8" s="948">
        <f t="shared" si="1"/>
        <v>0.54999999999999993</v>
      </c>
      <c r="M8" s="948">
        <f t="shared" si="1"/>
        <v>0.6</v>
      </c>
      <c r="N8" s="948">
        <f t="shared" si="1"/>
        <v>0.6</v>
      </c>
      <c r="O8" s="948">
        <f t="shared" si="1"/>
        <v>0.6</v>
      </c>
      <c r="P8" s="948">
        <f t="shared" si="1"/>
        <v>0.6</v>
      </c>
      <c r="Q8" s="948">
        <f t="shared" si="1"/>
        <v>0.6</v>
      </c>
      <c r="R8" s="948">
        <f t="shared" si="1"/>
        <v>0.6</v>
      </c>
      <c r="S8" s="948">
        <f t="shared" si="1"/>
        <v>0.6</v>
      </c>
      <c r="T8" s="948">
        <f t="shared" si="1"/>
        <v>0.5</v>
      </c>
    </row>
    <row r="9" spans="2:24" ht="25" x14ac:dyDescent="0.35">
      <c r="B9" s="128">
        <v>3</v>
      </c>
      <c r="C9" s="129" t="s">
        <v>598</v>
      </c>
      <c r="D9" s="947" t="s">
        <v>87</v>
      </c>
      <c r="E9" s="790"/>
      <c r="F9" s="790"/>
      <c r="G9" s="1390">
        <f>G15/$G$16</f>
        <v>0.22081625653663986</v>
      </c>
      <c r="H9" s="1392">
        <v>0.05</v>
      </c>
      <c r="I9" s="948">
        <v>0.05</v>
      </c>
      <c r="J9" s="948">
        <v>0.05</v>
      </c>
      <c r="K9" s="948">
        <v>0.05</v>
      </c>
      <c r="L9" s="948">
        <v>0.05</v>
      </c>
      <c r="M9" s="948">
        <v>0.05</v>
      </c>
      <c r="N9" s="948">
        <v>0.05</v>
      </c>
      <c r="O9" s="948">
        <v>0.05</v>
      </c>
      <c r="P9" s="948">
        <v>0.05</v>
      </c>
      <c r="Q9" s="948">
        <v>0.05</v>
      </c>
      <c r="R9" s="948">
        <v>0.05</v>
      </c>
      <c r="S9" s="948">
        <v>0.05</v>
      </c>
      <c r="T9" s="948">
        <v>0.05</v>
      </c>
    </row>
    <row r="10" spans="2:24" x14ac:dyDescent="0.35">
      <c r="B10" s="942"/>
      <c r="C10" s="943" t="s">
        <v>599</v>
      </c>
      <c r="D10" s="127"/>
      <c r="E10" s="949">
        <f t="shared" ref="E10:G10" si="2">E7+E8+E9</f>
        <v>0</v>
      </c>
      <c r="F10" s="949">
        <f t="shared" si="2"/>
        <v>0</v>
      </c>
      <c r="G10" s="1391">
        <f t="shared" si="2"/>
        <v>1</v>
      </c>
      <c r="H10" s="1391">
        <v>1</v>
      </c>
      <c r="I10" s="949">
        <v>1</v>
      </c>
      <c r="J10" s="949">
        <v>1</v>
      </c>
      <c r="K10" s="949">
        <v>1</v>
      </c>
      <c r="L10" s="949">
        <v>1</v>
      </c>
      <c r="M10" s="949">
        <v>1</v>
      </c>
      <c r="N10" s="949">
        <v>1</v>
      </c>
      <c r="O10" s="949">
        <v>1</v>
      </c>
      <c r="P10" s="949">
        <v>1</v>
      </c>
      <c r="Q10" s="949">
        <v>1</v>
      </c>
      <c r="R10" s="949">
        <v>1</v>
      </c>
      <c r="S10" s="949">
        <v>1</v>
      </c>
      <c r="T10" s="949">
        <v>1</v>
      </c>
      <c r="V10" s="6"/>
      <c r="W10" s="6"/>
      <c r="X10" s="6"/>
    </row>
    <row r="11" spans="2:24" x14ac:dyDescent="0.35">
      <c r="W11" s="216"/>
    </row>
    <row r="12" spans="2:24" x14ac:dyDescent="0.35">
      <c r="B12" s="945" t="s">
        <v>600</v>
      </c>
      <c r="C12" s="946"/>
      <c r="D12" s="946"/>
      <c r="E12" s="946"/>
      <c r="F12" s="946"/>
      <c r="G12" s="946"/>
      <c r="H12" s="946"/>
      <c r="I12" s="946"/>
      <c r="J12" s="946"/>
      <c r="K12" s="946"/>
      <c r="L12" s="946"/>
      <c r="M12" s="946"/>
      <c r="N12" s="946"/>
      <c r="O12" s="946"/>
      <c r="P12" s="946"/>
      <c r="Q12" s="946"/>
      <c r="R12" s="946"/>
      <c r="S12" s="946"/>
      <c r="T12" s="946"/>
      <c r="V12" s="1395" t="s">
        <v>601</v>
      </c>
      <c r="W12" s="1396" t="s">
        <v>602</v>
      </c>
      <c r="X12" s="1396" t="s">
        <v>603</v>
      </c>
    </row>
    <row r="13" spans="2:24" x14ac:dyDescent="0.35">
      <c r="B13" s="128">
        <v>1</v>
      </c>
      <c r="C13" s="129" t="s">
        <v>596</v>
      </c>
      <c r="D13" s="130" t="s">
        <v>531</v>
      </c>
      <c r="E13" s="131"/>
      <c r="F13" s="131"/>
      <c r="G13" s="131">
        <v>2584077</v>
      </c>
      <c r="H13" s="131">
        <f>H7*H$16</f>
        <v>405000</v>
      </c>
      <c r="I13" s="131">
        <f>I7*I$16</f>
        <v>315000</v>
      </c>
      <c r="J13" s="131">
        <f t="shared" ref="J13:M13" si="3">J7*J$16</f>
        <v>450000</v>
      </c>
      <c r="K13" s="131">
        <f t="shared" si="3"/>
        <v>495000</v>
      </c>
      <c r="L13" s="131">
        <f>L7*L$16</f>
        <v>440000</v>
      </c>
      <c r="M13" s="131">
        <f t="shared" si="3"/>
        <v>385000</v>
      </c>
      <c r="N13" s="131">
        <f>N7*N$16</f>
        <v>385000</v>
      </c>
      <c r="O13" s="131">
        <f t="shared" ref="O13:S13" si="4">O7*O$16</f>
        <v>385000</v>
      </c>
      <c r="P13" s="131">
        <f t="shared" si="4"/>
        <v>385000</v>
      </c>
      <c r="Q13" s="131">
        <f t="shared" si="4"/>
        <v>385000</v>
      </c>
      <c r="R13" s="131">
        <f t="shared" si="4"/>
        <v>385000</v>
      </c>
      <c r="S13" s="131">
        <f t="shared" si="4"/>
        <v>385000</v>
      </c>
      <c r="T13" s="131">
        <f>SUM(H13:S13)</f>
        <v>4800000</v>
      </c>
      <c r="V13" s="1397" t="s">
        <v>604</v>
      </c>
      <c r="W13" s="1398">
        <v>13200000</v>
      </c>
      <c r="X13" s="1398">
        <f>W13/12</f>
        <v>1100000</v>
      </c>
    </row>
    <row r="14" spans="2:24" x14ac:dyDescent="0.35">
      <c r="B14" s="128">
        <v>2</v>
      </c>
      <c r="C14" s="129" t="s">
        <v>597</v>
      </c>
      <c r="D14" s="130" t="s">
        <v>531</v>
      </c>
      <c r="E14" s="131"/>
      <c r="F14" s="131"/>
      <c r="G14" s="131">
        <v>5699155</v>
      </c>
      <c r="H14" s="131">
        <f>H8*H$16</f>
        <v>450000</v>
      </c>
      <c r="I14" s="131">
        <f>I8*I$16</f>
        <v>350000</v>
      </c>
      <c r="J14" s="131">
        <f t="shared" ref="J14:M14" si="5">J8*J$16</f>
        <v>500000</v>
      </c>
      <c r="K14" s="131">
        <f t="shared" si="5"/>
        <v>550000</v>
      </c>
      <c r="L14" s="131">
        <f t="shared" si="5"/>
        <v>604999.99999999988</v>
      </c>
      <c r="M14" s="131">
        <f t="shared" si="5"/>
        <v>660000</v>
      </c>
      <c r="N14" s="131">
        <f t="shared" ref="N14:S15" si="6">N8*N$16</f>
        <v>660000</v>
      </c>
      <c r="O14" s="131">
        <f t="shared" si="6"/>
        <v>660000</v>
      </c>
      <c r="P14" s="131">
        <f t="shared" si="6"/>
        <v>660000</v>
      </c>
      <c r="Q14" s="131">
        <f t="shared" si="6"/>
        <v>660000</v>
      </c>
      <c r="R14" s="131">
        <f t="shared" si="6"/>
        <v>660000</v>
      </c>
      <c r="S14" s="131">
        <f t="shared" si="6"/>
        <v>660000</v>
      </c>
      <c r="T14" s="131">
        <f>SUM(H14:S14)</f>
        <v>7075000</v>
      </c>
      <c r="V14" s="1399" t="s">
        <v>605</v>
      </c>
      <c r="W14" s="1398">
        <v>7800000</v>
      </c>
      <c r="X14" s="1398">
        <f t="shared" ref="X14:X15" si="7">W14/12</f>
        <v>650000</v>
      </c>
    </row>
    <row r="15" spans="2:24" ht="25" x14ac:dyDescent="0.35">
      <c r="B15" s="128">
        <v>3</v>
      </c>
      <c r="C15" s="129" t="s">
        <v>598</v>
      </c>
      <c r="D15" s="130" t="s">
        <v>531</v>
      </c>
      <c r="E15" s="131"/>
      <c r="F15" s="131"/>
      <c r="G15" s="131">
        <v>2347421</v>
      </c>
      <c r="H15" s="131">
        <f>H9*H$16</f>
        <v>45000</v>
      </c>
      <c r="I15" s="131">
        <f t="shared" ref="I15:M15" si="8">I9*I$16</f>
        <v>35000</v>
      </c>
      <c r="J15" s="131">
        <f t="shared" si="8"/>
        <v>50000</v>
      </c>
      <c r="K15" s="131">
        <f t="shared" si="8"/>
        <v>55000</v>
      </c>
      <c r="L15" s="131">
        <f t="shared" si="8"/>
        <v>55000</v>
      </c>
      <c r="M15" s="131">
        <f t="shared" si="8"/>
        <v>55000</v>
      </c>
      <c r="N15" s="131">
        <f t="shared" si="6"/>
        <v>55000</v>
      </c>
      <c r="O15" s="131">
        <f t="shared" si="6"/>
        <v>55000</v>
      </c>
      <c r="P15" s="131">
        <f t="shared" si="6"/>
        <v>55000</v>
      </c>
      <c r="Q15" s="131">
        <f t="shared" si="6"/>
        <v>55000</v>
      </c>
      <c r="R15" s="131">
        <f t="shared" si="6"/>
        <v>55000</v>
      </c>
      <c r="S15" s="131">
        <f t="shared" si="6"/>
        <v>55000</v>
      </c>
      <c r="T15" s="131">
        <f>SUM(H15:S15)</f>
        <v>625000</v>
      </c>
      <c r="V15" s="1399" t="s">
        <v>606</v>
      </c>
      <c r="W15" s="1398">
        <v>9000000</v>
      </c>
      <c r="X15" s="1398">
        <f t="shared" si="7"/>
        <v>750000</v>
      </c>
    </row>
    <row r="16" spans="2:24" x14ac:dyDescent="0.35">
      <c r="B16" s="942"/>
      <c r="C16" s="943" t="s">
        <v>599</v>
      </c>
      <c r="D16" s="944" t="s">
        <v>531</v>
      </c>
      <c r="E16" s="132"/>
      <c r="F16" s="132"/>
      <c r="G16" s="132">
        <v>10630653</v>
      </c>
      <c r="H16" s="1393">
        <v>900000</v>
      </c>
      <c r="I16" s="1393">
        <v>700000</v>
      </c>
      <c r="J16" s="1393">
        <v>1000000</v>
      </c>
      <c r="K16" s="1394">
        <v>1100000</v>
      </c>
      <c r="L16" s="1394">
        <v>1100000</v>
      </c>
      <c r="M16" s="1394">
        <v>1100000</v>
      </c>
      <c r="N16" s="1394">
        <v>1100000</v>
      </c>
      <c r="O16" s="1394">
        <v>1100000</v>
      </c>
      <c r="P16" s="1394">
        <v>1100000</v>
      </c>
      <c r="Q16" s="1394">
        <v>1100000</v>
      </c>
      <c r="R16" s="1394">
        <v>1100000</v>
      </c>
      <c r="S16" s="1394">
        <v>1100000</v>
      </c>
      <c r="T16" s="132">
        <f>SUM(H16:S16)</f>
        <v>12500000</v>
      </c>
      <c r="U16" s="215" t="s">
        <v>607</v>
      </c>
      <c r="V16" s="1400" t="s">
        <v>608</v>
      </c>
      <c r="W16" s="1266">
        <f>SUM(W13:W15)</f>
        <v>30000000</v>
      </c>
      <c r="X16" s="1266">
        <f>SUM(X13:X15)</f>
        <v>2500000</v>
      </c>
    </row>
    <row r="17" spans="2:24" x14ac:dyDescent="0.35">
      <c r="H17" s="1054">
        <f>H16/1000</f>
        <v>900</v>
      </c>
      <c r="I17" s="1054">
        <f t="shared" ref="I17:S17" si="9">I16/1000</f>
        <v>700</v>
      </c>
      <c r="J17" s="1054">
        <f t="shared" si="9"/>
        <v>1000</v>
      </c>
      <c r="K17" s="1054">
        <f t="shared" si="9"/>
        <v>1100</v>
      </c>
      <c r="L17" s="1054">
        <f t="shared" si="9"/>
        <v>1100</v>
      </c>
      <c r="M17" s="1054">
        <f>M16/1000</f>
        <v>1100</v>
      </c>
      <c r="N17" s="1054">
        <f t="shared" si="9"/>
        <v>1100</v>
      </c>
      <c r="O17" s="1054">
        <f t="shared" si="9"/>
        <v>1100</v>
      </c>
      <c r="P17" s="1054">
        <f t="shared" si="9"/>
        <v>1100</v>
      </c>
      <c r="Q17" s="1054">
        <f t="shared" si="9"/>
        <v>1100</v>
      </c>
      <c r="R17" s="1054">
        <f t="shared" si="9"/>
        <v>1100</v>
      </c>
      <c r="S17" s="1054">
        <f t="shared" si="9"/>
        <v>1100</v>
      </c>
      <c r="V17" s="4"/>
      <c r="W17" s="219"/>
      <c r="X17" s="4"/>
    </row>
    <row r="18" spans="2:24" x14ac:dyDescent="0.35">
      <c r="B18" s="945" t="s">
        <v>609</v>
      </c>
      <c r="C18" s="946"/>
      <c r="D18" s="946"/>
      <c r="E18" s="946"/>
      <c r="F18" s="946"/>
      <c r="G18" s="946"/>
      <c r="H18" s="946"/>
      <c r="I18" s="946"/>
      <c r="J18" s="946"/>
      <c r="K18" s="946"/>
      <c r="L18" s="946"/>
      <c r="M18" s="946"/>
      <c r="N18" s="946"/>
      <c r="O18" s="946"/>
      <c r="P18" s="946"/>
      <c r="Q18" s="946"/>
      <c r="R18" s="946"/>
      <c r="S18" s="946"/>
      <c r="T18" s="946"/>
      <c r="V18" s="5"/>
      <c r="W18" s="218"/>
      <c r="X18" s="5"/>
    </row>
    <row r="19" spans="2:24" x14ac:dyDescent="0.35">
      <c r="B19" s="128">
        <v>1</v>
      </c>
      <c r="C19" s="129" t="s">
        <v>610</v>
      </c>
      <c r="D19" s="130" t="s">
        <v>531</v>
      </c>
      <c r="E19" s="925"/>
      <c r="F19" s="925"/>
      <c r="G19" s="925"/>
      <c r="H19" s="925"/>
      <c r="I19" s="925"/>
      <c r="J19" s="925"/>
      <c r="K19" s="925"/>
      <c r="L19" s="925"/>
      <c r="M19" s="925"/>
      <c r="N19" s="925"/>
      <c r="O19" s="925"/>
      <c r="P19" s="925"/>
      <c r="Q19" s="925"/>
      <c r="R19" s="925"/>
      <c r="S19" s="925"/>
      <c r="T19" s="158">
        <f>SUM(H19:S19)</f>
        <v>0</v>
      </c>
      <c r="V19" s="6"/>
      <c r="W19" s="217"/>
      <c r="X19" s="6"/>
    </row>
    <row r="20" spans="2:24" x14ac:dyDescent="0.35">
      <c r="B20" s="128">
        <v>2</v>
      </c>
      <c r="C20" s="129" t="s">
        <v>611</v>
      </c>
      <c r="D20" s="130" t="s">
        <v>552</v>
      </c>
      <c r="E20" s="939"/>
      <c r="F20" s="939"/>
      <c r="G20" s="939"/>
      <c r="H20" s="939"/>
      <c r="I20" s="939"/>
      <c r="J20" s="939"/>
      <c r="K20" s="939"/>
      <c r="L20" s="939"/>
      <c r="M20" s="939"/>
      <c r="N20" s="939"/>
      <c r="O20" s="939"/>
      <c r="P20" s="939"/>
      <c r="Q20" s="939"/>
      <c r="R20" s="939"/>
      <c r="S20" s="939"/>
      <c r="T20" s="158"/>
    </row>
    <row r="21" spans="2:24" x14ac:dyDescent="0.35">
      <c r="B21" s="950">
        <v>3</v>
      </c>
      <c r="C21" s="951" t="s">
        <v>612</v>
      </c>
      <c r="D21" s="952" t="s">
        <v>564</v>
      </c>
      <c r="E21" s="953">
        <f>E19*E20</f>
        <v>0</v>
      </c>
      <c r="F21" s="953">
        <f>F19*F20</f>
        <v>0</v>
      </c>
      <c r="G21" s="953">
        <f>G19*G20</f>
        <v>0</v>
      </c>
      <c r="H21" s="953">
        <f t="shared" ref="H21:S21" si="10">H19*H20</f>
        <v>0</v>
      </c>
      <c r="I21" s="953">
        <f t="shared" si="10"/>
        <v>0</v>
      </c>
      <c r="J21" s="953">
        <f t="shared" si="10"/>
        <v>0</v>
      </c>
      <c r="K21" s="953">
        <f t="shared" si="10"/>
        <v>0</v>
      </c>
      <c r="L21" s="953">
        <f t="shared" si="10"/>
        <v>0</v>
      </c>
      <c r="M21" s="953">
        <f t="shared" si="10"/>
        <v>0</v>
      </c>
      <c r="N21" s="953">
        <f t="shared" si="10"/>
        <v>0</v>
      </c>
      <c r="O21" s="953">
        <f t="shared" si="10"/>
        <v>0</v>
      </c>
      <c r="P21" s="953">
        <f t="shared" si="10"/>
        <v>0</v>
      </c>
      <c r="Q21" s="953">
        <f t="shared" si="10"/>
        <v>0</v>
      </c>
      <c r="R21" s="953">
        <f t="shared" si="10"/>
        <v>0</v>
      </c>
      <c r="S21" s="953">
        <f t="shared" si="10"/>
        <v>0</v>
      </c>
      <c r="T21" s="953">
        <f>SUM(H21:S21)</f>
        <v>0</v>
      </c>
      <c r="V21" s="5"/>
      <c r="W21" s="5"/>
      <c r="X21" s="5"/>
    </row>
    <row r="22" spans="2:24" x14ac:dyDescent="0.35">
      <c r="B22" s="80"/>
      <c r="C22" s="81"/>
      <c r="D22" s="82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1"/>
      <c r="V22" s="4"/>
      <c r="W22" s="4"/>
      <c r="X22" s="4"/>
    </row>
    <row r="23" spans="2:24" x14ac:dyDescent="0.35">
      <c r="B23" s="4" t="s">
        <v>613</v>
      </c>
    </row>
    <row r="24" spans="2:24" ht="39" x14ac:dyDescent="0.35">
      <c r="B24" s="116" t="s">
        <v>36</v>
      </c>
      <c r="C24" s="116" t="s">
        <v>594</v>
      </c>
      <c r="D24" s="116" t="s">
        <v>257</v>
      </c>
      <c r="E24" s="714" t="s">
        <v>227</v>
      </c>
      <c r="F24" s="714" t="s">
        <v>147</v>
      </c>
      <c r="G24" s="714" t="s">
        <v>148</v>
      </c>
      <c r="H24" s="116" t="s">
        <v>149</v>
      </c>
      <c r="I24" s="116" t="s">
        <v>150</v>
      </c>
      <c r="J24" s="116" t="s">
        <v>151</v>
      </c>
      <c r="K24" s="116" t="s">
        <v>152</v>
      </c>
      <c r="L24" s="116" t="s">
        <v>153</v>
      </c>
      <c r="M24" s="116" t="s">
        <v>154</v>
      </c>
      <c r="N24" s="116" t="s">
        <v>155</v>
      </c>
      <c r="O24" s="116" t="s">
        <v>156</v>
      </c>
      <c r="P24" s="116" t="s">
        <v>157</v>
      </c>
      <c r="Q24" s="116" t="s">
        <v>158</v>
      </c>
      <c r="R24" s="116" t="s">
        <v>159</v>
      </c>
      <c r="S24" s="116" t="s">
        <v>160</v>
      </c>
      <c r="T24" s="116" t="s">
        <v>2147</v>
      </c>
      <c r="U24" s="518"/>
    </row>
    <row r="25" spans="2:24" ht="15.5" x14ac:dyDescent="0.35">
      <c r="B25" s="954">
        <v>1</v>
      </c>
      <c r="C25" s="955" t="s">
        <v>596</v>
      </c>
      <c r="D25" s="956" t="s">
        <v>552</v>
      </c>
      <c r="E25" s="262"/>
      <c r="F25" s="262"/>
      <c r="G25" s="262"/>
      <c r="H25" s="957">
        <f>H26+H27</f>
        <v>10000</v>
      </c>
      <c r="I25" s="957">
        <f t="shared" ref="I25:T25" si="11">I26+I27</f>
        <v>10000</v>
      </c>
      <c r="J25" s="957">
        <f t="shared" si="11"/>
        <v>10000</v>
      </c>
      <c r="K25" s="957">
        <f t="shared" si="11"/>
        <v>10000</v>
      </c>
      <c r="L25" s="957">
        <f t="shared" si="11"/>
        <v>10000</v>
      </c>
      <c r="M25" s="957">
        <f t="shared" si="11"/>
        <v>10000</v>
      </c>
      <c r="N25" s="957">
        <f t="shared" si="11"/>
        <v>10000</v>
      </c>
      <c r="O25" s="957">
        <f t="shared" si="11"/>
        <v>10000</v>
      </c>
      <c r="P25" s="957">
        <f t="shared" si="11"/>
        <v>10000</v>
      </c>
      <c r="Q25" s="957">
        <f t="shared" si="11"/>
        <v>10000</v>
      </c>
      <c r="R25" s="957">
        <f t="shared" si="11"/>
        <v>10000</v>
      </c>
      <c r="S25" s="957">
        <f t="shared" si="11"/>
        <v>10000</v>
      </c>
      <c r="T25" s="957">
        <f t="shared" si="11"/>
        <v>0</v>
      </c>
      <c r="V25" s="5"/>
      <c r="W25" s="5"/>
      <c r="X25" s="5"/>
    </row>
    <row r="26" spans="2:24" x14ac:dyDescent="0.35">
      <c r="B26" s="128" t="s">
        <v>278</v>
      </c>
      <c r="C26" s="129" t="s">
        <v>614</v>
      </c>
      <c r="D26" s="130"/>
      <c r="E26" s="958"/>
      <c r="F26" s="958"/>
      <c r="G26" s="958"/>
      <c r="H26" s="1344">
        <v>10000</v>
      </c>
      <c r="I26" s="958">
        <f>H26</f>
        <v>10000</v>
      </c>
      <c r="J26" s="958">
        <f t="shared" ref="J26:S26" si="12">I26</f>
        <v>10000</v>
      </c>
      <c r="K26" s="958">
        <f t="shared" si="12"/>
        <v>10000</v>
      </c>
      <c r="L26" s="958">
        <f t="shared" si="12"/>
        <v>10000</v>
      </c>
      <c r="M26" s="958">
        <f t="shared" si="12"/>
        <v>10000</v>
      </c>
      <c r="N26" s="958">
        <f t="shared" si="12"/>
        <v>10000</v>
      </c>
      <c r="O26" s="958">
        <f t="shared" si="12"/>
        <v>10000</v>
      </c>
      <c r="P26" s="958">
        <f t="shared" si="12"/>
        <v>10000</v>
      </c>
      <c r="Q26" s="958">
        <f t="shared" si="12"/>
        <v>10000</v>
      </c>
      <c r="R26" s="958">
        <f t="shared" si="12"/>
        <v>10000</v>
      </c>
      <c r="S26" s="958">
        <f t="shared" si="12"/>
        <v>10000</v>
      </c>
      <c r="T26" s="162"/>
      <c r="V26" s="4"/>
      <c r="W26" s="4"/>
      <c r="X26" s="4"/>
    </row>
    <row r="27" spans="2:24" ht="25" x14ac:dyDescent="0.35">
      <c r="B27" s="128" t="s">
        <v>280</v>
      </c>
      <c r="C27" s="129" t="s">
        <v>615</v>
      </c>
      <c r="D27" s="130"/>
      <c r="E27" s="958"/>
      <c r="F27" s="958"/>
      <c r="G27" s="958"/>
      <c r="H27" s="958"/>
      <c r="I27" s="958"/>
      <c r="J27" s="958"/>
      <c r="K27" s="958"/>
      <c r="L27" s="958"/>
      <c r="M27" s="958"/>
      <c r="N27" s="958"/>
      <c r="O27" s="958"/>
      <c r="P27" s="958"/>
      <c r="Q27" s="958"/>
      <c r="R27" s="958"/>
      <c r="S27" s="958"/>
      <c r="T27" s="162"/>
      <c r="V27" s="149"/>
    </row>
    <row r="28" spans="2:24" ht="15.5" x14ac:dyDescent="0.35">
      <c r="B28" s="954">
        <v>2</v>
      </c>
      <c r="C28" s="955" t="s">
        <v>597</v>
      </c>
      <c r="D28" s="956" t="s">
        <v>552</v>
      </c>
      <c r="E28" s="262"/>
      <c r="F28" s="262"/>
      <c r="G28" s="262"/>
      <c r="H28" s="957">
        <f>H29+H30</f>
        <v>10000</v>
      </c>
      <c r="I28" s="957">
        <f t="shared" ref="I28:T28" si="13">I29+I30</f>
        <v>10000</v>
      </c>
      <c r="J28" s="957">
        <f t="shared" si="13"/>
        <v>10000</v>
      </c>
      <c r="K28" s="957">
        <f t="shared" si="13"/>
        <v>10000</v>
      </c>
      <c r="L28" s="957">
        <f t="shared" si="13"/>
        <v>10000</v>
      </c>
      <c r="M28" s="957">
        <f t="shared" si="13"/>
        <v>10000</v>
      </c>
      <c r="N28" s="957">
        <f t="shared" si="13"/>
        <v>10000</v>
      </c>
      <c r="O28" s="957">
        <f t="shared" si="13"/>
        <v>10000</v>
      </c>
      <c r="P28" s="957">
        <f t="shared" si="13"/>
        <v>10000</v>
      </c>
      <c r="Q28" s="957">
        <f t="shared" si="13"/>
        <v>10000</v>
      </c>
      <c r="R28" s="957">
        <f t="shared" si="13"/>
        <v>10000</v>
      </c>
      <c r="S28" s="957">
        <f t="shared" si="13"/>
        <v>10000</v>
      </c>
      <c r="T28" s="957">
        <f t="shared" si="13"/>
        <v>0</v>
      </c>
      <c r="V28" s="5"/>
      <c r="W28" s="5"/>
      <c r="X28" s="5"/>
    </row>
    <row r="29" spans="2:24" x14ac:dyDescent="0.35">
      <c r="B29" s="128" t="s">
        <v>278</v>
      </c>
      <c r="C29" s="129" t="s">
        <v>614</v>
      </c>
      <c r="D29" s="130"/>
      <c r="E29" s="958"/>
      <c r="F29" s="958"/>
      <c r="G29" s="958"/>
      <c r="H29" s="1344">
        <f>H26</f>
        <v>10000</v>
      </c>
      <c r="I29" s="958">
        <f t="shared" ref="I29:S29" si="14">I26</f>
        <v>10000</v>
      </c>
      <c r="J29" s="958">
        <f t="shared" si="14"/>
        <v>10000</v>
      </c>
      <c r="K29" s="958">
        <f t="shared" si="14"/>
        <v>10000</v>
      </c>
      <c r="L29" s="958">
        <f t="shared" si="14"/>
        <v>10000</v>
      </c>
      <c r="M29" s="958">
        <f t="shared" si="14"/>
        <v>10000</v>
      </c>
      <c r="N29" s="958">
        <f t="shared" si="14"/>
        <v>10000</v>
      </c>
      <c r="O29" s="958">
        <f t="shared" si="14"/>
        <v>10000</v>
      </c>
      <c r="P29" s="958">
        <f t="shared" si="14"/>
        <v>10000</v>
      </c>
      <c r="Q29" s="958">
        <f t="shared" si="14"/>
        <v>10000</v>
      </c>
      <c r="R29" s="958">
        <f t="shared" si="14"/>
        <v>10000</v>
      </c>
      <c r="S29" s="958">
        <f t="shared" si="14"/>
        <v>10000</v>
      </c>
      <c r="T29" s="162"/>
      <c r="V29" s="4"/>
      <c r="W29" s="4"/>
      <c r="X29" s="4"/>
    </row>
    <row r="30" spans="2:24" ht="25" x14ac:dyDescent="0.35">
      <c r="B30" s="128" t="s">
        <v>280</v>
      </c>
      <c r="C30" s="129" t="s">
        <v>615</v>
      </c>
      <c r="D30" s="130"/>
      <c r="E30" s="958"/>
      <c r="F30" s="958"/>
      <c r="G30" s="958"/>
      <c r="H30" s="958"/>
      <c r="I30" s="958"/>
      <c r="J30" s="958"/>
      <c r="K30" s="958"/>
      <c r="L30" s="958"/>
      <c r="M30" s="958"/>
      <c r="N30" s="958"/>
      <c r="O30" s="958"/>
      <c r="P30" s="958"/>
      <c r="Q30" s="958"/>
      <c r="R30" s="958"/>
      <c r="S30" s="958"/>
      <c r="T30" s="162"/>
    </row>
    <row r="31" spans="2:24" x14ac:dyDescent="0.35">
      <c r="B31" s="954">
        <v>3</v>
      </c>
      <c r="C31" s="955" t="s">
        <v>616</v>
      </c>
      <c r="D31" s="956" t="s">
        <v>552</v>
      </c>
      <c r="E31" s="957">
        <f t="shared" ref="E31:F31" si="15">E32+E33</f>
        <v>0</v>
      </c>
      <c r="F31" s="957">
        <f t="shared" si="15"/>
        <v>0</v>
      </c>
      <c r="G31" s="957">
        <f t="shared" ref="G31:T31" si="16">G32+G33</f>
        <v>0</v>
      </c>
      <c r="H31" s="957">
        <f>H32+H33</f>
        <v>12700</v>
      </c>
      <c r="I31" s="957">
        <f t="shared" si="16"/>
        <v>12700</v>
      </c>
      <c r="J31" s="957">
        <f t="shared" si="16"/>
        <v>12700</v>
      </c>
      <c r="K31" s="957">
        <f t="shared" si="16"/>
        <v>12700</v>
      </c>
      <c r="L31" s="957">
        <f t="shared" si="16"/>
        <v>12700</v>
      </c>
      <c r="M31" s="957">
        <f t="shared" si="16"/>
        <v>12700</v>
      </c>
      <c r="N31" s="957">
        <f t="shared" si="16"/>
        <v>12700</v>
      </c>
      <c r="O31" s="957">
        <f t="shared" si="16"/>
        <v>12700</v>
      </c>
      <c r="P31" s="957">
        <f t="shared" si="16"/>
        <v>12700</v>
      </c>
      <c r="Q31" s="957">
        <f t="shared" si="16"/>
        <v>12700</v>
      </c>
      <c r="R31" s="957">
        <f t="shared" si="16"/>
        <v>12700</v>
      </c>
      <c r="S31" s="957">
        <f t="shared" si="16"/>
        <v>12700</v>
      </c>
      <c r="T31" s="957">
        <f t="shared" si="16"/>
        <v>0</v>
      </c>
      <c r="V31" s="5"/>
      <c r="W31" s="5"/>
      <c r="X31" s="5"/>
    </row>
    <row r="32" spans="2:24" x14ac:dyDescent="0.35">
      <c r="B32" s="128" t="s">
        <v>278</v>
      </c>
      <c r="C32" s="129" t="s">
        <v>614</v>
      </c>
      <c r="D32" s="130"/>
      <c r="E32" s="958"/>
      <c r="F32" s="958"/>
      <c r="G32" s="958"/>
      <c r="H32" s="1344">
        <v>12700</v>
      </c>
      <c r="I32" s="958">
        <f>H32</f>
        <v>12700</v>
      </c>
      <c r="J32" s="958">
        <f t="shared" ref="J32:S32" si="17">I32</f>
        <v>12700</v>
      </c>
      <c r="K32" s="958">
        <f t="shared" si="17"/>
        <v>12700</v>
      </c>
      <c r="L32" s="958">
        <f t="shared" si="17"/>
        <v>12700</v>
      </c>
      <c r="M32" s="958">
        <f t="shared" si="17"/>
        <v>12700</v>
      </c>
      <c r="N32" s="958">
        <f t="shared" si="17"/>
        <v>12700</v>
      </c>
      <c r="O32" s="958">
        <f t="shared" si="17"/>
        <v>12700</v>
      </c>
      <c r="P32" s="958">
        <f t="shared" si="17"/>
        <v>12700</v>
      </c>
      <c r="Q32" s="958">
        <f t="shared" si="17"/>
        <v>12700</v>
      </c>
      <c r="R32" s="958">
        <f t="shared" si="17"/>
        <v>12700</v>
      </c>
      <c r="S32" s="958">
        <f t="shared" si="17"/>
        <v>12700</v>
      </c>
      <c r="T32" s="162"/>
      <c r="V32" s="4"/>
      <c r="W32" s="4"/>
      <c r="X32" s="4"/>
    </row>
    <row r="33" spans="2:24" ht="25" x14ac:dyDescent="0.35">
      <c r="B33" s="128" t="s">
        <v>280</v>
      </c>
      <c r="C33" s="129" t="s">
        <v>615</v>
      </c>
      <c r="D33" s="130"/>
      <c r="E33" s="958"/>
      <c r="F33" s="958"/>
      <c r="G33" s="958"/>
      <c r="H33" s="958"/>
      <c r="I33" s="958"/>
      <c r="J33" s="958"/>
      <c r="K33" s="958"/>
      <c r="L33" s="958"/>
      <c r="M33" s="958"/>
      <c r="N33" s="958"/>
      <c r="O33" s="958"/>
      <c r="P33" s="958"/>
      <c r="Q33" s="958"/>
      <c r="R33" s="958"/>
      <c r="S33" s="958"/>
      <c r="T33" s="162"/>
    </row>
    <row r="34" spans="2:24" x14ac:dyDescent="0.35">
      <c r="B34" s="959"/>
      <c r="C34" s="960" t="s">
        <v>617</v>
      </c>
      <c r="D34" s="961" t="s">
        <v>552</v>
      </c>
      <c r="E34" s="962"/>
      <c r="F34" s="962"/>
      <c r="G34" s="962"/>
      <c r="H34" s="962">
        <f>H42/H16</f>
        <v>10135</v>
      </c>
      <c r="I34" s="962">
        <f t="shared" ref="I34:S34" si="18">I42/I16</f>
        <v>10135</v>
      </c>
      <c r="J34" s="962">
        <f t="shared" si="18"/>
        <v>10135</v>
      </c>
      <c r="K34" s="962">
        <f t="shared" si="18"/>
        <v>10135</v>
      </c>
      <c r="L34" s="962">
        <f t="shared" si="18"/>
        <v>10135</v>
      </c>
      <c r="M34" s="1354">
        <f t="shared" si="18"/>
        <v>10135</v>
      </c>
      <c r="N34" s="962">
        <f t="shared" si="18"/>
        <v>10135</v>
      </c>
      <c r="O34" s="962">
        <f t="shared" si="18"/>
        <v>10135</v>
      </c>
      <c r="P34" s="962">
        <f t="shared" si="18"/>
        <v>10135</v>
      </c>
      <c r="Q34" s="962">
        <f t="shared" si="18"/>
        <v>10135</v>
      </c>
      <c r="R34" s="962">
        <f t="shared" si="18"/>
        <v>10135</v>
      </c>
      <c r="S34" s="962">
        <f t="shared" si="18"/>
        <v>10135</v>
      </c>
      <c r="T34" s="962"/>
      <c r="V34" s="5"/>
      <c r="W34" s="5"/>
      <c r="X34" s="5"/>
    </row>
    <row r="35" spans="2:24" x14ac:dyDescent="0.35">
      <c r="K35" s="16"/>
      <c r="V35" s="4"/>
      <c r="W35" s="4"/>
      <c r="X35" s="4"/>
    </row>
    <row r="36" spans="2:24" x14ac:dyDescent="0.35">
      <c r="B36" s="4" t="s">
        <v>618</v>
      </c>
    </row>
    <row r="37" spans="2:24" ht="39" x14ac:dyDescent="0.35">
      <c r="B37" s="116" t="s">
        <v>36</v>
      </c>
      <c r="C37" s="116" t="s">
        <v>594</v>
      </c>
      <c r="D37" s="116" t="s">
        <v>257</v>
      </c>
      <c r="E37" s="714" t="s">
        <v>227</v>
      </c>
      <c r="F37" s="714" t="s">
        <v>147</v>
      </c>
      <c r="G37" s="714" t="s">
        <v>148</v>
      </c>
      <c r="H37" s="116" t="s">
        <v>149</v>
      </c>
      <c r="I37" s="116" t="s">
        <v>150</v>
      </c>
      <c r="J37" s="116" t="s">
        <v>151</v>
      </c>
      <c r="K37" s="116" t="s">
        <v>152</v>
      </c>
      <c r="L37" s="116" t="s">
        <v>153</v>
      </c>
      <c r="M37" s="116" t="s">
        <v>154</v>
      </c>
      <c r="N37" s="116" t="s">
        <v>155</v>
      </c>
      <c r="O37" s="116" t="s">
        <v>156</v>
      </c>
      <c r="P37" s="116" t="s">
        <v>157</v>
      </c>
      <c r="Q37" s="116" t="s">
        <v>158</v>
      </c>
      <c r="R37" s="116" t="s">
        <v>159</v>
      </c>
      <c r="S37" s="116" t="s">
        <v>160</v>
      </c>
      <c r="T37" s="116" t="s">
        <v>2147</v>
      </c>
    </row>
    <row r="38" spans="2:24" x14ac:dyDescent="0.35">
      <c r="B38" s="128">
        <v>1</v>
      </c>
      <c r="C38" s="129" t="s">
        <v>596</v>
      </c>
      <c r="D38" s="130" t="s">
        <v>564</v>
      </c>
      <c r="E38" s="963"/>
      <c r="F38" s="963"/>
      <c r="G38" s="963"/>
      <c r="H38" s="963">
        <f>H$13*H$25</f>
        <v>4050000000</v>
      </c>
      <c r="I38" s="963">
        <f t="shared" ref="I38:R38" si="19">I$13*I$25</f>
        <v>3150000000</v>
      </c>
      <c r="J38" s="963">
        <f t="shared" si="19"/>
        <v>4500000000</v>
      </c>
      <c r="K38" s="963">
        <f t="shared" si="19"/>
        <v>4950000000</v>
      </c>
      <c r="L38" s="963">
        <f t="shared" si="19"/>
        <v>4400000000</v>
      </c>
      <c r="M38" s="963">
        <f t="shared" si="19"/>
        <v>3850000000</v>
      </c>
      <c r="N38" s="963">
        <f t="shared" si="19"/>
        <v>3850000000</v>
      </c>
      <c r="O38" s="963">
        <f t="shared" si="19"/>
        <v>3850000000</v>
      </c>
      <c r="P38" s="963">
        <f t="shared" si="19"/>
        <v>3850000000</v>
      </c>
      <c r="Q38" s="963">
        <f t="shared" si="19"/>
        <v>3850000000</v>
      </c>
      <c r="R38" s="963">
        <f t="shared" si="19"/>
        <v>3850000000</v>
      </c>
      <c r="S38" s="963">
        <f>S$13*S$25</f>
        <v>3850000000</v>
      </c>
      <c r="T38" s="963">
        <f>SUM(H38:S38)</f>
        <v>48000000000</v>
      </c>
    </row>
    <row r="39" spans="2:24" x14ac:dyDescent="0.35">
      <c r="B39" s="128">
        <v>2</v>
      </c>
      <c r="C39" s="129" t="s">
        <v>597</v>
      </c>
      <c r="D39" s="130" t="s">
        <v>564</v>
      </c>
      <c r="E39" s="963"/>
      <c r="F39" s="963"/>
      <c r="G39" s="963"/>
      <c r="H39" s="963">
        <f t="shared" ref="H39:S39" si="20">H$14*H$28</f>
        <v>4500000000</v>
      </c>
      <c r="I39" s="963">
        <f t="shared" si="20"/>
        <v>3500000000</v>
      </c>
      <c r="J39" s="963">
        <f t="shared" si="20"/>
        <v>5000000000</v>
      </c>
      <c r="K39" s="963">
        <f t="shared" si="20"/>
        <v>5500000000</v>
      </c>
      <c r="L39" s="963">
        <f t="shared" si="20"/>
        <v>6049999999.999999</v>
      </c>
      <c r="M39" s="963">
        <f t="shared" si="20"/>
        <v>6600000000</v>
      </c>
      <c r="N39" s="963">
        <f t="shared" si="20"/>
        <v>6600000000</v>
      </c>
      <c r="O39" s="963">
        <f t="shared" si="20"/>
        <v>6600000000</v>
      </c>
      <c r="P39" s="963">
        <f t="shared" si="20"/>
        <v>6600000000</v>
      </c>
      <c r="Q39" s="963">
        <f t="shared" si="20"/>
        <v>6600000000</v>
      </c>
      <c r="R39" s="963">
        <f t="shared" si="20"/>
        <v>6600000000</v>
      </c>
      <c r="S39" s="963">
        <f t="shared" si="20"/>
        <v>6600000000</v>
      </c>
      <c r="T39" s="963">
        <f>SUM(H39:S39)</f>
        <v>70750000000</v>
      </c>
    </row>
    <row r="40" spans="2:24" ht="25" x14ac:dyDescent="0.35">
      <c r="B40" s="128">
        <v>3</v>
      </c>
      <c r="C40" s="129" t="s">
        <v>598</v>
      </c>
      <c r="D40" s="130" t="s">
        <v>564</v>
      </c>
      <c r="E40" s="963"/>
      <c r="F40" s="963"/>
      <c r="G40" s="963"/>
      <c r="H40" s="963">
        <f>H$15*H$31</f>
        <v>571500000</v>
      </c>
      <c r="I40" s="963">
        <f t="shared" ref="I40:S40" si="21">I$15*I$31</f>
        <v>444500000</v>
      </c>
      <c r="J40" s="963">
        <f t="shared" si="21"/>
        <v>635000000</v>
      </c>
      <c r="K40" s="963">
        <f t="shared" si="21"/>
        <v>698500000</v>
      </c>
      <c r="L40" s="963">
        <f t="shared" si="21"/>
        <v>698500000</v>
      </c>
      <c r="M40" s="963">
        <f t="shared" si="21"/>
        <v>698500000</v>
      </c>
      <c r="N40" s="963">
        <f t="shared" si="21"/>
        <v>698500000</v>
      </c>
      <c r="O40" s="963">
        <f t="shared" si="21"/>
        <v>698500000</v>
      </c>
      <c r="P40" s="963">
        <f t="shared" si="21"/>
        <v>698500000</v>
      </c>
      <c r="Q40" s="963">
        <f t="shared" si="21"/>
        <v>698500000</v>
      </c>
      <c r="R40" s="963">
        <f t="shared" si="21"/>
        <v>698500000</v>
      </c>
      <c r="S40" s="963">
        <f t="shared" si="21"/>
        <v>698500000</v>
      </c>
      <c r="T40" s="963">
        <f>SUM(H40:S40)</f>
        <v>7937500000</v>
      </c>
    </row>
    <row r="41" spans="2:24" x14ac:dyDescent="0.35">
      <c r="B41" s="128"/>
      <c r="C41" s="129"/>
      <c r="D41" s="130"/>
      <c r="E41" s="963"/>
      <c r="F41" s="963"/>
      <c r="G41" s="963"/>
      <c r="H41" s="963"/>
      <c r="I41" s="963"/>
      <c r="J41" s="963"/>
      <c r="K41" s="963"/>
      <c r="L41" s="963"/>
      <c r="M41" s="963"/>
      <c r="N41" s="963"/>
      <c r="O41" s="963"/>
      <c r="P41" s="963"/>
      <c r="Q41" s="963"/>
      <c r="R41" s="963"/>
      <c r="S41" s="963"/>
      <c r="T41" s="963">
        <f>SUM(H41:S41)</f>
        <v>0</v>
      </c>
    </row>
    <row r="42" spans="2:24" x14ac:dyDescent="0.35">
      <c r="B42" s="954"/>
      <c r="C42" s="955" t="s">
        <v>599</v>
      </c>
      <c r="D42" s="956" t="s">
        <v>564</v>
      </c>
      <c r="E42" s="964">
        <f>SUM(E38:E41)</f>
        <v>0</v>
      </c>
      <c r="F42" s="964">
        <f>SUM(F38:F41)</f>
        <v>0</v>
      </c>
      <c r="G42" s="964">
        <f>SUM(G38:G41)</f>
        <v>0</v>
      </c>
      <c r="H42" s="964">
        <f>SUM(H38:H41)</f>
        <v>9121500000</v>
      </c>
      <c r="I42" s="964">
        <f t="shared" ref="I42:S42" si="22">SUM(I38:I41)</f>
        <v>7094500000</v>
      </c>
      <c r="J42" s="964">
        <f t="shared" si="22"/>
        <v>10135000000</v>
      </c>
      <c r="K42" s="964">
        <f>SUM(K38:K41)</f>
        <v>11148500000</v>
      </c>
      <c r="L42" s="964">
        <f>SUM(L38:L41)</f>
        <v>11148500000</v>
      </c>
      <c r="M42" s="964">
        <f t="shared" si="22"/>
        <v>11148500000</v>
      </c>
      <c r="N42" s="964">
        <f t="shared" si="22"/>
        <v>11148500000</v>
      </c>
      <c r="O42" s="964">
        <f t="shared" si="22"/>
        <v>11148500000</v>
      </c>
      <c r="P42" s="964">
        <f t="shared" si="22"/>
        <v>11148500000</v>
      </c>
      <c r="Q42" s="964">
        <f t="shared" si="22"/>
        <v>11148500000</v>
      </c>
      <c r="R42" s="964">
        <f t="shared" si="22"/>
        <v>11148500000</v>
      </c>
      <c r="S42" s="964">
        <f t="shared" si="22"/>
        <v>11148500000</v>
      </c>
      <c r="T42" s="964">
        <f>SUM(H42:S42)</f>
        <v>126687500000</v>
      </c>
      <c r="V42" s="5"/>
      <c r="W42" s="5"/>
      <c r="X42" s="5"/>
    </row>
    <row r="43" spans="2:24" x14ac:dyDescent="0.35">
      <c r="V43" s="4"/>
      <c r="W43" s="4"/>
      <c r="X43" s="4"/>
    </row>
    <row r="44" spans="2:24" x14ac:dyDescent="0.35">
      <c r="B44" s="4" t="s">
        <v>619</v>
      </c>
    </row>
    <row r="45" spans="2:24" ht="39" x14ac:dyDescent="0.35">
      <c r="B45" s="116" t="s">
        <v>36</v>
      </c>
      <c r="C45" s="116" t="s">
        <v>594</v>
      </c>
      <c r="D45" s="116" t="s">
        <v>257</v>
      </c>
      <c r="E45" s="714" t="s">
        <v>227</v>
      </c>
      <c r="F45" s="714" t="s">
        <v>147</v>
      </c>
      <c r="G45" s="714" t="s">
        <v>148</v>
      </c>
      <c r="H45" s="116" t="s">
        <v>149</v>
      </c>
      <c r="I45" s="116" t="s">
        <v>150</v>
      </c>
      <c r="J45" s="116" t="s">
        <v>151</v>
      </c>
      <c r="K45" s="116" t="s">
        <v>152</v>
      </c>
      <c r="L45" s="116" t="s">
        <v>153</v>
      </c>
      <c r="M45" s="116" t="s">
        <v>154</v>
      </c>
      <c r="N45" s="116" t="s">
        <v>155</v>
      </c>
      <c r="O45" s="116" t="s">
        <v>156</v>
      </c>
      <c r="P45" s="116" t="s">
        <v>157</v>
      </c>
      <c r="Q45" s="116" t="s">
        <v>158</v>
      </c>
      <c r="R45" s="116" t="s">
        <v>159</v>
      </c>
      <c r="S45" s="116" t="s">
        <v>160</v>
      </c>
      <c r="T45" s="116" t="s">
        <v>2147</v>
      </c>
    </row>
    <row r="46" spans="2:24" ht="26" x14ac:dyDescent="0.35">
      <c r="B46" s="125" t="s">
        <v>288</v>
      </c>
      <c r="C46" s="126" t="s">
        <v>620</v>
      </c>
      <c r="D46" s="125"/>
      <c r="E46" s="125"/>
      <c r="F46" s="125"/>
      <c r="G46" s="125"/>
      <c r="H46" s="127">
        <f>H47/H48</f>
        <v>0.75719333669863709</v>
      </c>
      <c r="I46" s="127">
        <f t="shared" ref="I46:S46" si="23">I47/I48</f>
        <v>0.58892815076560656</v>
      </c>
      <c r="J46" s="127">
        <f t="shared" si="23"/>
        <v>0.84132592966515229</v>
      </c>
      <c r="K46" s="127">
        <f t="shared" si="23"/>
        <v>0.9254585226316675</v>
      </c>
      <c r="L46" s="127">
        <f t="shared" si="23"/>
        <v>0.9254585226316675</v>
      </c>
      <c r="M46" s="127">
        <f>M47/M48</f>
        <v>0.9254585226316675</v>
      </c>
      <c r="N46" s="127">
        <f t="shared" si="23"/>
        <v>0.9254585226316675</v>
      </c>
      <c r="O46" s="127">
        <f t="shared" si="23"/>
        <v>0.9254585226316675</v>
      </c>
      <c r="P46" s="127">
        <f t="shared" si="23"/>
        <v>0.9254585226316675</v>
      </c>
      <c r="Q46" s="127">
        <f t="shared" si="23"/>
        <v>0.9254585226316675</v>
      </c>
      <c r="R46" s="127">
        <f t="shared" si="23"/>
        <v>0.9254585226316675</v>
      </c>
      <c r="S46" s="127">
        <f t="shared" si="23"/>
        <v>0.9254585226316675</v>
      </c>
      <c r="T46" s="127">
        <f>T47/T48</f>
        <v>0.87638117673453364</v>
      </c>
      <c r="V46" s="5"/>
      <c r="W46" s="5"/>
      <c r="X46" s="5"/>
    </row>
    <row r="47" spans="2:24" x14ac:dyDescent="0.35">
      <c r="B47" s="128">
        <v>1</v>
      </c>
      <c r="C47" s="129" t="s">
        <v>621</v>
      </c>
      <c r="D47" s="130" t="s">
        <v>531</v>
      </c>
      <c r="E47" s="131"/>
      <c r="F47" s="131"/>
      <c r="G47" s="131"/>
      <c r="H47" s="131">
        <f>H16</f>
        <v>900000</v>
      </c>
      <c r="I47" s="131">
        <f t="shared" ref="I47:S47" si="24">I16</f>
        <v>700000</v>
      </c>
      <c r="J47" s="131">
        <f t="shared" si="24"/>
        <v>1000000</v>
      </c>
      <c r="K47" s="131">
        <f t="shared" si="24"/>
        <v>1100000</v>
      </c>
      <c r="L47" s="131">
        <f t="shared" si="24"/>
        <v>1100000</v>
      </c>
      <c r="M47" s="131">
        <f>M16</f>
        <v>1100000</v>
      </c>
      <c r="N47" s="131">
        <f t="shared" si="24"/>
        <v>1100000</v>
      </c>
      <c r="O47" s="131">
        <f t="shared" si="24"/>
        <v>1100000</v>
      </c>
      <c r="P47" s="131">
        <f t="shared" si="24"/>
        <v>1100000</v>
      </c>
      <c r="Q47" s="131">
        <f t="shared" si="24"/>
        <v>1100000</v>
      </c>
      <c r="R47" s="131">
        <f t="shared" si="24"/>
        <v>1100000</v>
      </c>
      <c r="S47" s="131">
        <f t="shared" si="24"/>
        <v>1100000</v>
      </c>
      <c r="T47" s="132">
        <f>SUM(H47:S47)</f>
        <v>12500000</v>
      </c>
      <c r="V47" s="8"/>
      <c r="W47" s="8"/>
      <c r="X47" s="8"/>
    </row>
    <row r="48" spans="2:24" x14ac:dyDescent="0.35">
      <c r="B48" s="128">
        <v>2</v>
      </c>
      <c r="C48" s="129" t="s">
        <v>622</v>
      </c>
      <c r="D48" s="130" t="s">
        <v>531</v>
      </c>
      <c r="E48" s="131"/>
      <c r="F48" s="131"/>
      <c r="G48" s="131"/>
      <c r="H48" s="131">
        <f>'Cong suat'!F$65</f>
        <v>1188600</v>
      </c>
      <c r="I48" s="131">
        <f>'Cong suat'!G$65</f>
        <v>1188600</v>
      </c>
      <c r="J48" s="131">
        <f>'Cong suat'!H$65</f>
        <v>1188600</v>
      </c>
      <c r="K48" s="131">
        <f>'Cong suat'!I$65</f>
        <v>1188600</v>
      </c>
      <c r="L48" s="131">
        <f>'Cong suat'!J$65</f>
        <v>1188600</v>
      </c>
      <c r="M48" s="131">
        <f>'Cong suat'!K$65</f>
        <v>1188600</v>
      </c>
      <c r="N48" s="131">
        <f>'Cong suat'!L$65</f>
        <v>1188600</v>
      </c>
      <c r="O48" s="131">
        <f>'Cong suat'!M$65</f>
        <v>1188600</v>
      </c>
      <c r="P48" s="131">
        <f>'Cong suat'!N$65</f>
        <v>1188600</v>
      </c>
      <c r="Q48" s="131">
        <f>'Cong suat'!O$65</f>
        <v>1188600</v>
      </c>
      <c r="R48" s="131">
        <f>'Cong suat'!P$65</f>
        <v>1188600</v>
      </c>
      <c r="S48" s="131">
        <f>'Cong suat'!Q$65</f>
        <v>1188600</v>
      </c>
      <c r="T48" s="132">
        <f>SUM(H48:S48)</f>
        <v>14263200</v>
      </c>
    </row>
    <row r="49" spans="2:24" ht="26" x14ac:dyDescent="0.35">
      <c r="B49" s="125" t="s">
        <v>293</v>
      </c>
      <c r="C49" s="126" t="s">
        <v>623</v>
      </c>
      <c r="D49" s="125"/>
      <c r="E49" s="125"/>
      <c r="F49" s="125"/>
      <c r="G49" s="125"/>
      <c r="H49" s="127">
        <f>H50/H51</f>
        <v>0.72679996929689883</v>
      </c>
      <c r="I49" s="127">
        <f t="shared" ref="I49:T49" si="25">I50/I51</f>
        <v>0.56528886500869913</v>
      </c>
      <c r="J49" s="127">
        <f t="shared" si="25"/>
        <v>0.80755552144099874</v>
      </c>
      <c r="K49" s="127">
        <f t="shared" si="25"/>
        <v>0.88831107358509853</v>
      </c>
      <c r="L49" s="127">
        <f t="shared" si="25"/>
        <v>0.88730591254002344</v>
      </c>
      <c r="M49" s="127">
        <f>M50/M51</f>
        <v>0.88630075149494847</v>
      </c>
      <c r="N49" s="127">
        <f t="shared" si="25"/>
        <v>0.88630075149494847</v>
      </c>
      <c r="O49" s="127">
        <f t="shared" si="25"/>
        <v>0.88630075149494847</v>
      </c>
      <c r="P49" s="127">
        <f t="shared" si="25"/>
        <v>0.88630075149494847</v>
      </c>
      <c r="Q49" s="127">
        <f t="shared" si="25"/>
        <v>0.88630075149494847</v>
      </c>
      <c r="R49" s="127">
        <f t="shared" si="25"/>
        <v>0.88630075149494847</v>
      </c>
      <c r="S49" s="127">
        <f t="shared" si="25"/>
        <v>0.88630075149494847</v>
      </c>
      <c r="T49" s="127">
        <f t="shared" si="25"/>
        <v>0.8399472168613632</v>
      </c>
      <c r="V49" s="5"/>
      <c r="W49" s="5"/>
      <c r="X49" s="5"/>
    </row>
    <row r="50" spans="2:24" ht="25" x14ac:dyDescent="0.35">
      <c r="B50" s="128">
        <v>1</v>
      </c>
      <c r="C50" s="129" t="s">
        <v>624</v>
      </c>
      <c r="D50" s="130" t="s">
        <v>531</v>
      </c>
      <c r="E50" s="131"/>
      <c r="F50" s="131"/>
      <c r="G50" s="131"/>
      <c r="H50" s="131">
        <f>'3.Thanh pham'!F78</f>
        <v>795375</v>
      </c>
      <c r="I50" s="131">
        <f>'3.Thanh pham'!G78</f>
        <v>618625</v>
      </c>
      <c r="J50" s="131">
        <f>'3.Thanh pham'!H78</f>
        <v>883750</v>
      </c>
      <c r="K50" s="131">
        <f>'3.Thanh pham'!I78</f>
        <v>972125</v>
      </c>
      <c r="L50" s="131">
        <f>'3.Thanh pham'!J78</f>
        <v>971025</v>
      </c>
      <c r="M50" s="131">
        <f>'3.Thanh pham'!K78</f>
        <v>969925</v>
      </c>
      <c r="N50" s="131">
        <f>'3.Thanh pham'!L78</f>
        <v>969925</v>
      </c>
      <c r="O50" s="131">
        <f>'3.Thanh pham'!M78</f>
        <v>969925</v>
      </c>
      <c r="P50" s="131">
        <f>'3.Thanh pham'!N78</f>
        <v>969925</v>
      </c>
      <c r="Q50" s="131">
        <f>'3.Thanh pham'!O78</f>
        <v>969925</v>
      </c>
      <c r="R50" s="131">
        <f>'3.Thanh pham'!P78</f>
        <v>969925</v>
      </c>
      <c r="S50" s="131">
        <f>'3.Thanh pham'!Q78</f>
        <v>969925</v>
      </c>
      <c r="T50" s="132">
        <f>SUM(H50:S50)</f>
        <v>11030375</v>
      </c>
      <c r="V50" s="8"/>
      <c r="W50" s="8"/>
      <c r="X50" s="8"/>
    </row>
    <row r="51" spans="2:24" ht="25" x14ac:dyDescent="0.35">
      <c r="B51" s="128">
        <v>2</v>
      </c>
      <c r="C51" s="129" t="s">
        <v>625</v>
      </c>
      <c r="D51" s="130" t="s">
        <v>531</v>
      </c>
      <c r="E51" s="131"/>
      <c r="F51" s="131"/>
      <c r="G51" s="131"/>
      <c r="H51" s="131">
        <f>'Cong suat'!$E$66</f>
        <v>1094352.0000000002</v>
      </c>
      <c r="I51" s="131">
        <f>'Cong suat'!$E$66</f>
        <v>1094352.0000000002</v>
      </c>
      <c r="J51" s="131">
        <f>'Cong suat'!$E$66</f>
        <v>1094352.0000000002</v>
      </c>
      <c r="K51" s="131">
        <f>'Cong suat'!$E$66</f>
        <v>1094352.0000000002</v>
      </c>
      <c r="L51" s="131">
        <f>'Cong suat'!J66</f>
        <v>1094352.0000000002</v>
      </c>
      <c r="M51" s="131">
        <f>'Cong suat'!K66</f>
        <v>1094352.0000000002</v>
      </c>
      <c r="N51" s="131">
        <f>'Cong suat'!L66</f>
        <v>1094352.0000000002</v>
      </c>
      <c r="O51" s="131">
        <f>'Cong suat'!M66</f>
        <v>1094352.0000000002</v>
      </c>
      <c r="P51" s="131">
        <f>'Cong suat'!N66</f>
        <v>1094352.0000000002</v>
      </c>
      <c r="Q51" s="131">
        <f>'Cong suat'!O66</f>
        <v>1094352.0000000002</v>
      </c>
      <c r="R51" s="131">
        <f>'Cong suat'!P66</f>
        <v>1094352.0000000002</v>
      </c>
      <c r="S51" s="131">
        <f>'Cong suat'!Q66</f>
        <v>1094352.0000000002</v>
      </c>
      <c r="T51" s="132">
        <f>SUM(H51:S51)</f>
        <v>13132224.000000002</v>
      </c>
    </row>
    <row r="53" spans="2:24" x14ac:dyDescent="0.35">
      <c r="B53" s="4" t="s">
        <v>626</v>
      </c>
      <c r="H53" s="5">
        <f>H48/1000</f>
        <v>1188.5999999999999</v>
      </c>
      <c r="I53" s="5">
        <f t="shared" ref="I53:S53" si="26">I48/1000</f>
        <v>1188.5999999999999</v>
      </c>
      <c r="J53" s="5">
        <f t="shared" si="26"/>
        <v>1188.5999999999999</v>
      </c>
      <c r="K53" s="5">
        <f t="shared" si="26"/>
        <v>1188.5999999999999</v>
      </c>
      <c r="L53" s="5">
        <f t="shared" si="26"/>
        <v>1188.5999999999999</v>
      </c>
      <c r="M53" s="5">
        <f t="shared" si="26"/>
        <v>1188.5999999999999</v>
      </c>
      <c r="N53" s="5">
        <f t="shared" si="26"/>
        <v>1188.5999999999999</v>
      </c>
      <c r="O53" s="5">
        <f t="shared" si="26"/>
        <v>1188.5999999999999</v>
      </c>
      <c r="P53" s="5">
        <f t="shared" si="26"/>
        <v>1188.5999999999999</v>
      </c>
      <c r="Q53" s="5">
        <f t="shared" si="26"/>
        <v>1188.5999999999999</v>
      </c>
      <c r="R53" s="5">
        <f t="shared" si="26"/>
        <v>1188.5999999999999</v>
      </c>
      <c r="S53" s="5">
        <f t="shared" si="26"/>
        <v>1188.5999999999999</v>
      </c>
    </row>
    <row r="54" spans="2:24" ht="39" x14ac:dyDescent="0.35">
      <c r="B54" s="116" t="s">
        <v>36</v>
      </c>
      <c r="C54" s="116" t="s">
        <v>594</v>
      </c>
      <c r="D54" s="116" t="s">
        <v>257</v>
      </c>
      <c r="E54" s="714" t="s">
        <v>227</v>
      </c>
      <c r="F54" s="714" t="s">
        <v>147</v>
      </c>
      <c r="G54" s="714" t="s">
        <v>148</v>
      </c>
      <c r="H54" s="116" t="s">
        <v>149</v>
      </c>
      <c r="I54" s="116" t="s">
        <v>150</v>
      </c>
      <c r="J54" s="116" t="s">
        <v>151</v>
      </c>
      <c r="K54" s="116" t="s">
        <v>152</v>
      </c>
      <c r="L54" s="116" t="s">
        <v>153</v>
      </c>
      <c r="M54" s="116" t="s">
        <v>154</v>
      </c>
      <c r="N54" s="116" t="s">
        <v>155</v>
      </c>
      <c r="O54" s="116" t="s">
        <v>156</v>
      </c>
      <c r="P54" s="116" t="s">
        <v>157</v>
      </c>
      <c r="Q54" s="116" t="s">
        <v>158</v>
      </c>
      <c r="R54" s="116" t="s">
        <v>159</v>
      </c>
      <c r="S54" s="116" t="s">
        <v>160</v>
      </c>
      <c r="T54" s="116" t="s">
        <v>2147</v>
      </c>
    </row>
    <row r="55" spans="2:24" ht="26" x14ac:dyDescent="0.35">
      <c r="B55" s="125"/>
      <c r="C55" s="126" t="s">
        <v>627</v>
      </c>
      <c r="D55" s="125" t="s">
        <v>87</v>
      </c>
      <c r="E55" s="125"/>
      <c r="F55" s="125"/>
      <c r="G55" s="125"/>
      <c r="H55" s="144" t="e">
        <f>H56/H57</f>
        <v>#REF!</v>
      </c>
      <c r="I55" s="144" t="e">
        <f>I56/I57</f>
        <v>#REF!</v>
      </c>
      <c r="J55" s="144" t="e">
        <f t="shared" ref="J55:T55" si="27">J56/J57</f>
        <v>#REF!</v>
      </c>
      <c r="K55" s="144" t="e">
        <f t="shared" si="27"/>
        <v>#REF!</v>
      </c>
      <c r="L55" s="144" t="e">
        <f t="shared" si="27"/>
        <v>#REF!</v>
      </c>
      <c r="M55" s="144" t="e">
        <f>M56/M57</f>
        <v>#REF!</v>
      </c>
      <c r="N55" s="144" t="e">
        <f t="shared" si="27"/>
        <v>#REF!</v>
      </c>
      <c r="O55" s="144" t="e">
        <f>O56/O57</f>
        <v>#REF!</v>
      </c>
      <c r="P55" s="144" t="e">
        <f>P56/P57</f>
        <v>#REF!</v>
      </c>
      <c r="Q55" s="144" t="e">
        <f>Q56/Q57</f>
        <v>#REF!</v>
      </c>
      <c r="R55" s="144" t="e">
        <f>R56/R57</f>
        <v>#REF!</v>
      </c>
      <c r="S55" s="144" t="e">
        <f>S56/S57</f>
        <v>#REF!</v>
      </c>
      <c r="T55" s="144" t="e">
        <f t="shared" si="27"/>
        <v>#REF!</v>
      </c>
      <c r="V55" s="5"/>
      <c r="W55" s="5"/>
      <c r="X55" s="5"/>
    </row>
    <row r="56" spans="2:24" ht="25" x14ac:dyDescent="0.35">
      <c r="B56" s="128">
        <v>1</v>
      </c>
      <c r="C56" s="129" t="s">
        <v>628</v>
      </c>
      <c r="D56" s="130" t="s">
        <v>531</v>
      </c>
      <c r="E56" s="131"/>
      <c r="F56" s="131"/>
      <c r="G56" s="131"/>
      <c r="H56" s="134" t="e">
        <f>H50/#REF!</f>
        <v>#REF!</v>
      </c>
      <c r="I56" s="134" t="e">
        <f>I50/#REF!</f>
        <v>#REF!</v>
      </c>
      <c r="J56" s="134" t="e">
        <f>J50/#REF!</f>
        <v>#REF!</v>
      </c>
      <c r="K56" s="134" t="e">
        <f>K50/#REF!</f>
        <v>#REF!</v>
      </c>
      <c r="L56" s="134" t="e">
        <f>L50/#REF!</f>
        <v>#REF!</v>
      </c>
      <c r="M56" s="134" t="e">
        <f>M50/#REF!</f>
        <v>#REF!</v>
      </c>
      <c r="N56" s="134" t="e">
        <f>N50/#REF!</f>
        <v>#REF!</v>
      </c>
      <c r="O56" s="134" t="e">
        <f>O50/#REF!</f>
        <v>#REF!</v>
      </c>
      <c r="P56" s="134" t="e">
        <f>P50/#REF!</f>
        <v>#REF!</v>
      </c>
      <c r="Q56" s="134" t="e">
        <f>Q50/#REF!</f>
        <v>#REF!</v>
      </c>
      <c r="R56" s="134" t="e">
        <f>R50/#REF!</f>
        <v>#REF!</v>
      </c>
      <c r="S56" s="134" t="e">
        <f>S50/#REF!</f>
        <v>#REF!</v>
      </c>
      <c r="T56" s="142" t="e">
        <f>SUM(H56:S56)</f>
        <v>#REF!</v>
      </c>
      <c r="V56" s="8"/>
      <c r="W56" s="8"/>
      <c r="X56" s="8"/>
    </row>
    <row r="57" spans="2:24" ht="25" x14ac:dyDescent="0.35">
      <c r="B57" s="128">
        <v>2</v>
      </c>
      <c r="C57" s="129" t="s">
        <v>629</v>
      </c>
      <c r="D57" s="130" t="s">
        <v>531</v>
      </c>
      <c r="E57" s="131"/>
      <c r="F57" s="131"/>
      <c r="G57" s="131"/>
      <c r="H57" s="134">
        <f>'Cong suat'!$E$69</f>
        <v>7557.6795580110511</v>
      </c>
      <c r="I57" s="134">
        <f>'Cong suat'!$E$69</f>
        <v>7557.6795580110511</v>
      </c>
      <c r="J57" s="134">
        <f>'Cong suat'!$E$69</f>
        <v>7557.6795580110511</v>
      </c>
      <c r="K57" s="134">
        <f>'Cong suat'!E69</f>
        <v>7557.6795580110511</v>
      </c>
      <c r="L57" s="134">
        <f>'Cong suat'!J69</f>
        <v>7557.6795580110511</v>
      </c>
      <c r="M57" s="134">
        <f>'Cong suat'!K69</f>
        <v>7557.6795580110511</v>
      </c>
      <c r="N57" s="134">
        <f>'Cong suat'!L69</f>
        <v>7557.6795580110511</v>
      </c>
      <c r="O57" s="134">
        <f>'Cong suat'!M69</f>
        <v>7557.6795580110511</v>
      </c>
      <c r="P57" s="134">
        <f>'Cong suat'!N69</f>
        <v>7557.6795580110511</v>
      </c>
      <c r="Q57" s="134">
        <f>'Cong suat'!O69</f>
        <v>7557.6795580110511</v>
      </c>
      <c r="R57" s="134">
        <f>'Cong suat'!P69</f>
        <v>7557.6795580110511</v>
      </c>
      <c r="S57" s="134">
        <f>'Cong suat'!Q69</f>
        <v>7557.6795580110511</v>
      </c>
      <c r="T57" s="142">
        <f>SUM(H57:S57)</f>
        <v>90692.154696132595</v>
      </c>
    </row>
    <row r="58" spans="2:24" x14ac:dyDescent="0.35">
      <c r="B58" s="80"/>
      <c r="C58" s="81"/>
      <c r="D58" s="82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T174"/>
  <sheetViews>
    <sheetView topLeftCell="A14" zoomScale="85" zoomScaleNormal="85" workbookViewId="0">
      <selection activeCell="G94" sqref="G94"/>
    </sheetView>
  </sheetViews>
  <sheetFormatPr defaultRowHeight="14.5" x14ac:dyDescent="0.35"/>
  <cols>
    <col min="2" max="2" width="7.08984375" customWidth="1"/>
    <col min="3" max="3" width="15.6328125" customWidth="1"/>
    <col min="4" max="4" width="6.36328125" customWidth="1"/>
  </cols>
  <sheetData>
    <row r="1" spans="2:20" ht="16" x14ac:dyDescent="0.35">
      <c r="B1" s="92"/>
    </row>
    <row r="3" spans="2:20" x14ac:dyDescent="0.35">
      <c r="B3" s="85" t="s">
        <v>630</v>
      </c>
      <c r="E3" s="11"/>
      <c r="F3" s="11"/>
      <c r="G3" s="11"/>
      <c r="M3" s="11"/>
    </row>
    <row r="4" spans="2:20" ht="39" x14ac:dyDescent="0.35">
      <c r="B4" s="116">
        <v>1</v>
      </c>
      <c r="C4" s="909" t="s">
        <v>631</v>
      </c>
      <c r="D4" s="116" t="s">
        <v>257</v>
      </c>
      <c r="E4" s="714" t="s">
        <v>227</v>
      </c>
      <c r="F4" s="714" t="s">
        <v>147</v>
      </c>
      <c r="G4" s="714" t="s">
        <v>148</v>
      </c>
      <c r="H4" s="116" t="s">
        <v>149</v>
      </c>
      <c r="I4" s="116" t="s">
        <v>150</v>
      </c>
      <c r="J4" s="116" t="s">
        <v>151</v>
      </c>
      <c r="K4" s="116" t="s">
        <v>152</v>
      </c>
      <c r="L4" s="116" t="s">
        <v>153</v>
      </c>
      <c r="M4" s="116" t="s">
        <v>154</v>
      </c>
      <c r="N4" s="116" t="s">
        <v>155</v>
      </c>
      <c r="O4" s="116" t="s">
        <v>156</v>
      </c>
      <c r="P4" s="116" t="s">
        <v>157</v>
      </c>
      <c r="Q4" s="116" t="s">
        <v>158</v>
      </c>
      <c r="R4" s="116" t="s">
        <v>159</v>
      </c>
      <c r="S4" s="116" t="s">
        <v>160</v>
      </c>
      <c r="T4" s="116" t="s">
        <v>2147</v>
      </c>
    </row>
    <row r="5" spans="2:20" x14ac:dyDescent="0.35">
      <c r="B5" s="255">
        <v>1</v>
      </c>
      <c r="C5" s="97" t="s">
        <v>632</v>
      </c>
      <c r="D5" s="255"/>
      <c r="E5" s="787"/>
      <c r="F5" s="787"/>
      <c r="G5" s="787">
        <v>0.06</v>
      </c>
      <c r="H5" s="787">
        <v>0.06</v>
      </c>
      <c r="I5" s="787">
        <v>0.06</v>
      </c>
      <c r="J5" s="787">
        <v>0.06</v>
      </c>
      <c r="K5" s="787">
        <v>0.06</v>
      </c>
      <c r="L5" s="787">
        <v>0.06</v>
      </c>
      <c r="M5" s="787">
        <v>0.06</v>
      </c>
      <c r="N5" s="787">
        <v>0.06</v>
      </c>
      <c r="O5" s="787">
        <v>0.06</v>
      </c>
      <c r="P5" s="787">
        <v>0.06</v>
      </c>
      <c r="Q5" s="787">
        <v>0.06</v>
      </c>
      <c r="R5" s="787">
        <v>0.06</v>
      </c>
      <c r="S5" s="787">
        <v>0.06</v>
      </c>
      <c r="T5" s="787"/>
    </row>
    <row r="6" spans="2:20" ht="25" x14ac:dyDescent="0.35">
      <c r="B6" s="255">
        <v>2</v>
      </c>
      <c r="C6" s="97" t="s">
        <v>633</v>
      </c>
      <c r="D6" s="255"/>
      <c r="E6" s="787"/>
      <c r="F6" s="787"/>
      <c r="G6" s="787">
        <v>4.7E-2</v>
      </c>
      <c r="H6" s="787">
        <v>0.05</v>
      </c>
      <c r="I6" s="787">
        <v>0.05</v>
      </c>
      <c r="J6" s="787">
        <v>0.05</v>
      </c>
      <c r="K6" s="787">
        <v>0.05</v>
      </c>
      <c r="L6" s="787">
        <v>0.05</v>
      </c>
      <c r="M6" s="787">
        <v>0.05</v>
      </c>
      <c r="N6" s="787">
        <v>0.05</v>
      </c>
      <c r="O6" s="787">
        <v>0.05</v>
      </c>
      <c r="P6" s="787">
        <v>0.05</v>
      </c>
      <c r="Q6" s="787">
        <v>0.05</v>
      </c>
      <c r="R6" s="787">
        <v>0.05</v>
      </c>
      <c r="S6" s="787">
        <v>0.05</v>
      </c>
      <c r="T6" s="787"/>
    </row>
    <row r="7" spans="2:20" ht="75" x14ac:dyDescent="0.35">
      <c r="B7" s="255"/>
      <c r="C7" s="97" t="s">
        <v>634</v>
      </c>
      <c r="D7" s="255"/>
      <c r="E7" s="787"/>
      <c r="F7" s="787"/>
      <c r="G7" s="787">
        <v>1.2999999999999999E-2</v>
      </c>
      <c r="H7" s="787"/>
      <c r="I7" s="787"/>
      <c r="J7" s="787"/>
      <c r="K7" s="787"/>
      <c r="L7" s="787"/>
      <c r="M7" s="787"/>
      <c r="N7" s="787"/>
      <c r="O7" s="787"/>
      <c r="P7" s="787"/>
      <c r="Q7" s="787"/>
      <c r="R7" s="787"/>
      <c r="S7" s="787"/>
      <c r="T7" s="787"/>
    </row>
    <row r="8" spans="2:20" x14ac:dyDescent="0.35">
      <c r="B8" s="256"/>
      <c r="C8" s="254" t="s">
        <v>635</v>
      </c>
      <c r="D8" s="256"/>
      <c r="E8" s="784">
        <f>SUM(E5:E7)</f>
        <v>0</v>
      </c>
      <c r="F8" s="784">
        <f>SUM(F5:F7)</f>
        <v>0</v>
      </c>
      <c r="G8" s="784">
        <f>SUM(G5:G7)</f>
        <v>0.12</v>
      </c>
      <c r="H8" s="784">
        <f t="shared" ref="H8:S8" si="0">SUM(H5:H7)</f>
        <v>0.11</v>
      </c>
      <c r="I8" s="784">
        <f t="shared" si="0"/>
        <v>0.11</v>
      </c>
      <c r="J8" s="784">
        <f t="shared" si="0"/>
        <v>0.11</v>
      </c>
      <c r="K8" s="784">
        <f t="shared" si="0"/>
        <v>0.11</v>
      </c>
      <c r="L8" s="784">
        <f t="shared" si="0"/>
        <v>0.11</v>
      </c>
      <c r="M8" s="784">
        <f t="shared" si="0"/>
        <v>0.11</v>
      </c>
      <c r="N8" s="784">
        <f t="shared" si="0"/>
        <v>0.11</v>
      </c>
      <c r="O8" s="784">
        <f t="shared" si="0"/>
        <v>0.11</v>
      </c>
      <c r="P8" s="784">
        <f t="shared" si="0"/>
        <v>0.11</v>
      </c>
      <c r="Q8" s="784">
        <f t="shared" si="0"/>
        <v>0.11</v>
      </c>
      <c r="R8" s="784">
        <f t="shared" si="0"/>
        <v>0.11</v>
      </c>
      <c r="S8" s="784">
        <f t="shared" si="0"/>
        <v>0.11</v>
      </c>
      <c r="T8" s="784"/>
    </row>
    <row r="9" spans="2:20" x14ac:dyDescent="0.35">
      <c r="B9" s="84"/>
      <c r="C9" s="14"/>
      <c r="D9" s="84"/>
      <c r="E9" s="14"/>
      <c r="F9" s="14"/>
      <c r="G9" s="14"/>
    </row>
    <row r="10" spans="2:20" ht="39" x14ac:dyDescent="0.35">
      <c r="B10" s="116">
        <v>2</v>
      </c>
      <c r="C10" s="909" t="s">
        <v>636</v>
      </c>
      <c r="D10" s="116" t="s">
        <v>257</v>
      </c>
      <c r="E10" s="714" t="s">
        <v>227</v>
      </c>
      <c r="F10" s="714" t="s">
        <v>147</v>
      </c>
      <c r="G10" s="714" t="s">
        <v>148</v>
      </c>
      <c r="H10" s="116" t="s">
        <v>149</v>
      </c>
      <c r="I10" s="116" t="s">
        <v>150</v>
      </c>
      <c r="J10" s="116" t="s">
        <v>151</v>
      </c>
      <c r="K10" s="116" t="s">
        <v>152</v>
      </c>
      <c r="L10" s="116" t="s">
        <v>153</v>
      </c>
      <c r="M10" s="116" t="s">
        <v>154</v>
      </c>
      <c r="N10" s="116" t="s">
        <v>155</v>
      </c>
      <c r="O10" s="116" t="s">
        <v>156</v>
      </c>
      <c r="P10" s="116" t="s">
        <v>157</v>
      </c>
      <c r="Q10" s="116" t="s">
        <v>158</v>
      </c>
      <c r="R10" s="116" t="s">
        <v>159</v>
      </c>
      <c r="S10" s="116" t="s">
        <v>160</v>
      </c>
      <c r="T10" s="116" t="s">
        <v>2147</v>
      </c>
    </row>
    <row r="11" spans="2:20" x14ac:dyDescent="0.35">
      <c r="B11" s="255">
        <v>1</v>
      </c>
      <c r="C11" s="1365" t="s">
        <v>632</v>
      </c>
      <c r="D11" s="255"/>
      <c r="E11" s="787"/>
      <c r="F11" s="787"/>
      <c r="G11" s="787">
        <v>0.06</v>
      </c>
      <c r="H11" s="787">
        <v>0.06</v>
      </c>
      <c r="I11" s="787">
        <v>0.06</v>
      </c>
      <c r="J11" s="787">
        <v>0.06</v>
      </c>
      <c r="K11" s="787">
        <v>0.06</v>
      </c>
      <c r="L11" s="787">
        <v>0.06</v>
      </c>
      <c r="M11" s="1360">
        <v>0.06</v>
      </c>
      <c r="N11" s="787">
        <v>0.06</v>
      </c>
      <c r="O11" s="787">
        <v>0.06</v>
      </c>
      <c r="P11" s="787">
        <v>0.06</v>
      </c>
      <c r="Q11" s="787">
        <v>0.06</v>
      </c>
      <c r="R11" s="787">
        <v>0.06</v>
      </c>
      <c r="S11" s="787">
        <v>0.06</v>
      </c>
      <c r="T11" s="787"/>
    </row>
    <row r="12" spans="2:20" ht="25" x14ac:dyDescent="0.35">
      <c r="B12" s="255">
        <v>2</v>
      </c>
      <c r="C12" s="1365" t="s">
        <v>633</v>
      </c>
      <c r="D12" s="255"/>
      <c r="E12" s="787"/>
      <c r="F12" s="787"/>
      <c r="G12" s="787">
        <v>0.05</v>
      </c>
      <c r="H12" s="787">
        <v>0.06</v>
      </c>
      <c r="I12" s="787">
        <v>0.06</v>
      </c>
      <c r="J12" s="787">
        <v>0.06</v>
      </c>
      <c r="K12" s="787">
        <v>0.06</v>
      </c>
      <c r="L12" s="787">
        <v>0.06</v>
      </c>
      <c r="M12" s="1360">
        <v>0.06</v>
      </c>
      <c r="N12" s="787">
        <v>0.06</v>
      </c>
      <c r="O12" s="787">
        <v>0.06</v>
      </c>
      <c r="P12" s="787">
        <v>0.06</v>
      </c>
      <c r="Q12" s="787">
        <v>0.06</v>
      </c>
      <c r="R12" s="787">
        <v>0.06</v>
      </c>
      <c r="S12" s="787">
        <v>0.06</v>
      </c>
      <c r="T12" s="787"/>
    </row>
    <row r="13" spans="2:20" ht="75" x14ac:dyDescent="0.35">
      <c r="B13" s="255">
        <v>3</v>
      </c>
      <c r="C13" s="1365" t="s">
        <v>634</v>
      </c>
      <c r="D13" s="255"/>
      <c r="E13" s="787"/>
      <c r="F13" s="787"/>
      <c r="G13" s="787">
        <v>0.02</v>
      </c>
      <c r="H13" s="787">
        <v>0.01</v>
      </c>
      <c r="I13" s="787">
        <v>0.01</v>
      </c>
      <c r="J13" s="787">
        <v>0.01</v>
      </c>
      <c r="K13" s="787">
        <v>0.01</v>
      </c>
      <c r="L13" s="787">
        <v>0.01</v>
      </c>
      <c r="M13" s="1360">
        <v>0.01</v>
      </c>
      <c r="N13" s="787">
        <v>0.01</v>
      </c>
      <c r="O13" s="787">
        <v>0.01</v>
      </c>
      <c r="P13" s="787">
        <v>0.01</v>
      </c>
      <c r="Q13" s="787">
        <v>0.01</v>
      </c>
      <c r="R13" s="787">
        <v>0.01</v>
      </c>
      <c r="S13" s="787">
        <v>0.01</v>
      </c>
      <c r="T13" s="787"/>
    </row>
    <row r="14" spans="2:20" x14ac:dyDescent="0.35">
      <c r="B14" s="256"/>
      <c r="C14" s="1366" t="s">
        <v>635</v>
      </c>
      <c r="D14" s="256"/>
      <c r="E14" s="784">
        <f>SUM(E11:E13)</f>
        <v>0</v>
      </c>
      <c r="F14" s="784">
        <f>SUM(F11:F13)</f>
        <v>0</v>
      </c>
      <c r="G14" s="784">
        <f>SUM(G11:G13)</f>
        <v>0.13</v>
      </c>
      <c r="H14" s="784">
        <f t="shared" ref="H14:S14" si="1">SUM(H11:H13)</f>
        <v>0.13</v>
      </c>
      <c r="I14" s="784">
        <f>SUM(I11:I13)</f>
        <v>0.13</v>
      </c>
      <c r="J14" s="784">
        <f t="shared" si="1"/>
        <v>0.13</v>
      </c>
      <c r="K14" s="965">
        <f t="shared" si="1"/>
        <v>0.13</v>
      </c>
      <c r="L14" s="784">
        <f>SUM(L11:L13)</f>
        <v>0.13</v>
      </c>
      <c r="M14" s="1361">
        <f>SUM(M11:M13)</f>
        <v>0.13</v>
      </c>
      <c r="N14" s="784">
        <f t="shared" si="1"/>
        <v>0.13</v>
      </c>
      <c r="O14" s="784">
        <f t="shared" si="1"/>
        <v>0.13</v>
      </c>
      <c r="P14" s="784">
        <f t="shared" si="1"/>
        <v>0.13</v>
      </c>
      <c r="Q14" s="784">
        <f t="shared" si="1"/>
        <v>0.13</v>
      </c>
      <c r="R14" s="784">
        <f t="shared" si="1"/>
        <v>0.13</v>
      </c>
      <c r="S14" s="784">
        <f t="shared" si="1"/>
        <v>0.13</v>
      </c>
      <c r="T14" s="784"/>
    </row>
    <row r="15" spans="2:20" x14ac:dyDescent="0.35">
      <c r="B15" s="84"/>
      <c r="C15" s="14"/>
      <c r="D15" s="84"/>
      <c r="E15" s="14"/>
      <c r="F15" s="14"/>
      <c r="G15" s="14"/>
    </row>
    <row r="16" spans="2:20" ht="39" x14ac:dyDescent="0.35">
      <c r="B16" s="116">
        <v>3</v>
      </c>
      <c r="C16" s="909" t="s">
        <v>637</v>
      </c>
      <c r="D16" s="116" t="s">
        <v>257</v>
      </c>
      <c r="E16" s="714" t="s">
        <v>227</v>
      </c>
      <c r="F16" s="714" t="s">
        <v>147</v>
      </c>
      <c r="G16" s="714" t="s">
        <v>148</v>
      </c>
      <c r="H16" s="116" t="s">
        <v>149</v>
      </c>
      <c r="I16" s="116" t="s">
        <v>150</v>
      </c>
      <c r="J16" s="116" t="s">
        <v>151</v>
      </c>
      <c r="K16" s="116" t="s">
        <v>152</v>
      </c>
      <c r="L16" s="116" t="s">
        <v>153</v>
      </c>
      <c r="M16" s="116" t="s">
        <v>154</v>
      </c>
      <c r="N16" s="116" t="s">
        <v>155</v>
      </c>
      <c r="O16" s="116" t="s">
        <v>156</v>
      </c>
      <c r="P16" s="116" t="s">
        <v>157</v>
      </c>
      <c r="Q16" s="116" t="s">
        <v>158</v>
      </c>
      <c r="R16" s="116" t="s">
        <v>159</v>
      </c>
      <c r="S16" s="116" t="s">
        <v>160</v>
      </c>
      <c r="T16" s="116" t="s">
        <v>2147</v>
      </c>
    </row>
    <row r="17" spans="2:20" x14ac:dyDescent="0.35">
      <c r="B17" s="255"/>
      <c r="C17" s="97" t="s">
        <v>632</v>
      </c>
      <c r="D17" s="255"/>
      <c r="E17" s="966"/>
      <c r="F17" s="966"/>
      <c r="G17" s="966"/>
      <c r="H17" s="966">
        <v>5.0000000000000001E-3</v>
      </c>
      <c r="I17" s="966">
        <v>5.0000000000000001E-3</v>
      </c>
      <c r="J17" s="966">
        <v>5.0000000000000001E-3</v>
      </c>
      <c r="K17" s="966">
        <v>5.0000000000000001E-3</v>
      </c>
      <c r="L17" s="966">
        <v>5.0000000000000001E-3</v>
      </c>
      <c r="M17" s="966">
        <v>5.0000000000000001E-3</v>
      </c>
      <c r="N17" s="966">
        <v>5.0000000000000001E-3</v>
      </c>
      <c r="O17" s="966">
        <v>5.0000000000000001E-3</v>
      </c>
      <c r="P17" s="966">
        <v>5.0000000000000001E-3</v>
      </c>
      <c r="Q17" s="966">
        <v>5.0000000000000001E-3</v>
      </c>
      <c r="R17" s="966">
        <v>5.0000000000000001E-3</v>
      </c>
      <c r="S17" s="966">
        <v>5.0000000000000001E-3</v>
      </c>
      <c r="T17" s="787"/>
    </row>
    <row r="18" spans="2:20" ht="25" x14ac:dyDescent="0.35">
      <c r="B18" s="255"/>
      <c r="C18" s="97" t="s">
        <v>633</v>
      </c>
      <c r="D18" s="255"/>
      <c r="E18" s="966"/>
      <c r="F18" s="966"/>
      <c r="G18" s="966">
        <v>3.6999999999999998E-2</v>
      </c>
      <c r="H18" s="966">
        <v>0.03</v>
      </c>
      <c r="I18" s="966">
        <v>0.03</v>
      </c>
      <c r="J18" s="966">
        <v>0.03</v>
      </c>
      <c r="K18" s="966">
        <v>0.03</v>
      </c>
      <c r="L18" s="966">
        <v>0.03</v>
      </c>
      <c r="M18" s="966">
        <v>0.03</v>
      </c>
      <c r="N18" s="966">
        <v>0.03</v>
      </c>
      <c r="O18" s="966">
        <v>0.03</v>
      </c>
      <c r="P18" s="966">
        <v>0.03</v>
      </c>
      <c r="Q18" s="966">
        <v>0.03</v>
      </c>
      <c r="R18" s="966">
        <v>0.03</v>
      </c>
      <c r="S18" s="966">
        <v>0.03</v>
      </c>
      <c r="T18" s="787"/>
    </row>
    <row r="19" spans="2:20" ht="75" x14ac:dyDescent="0.35">
      <c r="B19" s="255"/>
      <c r="C19" s="97" t="s">
        <v>634</v>
      </c>
      <c r="D19" s="255"/>
      <c r="E19" s="787"/>
      <c r="F19" s="787"/>
      <c r="G19" s="787"/>
      <c r="H19" s="787"/>
      <c r="I19" s="787"/>
      <c r="J19" s="787"/>
      <c r="K19" s="787"/>
      <c r="L19" s="787"/>
      <c r="M19" s="787"/>
      <c r="N19" s="787"/>
      <c r="O19" s="787"/>
      <c r="P19" s="787"/>
      <c r="Q19" s="787"/>
      <c r="R19" s="787"/>
      <c r="S19" s="787"/>
      <c r="T19" s="787"/>
    </row>
    <row r="20" spans="2:20" x14ac:dyDescent="0.35">
      <c r="B20" s="256"/>
      <c r="C20" s="254" t="s">
        <v>635</v>
      </c>
      <c r="D20" s="256"/>
      <c r="E20" s="784"/>
      <c r="F20" s="784">
        <v>3.5000000000000003E-2</v>
      </c>
      <c r="G20" s="784">
        <v>3.6999999999999998E-2</v>
      </c>
      <c r="H20" s="784">
        <f>SUM(H17:H19)</f>
        <v>3.4999999999999996E-2</v>
      </c>
      <c r="I20" s="784">
        <f t="shared" ref="I20:L20" si="2">SUM(I17:I19)</f>
        <v>3.4999999999999996E-2</v>
      </c>
      <c r="J20" s="784">
        <f t="shared" si="2"/>
        <v>3.4999999999999996E-2</v>
      </c>
      <c r="K20" s="784">
        <f t="shared" si="2"/>
        <v>3.4999999999999996E-2</v>
      </c>
      <c r="L20" s="784">
        <f t="shared" si="2"/>
        <v>3.4999999999999996E-2</v>
      </c>
      <c r="M20" s="784">
        <f t="shared" ref="M20:S20" si="3">SUM(M17:M19)</f>
        <v>3.4999999999999996E-2</v>
      </c>
      <c r="N20" s="784">
        <f t="shared" si="3"/>
        <v>3.4999999999999996E-2</v>
      </c>
      <c r="O20" s="784">
        <f t="shared" si="3"/>
        <v>3.4999999999999996E-2</v>
      </c>
      <c r="P20" s="784">
        <f t="shared" si="3"/>
        <v>3.4999999999999996E-2</v>
      </c>
      <c r="Q20" s="784">
        <f>SUM(Q17:Q19)</f>
        <v>3.4999999999999996E-2</v>
      </c>
      <c r="R20" s="784">
        <f t="shared" si="3"/>
        <v>3.4999999999999996E-2</v>
      </c>
      <c r="S20" s="784">
        <f t="shared" si="3"/>
        <v>3.4999999999999996E-2</v>
      </c>
      <c r="T20" s="784"/>
    </row>
    <row r="21" spans="2:20" x14ac:dyDescent="0.35">
      <c r="B21" s="86"/>
      <c r="C21" s="12"/>
      <c r="D21" s="86"/>
      <c r="E21" s="12"/>
      <c r="F21" s="12"/>
      <c r="G21" s="12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</row>
    <row r="22" spans="2:20" x14ac:dyDescent="0.35">
      <c r="B22" s="85" t="s">
        <v>638</v>
      </c>
      <c r="C22" s="14"/>
      <c r="D22" s="84"/>
      <c r="E22" s="14"/>
      <c r="F22" s="14"/>
      <c r="G22" s="14"/>
      <c r="H22" s="14"/>
      <c r="I22" s="14"/>
    </row>
    <row r="23" spans="2:20" ht="39" x14ac:dyDescent="0.35">
      <c r="B23" s="116">
        <v>1</v>
      </c>
      <c r="C23" s="909" t="s">
        <v>639</v>
      </c>
      <c r="D23" s="116" t="s">
        <v>257</v>
      </c>
      <c r="E23" s="714" t="s">
        <v>227</v>
      </c>
      <c r="F23" s="714" t="s">
        <v>147</v>
      </c>
      <c r="G23" s="714" t="s">
        <v>148</v>
      </c>
      <c r="H23" s="116" t="s">
        <v>149</v>
      </c>
      <c r="I23" s="116" t="s">
        <v>150</v>
      </c>
      <c r="J23" s="116" t="s">
        <v>151</v>
      </c>
      <c r="K23" s="116" t="s">
        <v>152</v>
      </c>
      <c r="L23" s="116" t="s">
        <v>153</v>
      </c>
      <c r="M23" s="116" t="s">
        <v>154</v>
      </c>
      <c r="N23" s="116" t="s">
        <v>155</v>
      </c>
      <c r="O23" s="116" t="s">
        <v>156</v>
      </c>
      <c r="P23" s="116" t="s">
        <v>157</v>
      </c>
      <c r="Q23" s="116" t="s">
        <v>158</v>
      </c>
      <c r="R23" s="116" t="s">
        <v>159</v>
      </c>
      <c r="S23" s="116" t="s">
        <v>160</v>
      </c>
      <c r="T23" s="116" t="s">
        <v>2147</v>
      </c>
    </row>
    <row r="24" spans="2:20" x14ac:dyDescent="0.35">
      <c r="B24" s="257"/>
      <c r="C24" s="787"/>
      <c r="D24" s="257"/>
      <c r="E24" s="787"/>
      <c r="F24" s="787"/>
      <c r="G24" s="787"/>
      <c r="H24" s="787"/>
      <c r="I24" s="787"/>
      <c r="J24" s="787"/>
      <c r="K24" s="787"/>
      <c r="L24" s="787"/>
      <c r="M24" s="787"/>
      <c r="N24" s="787"/>
      <c r="O24" s="787"/>
      <c r="P24" s="787"/>
      <c r="Q24" s="787"/>
      <c r="R24" s="787"/>
      <c r="S24" s="787"/>
      <c r="T24" s="787"/>
    </row>
    <row r="25" spans="2:20" x14ac:dyDescent="0.35">
      <c r="B25" s="257"/>
      <c r="C25" s="1360" t="s">
        <v>641</v>
      </c>
      <c r="D25" s="257"/>
      <c r="E25" s="787"/>
      <c r="F25" s="787"/>
      <c r="G25" s="787"/>
      <c r="H25" s="787">
        <v>0.03</v>
      </c>
      <c r="I25" s="787">
        <v>0.03</v>
      </c>
      <c r="J25" s="787">
        <v>0.03</v>
      </c>
      <c r="K25" s="787">
        <v>0.03</v>
      </c>
      <c r="L25" s="787">
        <v>0.03</v>
      </c>
      <c r="M25" s="1360">
        <v>0.03</v>
      </c>
      <c r="N25" s="787">
        <v>0.03</v>
      </c>
      <c r="O25" s="787">
        <v>0.03</v>
      </c>
      <c r="P25" s="787">
        <v>0.03</v>
      </c>
      <c r="Q25" s="787">
        <v>0.03</v>
      </c>
      <c r="R25" s="787">
        <v>0.03</v>
      </c>
      <c r="S25" s="787">
        <v>0.03</v>
      </c>
      <c r="T25" s="787"/>
    </row>
    <row r="26" spans="2:20" x14ac:dyDescent="0.35">
      <c r="B26" s="257"/>
      <c r="C26" s="1360" t="s">
        <v>2251</v>
      </c>
      <c r="D26" s="257"/>
      <c r="E26" s="787"/>
      <c r="F26" s="787"/>
      <c r="G26" s="787"/>
      <c r="H26" s="787">
        <v>0.03</v>
      </c>
      <c r="I26" s="787">
        <v>0.03</v>
      </c>
      <c r="J26" s="787">
        <v>0.03</v>
      </c>
      <c r="K26" s="787">
        <v>0.03</v>
      </c>
      <c r="L26" s="787">
        <v>0.03</v>
      </c>
      <c r="M26" s="1360">
        <v>0.03</v>
      </c>
      <c r="N26" s="787">
        <v>0.03</v>
      </c>
      <c r="O26" s="787">
        <v>0.03</v>
      </c>
      <c r="P26" s="787">
        <v>0.03</v>
      </c>
      <c r="Q26" s="787">
        <v>0.03</v>
      </c>
      <c r="R26" s="787">
        <v>0.03</v>
      </c>
      <c r="S26" s="787">
        <v>0.03</v>
      </c>
      <c r="T26" s="787"/>
    </row>
    <row r="27" spans="2:20" x14ac:dyDescent="0.35">
      <c r="B27" s="258"/>
      <c r="C27" s="1361" t="s">
        <v>643</v>
      </c>
      <c r="D27" s="258"/>
      <c r="E27" s="784"/>
      <c r="F27" s="784"/>
      <c r="G27" s="784"/>
      <c r="H27" s="784">
        <f>SUM(H25:H26)</f>
        <v>0.06</v>
      </c>
      <c r="I27" s="784">
        <f t="shared" ref="I27:S27" si="4">SUM(I25:I26)</f>
        <v>0.06</v>
      </c>
      <c r="J27" s="784">
        <f t="shared" si="4"/>
        <v>0.06</v>
      </c>
      <c r="K27" s="784">
        <f t="shared" si="4"/>
        <v>0.06</v>
      </c>
      <c r="L27" s="784">
        <f t="shared" si="4"/>
        <v>0.06</v>
      </c>
      <c r="M27" s="1361">
        <f t="shared" si="4"/>
        <v>0.06</v>
      </c>
      <c r="N27" s="784">
        <f t="shared" si="4"/>
        <v>0.06</v>
      </c>
      <c r="O27" s="784">
        <f t="shared" si="4"/>
        <v>0.06</v>
      </c>
      <c r="P27" s="784">
        <f t="shared" si="4"/>
        <v>0.06</v>
      </c>
      <c r="Q27" s="784">
        <f t="shared" si="4"/>
        <v>0.06</v>
      </c>
      <c r="R27" s="784">
        <f t="shared" si="4"/>
        <v>0.06</v>
      </c>
      <c r="S27" s="784">
        <f t="shared" si="4"/>
        <v>0.06</v>
      </c>
      <c r="T27" s="784"/>
    </row>
    <row r="28" spans="2:20" x14ac:dyDescent="0.35">
      <c r="B28" s="259"/>
      <c r="C28" s="1364" t="s">
        <v>644</v>
      </c>
      <c r="D28" s="259"/>
      <c r="E28" s="967"/>
      <c r="F28" s="967"/>
      <c r="G28" s="967"/>
      <c r="H28" s="968">
        <f>1-H27</f>
        <v>0.94</v>
      </c>
      <c r="I28" s="968">
        <f t="shared" ref="I28:S28" si="5">1-I27</f>
        <v>0.94</v>
      </c>
      <c r="J28" s="968">
        <f t="shared" si="5"/>
        <v>0.94</v>
      </c>
      <c r="K28" s="968">
        <f t="shared" si="5"/>
        <v>0.94</v>
      </c>
      <c r="L28" s="968">
        <f t="shared" si="5"/>
        <v>0.94</v>
      </c>
      <c r="M28" s="1362">
        <f t="shared" si="5"/>
        <v>0.94</v>
      </c>
      <c r="N28" s="968">
        <f t="shared" si="5"/>
        <v>0.94</v>
      </c>
      <c r="O28" s="968">
        <f t="shared" si="5"/>
        <v>0.94</v>
      </c>
      <c r="P28" s="968">
        <f t="shared" si="5"/>
        <v>0.94</v>
      </c>
      <c r="Q28" s="968">
        <f t="shared" si="5"/>
        <v>0.94</v>
      </c>
      <c r="R28" s="968">
        <f t="shared" si="5"/>
        <v>0.94</v>
      </c>
      <c r="S28" s="968">
        <f t="shared" si="5"/>
        <v>0.94</v>
      </c>
      <c r="T28" s="784"/>
    </row>
    <row r="29" spans="2:20" x14ac:dyDescent="0.35">
      <c r="B29" s="258"/>
      <c r="C29" s="785" t="s">
        <v>647</v>
      </c>
      <c r="D29" s="786"/>
      <c r="E29" s="784"/>
      <c r="F29" s="784"/>
      <c r="G29" s="784">
        <v>0.84</v>
      </c>
      <c r="H29" s="788">
        <v>0.89</v>
      </c>
      <c r="I29" s="788">
        <v>0.89</v>
      </c>
      <c r="J29" s="788">
        <v>0.89</v>
      </c>
      <c r="K29" s="788">
        <v>0.89</v>
      </c>
      <c r="L29" s="788">
        <v>0.89</v>
      </c>
      <c r="M29" s="1363">
        <v>0.89</v>
      </c>
      <c r="N29" s="788">
        <v>0.89</v>
      </c>
      <c r="O29" s="788">
        <v>0.89</v>
      </c>
      <c r="P29" s="788">
        <v>0.89</v>
      </c>
      <c r="Q29" s="788">
        <v>0.89</v>
      </c>
      <c r="R29" s="788">
        <v>0.89</v>
      </c>
      <c r="S29" s="788">
        <v>0.89</v>
      </c>
      <c r="T29" s="784"/>
    </row>
    <row r="30" spans="2:20" x14ac:dyDescent="0.35">
      <c r="B30" s="259"/>
      <c r="C30" s="785" t="s">
        <v>648</v>
      </c>
      <c r="D30" s="786"/>
      <c r="E30" s="967"/>
      <c r="F30" s="967"/>
      <c r="G30" s="967">
        <v>0.05</v>
      </c>
      <c r="H30" s="788">
        <v>0.05</v>
      </c>
      <c r="I30" s="788">
        <v>0.05</v>
      </c>
      <c r="J30" s="788">
        <v>0.05</v>
      </c>
      <c r="K30" s="788">
        <v>0.05</v>
      </c>
      <c r="L30" s="788">
        <v>0.05</v>
      </c>
      <c r="M30" s="1310">
        <v>0.05</v>
      </c>
      <c r="N30" s="788">
        <v>0.05</v>
      </c>
      <c r="O30" s="788">
        <v>0.05</v>
      </c>
      <c r="P30" s="788">
        <v>0.05</v>
      </c>
      <c r="Q30" s="788">
        <v>0.05</v>
      </c>
      <c r="R30" s="788">
        <v>0.05</v>
      </c>
      <c r="S30" s="788">
        <v>0.05</v>
      </c>
      <c r="T30" s="784"/>
    </row>
    <row r="32" spans="2:20" ht="39" x14ac:dyDescent="0.35">
      <c r="B32" s="116">
        <v>2</v>
      </c>
      <c r="C32" s="909" t="s">
        <v>645</v>
      </c>
      <c r="D32" s="116" t="s">
        <v>257</v>
      </c>
      <c r="E32" s="714" t="s">
        <v>227</v>
      </c>
      <c r="F32" s="714" t="s">
        <v>147</v>
      </c>
      <c r="G32" s="714" t="s">
        <v>148</v>
      </c>
      <c r="H32" s="116" t="s">
        <v>149</v>
      </c>
      <c r="I32" s="116" t="s">
        <v>150</v>
      </c>
      <c r="J32" s="116" t="s">
        <v>151</v>
      </c>
      <c r="K32" s="116" t="s">
        <v>152</v>
      </c>
      <c r="L32" s="116" t="s">
        <v>153</v>
      </c>
      <c r="M32" s="116" t="s">
        <v>154</v>
      </c>
      <c r="N32" s="116" t="s">
        <v>155</v>
      </c>
      <c r="O32" s="116" t="s">
        <v>156</v>
      </c>
      <c r="P32" s="116" t="s">
        <v>157</v>
      </c>
      <c r="Q32" s="116" t="s">
        <v>158</v>
      </c>
      <c r="R32" s="116" t="s">
        <v>159</v>
      </c>
      <c r="S32" s="116" t="s">
        <v>160</v>
      </c>
      <c r="T32" s="116" t="s">
        <v>2147</v>
      </c>
    </row>
    <row r="33" spans="2:20" x14ac:dyDescent="0.35">
      <c r="B33" s="257"/>
      <c r="C33" s="1360" t="s">
        <v>640</v>
      </c>
      <c r="D33" s="257"/>
      <c r="E33" s="787"/>
      <c r="F33" s="787"/>
      <c r="G33" s="787"/>
      <c r="H33" s="787">
        <v>0.01</v>
      </c>
      <c r="I33" s="787">
        <v>0.01</v>
      </c>
      <c r="J33" s="787">
        <v>0.01</v>
      </c>
      <c r="K33" s="787">
        <v>0.01</v>
      </c>
      <c r="L33" s="787">
        <v>0.01</v>
      </c>
      <c r="M33" s="1360">
        <v>0.01</v>
      </c>
      <c r="N33" s="787">
        <v>0.01</v>
      </c>
      <c r="O33" s="787">
        <v>0.01</v>
      </c>
      <c r="P33" s="787">
        <v>0.01</v>
      </c>
      <c r="Q33" s="787">
        <v>0.01</v>
      </c>
      <c r="R33" s="787">
        <v>0.01</v>
      </c>
      <c r="S33" s="787">
        <v>0.01</v>
      </c>
      <c r="T33" s="787"/>
    </row>
    <row r="34" spans="2:20" x14ac:dyDescent="0.35">
      <c r="B34" s="257"/>
      <c r="C34" s="1360" t="s">
        <v>641</v>
      </c>
      <c r="D34" s="257"/>
      <c r="E34" s="787"/>
      <c r="F34" s="787"/>
      <c r="G34" s="787"/>
      <c r="H34" s="787">
        <v>0.01</v>
      </c>
      <c r="I34" s="787">
        <v>0.01</v>
      </c>
      <c r="J34" s="787">
        <v>0.01</v>
      </c>
      <c r="K34" s="787">
        <v>0.01</v>
      </c>
      <c r="L34" s="787">
        <v>0.01</v>
      </c>
      <c r="M34" s="1360">
        <v>0.01</v>
      </c>
      <c r="N34" s="787">
        <v>0.01</v>
      </c>
      <c r="O34" s="787">
        <v>0.01</v>
      </c>
      <c r="P34" s="787">
        <v>0.01</v>
      </c>
      <c r="Q34" s="787">
        <v>0.01</v>
      </c>
      <c r="R34" s="787">
        <v>0.01</v>
      </c>
      <c r="S34" s="787">
        <v>0.01</v>
      </c>
      <c r="T34" s="787"/>
    </row>
    <row r="35" spans="2:20" x14ac:dyDescent="0.35">
      <c r="B35" s="257"/>
      <c r="C35" s="1360" t="s">
        <v>2251</v>
      </c>
      <c r="D35" s="257"/>
      <c r="E35" s="787"/>
      <c r="F35" s="787"/>
      <c r="G35" s="787"/>
      <c r="H35" s="787">
        <v>0.01</v>
      </c>
      <c r="I35" s="787">
        <v>0.01</v>
      </c>
      <c r="J35" s="787">
        <v>0.01</v>
      </c>
      <c r="K35" s="787">
        <v>0.01</v>
      </c>
      <c r="L35" s="787">
        <v>0.01</v>
      </c>
      <c r="M35" s="1360">
        <v>0.01</v>
      </c>
      <c r="N35" s="787">
        <v>0.01</v>
      </c>
      <c r="O35" s="787">
        <v>0.01</v>
      </c>
      <c r="P35" s="787">
        <v>0.01</v>
      </c>
      <c r="Q35" s="787">
        <v>0.01</v>
      </c>
      <c r="R35" s="787">
        <v>0.01</v>
      </c>
      <c r="S35" s="787">
        <v>0.01</v>
      </c>
      <c r="T35" s="787"/>
    </row>
    <row r="36" spans="2:20" x14ac:dyDescent="0.35">
      <c r="B36" s="258"/>
      <c r="C36" s="1361" t="s">
        <v>643</v>
      </c>
      <c r="D36" s="258"/>
      <c r="E36" s="784">
        <f>SUM(E33:E35)</f>
        <v>0</v>
      </c>
      <c r="F36" s="784">
        <f>SUM(F33:F35)</f>
        <v>0</v>
      </c>
      <c r="G36" s="784">
        <f>SUM(G33:G35)</f>
        <v>0</v>
      </c>
      <c r="H36" s="784">
        <f>SUM(H33:H35)</f>
        <v>0.03</v>
      </c>
      <c r="I36" s="784">
        <f t="shared" ref="I36" si="6">SUM(I33:I35)</f>
        <v>0.03</v>
      </c>
      <c r="J36" s="784">
        <f t="shared" ref="J36" si="7">SUM(J33:J35)</f>
        <v>0.03</v>
      </c>
      <c r="K36" s="784">
        <f t="shared" ref="K36" si="8">SUM(K33:K35)</f>
        <v>0.03</v>
      </c>
      <c r="L36" s="784">
        <f t="shared" ref="L36" si="9">SUM(L33:L35)</f>
        <v>0.03</v>
      </c>
      <c r="M36" s="1361">
        <f t="shared" ref="M36" si="10">SUM(M33:M35)</f>
        <v>0.03</v>
      </c>
      <c r="N36" s="784">
        <f t="shared" ref="N36" si="11">SUM(N33:N35)</f>
        <v>0.03</v>
      </c>
      <c r="O36" s="784">
        <f t="shared" ref="O36" si="12">SUM(O33:O35)</f>
        <v>0.03</v>
      </c>
      <c r="P36" s="784">
        <f t="shared" ref="P36" si="13">SUM(P33:P35)</f>
        <v>0.03</v>
      </c>
      <c r="Q36" s="784">
        <f t="shared" ref="Q36" si="14">SUM(Q33:Q35)</f>
        <v>0.03</v>
      </c>
      <c r="R36" s="784">
        <f t="shared" ref="R36" si="15">SUM(R33:R35)</f>
        <v>0.03</v>
      </c>
      <c r="S36" s="784">
        <f t="shared" ref="S36" si="16">SUM(S33:S35)</f>
        <v>0.03</v>
      </c>
      <c r="T36" s="784"/>
    </row>
    <row r="37" spans="2:20" x14ac:dyDescent="0.35">
      <c r="B37" s="259"/>
      <c r="C37" s="967" t="s">
        <v>644</v>
      </c>
      <c r="D37" s="259"/>
      <c r="E37" s="967"/>
      <c r="F37" s="967"/>
      <c r="G37" s="967"/>
      <c r="H37" s="968">
        <f>1-H36</f>
        <v>0.97</v>
      </c>
      <c r="I37" s="968">
        <f t="shared" ref="I37" si="17">1-I36</f>
        <v>0.97</v>
      </c>
      <c r="J37" s="968">
        <f t="shared" ref="J37" si="18">1-J36</f>
        <v>0.97</v>
      </c>
      <c r="K37" s="968">
        <f t="shared" ref="K37" si="19">1-K36</f>
        <v>0.97</v>
      </c>
      <c r="L37" s="968">
        <f t="shared" ref="L37" si="20">1-L36</f>
        <v>0.97</v>
      </c>
      <c r="M37" s="968">
        <f t="shared" ref="M37" si="21">1-M36</f>
        <v>0.97</v>
      </c>
      <c r="N37" s="968">
        <f t="shared" ref="N37" si="22">1-N36</f>
        <v>0.97</v>
      </c>
      <c r="O37" s="968">
        <f t="shared" ref="O37" si="23">1-O36</f>
        <v>0.97</v>
      </c>
      <c r="P37" s="968">
        <f t="shared" ref="P37" si="24">1-P36</f>
        <v>0.97</v>
      </c>
      <c r="Q37" s="968">
        <f t="shared" ref="Q37" si="25">1-Q36</f>
        <v>0.97</v>
      </c>
      <c r="R37" s="968">
        <f t="shared" ref="R37" si="26">1-R36</f>
        <v>0.97</v>
      </c>
      <c r="S37" s="968">
        <f t="shared" ref="S37" si="27">1-S36</f>
        <v>0.97</v>
      </c>
      <c r="T37" s="784"/>
    </row>
    <row r="39" spans="2:20" ht="39" x14ac:dyDescent="0.35">
      <c r="B39" s="116">
        <v>3</v>
      </c>
      <c r="C39" s="909" t="s">
        <v>646</v>
      </c>
      <c r="D39" s="116" t="s">
        <v>257</v>
      </c>
      <c r="E39" s="714" t="s">
        <v>227</v>
      </c>
      <c r="F39" s="714" t="s">
        <v>147</v>
      </c>
      <c r="G39" s="714" t="s">
        <v>148</v>
      </c>
      <c r="H39" s="116" t="s">
        <v>149</v>
      </c>
      <c r="I39" s="116" t="s">
        <v>150</v>
      </c>
      <c r="J39" s="116" t="s">
        <v>151</v>
      </c>
      <c r="K39" s="116" t="s">
        <v>152</v>
      </c>
      <c r="L39" s="116" t="s">
        <v>153</v>
      </c>
      <c r="M39" s="116" t="s">
        <v>154</v>
      </c>
      <c r="N39" s="116" t="s">
        <v>155</v>
      </c>
      <c r="O39" s="116" t="s">
        <v>156</v>
      </c>
      <c r="P39" s="116" t="s">
        <v>157</v>
      </c>
      <c r="Q39" s="116" t="s">
        <v>158</v>
      </c>
      <c r="R39" s="116" t="s">
        <v>159</v>
      </c>
      <c r="S39" s="116" t="s">
        <v>160</v>
      </c>
      <c r="T39" s="116" t="s">
        <v>2147</v>
      </c>
    </row>
    <row r="40" spans="2:20" x14ac:dyDescent="0.35">
      <c r="B40" s="257"/>
      <c r="C40" s="787" t="s">
        <v>640</v>
      </c>
      <c r="D40" s="257"/>
      <c r="E40" s="787"/>
      <c r="F40" s="787"/>
      <c r="G40" s="787"/>
      <c r="H40" s="787"/>
      <c r="I40" s="787"/>
      <c r="J40" s="787"/>
      <c r="K40" s="787"/>
      <c r="L40" s="787"/>
      <c r="M40" s="787"/>
      <c r="N40" s="787"/>
      <c r="O40" s="787"/>
      <c r="P40" s="787"/>
      <c r="Q40" s="787"/>
      <c r="R40" s="787"/>
      <c r="S40" s="787"/>
      <c r="T40" s="787"/>
    </row>
    <row r="41" spans="2:20" x14ac:dyDescent="0.35">
      <c r="B41" s="257"/>
      <c r="C41" s="1360" t="s">
        <v>641</v>
      </c>
      <c r="D41" s="257"/>
      <c r="E41" s="787"/>
      <c r="F41" s="787"/>
      <c r="G41" s="787">
        <v>0.05</v>
      </c>
      <c r="H41" s="787">
        <v>0.05</v>
      </c>
      <c r="I41" s="787">
        <v>0.05</v>
      </c>
      <c r="J41" s="787">
        <v>0.05</v>
      </c>
      <c r="K41" s="787">
        <v>0.05</v>
      </c>
      <c r="L41" s="787">
        <v>0.05</v>
      </c>
      <c r="M41" s="1360">
        <v>0.05</v>
      </c>
      <c r="N41" s="787">
        <v>0.05</v>
      </c>
      <c r="O41" s="787">
        <v>0.05</v>
      </c>
      <c r="P41" s="787">
        <v>0.05</v>
      </c>
      <c r="Q41" s="787">
        <v>0.05</v>
      </c>
      <c r="R41" s="787">
        <v>0.05</v>
      </c>
      <c r="S41" s="787">
        <v>0.05</v>
      </c>
      <c r="T41" s="787"/>
    </row>
    <row r="42" spans="2:20" x14ac:dyDescent="0.35">
      <c r="B42" s="257"/>
      <c r="C42" s="1360" t="s">
        <v>2251</v>
      </c>
      <c r="D42" s="257"/>
      <c r="E42" s="787"/>
      <c r="F42" s="787"/>
      <c r="G42" s="787">
        <v>0.06</v>
      </c>
      <c r="H42" s="787">
        <v>0.05</v>
      </c>
      <c r="I42" s="787">
        <v>0.05</v>
      </c>
      <c r="J42" s="787">
        <v>0.05</v>
      </c>
      <c r="K42" s="787">
        <v>0.05</v>
      </c>
      <c r="L42" s="787">
        <v>0.05</v>
      </c>
      <c r="M42" s="1360">
        <v>0.05</v>
      </c>
      <c r="N42" s="787">
        <v>0.05</v>
      </c>
      <c r="O42" s="787">
        <v>0.05</v>
      </c>
      <c r="P42" s="787">
        <v>0.05</v>
      </c>
      <c r="Q42" s="787">
        <v>0.05</v>
      </c>
      <c r="R42" s="787">
        <v>0.05</v>
      </c>
      <c r="S42" s="787">
        <v>0.05</v>
      </c>
      <c r="T42" s="787"/>
    </row>
    <row r="43" spans="2:20" x14ac:dyDescent="0.35">
      <c r="B43" s="258"/>
      <c r="C43" s="1361" t="s">
        <v>643</v>
      </c>
      <c r="D43" s="258"/>
      <c r="E43" s="784">
        <f>SUM(E40:E42)</f>
        <v>0</v>
      </c>
      <c r="F43" s="784">
        <f>SUM(F40:F42)</f>
        <v>0</v>
      </c>
      <c r="G43" s="784">
        <f>SUM(G40:G42)</f>
        <v>0.11</v>
      </c>
      <c r="H43" s="784">
        <f>SUM(H40:H42)</f>
        <v>0.1</v>
      </c>
      <c r="I43" s="784">
        <f t="shared" ref="I43:S43" si="28">SUM(I40:I42)</f>
        <v>0.1</v>
      </c>
      <c r="J43" s="784">
        <f t="shared" si="28"/>
        <v>0.1</v>
      </c>
      <c r="K43" s="784">
        <f t="shared" si="28"/>
        <v>0.1</v>
      </c>
      <c r="L43" s="784">
        <f t="shared" si="28"/>
        <v>0.1</v>
      </c>
      <c r="M43" s="1361">
        <f t="shared" si="28"/>
        <v>0.1</v>
      </c>
      <c r="N43" s="784">
        <f t="shared" si="28"/>
        <v>0.1</v>
      </c>
      <c r="O43" s="784">
        <f t="shared" si="28"/>
        <v>0.1</v>
      </c>
      <c r="P43" s="784">
        <f t="shared" si="28"/>
        <v>0.1</v>
      </c>
      <c r="Q43" s="784">
        <f t="shared" si="28"/>
        <v>0.1</v>
      </c>
      <c r="R43" s="784">
        <f t="shared" si="28"/>
        <v>0.1</v>
      </c>
      <c r="S43" s="784">
        <f t="shared" si="28"/>
        <v>0.1</v>
      </c>
      <c r="T43" s="784"/>
    </row>
    <row r="44" spans="2:20" x14ac:dyDescent="0.35">
      <c r="B44" s="258"/>
      <c r="C44" s="785" t="s">
        <v>647</v>
      </c>
      <c r="D44" s="786"/>
      <c r="E44" s="784"/>
      <c r="F44" s="784"/>
      <c r="G44" s="784">
        <v>0.84</v>
      </c>
      <c r="H44" s="1310">
        <v>0.85</v>
      </c>
      <c r="I44" s="788">
        <v>0.85</v>
      </c>
      <c r="J44" s="788">
        <v>0.85</v>
      </c>
      <c r="K44" s="788">
        <v>0.85</v>
      </c>
      <c r="L44" s="788">
        <v>0.85</v>
      </c>
      <c r="M44" s="1310">
        <v>0.85</v>
      </c>
      <c r="N44" s="788">
        <v>0.85</v>
      </c>
      <c r="O44" s="788">
        <v>0.85</v>
      </c>
      <c r="P44" s="788">
        <v>0.85</v>
      </c>
      <c r="Q44" s="788">
        <v>0.85</v>
      </c>
      <c r="R44" s="788">
        <v>0.85</v>
      </c>
      <c r="S44" s="788">
        <v>0.85</v>
      </c>
      <c r="T44" s="784"/>
    </row>
    <row r="45" spans="2:20" x14ac:dyDescent="0.35">
      <c r="B45" s="259"/>
      <c r="C45" s="785" t="s">
        <v>648</v>
      </c>
      <c r="D45" s="786"/>
      <c r="E45" s="967"/>
      <c r="F45" s="967"/>
      <c r="G45" s="967">
        <v>0.05</v>
      </c>
      <c r="H45" s="1310">
        <v>0.05</v>
      </c>
      <c r="I45" s="788">
        <v>0.05</v>
      </c>
      <c r="J45" s="788">
        <v>0.05</v>
      </c>
      <c r="K45" s="788">
        <v>0.05</v>
      </c>
      <c r="L45" s="788">
        <v>0.05</v>
      </c>
      <c r="M45" s="1310">
        <v>0.05</v>
      </c>
      <c r="N45" s="788">
        <v>0.05</v>
      </c>
      <c r="O45" s="788">
        <v>0.05</v>
      </c>
      <c r="P45" s="788">
        <v>0.05</v>
      </c>
      <c r="Q45" s="788">
        <v>0.05</v>
      </c>
      <c r="R45" s="788">
        <v>0.05</v>
      </c>
      <c r="S45" s="788">
        <v>0.05</v>
      </c>
      <c r="T45" s="784"/>
    </row>
    <row r="47" spans="2:20" ht="39" x14ac:dyDescent="0.35">
      <c r="B47" s="116">
        <v>4</v>
      </c>
      <c r="C47" s="909" t="s">
        <v>649</v>
      </c>
      <c r="D47" s="116" t="s">
        <v>257</v>
      </c>
      <c r="E47" s="714" t="s">
        <v>227</v>
      </c>
      <c r="F47" s="714" t="s">
        <v>147</v>
      </c>
      <c r="G47" s="714" t="s">
        <v>148</v>
      </c>
      <c r="H47" s="116" t="s">
        <v>149</v>
      </c>
      <c r="I47" s="116" t="s">
        <v>150</v>
      </c>
      <c r="J47" s="116" t="s">
        <v>151</v>
      </c>
      <c r="K47" s="116" t="s">
        <v>152</v>
      </c>
      <c r="L47" s="116" t="s">
        <v>153</v>
      </c>
      <c r="M47" s="116" t="s">
        <v>154</v>
      </c>
      <c r="N47" s="116" t="s">
        <v>155</v>
      </c>
      <c r="O47" s="116" t="s">
        <v>156</v>
      </c>
      <c r="P47" s="116" t="s">
        <v>157</v>
      </c>
      <c r="Q47" s="116" t="s">
        <v>158</v>
      </c>
      <c r="R47" s="116" t="s">
        <v>159</v>
      </c>
      <c r="S47" s="116" t="s">
        <v>160</v>
      </c>
      <c r="T47" s="116" t="s">
        <v>2147</v>
      </c>
    </row>
    <row r="48" spans="2:20" x14ac:dyDescent="0.35">
      <c r="B48" s="257"/>
      <c r="C48" s="787" t="s">
        <v>640</v>
      </c>
      <c r="D48" s="257"/>
      <c r="E48" s="787"/>
      <c r="F48" s="787"/>
      <c r="G48" s="787"/>
      <c r="H48" s="787"/>
      <c r="I48" s="787"/>
      <c r="J48" s="787"/>
      <c r="K48" s="787"/>
      <c r="L48" s="787"/>
      <c r="M48" s="787"/>
      <c r="N48" s="787"/>
      <c r="O48" s="787"/>
      <c r="P48" s="787"/>
      <c r="Q48" s="787"/>
      <c r="R48" s="787"/>
      <c r="S48" s="787"/>
      <c r="T48" s="787"/>
    </row>
    <row r="49" spans="1:20" x14ac:dyDescent="0.35">
      <c r="B49" s="257"/>
      <c r="C49" s="787" t="s">
        <v>641</v>
      </c>
      <c r="D49" s="257"/>
      <c r="E49" s="787"/>
      <c r="F49" s="787"/>
      <c r="G49" s="787"/>
      <c r="H49" s="787"/>
      <c r="I49" s="787"/>
      <c r="J49" s="787"/>
      <c r="K49" s="787"/>
      <c r="L49" s="787"/>
      <c r="M49" s="787"/>
      <c r="N49" s="787"/>
      <c r="O49" s="787"/>
      <c r="P49" s="787"/>
      <c r="Q49" s="787"/>
      <c r="R49" s="787"/>
      <c r="S49" s="787"/>
      <c r="T49" s="787"/>
    </row>
    <row r="50" spans="1:20" x14ac:dyDescent="0.35">
      <c r="B50" s="257"/>
      <c r="C50" s="787" t="s">
        <v>642</v>
      </c>
      <c r="D50" s="257"/>
      <c r="E50" s="787"/>
      <c r="F50" s="787"/>
      <c r="G50" s="787"/>
      <c r="H50" s="787"/>
      <c r="I50" s="787"/>
      <c r="J50" s="787"/>
      <c r="K50" s="787"/>
      <c r="L50" s="787"/>
      <c r="M50" s="787"/>
      <c r="N50" s="787"/>
      <c r="O50" s="787"/>
      <c r="P50" s="787"/>
      <c r="Q50" s="787"/>
      <c r="R50" s="787"/>
      <c r="S50" s="787"/>
      <c r="T50" s="787"/>
    </row>
    <row r="51" spans="1:20" x14ac:dyDescent="0.35">
      <c r="B51" s="258"/>
      <c r="C51" s="784" t="s">
        <v>643</v>
      </c>
      <c r="D51" s="258"/>
      <c r="E51" s="784"/>
      <c r="F51" s="784"/>
      <c r="G51" s="784"/>
      <c r="H51" s="784"/>
      <c r="I51" s="784"/>
      <c r="J51" s="784"/>
      <c r="K51" s="784"/>
      <c r="L51" s="784"/>
      <c r="M51" s="784"/>
      <c r="N51" s="784"/>
      <c r="O51" s="784"/>
      <c r="P51" s="784"/>
      <c r="Q51" s="784"/>
      <c r="R51" s="784"/>
      <c r="S51" s="784"/>
      <c r="T51" s="784"/>
    </row>
    <row r="52" spans="1:20" x14ac:dyDescent="0.35">
      <c r="B52" s="259"/>
      <c r="C52" s="967" t="s">
        <v>644</v>
      </c>
      <c r="D52" s="259"/>
      <c r="E52" s="967"/>
      <c r="F52" s="967"/>
      <c r="G52" s="967"/>
      <c r="H52" s="968">
        <f>1-H51</f>
        <v>1</v>
      </c>
      <c r="I52" s="968">
        <f t="shared" ref="I52:S52" si="29">1-I51</f>
        <v>1</v>
      </c>
      <c r="J52" s="968">
        <f t="shared" si="29"/>
        <v>1</v>
      </c>
      <c r="K52" s="968">
        <f t="shared" si="29"/>
        <v>1</v>
      </c>
      <c r="L52" s="968">
        <f t="shared" si="29"/>
        <v>1</v>
      </c>
      <c r="M52" s="968">
        <f t="shared" si="29"/>
        <v>1</v>
      </c>
      <c r="N52" s="968">
        <f t="shared" si="29"/>
        <v>1</v>
      </c>
      <c r="O52" s="968">
        <f t="shared" si="29"/>
        <v>1</v>
      </c>
      <c r="P52" s="968">
        <f t="shared" si="29"/>
        <v>1</v>
      </c>
      <c r="Q52" s="968">
        <f t="shared" si="29"/>
        <v>1</v>
      </c>
      <c r="R52" s="968">
        <f t="shared" si="29"/>
        <v>1</v>
      </c>
      <c r="S52" s="968">
        <f t="shared" si="29"/>
        <v>1</v>
      </c>
      <c r="T52" s="784"/>
    </row>
    <row r="54" spans="1:20" x14ac:dyDescent="0.35">
      <c r="B54" s="85" t="s">
        <v>650</v>
      </c>
      <c r="H54" s="150"/>
      <c r="I54" s="150"/>
      <c r="J54" s="150"/>
      <c r="K54" s="150"/>
      <c r="L54" s="150"/>
      <c r="M54" s="11"/>
    </row>
    <row r="55" spans="1:20" x14ac:dyDescent="0.35">
      <c r="B55" s="5" t="s">
        <v>651</v>
      </c>
      <c r="D55" s="15"/>
    </row>
    <row r="56" spans="1:20" ht="39" x14ac:dyDescent="0.35">
      <c r="A56" t="s">
        <v>2252</v>
      </c>
      <c r="B56" s="187" t="s">
        <v>36</v>
      </c>
      <c r="C56" s="1389" t="s">
        <v>524</v>
      </c>
      <c r="D56" s="116" t="s">
        <v>257</v>
      </c>
      <c r="E56" s="714" t="s">
        <v>227</v>
      </c>
      <c r="F56" s="714" t="s">
        <v>147</v>
      </c>
      <c r="G56" s="714" t="s">
        <v>148</v>
      </c>
      <c r="H56" s="116" t="s">
        <v>149</v>
      </c>
      <c r="I56" s="116" t="s">
        <v>150</v>
      </c>
      <c r="J56" s="116" t="s">
        <v>151</v>
      </c>
      <c r="K56" s="116" t="s">
        <v>152</v>
      </c>
      <c r="L56" s="116" t="s">
        <v>153</v>
      </c>
      <c r="M56" s="116" t="s">
        <v>154</v>
      </c>
      <c r="N56" s="116" t="s">
        <v>155</v>
      </c>
      <c r="O56" s="116" t="s">
        <v>156</v>
      </c>
      <c r="P56" s="116" t="s">
        <v>157</v>
      </c>
      <c r="Q56" s="116" t="s">
        <v>158</v>
      </c>
      <c r="R56" s="116" t="s">
        <v>159</v>
      </c>
      <c r="S56" s="116" t="s">
        <v>160</v>
      </c>
      <c r="T56" s="116" t="s">
        <v>2147</v>
      </c>
    </row>
    <row r="57" spans="1:20" x14ac:dyDescent="0.35">
      <c r="B57" s="1300">
        <v>1</v>
      </c>
      <c r="C57" s="1301" t="s">
        <v>530</v>
      </c>
      <c r="D57" s="128"/>
      <c r="E57" s="130"/>
      <c r="F57" s="130"/>
      <c r="G57" s="1302">
        <v>0.54</v>
      </c>
      <c r="H57" s="1302">
        <v>0.54</v>
      </c>
      <c r="I57" s="1302">
        <v>0.54</v>
      </c>
      <c r="J57" s="1302">
        <v>0.54</v>
      </c>
      <c r="K57" s="1302">
        <v>0.54</v>
      </c>
      <c r="L57" s="1302">
        <v>0.54</v>
      </c>
      <c r="M57" s="1302">
        <v>0.54</v>
      </c>
      <c r="N57" s="1302">
        <v>0.54</v>
      </c>
      <c r="O57" s="1302">
        <v>0.54</v>
      </c>
      <c r="P57" s="1302">
        <v>0.54</v>
      </c>
      <c r="Q57" s="1302">
        <v>0.54</v>
      </c>
      <c r="R57" s="1302">
        <v>0.54</v>
      </c>
      <c r="S57" s="1302">
        <v>0.54</v>
      </c>
      <c r="T57" s="787"/>
    </row>
    <row r="58" spans="1:20" ht="25" x14ac:dyDescent="0.35">
      <c r="B58" s="128">
        <v>2</v>
      </c>
      <c r="C58" s="129" t="s">
        <v>532</v>
      </c>
      <c r="D58" s="128"/>
      <c r="E58" s="130"/>
      <c r="F58" s="130"/>
      <c r="G58" s="130"/>
      <c r="H58" s="130"/>
      <c r="I58" s="130"/>
      <c r="J58" s="130"/>
      <c r="K58" s="130"/>
      <c r="L58" s="130"/>
      <c r="M58" s="130"/>
      <c r="N58" s="130"/>
      <c r="O58" s="130"/>
      <c r="P58" s="130"/>
      <c r="Q58" s="130"/>
      <c r="R58" s="130"/>
      <c r="S58" s="130"/>
      <c r="T58" s="787"/>
    </row>
    <row r="59" spans="1:20" x14ac:dyDescent="0.35">
      <c r="B59" s="128">
        <v>3</v>
      </c>
      <c r="C59" s="129" t="s">
        <v>533</v>
      </c>
      <c r="D59" s="128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787"/>
    </row>
    <row r="60" spans="1:20" x14ac:dyDescent="0.35">
      <c r="B60" s="128">
        <v>4</v>
      </c>
      <c r="C60" s="129" t="s">
        <v>534</v>
      </c>
      <c r="D60" s="128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784"/>
    </row>
    <row r="61" spans="1:20" x14ac:dyDescent="0.35">
      <c r="B61" s="128">
        <v>5</v>
      </c>
      <c r="C61" s="129" t="s">
        <v>535</v>
      </c>
      <c r="D61" s="128"/>
      <c r="E61" s="130"/>
      <c r="F61" s="130"/>
      <c r="G61" s="130">
        <v>0.02</v>
      </c>
      <c r="H61" s="130">
        <v>0.02</v>
      </c>
      <c r="I61" s="130">
        <v>0.02</v>
      </c>
      <c r="J61" s="130">
        <v>0.02</v>
      </c>
      <c r="K61" s="130">
        <v>0.02</v>
      </c>
      <c r="L61" s="130">
        <v>0.02</v>
      </c>
      <c r="M61" s="130">
        <v>0.02</v>
      </c>
      <c r="N61" s="130">
        <v>0.02</v>
      </c>
      <c r="O61" s="130">
        <v>0.02</v>
      </c>
      <c r="P61" s="130">
        <v>0.02</v>
      </c>
      <c r="Q61" s="130">
        <v>0.02</v>
      </c>
      <c r="R61" s="130">
        <v>0.02</v>
      </c>
      <c r="S61" s="130">
        <v>0.02</v>
      </c>
      <c r="T61" s="784"/>
    </row>
    <row r="62" spans="1:20" x14ac:dyDescent="0.35">
      <c r="B62" s="128">
        <v>6</v>
      </c>
      <c r="C62" s="129" t="s">
        <v>536</v>
      </c>
      <c r="D62" s="128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130"/>
      <c r="S62" s="130"/>
      <c r="T62" s="784"/>
    </row>
    <row r="63" spans="1:20" x14ac:dyDescent="0.35">
      <c r="B63" s="128">
        <v>7</v>
      </c>
      <c r="C63" s="129" t="s">
        <v>537</v>
      </c>
      <c r="D63" s="128"/>
      <c r="E63" s="130"/>
      <c r="F63" s="130"/>
      <c r="G63" s="130">
        <v>0.02</v>
      </c>
      <c r="H63" s="130">
        <v>0.02</v>
      </c>
      <c r="I63" s="130">
        <v>0.02</v>
      </c>
      <c r="J63" s="130">
        <v>0.02</v>
      </c>
      <c r="K63" s="130">
        <v>0.02</v>
      </c>
      <c r="L63" s="130">
        <v>0.02</v>
      </c>
      <c r="M63" s="130">
        <v>0.02</v>
      </c>
      <c r="N63" s="130">
        <v>0.02</v>
      </c>
      <c r="O63" s="130">
        <v>0.02</v>
      </c>
      <c r="P63" s="130">
        <v>0.02</v>
      </c>
      <c r="Q63" s="130">
        <v>0.02</v>
      </c>
      <c r="R63" s="130">
        <v>0.02</v>
      </c>
      <c r="S63" s="130">
        <v>0.02</v>
      </c>
      <c r="T63" s="784"/>
    </row>
    <row r="64" spans="1:20" x14ac:dyDescent="0.35">
      <c r="B64" s="128">
        <v>8</v>
      </c>
      <c r="C64" s="129" t="s">
        <v>538</v>
      </c>
      <c r="D64" s="128"/>
      <c r="E64" s="130"/>
      <c r="F64" s="130"/>
      <c r="G64" s="130">
        <v>0.01</v>
      </c>
      <c r="H64" s="130">
        <v>0.01</v>
      </c>
      <c r="I64" s="130">
        <v>0.01</v>
      </c>
      <c r="J64" s="130">
        <v>0.01</v>
      </c>
      <c r="K64" s="130">
        <v>0.01</v>
      </c>
      <c r="L64" s="130">
        <v>0.01</v>
      </c>
      <c r="M64" s="130">
        <v>0.01</v>
      </c>
      <c r="N64" s="130">
        <v>0.01</v>
      </c>
      <c r="O64" s="130">
        <v>0.01</v>
      </c>
      <c r="P64" s="130">
        <v>0.01</v>
      </c>
      <c r="Q64" s="130">
        <v>0.01</v>
      </c>
      <c r="R64" s="130">
        <v>0.01</v>
      </c>
      <c r="S64" s="130">
        <v>0.01</v>
      </c>
      <c r="T64" s="784"/>
    </row>
    <row r="65" spans="1:20" x14ac:dyDescent="0.35">
      <c r="B65" s="128">
        <v>9</v>
      </c>
      <c r="C65" s="129" t="s">
        <v>539</v>
      </c>
      <c r="D65" s="128"/>
      <c r="E65" s="130"/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784"/>
    </row>
    <row r="66" spans="1:20" x14ac:dyDescent="0.35">
      <c r="B66" s="1300">
        <v>10</v>
      </c>
      <c r="C66" s="1301" t="s">
        <v>540</v>
      </c>
      <c r="D66" s="128"/>
      <c r="E66" s="1302"/>
      <c r="F66" s="1302"/>
      <c r="G66" s="1302">
        <v>0.28000000000000003</v>
      </c>
      <c r="H66" s="1302">
        <v>0.28999999999999998</v>
      </c>
      <c r="I66" s="1302">
        <v>0.28999999999999998</v>
      </c>
      <c r="J66" s="1302">
        <v>0.28999999999999998</v>
      </c>
      <c r="K66" s="1302">
        <v>0.28999999999999998</v>
      </c>
      <c r="L66" s="1302">
        <v>0.28999999999999998</v>
      </c>
      <c r="M66" s="1302">
        <v>0.28999999999999998</v>
      </c>
      <c r="N66" s="1302">
        <v>0.28999999999999998</v>
      </c>
      <c r="O66" s="1302">
        <v>0.28999999999999998</v>
      </c>
      <c r="P66" s="1302">
        <v>0.28999999999999998</v>
      </c>
      <c r="Q66" s="1302">
        <v>0.28999999999999998</v>
      </c>
      <c r="R66" s="1302">
        <v>0.28999999999999998</v>
      </c>
      <c r="S66" s="1302">
        <v>0.28999999999999998</v>
      </c>
      <c r="T66" s="784"/>
    </row>
    <row r="67" spans="1:20" x14ac:dyDescent="0.35">
      <c r="B67" s="128">
        <v>11</v>
      </c>
      <c r="C67" s="129" t="s">
        <v>541</v>
      </c>
      <c r="D67" s="128"/>
      <c r="E67" s="130"/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784"/>
    </row>
    <row r="68" spans="1:20" x14ac:dyDescent="0.35">
      <c r="B68" s="128">
        <v>12</v>
      </c>
      <c r="C68" s="129" t="s">
        <v>542</v>
      </c>
      <c r="D68" s="128"/>
      <c r="E68" s="130"/>
      <c r="F68" s="130"/>
      <c r="G68" s="130"/>
      <c r="H68" s="130"/>
      <c r="I68" s="130"/>
      <c r="J68" s="130"/>
      <c r="K68" s="130"/>
      <c r="L68" s="130"/>
      <c r="M68" s="130"/>
      <c r="N68" s="130"/>
      <c r="O68" s="130"/>
      <c r="P68" s="130"/>
      <c r="Q68" s="130"/>
      <c r="R68" s="130"/>
      <c r="S68" s="130"/>
      <c r="T68" s="784"/>
    </row>
    <row r="69" spans="1:20" x14ac:dyDescent="0.35">
      <c r="B69" s="128">
        <v>13</v>
      </c>
      <c r="C69" s="927" t="s">
        <v>543</v>
      </c>
      <c r="D69" s="260"/>
      <c r="E69" s="789"/>
      <c r="F69" s="789"/>
      <c r="G69" s="789"/>
      <c r="H69" s="789">
        <v>0</v>
      </c>
      <c r="I69" s="789">
        <v>0</v>
      </c>
      <c r="J69" s="789">
        <v>0</v>
      </c>
      <c r="K69" s="789">
        <v>0</v>
      </c>
      <c r="L69" s="789">
        <v>0</v>
      </c>
      <c r="M69" s="789">
        <v>0</v>
      </c>
      <c r="N69" s="789">
        <v>0</v>
      </c>
      <c r="O69" s="789">
        <v>0</v>
      </c>
      <c r="P69" s="789">
        <v>0</v>
      </c>
      <c r="Q69" s="789">
        <v>0</v>
      </c>
      <c r="R69" s="789">
        <v>0</v>
      </c>
      <c r="S69" s="789">
        <v>0</v>
      </c>
      <c r="T69" s="784"/>
    </row>
    <row r="70" spans="1:20" ht="25" x14ac:dyDescent="0.35">
      <c r="B70" s="128">
        <v>14</v>
      </c>
      <c r="C70" s="129" t="s">
        <v>544</v>
      </c>
      <c r="D70" s="128"/>
      <c r="E70" s="130"/>
      <c r="F70" s="130"/>
      <c r="G70" s="130">
        <v>0.01</v>
      </c>
      <c r="H70" s="130">
        <v>0.01</v>
      </c>
      <c r="I70" s="130">
        <v>0.01</v>
      </c>
      <c r="J70" s="130">
        <v>0.01</v>
      </c>
      <c r="K70" s="130">
        <v>0.01</v>
      </c>
      <c r="L70" s="130">
        <v>0.01</v>
      </c>
      <c r="M70" s="130">
        <v>0.01</v>
      </c>
      <c r="N70" s="130">
        <v>0.01</v>
      </c>
      <c r="O70" s="130">
        <v>0.01</v>
      </c>
      <c r="P70" s="130">
        <v>0.01</v>
      </c>
      <c r="Q70" s="130">
        <v>0.01</v>
      </c>
      <c r="R70" s="130">
        <v>0.01</v>
      </c>
      <c r="S70" s="130">
        <v>0.01</v>
      </c>
      <c r="T70" s="784"/>
    </row>
    <row r="71" spans="1:20" x14ac:dyDescent="0.35">
      <c r="B71" s="128">
        <v>15</v>
      </c>
      <c r="C71" s="129" t="s">
        <v>175</v>
      </c>
      <c r="D71" s="128"/>
      <c r="E71" s="130"/>
      <c r="F71" s="130"/>
      <c r="G71" s="130"/>
      <c r="H71" s="130"/>
      <c r="I71" s="130"/>
      <c r="J71" s="130"/>
      <c r="K71" s="130"/>
      <c r="L71" s="130"/>
      <c r="M71" s="130"/>
      <c r="N71" s="130"/>
      <c r="O71" s="130"/>
      <c r="P71" s="130"/>
      <c r="Q71" s="130"/>
      <c r="R71" s="130"/>
      <c r="S71" s="130"/>
      <c r="T71" s="784"/>
    </row>
    <row r="72" spans="1:20" x14ac:dyDescent="0.35">
      <c r="B72" s="163"/>
      <c r="C72" s="164" t="s">
        <v>480</v>
      </c>
      <c r="D72" s="163"/>
      <c r="E72" s="165">
        <f>SUM(E57:E70)</f>
        <v>0</v>
      </c>
      <c r="F72" s="165">
        <f>SUM(F57:F70)</f>
        <v>0</v>
      </c>
      <c r="G72" s="165">
        <f>SUM(G57:G70)</f>
        <v>0.88000000000000012</v>
      </c>
      <c r="H72" s="133">
        <f t="shared" ref="H72:S72" si="30">SUM(H57:H71)</f>
        <v>0.89000000000000012</v>
      </c>
      <c r="I72" s="133">
        <f t="shared" si="30"/>
        <v>0.89000000000000012</v>
      </c>
      <c r="J72" s="133">
        <f t="shared" si="30"/>
        <v>0.89000000000000012</v>
      </c>
      <c r="K72" s="133">
        <f t="shared" si="30"/>
        <v>0.89000000000000012</v>
      </c>
      <c r="L72" s="133">
        <f t="shared" si="30"/>
        <v>0.89000000000000012</v>
      </c>
      <c r="M72" s="133">
        <f t="shared" si="30"/>
        <v>0.89000000000000012</v>
      </c>
      <c r="N72" s="133">
        <f t="shared" si="30"/>
        <v>0.89000000000000012</v>
      </c>
      <c r="O72" s="133">
        <f t="shared" si="30"/>
        <v>0.89000000000000012</v>
      </c>
      <c r="P72" s="133">
        <f t="shared" si="30"/>
        <v>0.89000000000000012</v>
      </c>
      <c r="Q72" s="133">
        <f t="shared" si="30"/>
        <v>0.89000000000000012</v>
      </c>
      <c r="R72" s="133">
        <f t="shared" si="30"/>
        <v>0.89000000000000012</v>
      </c>
      <c r="S72" s="133">
        <f t="shared" si="30"/>
        <v>0.89000000000000012</v>
      </c>
      <c r="T72" s="133"/>
    </row>
    <row r="73" spans="1:20" x14ac:dyDescent="0.35">
      <c r="D73" s="15"/>
      <c r="H73" s="102">
        <f>100%-H72-H8</f>
        <v>-1.2490009027033011E-16</v>
      </c>
      <c r="I73" s="102">
        <f t="shared" ref="I73:S73" si="31">100%-I72-I8</f>
        <v>-1.2490009027033011E-16</v>
      </c>
      <c r="J73" s="102">
        <f t="shared" si="31"/>
        <v>-1.2490009027033011E-16</v>
      </c>
      <c r="K73" s="102">
        <f t="shared" si="31"/>
        <v>-1.2490009027033011E-16</v>
      </c>
      <c r="L73" s="102">
        <f t="shared" si="31"/>
        <v>-1.2490009027033011E-16</v>
      </c>
      <c r="M73" s="102">
        <f t="shared" si="31"/>
        <v>-1.2490009027033011E-16</v>
      </c>
      <c r="N73" s="102">
        <f t="shared" si="31"/>
        <v>-1.2490009027033011E-16</v>
      </c>
      <c r="O73" s="102">
        <f t="shared" si="31"/>
        <v>-1.2490009027033011E-16</v>
      </c>
      <c r="P73" s="102">
        <f t="shared" si="31"/>
        <v>-1.2490009027033011E-16</v>
      </c>
      <c r="Q73" s="102">
        <f t="shared" si="31"/>
        <v>-1.2490009027033011E-16</v>
      </c>
      <c r="R73" s="102">
        <f t="shared" si="31"/>
        <v>-1.2490009027033011E-16</v>
      </c>
      <c r="S73" s="102">
        <f t="shared" si="31"/>
        <v>-1.2490009027033011E-16</v>
      </c>
    </row>
    <row r="74" spans="1:20" x14ac:dyDescent="0.35">
      <c r="B74" s="5" t="s">
        <v>652</v>
      </c>
      <c r="D74" s="15"/>
    </row>
    <row r="75" spans="1:20" ht="39" x14ac:dyDescent="0.35">
      <c r="A75" t="s">
        <v>248</v>
      </c>
      <c r="B75" s="187" t="s">
        <v>36</v>
      </c>
      <c r="C75" s="1389" t="s">
        <v>524</v>
      </c>
      <c r="D75" s="116" t="s">
        <v>257</v>
      </c>
      <c r="E75" s="714" t="s">
        <v>227</v>
      </c>
      <c r="F75" s="714" t="s">
        <v>147</v>
      </c>
      <c r="G75" s="714" t="s">
        <v>148</v>
      </c>
      <c r="H75" s="116" t="s">
        <v>149</v>
      </c>
      <c r="I75" s="116" t="s">
        <v>150</v>
      </c>
      <c r="J75" s="116" t="s">
        <v>151</v>
      </c>
      <c r="K75" s="116" t="s">
        <v>152</v>
      </c>
      <c r="L75" s="116" t="s">
        <v>153</v>
      </c>
      <c r="M75" s="116" t="s">
        <v>154</v>
      </c>
      <c r="N75" s="116" t="s">
        <v>155</v>
      </c>
      <c r="O75" s="116" t="s">
        <v>156</v>
      </c>
      <c r="P75" s="116" t="s">
        <v>157</v>
      </c>
      <c r="Q75" s="116" t="s">
        <v>158</v>
      </c>
      <c r="R75" s="116" t="s">
        <v>159</v>
      </c>
      <c r="S75" s="116" t="s">
        <v>160</v>
      </c>
      <c r="T75" s="116" t="s">
        <v>2147</v>
      </c>
    </row>
    <row r="76" spans="1:20" x14ac:dyDescent="0.35">
      <c r="B76" s="1300">
        <v>1</v>
      </c>
      <c r="C76" s="1301" t="s">
        <v>530</v>
      </c>
      <c r="D76" s="128"/>
      <c r="E76" s="130"/>
      <c r="F76" s="130"/>
      <c r="G76" s="1302">
        <v>0.51</v>
      </c>
      <c r="H76" s="1302">
        <v>0.51</v>
      </c>
      <c r="I76" s="1302">
        <v>0.51</v>
      </c>
      <c r="J76" s="1302">
        <v>0.51</v>
      </c>
      <c r="K76" s="1302">
        <v>0.51</v>
      </c>
      <c r="L76" s="1302">
        <v>0.51</v>
      </c>
      <c r="M76" s="1302">
        <v>0.51</v>
      </c>
      <c r="N76" s="1302">
        <v>0.51</v>
      </c>
      <c r="O76" s="1302">
        <v>0.51</v>
      </c>
      <c r="P76" s="1302">
        <v>0.51</v>
      </c>
      <c r="Q76" s="1302">
        <v>0.51</v>
      </c>
      <c r="R76" s="1302">
        <v>0.51</v>
      </c>
      <c r="S76" s="1302">
        <v>0.51</v>
      </c>
      <c r="T76" s="130"/>
    </row>
    <row r="77" spans="1:20" ht="25" x14ac:dyDescent="0.35">
      <c r="B77" s="128">
        <v>2</v>
      </c>
      <c r="C77" s="129" t="s">
        <v>532</v>
      </c>
      <c r="D77" s="128"/>
      <c r="E77" s="130"/>
      <c r="F77" s="130"/>
      <c r="G77" s="130"/>
      <c r="H77" s="130"/>
      <c r="I77" s="130"/>
      <c r="J77" s="130"/>
      <c r="K77" s="130"/>
      <c r="L77" s="130"/>
      <c r="M77" s="130"/>
      <c r="N77" s="130"/>
      <c r="O77" s="130"/>
      <c r="P77" s="130"/>
      <c r="Q77" s="130"/>
      <c r="R77" s="130"/>
      <c r="S77" s="130"/>
      <c r="T77" s="130"/>
    </row>
    <row r="78" spans="1:20" x14ac:dyDescent="0.35">
      <c r="B78" s="128">
        <v>3</v>
      </c>
      <c r="C78" s="129" t="s">
        <v>533</v>
      </c>
      <c r="D78" s="128"/>
      <c r="E78" s="130"/>
      <c r="F78" s="130"/>
      <c r="G78" s="130"/>
      <c r="H78" s="130"/>
      <c r="I78" s="130"/>
      <c r="J78" s="130"/>
      <c r="K78" s="130"/>
      <c r="L78" s="130"/>
      <c r="M78" s="130"/>
      <c r="N78" s="130"/>
      <c r="O78" s="130"/>
      <c r="P78" s="130"/>
      <c r="Q78" s="130"/>
      <c r="R78" s="130"/>
      <c r="S78" s="130"/>
      <c r="T78" s="130"/>
    </row>
    <row r="79" spans="1:20" x14ac:dyDescent="0.35">
      <c r="B79" s="128">
        <v>4</v>
      </c>
      <c r="C79" s="129" t="s">
        <v>534</v>
      </c>
      <c r="D79" s="128"/>
      <c r="E79" s="130"/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30"/>
    </row>
    <row r="80" spans="1:20" x14ac:dyDescent="0.35">
      <c r="B80" s="128">
        <v>5</v>
      </c>
      <c r="C80" s="129" t="s">
        <v>535</v>
      </c>
      <c r="D80" s="128"/>
      <c r="E80" s="130"/>
      <c r="F80" s="130"/>
      <c r="G80" s="130">
        <v>0.02</v>
      </c>
      <c r="H80" s="130">
        <v>0.02</v>
      </c>
      <c r="I80" s="130">
        <v>0.02</v>
      </c>
      <c r="J80" s="130">
        <v>0.02</v>
      </c>
      <c r="K80" s="130">
        <v>0.02</v>
      </c>
      <c r="L80" s="130">
        <v>0.02</v>
      </c>
      <c r="M80" s="130">
        <v>0.02</v>
      </c>
      <c r="N80" s="130">
        <v>0.02</v>
      </c>
      <c r="O80" s="130">
        <v>0.02</v>
      </c>
      <c r="P80" s="130">
        <v>0.02</v>
      </c>
      <c r="Q80" s="130">
        <v>0.02</v>
      </c>
      <c r="R80" s="130">
        <v>0.02</v>
      </c>
      <c r="S80" s="130">
        <v>0.02</v>
      </c>
      <c r="T80" s="130"/>
    </row>
    <row r="81" spans="1:20" x14ac:dyDescent="0.35">
      <c r="B81" s="128">
        <v>6</v>
      </c>
      <c r="C81" s="129" t="s">
        <v>536</v>
      </c>
      <c r="D81" s="128"/>
      <c r="E81" s="130"/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30"/>
    </row>
    <row r="82" spans="1:20" x14ac:dyDescent="0.35">
      <c r="B82" s="128">
        <v>7</v>
      </c>
      <c r="C82" s="129" t="s">
        <v>537</v>
      </c>
      <c r="D82" s="128"/>
      <c r="E82" s="130"/>
      <c r="F82" s="130"/>
      <c r="G82" s="130">
        <v>0.01</v>
      </c>
      <c r="H82" s="130">
        <v>0.01</v>
      </c>
      <c r="I82" s="130">
        <v>0.01</v>
      </c>
      <c r="J82" s="130">
        <v>0.01</v>
      </c>
      <c r="K82" s="130">
        <v>0.01</v>
      </c>
      <c r="L82" s="130">
        <v>0.01</v>
      </c>
      <c r="M82" s="130">
        <v>0.01</v>
      </c>
      <c r="N82" s="130">
        <v>0.01</v>
      </c>
      <c r="O82" s="130">
        <v>0.01</v>
      </c>
      <c r="P82" s="130">
        <v>0.01</v>
      </c>
      <c r="Q82" s="130">
        <v>0.01</v>
      </c>
      <c r="R82" s="130">
        <v>0.01</v>
      </c>
      <c r="S82" s="130">
        <v>0.01</v>
      </c>
      <c r="T82" s="130"/>
    </row>
    <row r="83" spans="1:20" x14ac:dyDescent="0.35">
      <c r="B83" s="128">
        <v>8</v>
      </c>
      <c r="C83" s="129" t="s">
        <v>538</v>
      </c>
      <c r="D83" s="128"/>
      <c r="E83" s="130"/>
      <c r="F83" s="130"/>
      <c r="G83" s="130">
        <v>0.02</v>
      </c>
      <c r="H83" s="130">
        <v>0.02</v>
      </c>
      <c r="I83" s="130">
        <v>0.02</v>
      </c>
      <c r="J83" s="130">
        <v>0.02</v>
      </c>
      <c r="K83" s="130">
        <v>0.02</v>
      </c>
      <c r="L83" s="130">
        <v>0.02</v>
      </c>
      <c r="M83" s="130">
        <v>0.02</v>
      </c>
      <c r="N83" s="130">
        <v>0.02</v>
      </c>
      <c r="O83" s="130">
        <v>0.02</v>
      </c>
      <c r="P83" s="130">
        <v>0.02</v>
      </c>
      <c r="Q83" s="130">
        <v>0.02</v>
      </c>
      <c r="R83" s="130">
        <v>0.02</v>
      </c>
      <c r="S83" s="130">
        <v>0.02</v>
      </c>
      <c r="T83" s="130"/>
    </row>
    <row r="84" spans="1:20" x14ac:dyDescent="0.35">
      <c r="B84" s="128">
        <v>9</v>
      </c>
      <c r="C84" s="129" t="s">
        <v>539</v>
      </c>
      <c r="D84" s="128"/>
      <c r="E84" s="130"/>
      <c r="F84" s="130"/>
      <c r="G84" s="130"/>
      <c r="H84" s="130"/>
      <c r="I84" s="130"/>
      <c r="J84" s="130"/>
      <c r="K84" s="130"/>
      <c r="L84" s="130"/>
      <c r="M84" s="130"/>
      <c r="N84" s="130"/>
      <c r="O84" s="130"/>
      <c r="P84" s="130"/>
      <c r="Q84" s="130"/>
      <c r="R84" s="130"/>
      <c r="S84" s="130"/>
      <c r="T84" s="130"/>
    </row>
    <row r="85" spans="1:20" x14ac:dyDescent="0.35">
      <c r="B85" s="1300">
        <v>10</v>
      </c>
      <c r="C85" s="1301" t="s">
        <v>540</v>
      </c>
      <c r="D85" s="1300"/>
      <c r="E85" s="1302"/>
      <c r="F85" s="1302"/>
      <c r="G85" s="1302">
        <v>0.28999999999999998</v>
      </c>
      <c r="H85" s="1302">
        <v>0.3</v>
      </c>
      <c r="I85" s="1302">
        <v>0.3</v>
      </c>
      <c r="J85" s="1302">
        <v>0.3</v>
      </c>
      <c r="K85" s="1302">
        <v>0.3</v>
      </c>
      <c r="L85" s="1302">
        <v>0.3</v>
      </c>
      <c r="M85" s="1302">
        <v>0.3</v>
      </c>
      <c r="N85" s="1302">
        <v>0.3</v>
      </c>
      <c r="O85" s="1302">
        <v>0.3</v>
      </c>
      <c r="P85" s="1302">
        <v>0.3</v>
      </c>
      <c r="Q85" s="1302">
        <v>0.3</v>
      </c>
      <c r="R85" s="1302">
        <v>0.3</v>
      </c>
      <c r="S85" s="1302">
        <v>0.3</v>
      </c>
      <c r="T85" s="130"/>
    </row>
    <row r="86" spans="1:20" x14ac:dyDescent="0.35">
      <c r="B86" s="128">
        <v>11</v>
      </c>
      <c r="C86" s="129" t="s">
        <v>541</v>
      </c>
      <c r="D86" s="128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</row>
    <row r="87" spans="1:20" x14ac:dyDescent="0.35">
      <c r="B87" s="128">
        <v>12</v>
      </c>
      <c r="C87" s="129" t="s">
        <v>542</v>
      </c>
      <c r="D87" s="128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30"/>
    </row>
    <row r="88" spans="1:20" x14ac:dyDescent="0.35">
      <c r="B88" s="128">
        <v>13</v>
      </c>
      <c r="C88" s="927" t="s">
        <v>543</v>
      </c>
      <c r="D88" s="260"/>
      <c r="E88" s="789"/>
      <c r="F88" s="789"/>
      <c r="G88" s="789"/>
      <c r="H88" s="789">
        <v>0</v>
      </c>
      <c r="I88" s="789">
        <v>0</v>
      </c>
      <c r="J88" s="789">
        <v>0</v>
      </c>
      <c r="K88" s="789">
        <v>0</v>
      </c>
      <c r="L88" s="789">
        <v>0</v>
      </c>
      <c r="M88" s="789">
        <v>0</v>
      </c>
      <c r="N88" s="789">
        <v>0</v>
      </c>
      <c r="O88" s="789">
        <v>0</v>
      </c>
      <c r="P88" s="789">
        <v>0</v>
      </c>
      <c r="Q88" s="789">
        <v>0</v>
      </c>
      <c r="R88" s="789">
        <v>0</v>
      </c>
      <c r="S88" s="789">
        <v>0</v>
      </c>
      <c r="T88" s="789"/>
    </row>
    <row r="89" spans="1:20" ht="25" x14ac:dyDescent="0.35">
      <c r="B89" s="128">
        <v>14</v>
      </c>
      <c r="C89" s="129" t="s">
        <v>544</v>
      </c>
      <c r="D89" s="128"/>
      <c r="E89" s="130"/>
      <c r="F89" s="130"/>
      <c r="G89" s="130">
        <v>0.01</v>
      </c>
      <c r="H89" s="790">
        <v>0.01</v>
      </c>
      <c r="I89" s="790">
        <v>0.01</v>
      </c>
      <c r="J89" s="790">
        <v>0.01</v>
      </c>
      <c r="K89" s="790">
        <v>0.01</v>
      </c>
      <c r="L89" s="790">
        <v>0.01</v>
      </c>
      <c r="M89" s="790">
        <v>0.01</v>
      </c>
      <c r="N89" s="790">
        <v>0.01</v>
      </c>
      <c r="O89" s="790">
        <v>0.01</v>
      </c>
      <c r="P89" s="790">
        <v>0.01</v>
      </c>
      <c r="Q89" s="790">
        <v>0.01</v>
      </c>
      <c r="R89" s="790">
        <v>0.01</v>
      </c>
      <c r="S89" s="790">
        <v>0.01</v>
      </c>
      <c r="T89" s="790"/>
    </row>
    <row r="90" spans="1:20" x14ac:dyDescent="0.35">
      <c r="B90" s="128">
        <v>15</v>
      </c>
      <c r="C90" s="129" t="s">
        <v>175</v>
      </c>
      <c r="D90" s="128"/>
      <c r="E90" s="130"/>
      <c r="F90" s="130"/>
      <c r="G90" s="130"/>
      <c r="H90" s="130"/>
      <c r="I90" s="130"/>
      <c r="J90" s="130"/>
      <c r="K90" s="130"/>
      <c r="L90" s="130"/>
      <c r="M90" s="130"/>
      <c r="N90" s="130"/>
      <c r="O90" s="130"/>
      <c r="P90" s="130"/>
      <c r="Q90" s="130"/>
      <c r="R90" s="130"/>
      <c r="S90" s="130"/>
      <c r="T90" s="130"/>
    </row>
    <row r="91" spans="1:20" x14ac:dyDescent="0.35">
      <c r="B91" s="163"/>
      <c r="C91" s="164" t="s">
        <v>480</v>
      </c>
      <c r="D91" s="163"/>
      <c r="E91" s="165">
        <f>SUM(E76:E89)</f>
        <v>0</v>
      </c>
      <c r="F91" s="165">
        <f>SUM(F76:F89)</f>
        <v>0</v>
      </c>
      <c r="G91" s="165">
        <f>SUM(G76:G89)</f>
        <v>0.8600000000000001</v>
      </c>
      <c r="H91" s="133">
        <f t="shared" ref="H91:S91" si="32">SUM(H76:H90)</f>
        <v>0.87000000000000011</v>
      </c>
      <c r="I91" s="133">
        <f t="shared" si="32"/>
        <v>0.87000000000000011</v>
      </c>
      <c r="J91" s="133">
        <f t="shared" si="32"/>
        <v>0.87000000000000011</v>
      </c>
      <c r="K91" s="133">
        <f t="shared" si="32"/>
        <v>0.87000000000000011</v>
      </c>
      <c r="L91" s="133">
        <f t="shared" si="32"/>
        <v>0.87000000000000011</v>
      </c>
      <c r="M91" s="133">
        <f t="shared" si="32"/>
        <v>0.87000000000000011</v>
      </c>
      <c r="N91" s="133">
        <f t="shared" si="32"/>
        <v>0.87000000000000011</v>
      </c>
      <c r="O91" s="133">
        <f t="shared" si="32"/>
        <v>0.87000000000000011</v>
      </c>
      <c r="P91" s="133">
        <f t="shared" si="32"/>
        <v>0.87000000000000011</v>
      </c>
      <c r="Q91" s="133">
        <f t="shared" si="32"/>
        <v>0.87000000000000011</v>
      </c>
      <c r="R91" s="133">
        <f t="shared" si="32"/>
        <v>0.87000000000000011</v>
      </c>
      <c r="S91" s="133">
        <f t="shared" si="32"/>
        <v>0.87000000000000011</v>
      </c>
      <c r="T91" s="133"/>
    </row>
    <row r="92" spans="1:20" x14ac:dyDescent="0.35">
      <c r="D92" s="15"/>
      <c r="H92" s="103">
        <f>100%-H91-H14</f>
        <v>0</v>
      </c>
      <c r="I92" s="103">
        <f t="shared" ref="I92:S92" si="33">100%-I91-I14</f>
        <v>0</v>
      </c>
      <c r="J92" s="103">
        <f t="shared" si="33"/>
        <v>0</v>
      </c>
      <c r="K92" s="103">
        <f t="shared" si="33"/>
        <v>0</v>
      </c>
      <c r="L92" s="103">
        <f t="shared" si="33"/>
        <v>0</v>
      </c>
      <c r="M92" s="103">
        <f t="shared" si="33"/>
        <v>0</v>
      </c>
      <c r="N92" s="103">
        <f t="shared" si="33"/>
        <v>0</v>
      </c>
      <c r="O92" s="103">
        <f t="shared" si="33"/>
        <v>0</v>
      </c>
      <c r="P92" s="103">
        <f t="shared" si="33"/>
        <v>0</v>
      </c>
      <c r="Q92" s="103">
        <f t="shared" si="33"/>
        <v>0</v>
      </c>
      <c r="R92" s="103">
        <f t="shared" si="33"/>
        <v>0</v>
      </c>
      <c r="S92" s="103">
        <f t="shared" si="33"/>
        <v>0</v>
      </c>
    </row>
    <row r="93" spans="1:20" x14ac:dyDescent="0.35">
      <c r="B93" s="5" t="s">
        <v>653</v>
      </c>
      <c r="D93" s="15"/>
      <c r="M93" s="157"/>
    </row>
    <row r="94" spans="1:20" ht="39" x14ac:dyDescent="0.35">
      <c r="A94" t="s">
        <v>2253</v>
      </c>
      <c r="B94" s="187" t="s">
        <v>36</v>
      </c>
      <c r="C94" s="1389" t="s">
        <v>524</v>
      </c>
      <c r="D94" s="116" t="s">
        <v>257</v>
      </c>
      <c r="E94" s="714" t="s">
        <v>227</v>
      </c>
      <c r="F94" s="714" t="s">
        <v>147</v>
      </c>
      <c r="G94" s="714" t="s">
        <v>148</v>
      </c>
      <c r="H94" s="116" t="s">
        <v>149</v>
      </c>
      <c r="I94" s="116" t="s">
        <v>150</v>
      </c>
      <c r="J94" s="116" t="s">
        <v>151</v>
      </c>
      <c r="K94" s="116" t="s">
        <v>152</v>
      </c>
      <c r="L94" s="116" t="s">
        <v>153</v>
      </c>
      <c r="M94" s="116" t="s">
        <v>154</v>
      </c>
      <c r="N94" s="116" t="s">
        <v>155</v>
      </c>
      <c r="O94" s="116" t="s">
        <v>156</v>
      </c>
      <c r="P94" s="116" t="s">
        <v>157</v>
      </c>
      <c r="Q94" s="116" t="s">
        <v>158</v>
      </c>
      <c r="R94" s="116" t="s">
        <v>159</v>
      </c>
      <c r="S94" s="116" t="s">
        <v>160</v>
      </c>
      <c r="T94" s="116" t="s">
        <v>2147</v>
      </c>
    </row>
    <row r="95" spans="1:20" x14ac:dyDescent="0.35">
      <c r="B95" s="128">
        <v>1</v>
      </c>
      <c r="C95" s="129" t="s">
        <v>530</v>
      </c>
      <c r="D95" s="128"/>
      <c r="E95" s="130"/>
      <c r="F95" s="130"/>
      <c r="G95" s="130">
        <v>0.65</v>
      </c>
      <c r="H95" s="130">
        <v>0.75</v>
      </c>
      <c r="I95" s="130">
        <v>0.75</v>
      </c>
      <c r="J95" s="130">
        <v>0.75</v>
      </c>
      <c r="K95" s="130">
        <v>0.75</v>
      </c>
      <c r="L95" s="130">
        <v>0.75</v>
      </c>
      <c r="M95" s="130">
        <v>0.75</v>
      </c>
      <c r="N95" s="130">
        <v>0.75</v>
      </c>
      <c r="O95" s="130">
        <v>0.75</v>
      </c>
      <c r="P95" s="130">
        <v>0.75</v>
      </c>
      <c r="Q95" s="130">
        <v>0.75</v>
      </c>
      <c r="R95" s="130">
        <v>0.75</v>
      </c>
      <c r="S95" s="130">
        <v>0.75</v>
      </c>
      <c r="T95" s="130"/>
    </row>
    <row r="96" spans="1:20" ht="25" x14ac:dyDescent="0.35">
      <c r="B96" s="128">
        <v>2</v>
      </c>
      <c r="C96" s="129" t="s">
        <v>532</v>
      </c>
      <c r="D96" s="128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</row>
    <row r="97" spans="2:20" x14ac:dyDescent="0.35">
      <c r="B97" s="128">
        <v>3</v>
      </c>
      <c r="C97" s="129" t="s">
        <v>533</v>
      </c>
      <c r="D97" s="128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</row>
    <row r="98" spans="2:20" x14ac:dyDescent="0.35">
      <c r="B98" s="128">
        <v>4</v>
      </c>
      <c r="C98" s="129" t="s">
        <v>534</v>
      </c>
      <c r="D98" s="128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</row>
    <row r="99" spans="2:20" x14ac:dyDescent="0.35">
      <c r="B99" s="128">
        <v>5</v>
      </c>
      <c r="C99" s="129" t="s">
        <v>535</v>
      </c>
      <c r="D99" s="128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</row>
    <row r="100" spans="2:20" x14ac:dyDescent="0.35">
      <c r="B100" s="128">
        <v>6</v>
      </c>
      <c r="C100" s="129" t="s">
        <v>536</v>
      </c>
      <c r="D100" s="128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</row>
    <row r="101" spans="2:20" x14ac:dyDescent="0.35">
      <c r="B101" s="128">
        <v>7</v>
      </c>
      <c r="C101" s="129" t="s">
        <v>537</v>
      </c>
      <c r="D101" s="128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</row>
    <row r="102" spans="2:20" x14ac:dyDescent="0.35">
      <c r="B102" s="128">
        <v>8</v>
      </c>
      <c r="C102" s="129" t="s">
        <v>538</v>
      </c>
      <c r="D102" s="128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</row>
    <row r="103" spans="2:20" x14ac:dyDescent="0.35">
      <c r="B103" s="128">
        <v>9</v>
      </c>
      <c r="C103" s="129" t="s">
        <v>539</v>
      </c>
      <c r="D103" s="128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</row>
    <row r="104" spans="2:20" x14ac:dyDescent="0.35">
      <c r="B104" s="128">
        <v>10</v>
      </c>
      <c r="C104" s="129" t="s">
        <v>540</v>
      </c>
      <c r="D104" s="128"/>
      <c r="E104" s="130"/>
      <c r="F104" s="130"/>
      <c r="G104" s="130">
        <v>0.28999999999999998</v>
      </c>
      <c r="H104" s="130">
        <v>0.19</v>
      </c>
      <c r="I104" s="130">
        <v>0.19</v>
      </c>
      <c r="J104" s="130">
        <v>0.19</v>
      </c>
      <c r="K104" s="130">
        <v>0.19</v>
      </c>
      <c r="L104" s="130">
        <v>0.19</v>
      </c>
      <c r="M104" s="130">
        <v>0.19</v>
      </c>
      <c r="N104" s="130">
        <v>0.19</v>
      </c>
      <c r="O104" s="130">
        <v>0.19</v>
      </c>
      <c r="P104" s="130">
        <v>0.19</v>
      </c>
      <c r="Q104" s="130">
        <v>0.19</v>
      </c>
      <c r="R104" s="130">
        <v>0.19</v>
      </c>
      <c r="S104" s="130">
        <v>0.19</v>
      </c>
      <c r="T104" s="130"/>
    </row>
    <row r="105" spans="2:20" x14ac:dyDescent="0.35">
      <c r="B105" s="128">
        <v>11</v>
      </c>
      <c r="C105" s="129" t="s">
        <v>541</v>
      </c>
      <c r="D105" s="128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</row>
    <row r="106" spans="2:20" x14ac:dyDescent="0.35">
      <c r="B106" s="128">
        <v>12</v>
      </c>
      <c r="C106" s="129" t="s">
        <v>542</v>
      </c>
      <c r="D106" s="128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</row>
    <row r="107" spans="2:20" x14ac:dyDescent="0.35">
      <c r="B107" s="128">
        <v>13</v>
      </c>
      <c r="C107" s="927" t="s">
        <v>543</v>
      </c>
      <c r="D107" s="260"/>
      <c r="E107" s="789"/>
      <c r="F107" s="789"/>
      <c r="G107" s="789"/>
      <c r="H107" s="789"/>
      <c r="I107" s="789"/>
      <c r="J107" s="789"/>
      <c r="K107" s="789"/>
      <c r="L107" s="789"/>
      <c r="M107" s="789"/>
      <c r="N107" s="789"/>
      <c r="O107" s="789"/>
      <c r="P107" s="789"/>
      <c r="Q107" s="789"/>
      <c r="R107" s="789"/>
      <c r="S107" s="789"/>
      <c r="T107" s="789"/>
    </row>
    <row r="108" spans="2:20" ht="25" x14ac:dyDescent="0.35">
      <c r="B108" s="128">
        <v>14</v>
      </c>
      <c r="C108" s="129" t="s">
        <v>544</v>
      </c>
      <c r="D108" s="128"/>
      <c r="E108" s="925"/>
      <c r="F108" s="925"/>
      <c r="G108" s="130">
        <v>0.03</v>
      </c>
      <c r="H108" s="130">
        <v>2.5000000000000001E-2</v>
      </c>
      <c r="I108" s="130">
        <v>2.5000000000000001E-2</v>
      </c>
      <c r="J108" s="130">
        <v>2.5000000000000001E-2</v>
      </c>
      <c r="K108" s="130">
        <v>2.5000000000000001E-2</v>
      </c>
      <c r="L108" s="130">
        <v>2.5000000000000001E-2</v>
      </c>
      <c r="M108" s="130">
        <v>2.5000000000000001E-2</v>
      </c>
      <c r="N108" s="130">
        <v>2.5000000000000001E-2</v>
      </c>
      <c r="O108" s="130">
        <v>2.5000000000000001E-2</v>
      </c>
      <c r="P108" s="130">
        <v>2.5000000000000001E-2</v>
      </c>
      <c r="Q108" s="130">
        <v>2.5000000000000001E-2</v>
      </c>
      <c r="R108" s="130">
        <v>2.5000000000000001E-2</v>
      </c>
      <c r="S108" s="130">
        <v>2.5000000000000001E-2</v>
      </c>
      <c r="T108" s="790"/>
    </row>
    <row r="109" spans="2:20" x14ac:dyDescent="0.35">
      <c r="B109" s="128">
        <v>15</v>
      </c>
      <c r="C109" s="129" t="s">
        <v>175</v>
      </c>
      <c r="D109" s="128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</row>
    <row r="110" spans="2:20" x14ac:dyDescent="0.35">
      <c r="B110" s="163"/>
      <c r="C110" s="164" t="s">
        <v>480</v>
      </c>
      <c r="D110" s="163"/>
      <c r="E110" s="133">
        <f>SUM(E95:E108)</f>
        <v>0</v>
      </c>
      <c r="F110" s="133">
        <f>SUM(F95:F108)</f>
        <v>0</v>
      </c>
      <c r="G110" s="133">
        <v>0.95</v>
      </c>
      <c r="H110" s="133">
        <f t="shared" ref="H110:S110" si="34">SUM(H95:H109)</f>
        <v>0.96499999999999997</v>
      </c>
      <c r="I110" s="133">
        <f t="shared" si="34"/>
        <v>0.96499999999999997</v>
      </c>
      <c r="J110" s="133">
        <f t="shared" si="34"/>
        <v>0.96499999999999997</v>
      </c>
      <c r="K110" s="133">
        <f t="shared" si="34"/>
        <v>0.96499999999999997</v>
      </c>
      <c r="L110" s="133">
        <f t="shared" si="34"/>
        <v>0.96499999999999997</v>
      </c>
      <c r="M110" s="133">
        <f t="shared" si="34"/>
        <v>0.96499999999999997</v>
      </c>
      <c r="N110" s="133">
        <f t="shared" si="34"/>
        <v>0.96499999999999997</v>
      </c>
      <c r="O110" s="133">
        <f t="shared" si="34"/>
        <v>0.96499999999999997</v>
      </c>
      <c r="P110" s="133">
        <f t="shared" si="34"/>
        <v>0.96499999999999997</v>
      </c>
      <c r="Q110" s="133">
        <f t="shared" si="34"/>
        <v>0.96499999999999997</v>
      </c>
      <c r="R110" s="133">
        <f t="shared" si="34"/>
        <v>0.96499999999999997</v>
      </c>
      <c r="S110" s="133">
        <f t="shared" si="34"/>
        <v>0.96499999999999997</v>
      </c>
      <c r="T110" s="133"/>
    </row>
    <row r="111" spans="2:20" x14ac:dyDescent="0.35">
      <c r="D111" s="15"/>
      <c r="E111" s="9"/>
      <c r="F111" s="9"/>
      <c r="G111" s="9"/>
      <c r="H111" s="160">
        <f>1-H110-H20</f>
        <v>0</v>
      </c>
      <c r="I111" s="160">
        <f t="shared" ref="I111:S111" si="35">1-I110-I20</f>
        <v>0</v>
      </c>
      <c r="J111" s="160">
        <f t="shared" si="35"/>
        <v>0</v>
      </c>
      <c r="K111" s="160">
        <f t="shared" si="35"/>
        <v>0</v>
      </c>
      <c r="L111" s="160">
        <f t="shared" si="35"/>
        <v>0</v>
      </c>
      <c r="M111" s="160">
        <f t="shared" si="35"/>
        <v>0</v>
      </c>
      <c r="N111" s="160">
        <f t="shared" si="35"/>
        <v>0</v>
      </c>
      <c r="O111" s="160">
        <f t="shared" si="35"/>
        <v>0</v>
      </c>
      <c r="P111" s="160">
        <f t="shared" si="35"/>
        <v>0</v>
      </c>
      <c r="Q111" s="160">
        <f t="shared" si="35"/>
        <v>0</v>
      </c>
      <c r="R111" s="160">
        <f t="shared" si="35"/>
        <v>0</v>
      </c>
      <c r="S111" s="160">
        <f t="shared" si="35"/>
        <v>0</v>
      </c>
    </row>
    <row r="112" spans="2:20" x14ac:dyDescent="0.35">
      <c r="B112" s="519" t="s">
        <v>654</v>
      </c>
      <c r="D112" s="15"/>
    </row>
    <row r="113" spans="2:20" ht="39" x14ac:dyDescent="0.35">
      <c r="B113" s="187" t="s">
        <v>36</v>
      </c>
      <c r="C113" s="187" t="s">
        <v>655</v>
      </c>
      <c r="D113" s="116" t="s">
        <v>257</v>
      </c>
      <c r="E113" s="714" t="s">
        <v>227</v>
      </c>
      <c r="F113" s="714" t="s">
        <v>147</v>
      </c>
      <c r="G113" s="714" t="s">
        <v>148</v>
      </c>
      <c r="H113" s="116" t="s">
        <v>149</v>
      </c>
      <c r="I113" s="116" t="s">
        <v>150</v>
      </c>
      <c r="J113" s="116" t="s">
        <v>151</v>
      </c>
      <c r="K113" s="116" t="s">
        <v>152</v>
      </c>
      <c r="L113" s="116" t="s">
        <v>153</v>
      </c>
      <c r="M113" s="116" t="s">
        <v>154</v>
      </c>
      <c r="N113" s="116" t="s">
        <v>155</v>
      </c>
      <c r="O113" s="116" t="s">
        <v>156</v>
      </c>
      <c r="P113" s="116" t="s">
        <v>157</v>
      </c>
      <c r="Q113" s="116" t="s">
        <v>158</v>
      </c>
      <c r="R113" s="116" t="s">
        <v>159</v>
      </c>
      <c r="S113" s="116" t="s">
        <v>160</v>
      </c>
      <c r="T113" s="116" t="s">
        <v>2147</v>
      </c>
    </row>
    <row r="114" spans="2:20" x14ac:dyDescent="0.35">
      <c r="B114" s="128">
        <v>1</v>
      </c>
      <c r="C114" s="129" t="s">
        <v>530</v>
      </c>
      <c r="D114" s="128"/>
      <c r="E114" s="925"/>
      <c r="F114" s="925"/>
      <c r="G114" s="925"/>
      <c r="H114" s="791"/>
      <c r="I114" s="791"/>
      <c r="J114" s="791"/>
      <c r="K114" s="791"/>
      <c r="L114" s="791"/>
      <c r="M114" s="1378">
        <v>1</v>
      </c>
      <c r="N114" s="1378">
        <v>1</v>
      </c>
      <c r="O114" s="1378">
        <v>1</v>
      </c>
      <c r="P114" s="1378">
        <v>1</v>
      </c>
      <c r="Q114" s="1378">
        <v>1</v>
      </c>
      <c r="R114" s="1378">
        <v>1</v>
      </c>
      <c r="S114" s="1378">
        <v>1</v>
      </c>
      <c r="T114" s="130"/>
    </row>
    <row r="115" spans="2:20" ht="25" x14ac:dyDescent="0.35">
      <c r="B115" s="128">
        <v>2</v>
      </c>
      <c r="C115" s="129" t="s">
        <v>532</v>
      </c>
      <c r="D115" s="128"/>
      <c r="E115" s="925"/>
      <c r="F115" s="925"/>
      <c r="G115" s="925"/>
      <c r="H115" s="791"/>
      <c r="I115" s="791"/>
      <c r="J115" s="791"/>
      <c r="K115" s="791"/>
      <c r="L115" s="791"/>
      <c r="M115" s="791"/>
      <c r="N115" s="791"/>
      <c r="O115" s="791"/>
      <c r="P115" s="791"/>
      <c r="Q115" s="791"/>
      <c r="R115" s="791"/>
      <c r="S115" s="791"/>
      <c r="T115" s="130"/>
    </row>
    <row r="116" spans="2:20" x14ac:dyDescent="0.35">
      <c r="B116" s="128">
        <v>3</v>
      </c>
      <c r="C116" s="129" t="s">
        <v>533</v>
      </c>
      <c r="D116" s="128"/>
      <c r="E116" s="925"/>
      <c r="F116" s="925"/>
      <c r="G116" s="925"/>
      <c r="H116" s="791"/>
      <c r="I116" s="791"/>
      <c r="J116" s="791"/>
      <c r="K116" s="791"/>
      <c r="L116" s="791"/>
      <c r="M116" s="791"/>
      <c r="N116" s="791"/>
      <c r="O116" s="791"/>
      <c r="P116" s="791"/>
      <c r="Q116" s="791"/>
      <c r="R116" s="791"/>
      <c r="S116" s="791"/>
      <c r="T116" s="130"/>
    </row>
    <row r="117" spans="2:20" x14ac:dyDescent="0.35">
      <c r="B117" s="128">
        <v>4</v>
      </c>
      <c r="C117" s="129" t="s">
        <v>534</v>
      </c>
      <c r="D117" s="128"/>
      <c r="E117" s="925"/>
      <c r="F117" s="925"/>
      <c r="G117" s="925"/>
      <c r="H117" s="791"/>
      <c r="I117" s="791"/>
      <c r="J117" s="791"/>
      <c r="K117" s="791"/>
      <c r="L117" s="791"/>
      <c r="M117" s="791"/>
      <c r="N117" s="791"/>
      <c r="O117" s="791"/>
      <c r="P117" s="791"/>
      <c r="Q117" s="791"/>
      <c r="R117" s="791"/>
      <c r="S117" s="791"/>
      <c r="T117" s="130"/>
    </row>
    <row r="118" spans="2:20" x14ac:dyDescent="0.35">
      <c r="B118" s="128">
        <v>5</v>
      </c>
      <c r="C118" s="129" t="s">
        <v>535</v>
      </c>
      <c r="D118" s="128"/>
      <c r="E118" s="925"/>
      <c r="F118" s="925"/>
      <c r="G118" s="925"/>
      <c r="H118" s="791"/>
      <c r="I118" s="791"/>
      <c r="J118" s="791"/>
      <c r="K118" s="791"/>
      <c r="L118" s="791"/>
      <c r="M118" s="791"/>
      <c r="N118" s="791"/>
      <c r="O118" s="791"/>
      <c r="P118" s="791"/>
      <c r="Q118" s="791"/>
      <c r="R118" s="791"/>
      <c r="S118" s="791"/>
      <c r="T118" s="130"/>
    </row>
    <row r="119" spans="2:20" x14ac:dyDescent="0.35">
      <c r="B119" s="128">
        <v>6</v>
      </c>
      <c r="C119" s="129" t="s">
        <v>536</v>
      </c>
      <c r="D119" s="128"/>
      <c r="E119" s="925"/>
      <c r="F119" s="925"/>
      <c r="G119" s="925"/>
      <c r="H119" s="791"/>
      <c r="I119" s="791"/>
      <c r="J119" s="791"/>
      <c r="K119" s="791"/>
      <c r="L119" s="791"/>
      <c r="M119" s="791"/>
      <c r="N119" s="791"/>
      <c r="O119" s="791"/>
      <c r="P119" s="791"/>
      <c r="Q119" s="791"/>
      <c r="R119" s="791"/>
      <c r="S119" s="791"/>
      <c r="T119" s="130"/>
    </row>
    <row r="120" spans="2:20" x14ac:dyDescent="0.35">
      <c r="B120" s="128">
        <v>7</v>
      </c>
      <c r="C120" s="129" t="s">
        <v>537</v>
      </c>
      <c r="D120" s="128"/>
      <c r="E120" s="925"/>
      <c r="F120" s="925"/>
      <c r="G120" s="925"/>
      <c r="H120" s="791"/>
      <c r="I120" s="791"/>
      <c r="J120" s="791"/>
      <c r="K120" s="791"/>
      <c r="L120" s="791"/>
      <c r="M120" s="791"/>
      <c r="N120" s="791"/>
      <c r="O120" s="791"/>
      <c r="P120" s="791"/>
      <c r="Q120" s="791"/>
      <c r="R120" s="791"/>
      <c r="S120" s="791"/>
      <c r="T120" s="130"/>
    </row>
    <row r="121" spans="2:20" x14ac:dyDescent="0.35">
      <c r="B121" s="128">
        <v>8</v>
      </c>
      <c r="C121" s="129" t="s">
        <v>538</v>
      </c>
      <c r="D121" s="128"/>
      <c r="E121" s="925"/>
      <c r="F121" s="925"/>
      <c r="G121" s="925"/>
      <c r="H121" s="791"/>
      <c r="I121" s="791"/>
      <c r="J121" s="791"/>
      <c r="K121" s="791"/>
      <c r="L121" s="791"/>
      <c r="M121" s="791"/>
      <c r="N121" s="791"/>
      <c r="O121" s="791"/>
      <c r="P121" s="791"/>
      <c r="Q121" s="791"/>
      <c r="R121" s="791"/>
      <c r="S121" s="791"/>
      <c r="T121" s="130"/>
    </row>
    <row r="122" spans="2:20" x14ac:dyDescent="0.35">
      <c r="B122" s="128">
        <v>9</v>
      </c>
      <c r="C122" s="129" t="s">
        <v>539</v>
      </c>
      <c r="D122" s="128"/>
      <c r="E122" s="925"/>
      <c r="F122" s="925"/>
      <c r="G122" s="925"/>
      <c r="H122" s="791"/>
      <c r="I122" s="791"/>
      <c r="J122" s="791"/>
      <c r="K122" s="791"/>
      <c r="L122" s="791"/>
      <c r="M122" s="791"/>
      <c r="N122" s="791"/>
      <c r="O122" s="791"/>
      <c r="P122" s="791"/>
      <c r="Q122" s="791"/>
      <c r="R122" s="791"/>
      <c r="S122" s="791"/>
      <c r="T122" s="130"/>
    </row>
    <row r="123" spans="2:20" x14ac:dyDescent="0.35">
      <c r="B123" s="128">
        <v>10</v>
      </c>
      <c r="C123" s="129" t="s">
        <v>540</v>
      </c>
      <c r="D123" s="128"/>
      <c r="E123" s="925"/>
      <c r="F123" s="925"/>
      <c r="G123" s="925"/>
      <c r="H123" s="791">
        <v>1</v>
      </c>
      <c r="I123" s="791">
        <v>1</v>
      </c>
      <c r="J123" s="791">
        <v>1</v>
      </c>
      <c r="K123" s="791">
        <v>1</v>
      </c>
      <c r="L123" s="791">
        <v>1</v>
      </c>
      <c r="M123" s="791">
        <v>1</v>
      </c>
      <c r="N123" s="791">
        <v>1</v>
      </c>
      <c r="O123" s="791">
        <v>1</v>
      </c>
      <c r="P123" s="791">
        <v>1</v>
      </c>
      <c r="Q123" s="791">
        <v>1</v>
      </c>
      <c r="R123" s="791">
        <v>1</v>
      </c>
      <c r="S123" s="791">
        <v>1</v>
      </c>
      <c r="T123" s="130"/>
    </row>
    <row r="124" spans="2:20" x14ac:dyDescent="0.35">
      <c r="B124" s="128">
        <v>11</v>
      </c>
      <c r="C124" s="129" t="s">
        <v>541</v>
      </c>
      <c r="D124" s="128"/>
      <c r="E124" s="925"/>
      <c r="F124" s="925"/>
      <c r="G124" s="925"/>
      <c r="H124" s="791"/>
      <c r="I124" s="791"/>
      <c r="J124" s="791"/>
      <c r="K124" s="791"/>
      <c r="L124" s="791"/>
      <c r="M124" s="791"/>
      <c r="N124" s="791"/>
      <c r="O124" s="791"/>
      <c r="P124" s="791"/>
      <c r="Q124" s="791"/>
      <c r="R124" s="791"/>
      <c r="S124" s="791"/>
      <c r="T124" s="130"/>
    </row>
    <row r="125" spans="2:20" x14ac:dyDescent="0.35">
      <c r="B125" s="128">
        <v>12</v>
      </c>
      <c r="C125" s="129" t="s">
        <v>542</v>
      </c>
      <c r="D125" s="128"/>
      <c r="E125" s="925"/>
      <c r="F125" s="925"/>
      <c r="G125" s="925"/>
      <c r="H125" s="791"/>
      <c r="I125" s="791"/>
      <c r="J125" s="791"/>
      <c r="K125" s="791"/>
      <c r="L125" s="791"/>
      <c r="M125" s="791"/>
      <c r="N125" s="791"/>
      <c r="O125" s="791"/>
      <c r="P125" s="791"/>
      <c r="Q125" s="791"/>
      <c r="R125" s="791"/>
      <c r="S125" s="791"/>
      <c r="T125" s="130"/>
    </row>
    <row r="126" spans="2:20" x14ac:dyDescent="0.35">
      <c r="B126" s="128">
        <v>13</v>
      </c>
      <c r="C126" s="927" t="s">
        <v>543</v>
      </c>
      <c r="D126" s="260"/>
      <c r="E126" s="925"/>
      <c r="F126" s="925"/>
      <c r="G126" s="925"/>
      <c r="H126" s="791"/>
      <c r="I126" s="791"/>
      <c r="J126" s="791"/>
      <c r="K126" s="791"/>
      <c r="L126" s="791"/>
      <c r="M126" s="791"/>
      <c r="N126" s="791"/>
      <c r="O126" s="791"/>
      <c r="P126" s="791"/>
      <c r="Q126" s="791"/>
      <c r="R126" s="791"/>
      <c r="S126" s="791"/>
      <c r="T126" s="789"/>
    </row>
    <row r="127" spans="2:20" ht="25" x14ac:dyDescent="0.35">
      <c r="B127" s="128">
        <v>14</v>
      </c>
      <c r="C127" s="129" t="s">
        <v>544</v>
      </c>
      <c r="D127" s="128"/>
      <c r="E127" s="925"/>
      <c r="F127" s="925"/>
      <c r="G127" s="925"/>
      <c r="H127" s="791"/>
      <c r="I127" s="791"/>
      <c r="J127" s="791"/>
      <c r="K127" s="791"/>
      <c r="L127" s="791"/>
      <c r="M127" s="791"/>
      <c r="N127" s="791"/>
      <c r="O127" s="791"/>
      <c r="P127" s="791"/>
      <c r="Q127" s="791"/>
      <c r="R127" s="791"/>
      <c r="S127" s="791"/>
      <c r="T127" s="790"/>
    </row>
    <row r="128" spans="2:20" x14ac:dyDescent="0.35">
      <c r="B128" s="128">
        <v>15</v>
      </c>
      <c r="C128" s="129" t="s">
        <v>175</v>
      </c>
      <c r="D128" s="128"/>
      <c r="E128" s="925"/>
      <c r="F128" s="925"/>
      <c r="G128" s="925"/>
      <c r="H128" s="791"/>
      <c r="I128" s="791"/>
      <c r="J128" s="791"/>
      <c r="K128" s="791"/>
      <c r="L128" s="791"/>
      <c r="M128" s="791"/>
      <c r="N128" s="791"/>
      <c r="O128" s="791"/>
      <c r="P128" s="791"/>
      <c r="Q128" s="791"/>
      <c r="R128" s="791"/>
      <c r="S128" s="791"/>
      <c r="T128" s="130"/>
    </row>
    <row r="129" spans="2:20" x14ac:dyDescent="0.35">
      <c r="B129" s="163"/>
      <c r="C129" s="164" t="s">
        <v>480</v>
      </c>
      <c r="D129" s="163"/>
      <c r="E129" s="165"/>
      <c r="F129" s="165"/>
      <c r="G129" s="165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</row>
    <row r="131" spans="2:20" x14ac:dyDescent="0.35">
      <c r="B131" s="85" t="s">
        <v>656</v>
      </c>
      <c r="D131" s="15"/>
    </row>
    <row r="132" spans="2:20" ht="39" x14ac:dyDescent="0.35">
      <c r="B132" s="187" t="s">
        <v>36</v>
      </c>
      <c r="C132" s="187" t="s">
        <v>655</v>
      </c>
      <c r="D132" s="116" t="s">
        <v>257</v>
      </c>
      <c r="E132" s="714" t="s">
        <v>227</v>
      </c>
      <c r="F132" s="714" t="s">
        <v>147</v>
      </c>
      <c r="G132" s="714" t="s">
        <v>148</v>
      </c>
      <c r="H132" s="116" t="s">
        <v>149</v>
      </c>
      <c r="I132" s="116" t="s">
        <v>150</v>
      </c>
      <c r="J132" s="116" t="s">
        <v>151</v>
      </c>
      <c r="K132" s="116" t="s">
        <v>152</v>
      </c>
      <c r="L132" s="116" t="s">
        <v>153</v>
      </c>
      <c r="M132" s="116" t="s">
        <v>154</v>
      </c>
      <c r="N132" s="116" t="s">
        <v>155</v>
      </c>
      <c r="O132" s="116" t="s">
        <v>156</v>
      </c>
      <c r="P132" s="116" t="s">
        <v>157</v>
      </c>
      <c r="Q132" s="116" t="s">
        <v>158</v>
      </c>
      <c r="R132" s="116" t="s">
        <v>159</v>
      </c>
      <c r="S132" s="116" t="s">
        <v>160</v>
      </c>
      <c r="T132" s="116" t="s">
        <v>2147</v>
      </c>
    </row>
    <row r="133" spans="2:20" x14ac:dyDescent="0.35">
      <c r="B133" s="128">
        <v>1</v>
      </c>
      <c r="C133" s="1358" t="s">
        <v>530</v>
      </c>
      <c r="D133" s="128"/>
      <c r="E133" s="925"/>
      <c r="F133" s="925"/>
      <c r="G133" s="925"/>
      <c r="H133" s="1309">
        <f>H$27</f>
        <v>0.06</v>
      </c>
      <c r="I133" s="1309">
        <f t="shared" ref="I133:S135" si="36">I$27</f>
        <v>0.06</v>
      </c>
      <c r="J133" s="1309">
        <f t="shared" si="36"/>
        <v>0.06</v>
      </c>
      <c r="K133" s="1309">
        <f t="shared" si="36"/>
        <v>0.06</v>
      </c>
      <c r="L133" s="1309">
        <f t="shared" si="36"/>
        <v>0.06</v>
      </c>
      <c r="M133" s="1359">
        <f t="shared" si="36"/>
        <v>0.06</v>
      </c>
      <c r="N133" s="1309">
        <f t="shared" si="36"/>
        <v>0.06</v>
      </c>
      <c r="O133" s="1309">
        <f t="shared" si="36"/>
        <v>0.06</v>
      </c>
      <c r="P133" s="1309">
        <f t="shared" si="36"/>
        <v>0.06</v>
      </c>
      <c r="Q133" s="1309">
        <f t="shared" si="36"/>
        <v>0.06</v>
      </c>
      <c r="R133" s="1309">
        <f t="shared" si="36"/>
        <v>0.06</v>
      </c>
      <c r="S133" s="1309">
        <f t="shared" si="36"/>
        <v>0.06</v>
      </c>
      <c r="T133" s="130"/>
    </row>
    <row r="134" spans="2:20" ht="25" x14ac:dyDescent="0.35">
      <c r="B134" s="128">
        <v>2</v>
      </c>
      <c r="C134" s="129" t="s">
        <v>532</v>
      </c>
      <c r="D134" s="128"/>
      <c r="E134" s="925"/>
      <c r="F134" s="925"/>
      <c r="G134" s="925"/>
      <c r="H134" s="791">
        <f t="shared" ref="H134:H135" si="37">H$27</f>
        <v>0.06</v>
      </c>
      <c r="I134" s="791">
        <f t="shared" si="36"/>
        <v>0.06</v>
      </c>
      <c r="J134" s="791">
        <f t="shared" si="36"/>
        <v>0.06</v>
      </c>
      <c r="K134" s="791">
        <f t="shared" si="36"/>
        <v>0.06</v>
      </c>
      <c r="L134" s="791">
        <f t="shared" si="36"/>
        <v>0.06</v>
      </c>
      <c r="M134" s="791">
        <f t="shared" si="36"/>
        <v>0.06</v>
      </c>
      <c r="N134" s="791">
        <f t="shared" si="36"/>
        <v>0.06</v>
      </c>
      <c r="O134" s="791">
        <f t="shared" si="36"/>
        <v>0.06</v>
      </c>
      <c r="P134" s="791">
        <f t="shared" si="36"/>
        <v>0.06</v>
      </c>
      <c r="Q134" s="791">
        <f t="shared" si="36"/>
        <v>0.06</v>
      </c>
      <c r="R134" s="791">
        <f t="shared" si="36"/>
        <v>0.06</v>
      </c>
      <c r="S134" s="791">
        <f t="shared" si="36"/>
        <v>0.06</v>
      </c>
      <c r="T134" s="130"/>
    </row>
    <row r="135" spans="2:20" x14ac:dyDescent="0.35">
      <c r="B135" s="128">
        <v>3</v>
      </c>
      <c r="C135" s="129" t="s">
        <v>533</v>
      </c>
      <c r="D135" s="128"/>
      <c r="E135" s="925"/>
      <c r="F135" s="925"/>
      <c r="G135" s="925"/>
      <c r="H135" s="791">
        <f t="shared" si="37"/>
        <v>0.06</v>
      </c>
      <c r="I135" s="791">
        <f t="shared" si="36"/>
        <v>0.06</v>
      </c>
      <c r="J135" s="791">
        <f t="shared" si="36"/>
        <v>0.06</v>
      </c>
      <c r="K135" s="791">
        <f t="shared" si="36"/>
        <v>0.06</v>
      </c>
      <c r="L135" s="791">
        <f t="shared" si="36"/>
        <v>0.06</v>
      </c>
      <c r="M135" s="791">
        <f t="shared" si="36"/>
        <v>0.06</v>
      </c>
      <c r="N135" s="791">
        <f t="shared" si="36"/>
        <v>0.06</v>
      </c>
      <c r="O135" s="791">
        <f t="shared" si="36"/>
        <v>0.06</v>
      </c>
      <c r="P135" s="791">
        <f t="shared" si="36"/>
        <v>0.06</v>
      </c>
      <c r="Q135" s="791">
        <f t="shared" si="36"/>
        <v>0.06</v>
      </c>
      <c r="R135" s="791">
        <f t="shared" si="36"/>
        <v>0.06</v>
      </c>
      <c r="S135" s="791">
        <f t="shared" si="36"/>
        <v>0.06</v>
      </c>
      <c r="T135" s="130"/>
    </row>
    <row r="136" spans="2:20" x14ac:dyDescent="0.35">
      <c r="B136" s="128">
        <v>4</v>
      </c>
      <c r="C136" s="129" t="s">
        <v>534</v>
      </c>
      <c r="D136" s="128"/>
      <c r="E136" s="925"/>
      <c r="F136" s="925"/>
      <c r="G136" s="925"/>
      <c r="H136" s="791">
        <f>H$36</f>
        <v>0.03</v>
      </c>
      <c r="I136" s="791">
        <f t="shared" ref="I136:S140" si="38">I$36</f>
        <v>0.03</v>
      </c>
      <c r="J136" s="791">
        <f t="shared" si="38"/>
        <v>0.03</v>
      </c>
      <c r="K136" s="791">
        <f t="shared" si="38"/>
        <v>0.03</v>
      </c>
      <c r="L136" s="791">
        <f t="shared" si="38"/>
        <v>0.03</v>
      </c>
      <c r="M136" s="791">
        <f t="shared" si="38"/>
        <v>0.03</v>
      </c>
      <c r="N136" s="791">
        <f t="shared" si="38"/>
        <v>0.03</v>
      </c>
      <c r="O136" s="791">
        <f t="shared" si="38"/>
        <v>0.03</v>
      </c>
      <c r="P136" s="791">
        <f t="shared" si="38"/>
        <v>0.03</v>
      </c>
      <c r="Q136" s="791">
        <f t="shared" si="38"/>
        <v>0.03</v>
      </c>
      <c r="R136" s="791">
        <f t="shared" si="38"/>
        <v>0.03</v>
      </c>
      <c r="S136" s="791">
        <f t="shared" si="38"/>
        <v>0.03</v>
      </c>
      <c r="T136" s="130"/>
    </row>
    <row r="137" spans="2:20" x14ac:dyDescent="0.35">
      <c r="B137" s="128">
        <v>5</v>
      </c>
      <c r="C137" s="129" t="s">
        <v>535</v>
      </c>
      <c r="D137" s="128"/>
      <c r="E137" s="925"/>
      <c r="F137" s="925"/>
      <c r="G137" s="925"/>
      <c r="H137" s="791">
        <f t="shared" ref="H137" si="39">H$36</f>
        <v>0.03</v>
      </c>
      <c r="I137" s="791">
        <f t="shared" si="38"/>
        <v>0.03</v>
      </c>
      <c r="J137" s="791">
        <f t="shared" si="38"/>
        <v>0.03</v>
      </c>
      <c r="K137" s="791">
        <f t="shared" si="38"/>
        <v>0.03</v>
      </c>
      <c r="L137" s="791">
        <f t="shared" si="38"/>
        <v>0.03</v>
      </c>
      <c r="M137" s="791">
        <f t="shared" si="38"/>
        <v>0.03</v>
      </c>
      <c r="N137" s="791">
        <f t="shared" si="38"/>
        <v>0.03</v>
      </c>
      <c r="O137" s="791">
        <f t="shared" si="38"/>
        <v>0.03</v>
      </c>
      <c r="P137" s="791">
        <f t="shared" si="38"/>
        <v>0.03</v>
      </c>
      <c r="Q137" s="791">
        <f t="shared" si="38"/>
        <v>0.03</v>
      </c>
      <c r="R137" s="791">
        <f t="shared" si="38"/>
        <v>0.03</v>
      </c>
      <c r="S137" s="791">
        <f t="shared" si="38"/>
        <v>0.03</v>
      </c>
      <c r="T137" s="130"/>
    </row>
    <row r="138" spans="2:20" x14ac:dyDescent="0.35">
      <c r="B138" s="128">
        <v>6</v>
      </c>
      <c r="C138" s="129" t="s">
        <v>536</v>
      </c>
      <c r="D138" s="128"/>
      <c r="E138" s="925"/>
      <c r="F138" s="925"/>
      <c r="G138" s="925"/>
      <c r="H138" s="791">
        <f>H$27</f>
        <v>0.06</v>
      </c>
      <c r="I138" s="791">
        <f t="shared" ref="I138:S138" si="40">I$27</f>
        <v>0.06</v>
      </c>
      <c r="J138" s="791">
        <f t="shared" si="40"/>
        <v>0.06</v>
      </c>
      <c r="K138" s="791">
        <f t="shared" si="40"/>
        <v>0.06</v>
      </c>
      <c r="L138" s="791">
        <f t="shared" si="40"/>
        <v>0.06</v>
      </c>
      <c r="M138" s="791">
        <f t="shared" si="40"/>
        <v>0.06</v>
      </c>
      <c r="N138" s="791">
        <f t="shared" si="40"/>
        <v>0.06</v>
      </c>
      <c r="O138" s="791">
        <f t="shared" si="40"/>
        <v>0.06</v>
      </c>
      <c r="P138" s="791">
        <f t="shared" si="40"/>
        <v>0.06</v>
      </c>
      <c r="Q138" s="791">
        <f t="shared" si="40"/>
        <v>0.06</v>
      </c>
      <c r="R138" s="791">
        <f t="shared" si="40"/>
        <v>0.06</v>
      </c>
      <c r="S138" s="791">
        <f t="shared" si="40"/>
        <v>0.06</v>
      </c>
      <c r="T138" s="130"/>
    </row>
    <row r="139" spans="2:20" x14ac:dyDescent="0.35">
      <c r="B139" s="128">
        <v>7</v>
      </c>
      <c r="C139" s="129" t="s">
        <v>537</v>
      </c>
      <c r="D139" s="128"/>
      <c r="E139" s="925"/>
      <c r="F139" s="925"/>
      <c r="G139" s="925"/>
      <c r="H139" s="791">
        <f t="shared" ref="H139:H140" si="41">H$36</f>
        <v>0.03</v>
      </c>
      <c r="I139" s="791">
        <f t="shared" si="38"/>
        <v>0.03</v>
      </c>
      <c r="J139" s="791">
        <f t="shared" si="38"/>
        <v>0.03</v>
      </c>
      <c r="K139" s="791">
        <f t="shared" si="38"/>
        <v>0.03</v>
      </c>
      <c r="L139" s="791">
        <f t="shared" si="38"/>
        <v>0.03</v>
      </c>
      <c r="M139" s="791">
        <f t="shared" si="38"/>
        <v>0.03</v>
      </c>
      <c r="N139" s="791">
        <f t="shared" si="38"/>
        <v>0.03</v>
      </c>
      <c r="O139" s="791">
        <f t="shared" si="38"/>
        <v>0.03</v>
      </c>
      <c r="P139" s="791">
        <f t="shared" si="38"/>
        <v>0.03</v>
      </c>
      <c r="Q139" s="791">
        <f t="shared" si="38"/>
        <v>0.03</v>
      </c>
      <c r="R139" s="791">
        <f t="shared" si="38"/>
        <v>0.03</v>
      </c>
      <c r="S139" s="791">
        <f t="shared" si="38"/>
        <v>0.03</v>
      </c>
      <c r="T139" s="130"/>
    </row>
    <row r="140" spans="2:20" x14ac:dyDescent="0.35">
      <c r="B140" s="128">
        <v>8</v>
      </c>
      <c r="C140" s="129" t="s">
        <v>538</v>
      </c>
      <c r="D140" s="128"/>
      <c r="E140" s="925"/>
      <c r="F140" s="925"/>
      <c r="G140" s="925"/>
      <c r="H140" s="791">
        <f t="shared" si="41"/>
        <v>0.03</v>
      </c>
      <c r="I140" s="791">
        <f t="shared" si="38"/>
        <v>0.03</v>
      </c>
      <c r="J140" s="791">
        <f t="shared" si="38"/>
        <v>0.03</v>
      </c>
      <c r="K140" s="791">
        <f t="shared" si="38"/>
        <v>0.03</v>
      </c>
      <c r="L140" s="791">
        <f t="shared" si="38"/>
        <v>0.03</v>
      </c>
      <c r="M140" s="791">
        <f t="shared" si="38"/>
        <v>0.03</v>
      </c>
      <c r="N140" s="791">
        <f t="shared" si="38"/>
        <v>0.03</v>
      </c>
      <c r="O140" s="791">
        <f t="shared" si="38"/>
        <v>0.03</v>
      </c>
      <c r="P140" s="791">
        <f t="shared" si="38"/>
        <v>0.03</v>
      </c>
      <c r="Q140" s="791">
        <f t="shared" si="38"/>
        <v>0.03</v>
      </c>
      <c r="R140" s="791">
        <f t="shared" si="38"/>
        <v>0.03</v>
      </c>
      <c r="S140" s="791">
        <f t="shared" si="38"/>
        <v>0.03</v>
      </c>
      <c r="T140" s="130"/>
    </row>
    <row r="141" spans="2:20" x14ac:dyDescent="0.35">
      <c r="B141" s="128">
        <v>9</v>
      </c>
      <c r="C141" s="129" t="s">
        <v>539</v>
      </c>
      <c r="D141" s="128"/>
      <c r="E141" s="925"/>
      <c r="F141" s="925"/>
      <c r="G141" s="925"/>
      <c r="H141" s="791">
        <f>H$43</f>
        <v>0.1</v>
      </c>
      <c r="I141" s="791">
        <f t="shared" ref="I141:S144" si="42">I$43</f>
        <v>0.1</v>
      </c>
      <c r="J141" s="791">
        <f t="shared" si="42"/>
        <v>0.1</v>
      </c>
      <c r="K141" s="791">
        <f t="shared" si="42"/>
        <v>0.1</v>
      </c>
      <c r="L141" s="791">
        <f t="shared" si="42"/>
        <v>0.1</v>
      </c>
      <c r="M141" s="791">
        <f t="shared" si="42"/>
        <v>0.1</v>
      </c>
      <c r="N141" s="791">
        <f t="shared" si="42"/>
        <v>0.1</v>
      </c>
      <c r="O141" s="791">
        <f t="shared" si="42"/>
        <v>0.1</v>
      </c>
      <c r="P141" s="791">
        <f t="shared" si="42"/>
        <v>0.1</v>
      </c>
      <c r="Q141" s="791">
        <f t="shared" si="42"/>
        <v>0.1</v>
      </c>
      <c r="R141" s="791">
        <f t="shared" si="42"/>
        <v>0.1</v>
      </c>
      <c r="S141" s="791">
        <f t="shared" si="42"/>
        <v>0.1</v>
      </c>
      <c r="T141" s="130"/>
    </row>
    <row r="142" spans="2:20" x14ac:dyDescent="0.35">
      <c r="B142" s="128">
        <v>10</v>
      </c>
      <c r="C142" s="1358" t="s">
        <v>540</v>
      </c>
      <c r="D142" s="128"/>
      <c r="E142" s="925"/>
      <c r="F142" s="925"/>
      <c r="G142" s="925"/>
      <c r="H142" s="1309">
        <f t="shared" ref="H142:H144" si="43">H$43</f>
        <v>0.1</v>
      </c>
      <c r="I142" s="1309">
        <f t="shared" si="42"/>
        <v>0.1</v>
      </c>
      <c r="J142" s="1309">
        <f t="shared" si="42"/>
        <v>0.1</v>
      </c>
      <c r="K142" s="1309">
        <f t="shared" si="42"/>
        <v>0.1</v>
      </c>
      <c r="L142" s="1309">
        <f t="shared" si="42"/>
        <v>0.1</v>
      </c>
      <c r="M142" s="1359">
        <f t="shared" si="42"/>
        <v>0.1</v>
      </c>
      <c r="N142" s="1309">
        <f t="shared" si="42"/>
        <v>0.1</v>
      </c>
      <c r="O142" s="1309">
        <f t="shared" si="42"/>
        <v>0.1</v>
      </c>
      <c r="P142" s="1309">
        <f t="shared" si="42"/>
        <v>0.1</v>
      </c>
      <c r="Q142" s="1309">
        <f t="shared" si="42"/>
        <v>0.1</v>
      </c>
      <c r="R142" s="1309">
        <f t="shared" si="42"/>
        <v>0.1</v>
      </c>
      <c r="S142" s="1309">
        <f t="shared" si="42"/>
        <v>0.1</v>
      </c>
      <c r="T142" s="130"/>
    </row>
    <row r="143" spans="2:20" x14ac:dyDescent="0.35">
      <c r="B143" s="128">
        <v>11</v>
      </c>
      <c r="C143" s="129" t="s">
        <v>541</v>
      </c>
      <c r="D143" s="128"/>
      <c r="E143" s="925"/>
      <c r="F143" s="925"/>
      <c r="G143" s="925"/>
      <c r="H143" s="791">
        <f t="shared" si="43"/>
        <v>0.1</v>
      </c>
      <c r="I143" s="791">
        <f t="shared" si="42"/>
        <v>0.1</v>
      </c>
      <c r="J143" s="791">
        <f t="shared" si="42"/>
        <v>0.1</v>
      </c>
      <c r="K143" s="791">
        <f t="shared" si="42"/>
        <v>0.1</v>
      </c>
      <c r="L143" s="791">
        <f t="shared" si="42"/>
        <v>0.1</v>
      </c>
      <c r="M143" s="791">
        <f t="shared" si="42"/>
        <v>0.1</v>
      </c>
      <c r="N143" s="791">
        <f t="shared" si="42"/>
        <v>0.1</v>
      </c>
      <c r="O143" s="791">
        <f t="shared" si="42"/>
        <v>0.1</v>
      </c>
      <c r="P143" s="791">
        <f t="shared" si="42"/>
        <v>0.1</v>
      </c>
      <c r="Q143" s="791">
        <f t="shared" si="42"/>
        <v>0.1</v>
      </c>
      <c r="R143" s="791">
        <f t="shared" si="42"/>
        <v>0.1</v>
      </c>
      <c r="S143" s="791">
        <f t="shared" si="42"/>
        <v>0.1</v>
      </c>
      <c r="T143" s="130"/>
    </row>
    <row r="144" spans="2:20" x14ac:dyDescent="0.35">
      <c r="B144" s="128">
        <v>12</v>
      </c>
      <c r="C144" s="129" t="s">
        <v>542</v>
      </c>
      <c r="D144" s="128"/>
      <c r="E144" s="925"/>
      <c r="F144" s="925"/>
      <c r="G144" s="925"/>
      <c r="H144" s="791">
        <f t="shared" si="43"/>
        <v>0.1</v>
      </c>
      <c r="I144" s="791">
        <f t="shared" si="42"/>
        <v>0.1</v>
      </c>
      <c r="J144" s="791">
        <f t="shared" si="42"/>
        <v>0.1</v>
      </c>
      <c r="K144" s="791">
        <f t="shared" si="42"/>
        <v>0.1</v>
      </c>
      <c r="L144" s="791">
        <f t="shared" si="42"/>
        <v>0.1</v>
      </c>
      <c r="M144" s="791">
        <f t="shared" si="42"/>
        <v>0.1</v>
      </c>
      <c r="N144" s="791">
        <f t="shared" si="42"/>
        <v>0.1</v>
      </c>
      <c r="O144" s="791">
        <f t="shared" si="42"/>
        <v>0.1</v>
      </c>
      <c r="P144" s="791">
        <f t="shared" si="42"/>
        <v>0.1</v>
      </c>
      <c r="Q144" s="791">
        <f t="shared" si="42"/>
        <v>0.1</v>
      </c>
      <c r="R144" s="791">
        <f t="shared" si="42"/>
        <v>0.1</v>
      </c>
      <c r="S144" s="791">
        <f t="shared" si="42"/>
        <v>0.1</v>
      </c>
      <c r="T144" s="130"/>
    </row>
    <row r="145" spans="2:20" x14ac:dyDescent="0.35">
      <c r="B145" s="128">
        <v>13</v>
      </c>
      <c r="C145" s="927" t="s">
        <v>543</v>
      </c>
      <c r="D145" s="260"/>
      <c r="E145" s="925"/>
      <c r="F145" s="925"/>
      <c r="G145" s="925"/>
      <c r="H145" s="791">
        <v>0.02</v>
      </c>
      <c r="I145" s="791">
        <v>0.02</v>
      </c>
      <c r="J145" s="791">
        <v>0.02</v>
      </c>
      <c r="K145" s="791">
        <v>0.02</v>
      </c>
      <c r="L145" s="791">
        <v>0.02</v>
      </c>
      <c r="M145" s="791">
        <v>0.02</v>
      </c>
      <c r="N145" s="791">
        <v>0.02</v>
      </c>
      <c r="O145" s="791">
        <v>0.02</v>
      </c>
      <c r="P145" s="791">
        <v>0.02</v>
      </c>
      <c r="Q145" s="791">
        <v>0.02</v>
      </c>
      <c r="R145" s="791">
        <v>0.02</v>
      </c>
      <c r="S145" s="791">
        <v>0.02</v>
      </c>
      <c r="T145" s="789"/>
    </row>
    <row r="146" spans="2:20" ht="25" x14ac:dyDescent="0.35">
      <c r="B146" s="128">
        <v>14</v>
      </c>
      <c r="C146" s="129" t="s">
        <v>544</v>
      </c>
      <c r="D146" s="128"/>
      <c r="E146" s="925"/>
      <c r="F146" s="925"/>
      <c r="G146" s="925"/>
      <c r="H146" s="791">
        <v>0.02</v>
      </c>
      <c r="I146" s="791">
        <v>0.02</v>
      </c>
      <c r="J146" s="791">
        <v>0.02</v>
      </c>
      <c r="K146" s="791">
        <v>0.02</v>
      </c>
      <c r="L146" s="791">
        <v>0.02</v>
      </c>
      <c r="M146" s="791">
        <v>0.02</v>
      </c>
      <c r="N146" s="791">
        <v>0.02</v>
      </c>
      <c r="O146" s="791">
        <v>0.02</v>
      </c>
      <c r="P146" s="791">
        <v>0.02</v>
      </c>
      <c r="Q146" s="791">
        <v>0.02</v>
      </c>
      <c r="R146" s="791">
        <v>0.02</v>
      </c>
      <c r="S146" s="791">
        <v>0.02</v>
      </c>
      <c r="T146" s="790"/>
    </row>
    <row r="147" spans="2:20" x14ac:dyDescent="0.35">
      <c r="B147" s="128">
        <v>15</v>
      </c>
      <c r="C147" s="129" t="s">
        <v>175</v>
      </c>
      <c r="D147" s="128"/>
      <c r="E147" s="925"/>
      <c r="F147" s="925"/>
      <c r="G147" s="925"/>
      <c r="H147" s="791"/>
      <c r="I147" s="791"/>
      <c r="J147" s="791"/>
      <c r="K147" s="791"/>
      <c r="L147" s="791"/>
      <c r="M147" s="791"/>
      <c r="N147" s="791"/>
      <c r="O147" s="791"/>
      <c r="P147" s="791"/>
      <c r="Q147" s="791"/>
      <c r="R147" s="791"/>
      <c r="S147" s="791"/>
      <c r="T147" s="130"/>
    </row>
    <row r="148" spans="2:20" x14ac:dyDescent="0.35">
      <c r="B148" s="163"/>
      <c r="C148" s="164" t="s">
        <v>480</v>
      </c>
      <c r="D148" s="163"/>
      <c r="E148" s="165"/>
      <c r="F148" s="165"/>
      <c r="G148" s="165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</row>
    <row r="150" spans="2:20" x14ac:dyDescent="0.35">
      <c r="B150" s="519" t="s">
        <v>2162</v>
      </c>
      <c r="D150" s="15"/>
    </row>
    <row r="151" spans="2:20" ht="39" x14ac:dyDescent="0.35">
      <c r="B151" s="187" t="s">
        <v>36</v>
      </c>
      <c r="C151" s="187" t="s">
        <v>655</v>
      </c>
      <c r="D151" s="116" t="s">
        <v>257</v>
      </c>
      <c r="E151" s="714" t="s">
        <v>227</v>
      </c>
      <c r="F151" s="714" t="s">
        <v>147</v>
      </c>
      <c r="G151" s="714" t="s">
        <v>148</v>
      </c>
      <c r="H151" s="116" t="s">
        <v>149</v>
      </c>
      <c r="I151" s="116" t="s">
        <v>150</v>
      </c>
      <c r="J151" s="116" t="s">
        <v>151</v>
      </c>
      <c r="K151" s="116" t="s">
        <v>152</v>
      </c>
      <c r="L151" s="116" t="s">
        <v>153</v>
      </c>
      <c r="M151" s="116" t="s">
        <v>154</v>
      </c>
      <c r="N151" s="116" t="s">
        <v>155</v>
      </c>
      <c r="O151" s="116" t="s">
        <v>156</v>
      </c>
      <c r="P151" s="116" t="s">
        <v>157</v>
      </c>
      <c r="Q151" s="116" t="s">
        <v>158</v>
      </c>
      <c r="R151" s="116" t="s">
        <v>159</v>
      </c>
      <c r="S151" s="116" t="s">
        <v>160</v>
      </c>
      <c r="T151" s="116" t="s">
        <v>2147</v>
      </c>
    </row>
    <row r="152" spans="2:20" x14ac:dyDescent="0.35">
      <c r="B152" s="128">
        <v>1</v>
      </c>
      <c r="C152" s="129" t="s">
        <v>530</v>
      </c>
      <c r="D152" s="128"/>
      <c r="E152" s="925"/>
      <c r="F152" s="925"/>
      <c r="G152" s="925"/>
      <c r="H152" s="791"/>
      <c r="I152" s="791"/>
      <c r="J152" s="791"/>
      <c r="K152" s="791"/>
      <c r="L152" s="791"/>
      <c r="M152" s="791"/>
      <c r="N152" s="791"/>
      <c r="O152" s="791"/>
      <c r="P152" s="791"/>
      <c r="Q152" s="791"/>
      <c r="R152" s="791"/>
      <c r="S152" s="791"/>
      <c r="T152" s="130"/>
    </row>
    <row r="153" spans="2:20" ht="25" x14ac:dyDescent="0.35">
      <c r="B153" s="128">
        <v>2</v>
      </c>
      <c r="C153" s="129" t="s">
        <v>532</v>
      </c>
      <c r="D153" s="128"/>
      <c r="E153" s="925"/>
      <c r="F153" s="925"/>
      <c r="G153" s="925"/>
      <c r="H153" s="791"/>
      <c r="I153" s="791"/>
      <c r="J153" s="791"/>
      <c r="K153" s="791"/>
      <c r="L153" s="791"/>
      <c r="M153" s="791"/>
      <c r="N153" s="791"/>
      <c r="O153" s="791"/>
      <c r="P153" s="791"/>
      <c r="Q153" s="791"/>
      <c r="R153" s="791"/>
      <c r="S153" s="791"/>
      <c r="T153" s="130"/>
    </row>
    <row r="154" spans="2:20" x14ac:dyDescent="0.35">
      <c r="B154" s="128">
        <v>3</v>
      </c>
      <c r="C154" s="129" t="s">
        <v>533</v>
      </c>
      <c r="D154" s="128"/>
      <c r="E154" s="925"/>
      <c r="F154" s="925"/>
      <c r="G154" s="925"/>
      <c r="H154" s="791"/>
      <c r="I154" s="791"/>
      <c r="J154" s="791"/>
      <c r="K154" s="791"/>
      <c r="L154" s="791"/>
      <c r="M154" s="791"/>
      <c r="N154" s="791"/>
      <c r="O154" s="791"/>
      <c r="P154" s="791"/>
      <c r="Q154" s="791"/>
      <c r="R154" s="791"/>
      <c r="S154" s="791"/>
      <c r="T154" s="130"/>
    </row>
    <row r="155" spans="2:20" x14ac:dyDescent="0.35">
      <c r="B155" s="128">
        <v>4</v>
      </c>
      <c r="C155" s="129" t="s">
        <v>534</v>
      </c>
      <c r="D155" s="128"/>
      <c r="E155" s="925"/>
      <c r="F155" s="925"/>
      <c r="G155" s="925"/>
      <c r="H155" s="791"/>
      <c r="I155" s="791"/>
      <c r="J155" s="791"/>
      <c r="K155" s="791"/>
      <c r="L155" s="791"/>
      <c r="M155" s="791"/>
      <c r="N155" s="791"/>
      <c r="O155" s="791"/>
      <c r="P155" s="791"/>
      <c r="Q155" s="791"/>
      <c r="R155" s="791"/>
      <c r="S155" s="791"/>
      <c r="T155" s="130"/>
    </row>
    <row r="156" spans="2:20" x14ac:dyDescent="0.35">
      <c r="B156" s="128">
        <v>5</v>
      </c>
      <c r="C156" s="129" t="s">
        <v>535</v>
      </c>
      <c r="D156" s="128"/>
      <c r="E156" s="925"/>
      <c r="F156" s="925"/>
      <c r="G156" s="925"/>
      <c r="H156" s="791"/>
      <c r="I156" s="791"/>
      <c r="J156" s="791"/>
      <c r="K156" s="791"/>
      <c r="L156" s="791"/>
      <c r="M156" s="791"/>
      <c r="N156" s="791"/>
      <c r="O156" s="791"/>
      <c r="P156" s="791"/>
      <c r="Q156" s="791"/>
      <c r="R156" s="791"/>
      <c r="S156" s="791"/>
      <c r="T156" s="130"/>
    </row>
    <row r="157" spans="2:20" x14ac:dyDescent="0.35">
      <c r="B157" s="128">
        <v>6</v>
      </c>
      <c r="C157" s="129" t="s">
        <v>536</v>
      </c>
      <c r="D157" s="128"/>
      <c r="E157" s="925"/>
      <c r="F157" s="925"/>
      <c r="G157" s="925"/>
      <c r="H157" s="791"/>
      <c r="I157" s="791"/>
      <c r="J157" s="791"/>
      <c r="K157" s="791"/>
      <c r="L157" s="791"/>
      <c r="M157" s="791"/>
      <c r="N157" s="791"/>
      <c r="O157" s="791"/>
      <c r="P157" s="791"/>
      <c r="Q157" s="791"/>
      <c r="R157" s="791"/>
      <c r="S157" s="791"/>
      <c r="T157" s="130"/>
    </row>
    <row r="158" spans="2:20" x14ac:dyDescent="0.35">
      <c r="B158" s="128">
        <v>7</v>
      </c>
      <c r="C158" s="129" t="s">
        <v>537</v>
      </c>
      <c r="D158" s="128"/>
      <c r="E158" s="925"/>
      <c r="F158" s="925"/>
      <c r="G158" s="925"/>
      <c r="H158" s="791"/>
      <c r="I158" s="791"/>
      <c r="J158" s="791"/>
      <c r="K158" s="791"/>
      <c r="L158" s="791"/>
      <c r="M158" s="791"/>
      <c r="N158" s="791"/>
      <c r="O158" s="791"/>
      <c r="P158" s="791"/>
      <c r="Q158" s="791"/>
      <c r="R158" s="791"/>
      <c r="S158" s="791"/>
      <c r="T158" s="130"/>
    </row>
    <row r="159" spans="2:20" x14ac:dyDescent="0.35">
      <c r="B159" s="128">
        <v>8</v>
      </c>
      <c r="C159" s="129" t="s">
        <v>538</v>
      </c>
      <c r="D159" s="128"/>
      <c r="E159" s="925"/>
      <c r="F159" s="925"/>
      <c r="G159" s="925"/>
      <c r="H159" s="791"/>
      <c r="I159" s="791"/>
      <c r="J159" s="791"/>
      <c r="K159" s="791"/>
      <c r="L159" s="791"/>
      <c r="M159" s="791"/>
      <c r="N159" s="791"/>
      <c r="O159" s="791"/>
      <c r="P159" s="791"/>
      <c r="Q159" s="791"/>
      <c r="R159" s="791"/>
      <c r="S159" s="791"/>
      <c r="T159" s="130"/>
    </row>
    <row r="160" spans="2:20" x14ac:dyDescent="0.35">
      <c r="B160" s="128">
        <v>9</v>
      </c>
      <c r="C160" s="129" t="s">
        <v>539</v>
      </c>
      <c r="D160" s="128"/>
      <c r="E160" s="925"/>
      <c r="F160" s="925"/>
      <c r="G160" s="925"/>
      <c r="H160" s="791"/>
      <c r="I160" s="791"/>
      <c r="J160" s="791"/>
      <c r="K160" s="791"/>
      <c r="L160" s="791"/>
      <c r="M160" s="791"/>
      <c r="N160" s="791"/>
      <c r="O160" s="791"/>
      <c r="P160" s="791"/>
      <c r="Q160" s="791"/>
      <c r="R160" s="791"/>
      <c r="S160" s="791"/>
      <c r="T160" s="130"/>
    </row>
    <row r="161" spans="2:20" x14ac:dyDescent="0.35">
      <c r="B161" s="128">
        <v>10</v>
      </c>
      <c r="C161" s="129" t="s">
        <v>540</v>
      </c>
      <c r="D161" s="128"/>
      <c r="E161" s="925"/>
      <c r="F161" s="925"/>
      <c r="G161" s="925"/>
      <c r="H161" s="791">
        <v>1</v>
      </c>
      <c r="I161" s="791">
        <v>1</v>
      </c>
      <c r="J161" s="791">
        <v>1</v>
      </c>
      <c r="K161" s="791">
        <v>1</v>
      </c>
      <c r="L161" s="791">
        <v>1</v>
      </c>
      <c r="M161" s="791">
        <v>1</v>
      </c>
      <c r="N161" s="791">
        <v>1</v>
      </c>
      <c r="O161" s="791">
        <v>1</v>
      </c>
      <c r="P161" s="791">
        <v>1</v>
      </c>
      <c r="Q161" s="791">
        <v>1</v>
      </c>
      <c r="R161" s="791">
        <v>1</v>
      </c>
      <c r="S161" s="791">
        <v>1</v>
      </c>
      <c r="T161" s="130"/>
    </row>
    <row r="162" spans="2:20" x14ac:dyDescent="0.35">
      <c r="B162" s="128">
        <v>11</v>
      </c>
      <c r="C162" s="129" t="s">
        <v>541</v>
      </c>
      <c r="D162" s="128"/>
      <c r="E162" s="925"/>
      <c r="F162" s="925"/>
      <c r="G162" s="925"/>
      <c r="H162" s="791"/>
      <c r="I162" s="791"/>
      <c r="J162" s="791"/>
      <c r="K162" s="791"/>
      <c r="L162" s="791"/>
      <c r="M162" s="791"/>
      <c r="N162" s="791"/>
      <c r="O162" s="791"/>
      <c r="P162" s="791"/>
      <c r="Q162" s="791"/>
      <c r="R162" s="791"/>
      <c r="S162" s="791"/>
      <c r="T162" s="130"/>
    </row>
    <row r="163" spans="2:20" x14ac:dyDescent="0.35">
      <c r="B163" s="128">
        <v>12</v>
      </c>
      <c r="C163" s="129" t="s">
        <v>542</v>
      </c>
      <c r="D163" s="128"/>
      <c r="E163" s="925"/>
      <c r="F163" s="925"/>
      <c r="G163" s="925"/>
      <c r="H163" s="791"/>
      <c r="I163" s="791"/>
      <c r="J163" s="791"/>
      <c r="K163" s="791"/>
      <c r="L163" s="791"/>
      <c r="M163" s="791"/>
      <c r="N163" s="791"/>
      <c r="O163" s="791"/>
      <c r="P163" s="791"/>
      <c r="Q163" s="791"/>
      <c r="R163" s="791"/>
      <c r="S163" s="791"/>
      <c r="T163" s="130"/>
    </row>
    <row r="164" spans="2:20" x14ac:dyDescent="0.35">
      <c r="B164" s="128">
        <v>13</v>
      </c>
      <c r="C164" s="927" t="s">
        <v>543</v>
      </c>
      <c r="D164" s="260"/>
      <c r="E164" s="925"/>
      <c r="F164" s="925"/>
      <c r="G164" s="925"/>
      <c r="H164" s="791"/>
      <c r="I164" s="791"/>
      <c r="J164" s="791"/>
      <c r="K164" s="791"/>
      <c r="L164" s="791"/>
      <c r="M164" s="791"/>
      <c r="N164" s="791"/>
      <c r="O164" s="791"/>
      <c r="P164" s="791"/>
      <c r="Q164" s="791"/>
      <c r="R164" s="791"/>
      <c r="S164" s="791"/>
      <c r="T164" s="789"/>
    </row>
    <row r="165" spans="2:20" ht="25" x14ac:dyDescent="0.35">
      <c r="B165" s="128">
        <v>14</v>
      </c>
      <c r="C165" s="129" t="s">
        <v>544</v>
      </c>
      <c r="D165" s="128"/>
      <c r="E165" s="925"/>
      <c r="F165" s="925"/>
      <c r="G165" s="925"/>
      <c r="H165" s="791"/>
      <c r="I165" s="791"/>
      <c r="J165" s="791"/>
      <c r="K165" s="791"/>
      <c r="L165" s="791"/>
      <c r="M165" s="791"/>
      <c r="N165" s="791"/>
      <c r="O165" s="791"/>
      <c r="P165" s="791"/>
      <c r="Q165" s="791"/>
      <c r="R165" s="791"/>
      <c r="S165" s="791"/>
      <c r="T165" s="790"/>
    </row>
    <row r="166" spans="2:20" x14ac:dyDescent="0.35">
      <c r="B166" s="128">
        <v>15</v>
      </c>
      <c r="C166" s="129" t="s">
        <v>175</v>
      </c>
      <c r="D166" s="128"/>
      <c r="E166" s="925"/>
      <c r="F166" s="925"/>
      <c r="G166" s="925"/>
      <c r="H166" s="791"/>
      <c r="I166" s="791"/>
      <c r="J166" s="791"/>
      <c r="K166" s="791"/>
      <c r="L166" s="791"/>
      <c r="M166" s="791"/>
      <c r="N166" s="791"/>
      <c r="O166" s="791"/>
      <c r="P166" s="791"/>
      <c r="Q166" s="791"/>
      <c r="R166" s="791"/>
      <c r="S166" s="791"/>
      <c r="T166" s="130"/>
    </row>
    <row r="167" spans="2:20" x14ac:dyDescent="0.35">
      <c r="B167" s="163"/>
      <c r="C167" s="164" t="s">
        <v>480</v>
      </c>
      <c r="D167" s="163"/>
      <c r="E167" s="165"/>
      <c r="F167" s="165"/>
      <c r="G167" s="165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</row>
    <row r="170" spans="2:20" x14ac:dyDescent="0.35">
      <c r="B170" s="85" t="s">
        <v>2163</v>
      </c>
      <c r="D170" s="15"/>
    </row>
    <row r="171" spans="2:20" ht="39" x14ac:dyDescent="0.35">
      <c r="B171" s="187" t="s">
        <v>36</v>
      </c>
      <c r="C171" s="187" t="s">
        <v>655</v>
      </c>
      <c r="D171" s="116" t="s">
        <v>257</v>
      </c>
      <c r="E171" s="714" t="s">
        <v>227</v>
      </c>
      <c r="F171" s="714" t="s">
        <v>147</v>
      </c>
      <c r="G171" s="714" t="s">
        <v>148</v>
      </c>
      <c r="H171" s="116" t="s">
        <v>149</v>
      </c>
      <c r="I171" s="116" t="s">
        <v>150</v>
      </c>
      <c r="J171" s="116" t="s">
        <v>151</v>
      </c>
      <c r="K171" s="116" t="s">
        <v>152</v>
      </c>
      <c r="L171" s="116" t="s">
        <v>153</v>
      </c>
      <c r="M171" s="116" t="s">
        <v>154</v>
      </c>
      <c r="N171" s="116" t="s">
        <v>155</v>
      </c>
      <c r="O171" s="116" t="s">
        <v>156</v>
      </c>
      <c r="P171" s="116" t="s">
        <v>157</v>
      </c>
      <c r="Q171" s="116" t="s">
        <v>158</v>
      </c>
      <c r="R171" s="116" t="s">
        <v>159</v>
      </c>
      <c r="S171" s="116" t="s">
        <v>160</v>
      </c>
      <c r="T171" s="116" t="s">
        <v>2147</v>
      </c>
    </row>
    <row r="172" spans="2:20" ht="25" x14ac:dyDescent="0.35">
      <c r="B172" s="128">
        <v>1</v>
      </c>
      <c r="C172" s="129" t="s">
        <v>2157</v>
      </c>
      <c r="D172" s="128"/>
      <c r="E172" s="925"/>
      <c r="F172" s="925"/>
      <c r="G172" s="925"/>
      <c r="H172" s="791">
        <v>0.04</v>
      </c>
      <c r="I172" s="791">
        <v>0.04</v>
      </c>
      <c r="J172" s="791">
        <v>0.04</v>
      </c>
      <c r="K172" s="791">
        <v>0.04</v>
      </c>
      <c r="L172" s="791">
        <v>0.04</v>
      </c>
      <c r="M172" s="791">
        <v>0.04</v>
      </c>
      <c r="N172" s="791">
        <v>0.04</v>
      </c>
      <c r="O172" s="791">
        <v>0.04</v>
      </c>
      <c r="P172" s="791">
        <v>0.04</v>
      </c>
      <c r="Q172" s="791">
        <v>0.04</v>
      </c>
      <c r="R172" s="791">
        <v>0.04</v>
      </c>
      <c r="S172" s="791">
        <v>0.04</v>
      </c>
      <c r="T172" s="791">
        <v>0.04</v>
      </c>
    </row>
    <row r="173" spans="2:20" x14ac:dyDescent="0.35">
      <c r="B173" s="128">
        <v>15</v>
      </c>
      <c r="C173" s="129" t="s">
        <v>175</v>
      </c>
      <c r="D173" s="128"/>
      <c r="E173" s="925"/>
      <c r="F173" s="925"/>
      <c r="G173" s="925"/>
      <c r="H173" s="791"/>
      <c r="I173" s="791"/>
      <c r="J173" s="791"/>
      <c r="K173" s="791"/>
      <c r="L173" s="791"/>
      <c r="M173" s="791"/>
      <c r="N173" s="791"/>
      <c r="O173" s="791"/>
      <c r="P173" s="791"/>
      <c r="Q173" s="791"/>
      <c r="R173" s="791"/>
      <c r="S173" s="791"/>
      <c r="T173" s="130"/>
    </row>
    <row r="174" spans="2:20" x14ac:dyDescent="0.35">
      <c r="B174" s="163"/>
      <c r="C174" s="164" t="s">
        <v>480</v>
      </c>
      <c r="D174" s="163"/>
      <c r="E174" s="165"/>
      <c r="F174" s="165"/>
      <c r="G174" s="165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G230"/>
  <sheetViews>
    <sheetView topLeftCell="B241" zoomScale="85" zoomScaleNormal="85" workbookViewId="0">
      <selection activeCell="G251" sqref="G251"/>
    </sheetView>
  </sheetViews>
  <sheetFormatPr defaultRowHeight="14.5" outlineLevelCol="1" x14ac:dyDescent="0.35"/>
  <cols>
    <col min="3" max="3" width="33.1796875" customWidth="1"/>
    <col min="6" max="17" width="8.7265625" customWidth="1" outlineLevel="1"/>
    <col min="20" max="31" width="0" hidden="1" customWidth="1" outlineLevel="1"/>
    <col min="32" max="32" width="8.7265625" collapsed="1"/>
  </cols>
  <sheetData>
    <row r="1" spans="2:33" ht="16" x14ac:dyDescent="0.35">
      <c r="B1" s="92"/>
    </row>
    <row r="3" spans="2:33" x14ac:dyDescent="0.35">
      <c r="B3" s="63" t="s">
        <v>657</v>
      </c>
    </row>
    <row r="4" spans="2:33" x14ac:dyDescent="0.35">
      <c r="B4" s="11" t="s">
        <v>658</v>
      </c>
      <c r="R4" s="11" t="s">
        <v>659</v>
      </c>
      <c r="AF4" s="11" t="s">
        <v>659</v>
      </c>
    </row>
    <row r="5" spans="2:33" ht="26" x14ac:dyDescent="0.35">
      <c r="B5" s="187" t="s">
        <v>36</v>
      </c>
      <c r="C5" s="187" t="s">
        <v>524</v>
      </c>
      <c r="D5" s="187" t="s">
        <v>257</v>
      </c>
      <c r="E5" s="116" t="s">
        <v>148</v>
      </c>
      <c r="F5" s="116" t="s">
        <v>149</v>
      </c>
      <c r="G5" s="116" t="s">
        <v>150</v>
      </c>
      <c r="H5" s="116" t="s">
        <v>151</v>
      </c>
      <c r="I5" s="116" t="s">
        <v>152</v>
      </c>
      <c r="J5" s="116" t="s">
        <v>153</v>
      </c>
      <c r="K5" s="116" t="s">
        <v>154</v>
      </c>
      <c r="L5" s="116" t="s">
        <v>155</v>
      </c>
      <c r="M5" s="116" t="s">
        <v>156</v>
      </c>
      <c r="N5" s="116" t="s">
        <v>157</v>
      </c>
      <c r="O5" s="116" t="s">
        <v>158</v>
      </c>
      <c r="P5" s="116" t="s">
        <v>159</v>
      </c>
      <c r="Q5" s="116" t="s">
        <v>160</v>
      </c>
      <c r="R5" s="116" t="s">
        <v>2147</v>
      </c>
      <c r="T5" s="714" t="s">
        <v>149</v>
      </c>
      <c r="U5" s="714" t="s">
        <v>150</v>
      </c>
      <c r="V5" s="714" t="s">
        <v>151</v>
      </c>
      <c r="W5" s="714" t="s">
        <v>152</v>
      </c>
      <c r="X5" s="714" t="s">
        <v>153</v>
      </c>
      <c r="Y5" s="714" t="s">
        <v>154</v>
      </c>
      <c r="Z5" s="714" t="s">
        <v>155</v>
      </c>
      <c r="AA5" s="714" t="s">
        <v>156</v>
      </c>
      <c r="AB5" s="714" t="s">
        <v>157</v>
      </c>
      <c r="AC5" s="714" t="s">
        <v>158</v>
      </c>
      <c r="AD5" s="714" t="s">
        <v>159</v>
      </c>
      <c r="AE5" s="714" t="s">
        <v>160</v>
      </c>
      <c r="AF5" s="714" t="s">
        <v>148</v>
      </c>
    </row>
    <row r="6" spans="2:33" x14ac:dyDescent="0.35">
      <c r="B6" s="408">
        <v>1</v>
      </c>
      <c r="C6" s="409" t="s">
        <v>530</v>
      </c>
      <c r="D6" s="409"/>
      <c r="E6" s="410"/>
      <c r="F6" s="411">
        <f>'1.NVL Chai'!H$13*'2.Hao hut &amp; % chai '!H57</f>
        <v>218700</v>
      </c>
      <c r="G6" s="411">
        <f>'1.NVL Chai'!I$13*'2.Hao hut &amp; % chai '!I57</f>
        <v>170100</v>
      </c>
      <c r="H6" s="411">
        <f>'1.NVL Chai'!J$13*'2.Hao hut &amp; % chai '!J57</f>
        <v>243000.00000000003</v>
      </c>
      <c r="I6" s="411">
        <f>'1.NVL Chai'!K$13*'2.Hao hut &amp; % chai '!K57</f>
        <v>267300</v>
      </c>
      <c r="J6" s="411">
        <f>'1.NVL Chai'!L$13*'2.Hao hut &amp; % chai '!L57</f>
        <v>237600.00000000003</v>
      </c>
      <c r="K6" s="411">
        <f>'1.NVL Chai'!M$13*'2.Hao hut &amp; % chai '!M57</f>
        <v>207900</v>
      </c>
      <c r="L6" s="411">
        <f>'1.NVL Chai'!N$13*'2.Hao hut &amp; % chai '!N57</f>
        <v>207900</v>
      </c>
      <c r="M6" s="411">
        <f>'1.NVL Chai'!O$13*'2.Hao hut &amp; % chai '!O57</f>
        <v>207900</v>
      </c>
      <c r="N6" s="411">
        <f>'1.NVL Chai'!P$13*'2.Hao hut &amp; % chai '!P57</f>
        <v>207900</v>
      </c>
      <c r="O6" s="411">
        <f>'1.NVL Chai'!Q$13*'2.Hao hut &amp; % chai '!Q57</f>
        <v>207900</v>
      </c>
      <c r="P6" s="411">
        <f>'1.NVL Chai'!R$13*'2.Hao hut &amp; % chai '!R57</f>
        <v>207900</v>
      </c>
      <c r="Q6" s="411">
        <f>'1.NVL Chai'!S$13*'2.Hao hut &amp; % chai '!S57</f>
        <v>207900</v>
      </c>
      <c r="R6" s="410">
        <f>SUM(F6:Q6)</f>
        <v>2592000</v>
      </c>
      <c r="S6" s="433"/>
      <c r="T6" s="411"/>
      <c r="U6" s="411"/>
      <c r="V6" s="411"/>
      <c r="W6" s="411"/>
      <c r="X6" s="411"/>
      <c r="Y6" s="411"/>
      <c r="Z6" s="411"/>
      <c r="AA6" s="411"/>
      <c r="AB6" s="411"/>
      <c r="AC6" s="411"/>
      <c r="AD6" s="411"/>
      <c r="AE6" s="411"/>
      <c r="AF6" s="410">
        <f>SUM(T6:AE6)</f>
        <v>0</v>
      </c>
      <c r="AG6" s="433"/>
    </row>
    <row r="7" spans="2:33" x14ac:dyDescent="0.35">
      <c r="B7" s="412">
        <v>2</v>
      </c>
      <c r="C7" s="413" t="s">
        <v>532</v>
      </c>
      <c r="D7" s="413"/>
      <c r="E7" s="414"/>
      <c r="F7" s="415">
        <f>'1.NVL Chai'!H$13*'2.Hao hut &amp; % chai '!H58</f>
        <v>0</v>
      </c>
      <c r="G7" s="415">
        <f>'1.NVL Chai'!I$13*'2.Hao hut &amp; % chai '!I58</f>
        <v>0</v>
      </c>
      <c r="H7" s="415">
        <f>'1.NVL Chai'!J$13*'2.Hao hut &amp; % chai '!J58</f>
        <v>0</v>
      </c>
      <c r="I7" s="415">
        <f>'1.NVL Chai'!K$13*'2.Hao hut &amp; % chai '!K58</f>
        <v>0</v>
      </c>
      <c r="J7" s="415">
        <f>'1.NVL Chai'!L$13*'2.Hao hut &amp; % chai '!L58</f>
        <v>0</v>
      </c>
      <c r="K7" s="415">
        <f>'1.NVL Chai'!M$13*'2.Hao hut &amp; % chai '!M58</f>
        <v>0</v>
      </c>
      <c r="L7" s="415">
        <f>'1.NVL Chai'!N$13*'2.Hao hut &amp; % chai '!N58</f>
        <v>0</v>
      </c>
      <c r="M7" s="415">
        <f>'1.NVL Chai'!O$13*'2.Hao hut &amp; % chai '!O58</f>
        <v>0</v>
      </c>
      <c r="N7" s="415">
        <f>'1.NVL Chai'!P$13*'2.Hao hut &amp; % chai '!P58</f>
        <v>0</v>
      </c>
      <c r="O7" s="415">
        <f>'1.NVL Chai'!Q$13*'2.Hao hut &amp; % chai '!Q58</f>
        <v>0</v>
      </c>
      <c r="P7" s="415">
        <f>'1.NVL Chai'!R$13*'2.Hao hut &amp; % chai '!R58</f>
        <v>0</v>
      </c>
      <c r="Q7" s="415">
        <f>'1.NVL Chai'!S$13*'2.Hao hut &amp; % chai '!S58</f>
        <v>0</v>
      </c>
      <c r="R7" s="414">
        <f t="shared" ref="R7:R20" si="0">SUM(F7:Q7)</f>
        <v>0</v>
      </c>
      <c r="S7" s="433"/>
      <c r="T7" s="415"/>
      <c r="U7" s="415"/>
      <c r="V7" s="415"/>
      <c r="W7" s="415"/>
      <c r="X7" s="415"/>
      <c r="Y7" s="415"/>
      <c r="Z7" s="415"/>
      <c r="AA7" s="415"/>
      <c r="AB7" s="415"/>
      <c r="AC7" s="415"/>
      <c r="AD7" s="415"/>
      <c r="AE7" s="415"/>
      <c r="AF7" s="414">
        <f t="shared" ref="AF7:AF20" si="1">SUM(T7:AE7)</f>
        <v>0</v>
      </c>
      <c r="AG7" s="433"/>
    </row>
    <row r="8" spans="2:33" x14ac:dyDescent="0.35">
      <c r="B8" s="412">
        <v>3</v>
      </c>
      <c r="C8" s="413" t="s">
        <v>533</v>
      </c>
      <c r="D8" s="413"/>
      <c r="E8" s="414"/>
      <c r="F8" s="415">
        <f>'1.NVL Chai'!H$13*'2.Hao hut &amp; % chai '!H59</f>
        <v>0</v>
      </c>
      <c r="G8" s="415">
        <f>'1.NVL Chai'!I$13*'2.Hao hut &amp; % chai '!I59</f>
        <v>0</v>
      </c>
      <c r="H8" s="415">
        <f>'1.NVL Chai'!J$13*'2.Hao hut &amp; % chai '!J59</f>
        <v>0</v>
      </c>
      <c r="I8" s="415">
        <f>'1.NVL Chai'!K$13*'2.Hao hut &amp; % chai '!K59</f>
        <v>0</v>
      </c>
      <c r="J8" s="415">
        <f>'1.NVL Chai'!L$13*'2.Hao hut &amp; % chai '!L59</f>
        <v>0</v>
      </c>
      <c r="K8" s="415">
        <f>'1.NVL Chai'!M$13*'2.Hao hut &amp; % chai '!M59</f>
        <v>0</v>
      </c>
      <c r="L8" s="415">
        <f>'1.NVL Chai'!N$13*'2.Hao hut &amp; % chai '!N59</f>
        <v>0</v>
      </c>
      <c r="M8" s="415">
        <f>'1.NVL Chai'!O$13*'2.Hao hut &amp; % chai '!O59</f>
        <v>0</v>
      </c>
      <c r="N8" s="415">
        <f>'1.NVL Chai'!P$13*'2.Hao hut &amp; % chai '!P59</f>
        <v>0</v>
      </c>
      <c r="O8" s="415">
        <f>'1.NVL Chai'!Q$13*'2.Hao hut &amp; % chai '!Q59</f>
        <v>0</v>
      </c>
      <c r="P8" s="415">
        <f>'1.NVL Chai'!R$13*'2.Hao hut &amp; % chai '!R59</f>
        <v>0</v>
      </c>
      <c r="Q8" s="415">
        <f>'1.NVL Chai'!S$13*'2.Hao hut &amp; % chai '!S59</f>
        <v>0</v>
      </c>
      <c r="R8" s="414">
        <f t="shared" si="0"/>
        <v>0</v>
      </c>
      <c r="S8" s="433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414">
        <f t="shared" si="1"/>
        <v>0</v>
      </c>
      <c r="AG8" s="433"/>
    </row>
    <row r="9" spans="2:33" x14ac:dyDescent="0.35">
      <c r="B9" s="412">
        <v>4</v>
      </c>
      <c r="C9" s="413" t="s">
        <v>534</v>
      </c>
      <c r="D9" s="413"/>
      <c r="E9" s="414"/>
      <c r="F9" s="415">
        <f>'1.NVL Chai'!H$13*'2.Hao hut &amp; % chai '!H60</f>
        <v>0</v>
      </c>
      <c r="G9" s="415">
        <f>'1.NVL Chai'!I$13*'2.Hao hut &amp; % chai '!I60</f>
        <v>0</v>
      </c>
      <c r="H9" s="415">
        <f>'1.NVL Chai'!J$13*'2.Hao hut &amp; % chai '!J60</f>
        <v>0</v>
      </c>
      <c r="I9" s="415">
        <f>'1.NVL Chai'!K$13*'2.Hao hut &amp; % chai '!K60</f>
        <v>0</v>
      </c>
      <c r="J9" s="415">
        <f>'1.NVL Chai'!L$13*'2.Hao hut &amp; % chai '!L60</f>
        <v>0</v>
      </c>
      <c r="K9" s="415">
        <f>'1.NVL Chai'!M$13*'2.Hao hut &amp; % chai '!M60</f>
        <v>0</v>
      </c>
      <c r="L9" s="415">
        <f>'1.NVL Chai'!N$13*'2.Hao hut &amp; % chai '!N60</f>
        <v>0</v>
      </c>
      <c r="M9" s="415">
        <f>'1.NVL Chai'!O$13*'2.Hao hut &amp; % chai '!O60</f>
        <v>0</v>
      </c>
      <c r="N9" s="415">
        <f>'1.NVL Chai'!P$13*'2.Hao hut &amp; % chai '!P60</f>
        <v>0</v>
      </c>
      <c r="O9" s="415">
        <f>'1.NVL Chai'!Q$13*'2.Hao hut &amp; % chai '!Q60</f>
        <v>0</v>
      </c>
      <c r="P9" s="415">
        <f>'1.NVL Chai'!R$13*'2.Hao hut &amp; % chai '!R60</f>
        <v>0</v>
      </c>
      <c r="Q9" s="415">
        <f>'1.NVL Chai'!S$13*'2.Hao hut &amp; % chai '!S60</f>
        <v>0</v>
      </c>
      <c r="R9" s="414">
        <f t="shared" si="0"/>
        <v>0</v>
      </c>
      <c r="S9" s="433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414">
        <f t="shared" si="1"/>
        <v>0</v>
      </c>
      <c r="AG9" s="433"/>
    </row>
    <row r="10" spans="2:33" x14ac:dyDescent="0.35">
      <c r="B10" s="412">
        <v>5</v>
      </c>
      <c r="C10" s="413" t="s">
        <v>535</v>
      </c>
      <c r="D10" s="413"/>
      <c r="E10" s="414"/>
      <c r="F10" s="415">
        <f>'1.NVL Chai'!H$13*'2.Hao hut &amp; % chai '!H61</f>
        <v>8100</v>
      </c>
      <c r="G10" s="415">
        <f>'1.NVL Chai'!I$13*'2.Hao hut &amp; % chai '!I61</f>
        <v>6300</v>
      </c>
      <c r="H10" s="415">
        <f>'1.NVL Chai'!J$13*'2.Hao hut &amp; % chai '!J61</f>
        <v>9000</v>
      </c>
      <c r="I10" s="415">
        <f>'1.NVL Chai'!K$13*'2.Hao hut &amp; % chai '!K61</f>
        <v>9900</v>
      </c>
      <c r="J10" s="415">
        <f>'1.NVL Chai'!L$13*'2.Hao hut &amp; % chai '!L61</f>
        <v>8800</v>
      </c>
      <c r="K10" s="415">
        <f>'1.NVL Chai'!M$13*'2.Hao hut &amp; % chai '!M61</f>
        <v>7700</v>
      </c>
      <c r="L10" s="415">
        <f>'1.NVL Chai'!N$13*'2.Hao hut &amp; % chai '!N61</f>
        <v>7700</v>
      </c>
      <c r="M10" s="415">
        <f>'1.NVL Chai'!O$13*'2.Hao hut &amp; % chai '!O61</f>
        <v>7700</v>
      </c>
      <c r="N10" s="415">
        <f>'1.NVL Chai'!P$13*'2.Hao hut &amp; % chai '!P61</f>
        <v>7700</v>
      </c>
      <c r="O10" s="415">
        <f>'1.NVL Chai'!Q$13*'2.Hao hut &amp; % chai '!Q61</f>
        <v>7700</v>
      </c>
      <c r="P10" s="415">
        <f>'1.NVL Chai'!R$13*'2.Hao hut &amp; % chai '!R61</f>
        <v>7700</v>
      </c>
      <c r="Q10" s="415">
        <f>'1.NVL Chai'!S$13*'2.Hao hut &amp; % chai '!S61</f>
        <v>7700</v>
      </c>
      <c r="R10" s="414">
        <f t="shared" si="0"/>
        <v>96000</v>
      </c>
      <c r="S10" s="433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414">
        <f t="shared" si="1"/>
        <v>0</v>
      </c>
      <c r="AG10" s="433"/>
    </row>
    <row r="11" spans="2:33" x14ac:dyDescent="0.35">
      <c r="B11" s="412">
        <v>6</v>
      </c>
      <c r="C11" s="413" t="s">
        <v>536</v>
      </c>
      <c r="D11" s="413"/>
      <c r="E11" s="414"/>
      <c r="F11" s="415">
        <f>'1.NVL Chai'!H$13*'2.Hao hut &amp; % chai '!H62</f>
        <v>0</v>
      </c>
      <c r="G11" s="415">
        <f>'1.NVL Chai'!I$13*'2.Hao hut &amp; % chai '!I62</f>
        <v>0</v>
      </c>
      <c r="H11" s="415">
        <f>'1.NVL Chai'!J$13*'2.Hao hut &amp; % chai '!J62</f>
        <v>0</v>
      </c>
      <c r="I11" s="415">
        <f>'1.NVL Chai'!K$13*'2.Hao hut &amp; % chai '!K62</f>
        <v>0</v>
      </c>
      <c r="J11" s="415">
        <f>'1.NVL Chai'!L$13*'2.Hao hut &amp; % chai '!L62</f>
        <v>0</v>
      </c>
      <c r="K11" s="415">
        <f>'1.NVL Chai'!M$13*'2.Hao hut &amp; % chai '!M62</f>
        <v>0</v>
      </c>
      <c r="L11" s="415">
        <f>'1.NVL Chai'!N$13*'2.Hao hut &amp; % chai '!N62</f>
        <v>0</v>
      </c>
      <c r="M11" s="415">
        <f>'1.NVL Chai'!O$13*'2.Hao hut &amp; % chai '!O62</f>
        <v>0</v>
      </c>
      <c r="N11" s="415">
        <f>'1.NVL Chai'!P$13*'2.Hao hut &amp; % chai '!P62</f>
        <v>0</v>
      </c>
      <c r="O11" s="415">
        <f>'1.NVL Chai'!Q$13*'2.Hao hut &amp; % chai '!Q62</f>
        <v>0</v>
      </c>
      <c r="P11" s="415">
        <f>'1.NVL Chai'!R$13*'2.Hao hut &amp; % chai '!R62</f>
        <v>0</v>
      </c>
      <c r="Q11" s="415">
        <f>'1.NVL Chai'!S$13*'2.Hao hut &amp; % chai '!S62</f>
        <v>0</v>
      </c>
      <c r="R11" s="414">
        <f t="shared" si="0"/>
        <v>0</v>
      </c>
      <c r="S11" s="433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414">
        <f t="shared" si="1"/>
        <v>0</v>
      </c>
      <c r="AG11" s="433"/>
    </row>
    <row r="12" spans="2:33" x14ac:dyDescent="0.35">
      <c r="B12" s="412">
        <v>7</v>
      </c>
      <c r="C12" s="413" t="s">
        <v>537</v>
      </c>
      <c r="D12" s="413"/>
      <c r="E12" s="414"/>
      <c r="F12" s="415">
        <f>'1.NVL Chai'!H$13*'2.Hao hut &amp; % chai '!H63</f>
        <v>8100</v>
      </c>
      <c r="G12" s="415">
        <f>'1.NVL Chai'!I$13*'2.Hao hut &amp; % chai '!I63</f>
        <v>6300</v>
      </c>
      <c r="H12" s="415">
        <f>'1.NVL Chai'!J$13*'2.Hao hut &amp; % chai '!J63</f>
        <v>9000</v>
      </c>
      <c r="I12" s="415">
        <f>'1.NVL Chai'!K$13*'2.Hao hut &amp; % chai '!K63</f>
        <v>9900</v>
      </c>
      <c r="J12" s="415">
        <f>'1.NVL Chai'!L$13*'2.Hao hut &amp; % chai '!L63</f>
        <v>8800</v>
      </c>
      <c r="K12" s="415">
        <f>'1.NVL Chai'!M$13*'2.Hao hut &amp; % chai '!M63</f>
        <v>7700</v>
      </c>
      <c r="L12" s="415">
        <f>'1.NVL Chai'!N$13*'2.Hao hut &amp; % chai '!N63</f>
        <v>7700</v>
      </c>
      <c r="M12" s="415">
        <f>'1.NVL Chai'!O$13*'2.Hao hut &amp; % chai '!O63</f>
        <v>7700</v>
      </c>
      <c r="N12" s="415">
        <f>'1.NVL Chai'!P$13*'2.Hao hut &amp; % chai '!P63</f>
        <v>7700</v>
      </c>
      <c r="O12" s="415">
        <f>'1.NVL Chai'!Q$13*'2.Hao hut &amp; % chai '!Q63</f>
        <v>7700</v>
      </c>
      <c r="P12" s="415">
        <f>'1.NVL Chai'!R$13*'2.Hao hut &amp; % chai '!R63</f>
        <v>7700</v>
      </c>
      <c r="Q12" s="415">
        <f>'1.NVL Chai'!S$13*'2.Hao hut &amp; % chai '!S63</f>
        <v>7700</v>
      </c>
      <c r="R12" s="414">
        <f t="shared" si="0"/>
        <v>96000</v>
      </c>
      <c r="S12" s="433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414">
        <f t="shared" si="1"/>
        <v>0</v>
      </c>
      <c r="AG12" s="433"/>
    </row>
    <row r="13" spans="2:33" x14ac:dyDescent="0.35">
      <c r="B13" s="412">
        <v>8</v>
      </c>
      <c r="C13" s="413" t="s">
        <v>538</v>
      </c>
      <c r="D13" s="413"/>
      <c r="E13" s="414"/>
      <c r="F13" s="415">
        <f>'1.NVL Chai'!H$13*'2.Hao hut &amp; % chai '!H64</f>
        <v>4050</v>
      </c>
      <c r="G13" s="415">
        <f>'1.NVL Chai'!I$13*'2.Hao hut &amp; % chai '!I64</f>
        <v>3150</v>
      </c>
      <c r="H13" s="415">
        <f>'1.NVL Chai'!J$13*'2.Hao hut &amp; % chai '!J64</f>
        <v>4500</v>
      </c>
      <c r="I13" s="415">
        <f>'1.NVL Chai'!K$13*'2.Hao hut &amp; % chai '!K64</f>
        <v>4950</v>
      </c>
      <c r="J13" s="415">
        <f>'1.NVL Chai'!L$13*'2.Hao hut &amp; % chai '!L64</f>
        <v>4400</v>
      </c>
      <c r="K13" s="415">
        <f>'1.NVL Chai'!M$13*'2.Hao hut &amp; % chai '!M64</f>
        <v>3850</v>
      </c>
      <c r="L13" s="415">
        <f>'1.NVL Chai'!N$13*'2.Hao hut &amp; % chai '!N64</f>
        <v>3850</v>
      </c>
      <c r="M13" s="415">
        <f>'1.NVL Chai'!O$13*'2.Hao hut &amp; % chai '!O64</f>
        <v>3850</v>
      </c>
      <c r="N13" s="415">
        <f>'1.NVL Chai'!P$13*'2.Hao hut &amp; % chai '!P64</f>
        <v>3850</v>
      </c>
      <c r="O13" s="415">
        <f>'1.NVL Chai'!Q$13*'2.Hao hut &amp; % chai '!Q64</f>
        <v>3850</v>
      </c>
      <c r="P13" s="415">
        <f>'1.NVL Chai'!R$13*'2.Hao hut &amp; % chai '!R64</f>
        <v>3850</v>
      </c>
      <c r="Q13" s="415">
        <f>'1.NVL Chai'!S$13*'2.Hao hut &amp; % chai '!S64</f>
        <v>3850</v>
      </c>
      <c r="R13" s="414">
        <f t="shared" si="0"/>
        <v>48000</v>
      </c>
      <c r="S13" s="433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414">
        <f t="shared" si="1"/>
        <v>0</v>
      </c>
      <c r="AG13" s="433"/>
    </row>
    <row r="14" spans="2:33" x14ac:dyDescent="0.35">
      <c r="B14" s="412">
        <v>9</v>
      </c>
      <c r="C14" s="413" t="s">
        <v>539</v>
      </c>
      <c r="D14" s="413"/>
      <c r="E14" s="414"/>
      <c r="F14" s="415">
        <f>'1.NVL Chai'!H$13*'2.Hao hut &amp; % chai '!H65</f>
        <v>0</v>
      </c>
      <c r="G14" s="415">
        <f>'1.NVL Chai'!I$13*'2.Hao hut &amp; % chai '!I65</f>
        <v>0</v>
      </c>
      <c r="H14" s="415">
        <f>'1.NVL Chai'!J$13*'2.Hao hut &amp; % chai '!J65</f>
        <v>0</v>
      </c>
      <c r="I14" s="415">
        <f>'1.NVL Chai'!K$13*'2.Hao hut &amp; % chai '!K65</f>
        <v>0</v>
      </c>
      <c r="J14" s="415">
        <f>'1.NVL Chai'!L$13*'2.Hao hut &amp; % chai '!L65</f>
        <v>0</v>
      </c>
      <c r="K14" s="415">
        <f>'1.NVL Chai'!M$13*'2.Hao hut &amp; % chai '!M65</f>
        <v>0</v>
      </c>
      <c r="L14" s="415">
        <f>'1.NVL Chai'!N$13*'2.Hao hut &amp; % chai '!N65</f>
        <v>0</v>
      </c>
      <c r="M14" s="415">
        <f>'1.NVL Chai'!O$13*'2.Hao hut &amp; % chai '!O65</f>
        <v>0</v>
      </c>
      <c r="N14" s="415">
        <f>'1.NVL Chai'!P$13*'2.Hao hut &amp; % chai '!P65</f>
        <v>0</v>
      </c>
      <c r="O14" s="415">
        <f>'1.NVL Chai'!Q$13*'2.Hao hut &amp; % chai '!Q65</f>
        <v>0</v>
      </c>
      <c r="P14" s="415">
        <f>'1.NVL Chai'!R$13*'2.Hao hut &amp; % chai '!R65</f>
        <v>0</v>
      </c>
      <c r="Q14" s="415">
        <f>'1.NVL Chai'!S$13*'2.Hao hut &amp; % chai '!S65</f>
        <v>0</v>
      </c>
      <c r="R14" s="414">
        <f t="shared" si="0"/>
        <v>0</v>
      </c>
      <c r="S14" s="433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414">
        <f t="shared" si="1"/>
        <v>0</v>
      </c>
      <c r="AG14" s="433"/>
    </row>
    <row r="15" spans="2:33" x14ac:dyDescent="0.35">
      <c r="B15" s="412">
        <v>10</v>
      </c>
      <c r="C15" s="413" t="s">
        <v>540</v>
      </c>
      <c r="D15" s="413"/>
      <c r="E15" s="414"/>
      <c r="F15" s="415">
        <f>'1.NVL Chai'!H$13*'2.Hao hut &amp; % chai '!H66</f>
        <v>117449.99999999999</v>
      </c>
      <c r="G15" s="415">
        <f>'1.NVL Chai'!I$13*'2.Hao hut &amp; % chai '!I66</f>
        <v>91350</v>
      </c>
      <c r="H15" s="415">
        <f>'1.NVL Chai'!J$13*'2.Hao hut &amp; % chai '!J66</f>
        <v>130499.99999999999</v>
      </c>
      <c r="I15" s="415">
        <f>'1.NVL Chai'!K$13*'2.Hao hut &amp; % chai '!K66</f>
        <v>143550</v>
      </c>
      <c r="J15" s="415">
        <f>'1.NVL Chai'!L$13*'2.Hao hut &amp; % chai '!L66</f>
        <v>127599.99999999999</v>
      </c>
      <c r="K15" s="415">
        <f>'1.NVL Chai'!M$13*'2.Hao hut &amp; % chai '!M66</f>
        <v>111649.99999999999</v>
      </c>
      <c r="L15" s="415">
        <f>'1.NVL Chai'!N$13*'2.Hao hut &amp; % chai '!N66</f>
        <v>111649.99999999999</v>
      </c>
      <c r="M15" s="415">
        <f>'1.NVL Chai'!O$13*'2.Hao hut &amp; % chai '!O66</f>
        <v>111649.99999999999</v>
      </c>
      <c r="N15" s="415">
        <f>'1.NVL Chai'!P$13*'2.Hao hut &amp; % chai '!P66</f>
        <v>111649.99999999999</v>
      </c>
      <c r="O15" s="415">
        <f>'1.NVL Chai'!Q$13*'2.Hao hut &amp; % chai '!Q66</f>
        <v>111649.99999999999</v>
      </c>
      <c r="P15" s="415">
        <f>'1.NVL Chai'!R$13*'2.Hao hut &amp; % chai '!R66</f>
        <v>111649.99999999999</v>
      </c>
      <c r="Q15" s="415">
        <f>'1.NVL Chai'!S$13*'2.Hao hut &amp; % chai '!S66</f>
        <v>111649.99999999999</v>
      </c>
      <c r="R15" s="414">
        <f t="shared" si="0"/>
        <v>1392000</v>
      </c>
      <c r="S15" s="433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414">
        <f t="shared" si="1"/>
        <v>0</v>
      </c>
      <c r="AG15" s="433"/>
    </row>
    <row r="16" spans="2:33" x14ac:dyDescent="0.35">
      <c r="B16" s="412">
        <v>11</v>
      </c>
      <c r="C16" s="413" t="s">
        <v>541</v>
      </c>
      <c r="D16" s="413"/>
      <c r="E16" s="414"/>
      <c r="F16" s="415">
        <f>'1.NVL Chai'!H$13*'2.Hao hut &amp; % chai '!H67</f>
        <v>0</v>
      </c>
      <c r="G16" s="415">
        <f>'1.NVL Chai'!I$13*'2.Hao hut &amp; % chai '!I67</f>
        <v>0</v>
      </c>
      <c r="H16" s="415">
        <f>'1.NVL Chai'!J$13*'2.Hao hut &amp; % chai '!J67</f>
        <v>0</v>
      </c>
      <c r="I16" s="415">
        <f>'1.NVL Chai'!K$13*'2.Hao hut &amp; % chai '!K67</f>
        <v>0</v>
      </c>
      <c r="J16" s="415">
        <f>'1.NVL Chai'!L$13*'2.Hao hut &amp; % chai '!L67</f>
        <v>0</v>
      </c>
      <c r="K16" s="415">
        <f>'1.NVL Chai'!M$13*'2.Hao hut &amp; % chai '!M67</f>
        <v>0</v>
      </c>
      <c r="L16" s="415">
        <f>'1.NVL Chai'!N$13*'2.Hao hut &amp; % chai '!N67</f>
        <v>0</v>
      </c>
      <c r="M16" s="415">
        <f>'1.NVL Chai'!O$13*'2.Hao hut &amp; % chai '!O67</f>
        <v>0</v>
      </c>
      <c r="N16" s="415">
        <f>'1.NVL Chai'!P$13*'2.Hao hut &amp; % chai '!P67</f>
        <v>0</v>
      </c>
      <c r="O16" s="415">
        <f>'1.NVL Chai'!Q$13*'2.Hao hut &amp; % chai '!Q67</f>
        <v>0</v>
      </c>
      <c r="P16" s="415">
        <f>'1.NVL Chai'!R$13*'2.Hao hut &amp; % chai '!R67</f>
        <v>0</v>
      </c>
      <c r="Q16" s="415">
        <f>'1.NVL Chai'!S$13*'2.Hao hut &amp; % chai '!S67</f>
        <v>0</v>
      </c>
      <c r="R16" s="414">
        <f t="shared" si="0"/>
        <v>0</v>
      </c>
      <c r="S16" s="433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414">
        <f t="shared" si="1"/>
        <v>0</v>
      </c>
      <c r="AG16" s="433"/>
    </row>
    <row r="17" spans="2:33" x14ac:dyDescent="0.35">
      <c r="B17" s="412">
        <v>12</v>
      </c>
      <c r="C17" s="413" t="s">
        <v>542</v>
      </c>
      <c r="D17" s="413"/>
      <c r="E17" s="414"/>
      <c r="F17" s="415">
        <f>'1.NVL Chai'!H$13*'2.Hao hut &amp; % chai '!H68</f>
        <v>0</v>
      </c>
      <c r="G17" s="415">
        <f>'1.NVL Chai'!I$13*'2.Hao hut &amp; % chai '!I68</f>
        <v>0</v>
      </c>
      <c r="H17" s="415">
        <f>'1.NVL Chai'!J$13*'2.Hao hut &amp; % chai '!J68</f>
        <v>0</v>
      </c>
      <c r="I17" s="415">
        <f>'1.NVL Chai'!K$13*'2.Hao hut &amp; % chai '!K68</f>
        <v>0</v>
      </c>
      <c r="J17" s="415">
        <f>'1.NVL Chai'!L$13*'2.Hao hut &amp; % chai '!L68</f>
        <v>0</v>
      </c>
      <c r="K17" s="415">
        <f>'1.NVL Chai'!M$13*'2.Hao hut &amp; % chai '!M68</f>
        <v>0</v>
      </c>
      <c r="L17" s="415">
        <f>'1.NVL Chai'!N$13*'2.Hao hut &amp; % chai '!N68</f>
        <v>0</v>
      </c>
      <c r="M17" s="415">
        <f>'1.NVL Chai'!O$13*'2.Hao hut &amp; % chai '!O68</f>
        <v>0</v>
      </c>
      <c r="N17" s="415">
        <f>'1.NVL Chai'!P$13*'2.Hao hut &amp; % chai '!P68</f>
        <v>0</v>
      </c>
      <c r="O17" s="415">
        <f>'1.NVL Chai'!Q$13*'2.Hao hut &amp; % chai '!Q68</f>
        <v>0</v>
      </c>
      <c r="P17" s="415">
        <f>'1.NVL Chai'!R$13*'2.Hao hut &amp; % chai '!R68</f>
        <v>0</v>
      </c>
      <c r="Q17" s="415">
        <f>'1.NVL Chai'!S$13*'2.Hao hut &amp; % chai '!S68</f>
        <v>0</v>
      </c>
      <c r="R17" s="414">
        <f t="shared" si="0"/>
        <v>0</v>
      </c>
      <c r="S17" s="433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414">
        <f t="shared" si="1"/>
        <v>0</v>
      </c>
      <c r="AG17" s="433"/>
    </row>
    <row r="18" spans="2:33" x14ac:dyDescent="0.35">
      <c r="B18" s="412">
        <v>13</v>
      </c>
      <c r="C18" s="413" t="s">
        <v>543</v>
      </c>
      <c r="D18" s="413"/>
      <c r="E18" s="414"/>
      <c r="F18" s="415">
        <f>'1.NVL Chai'!H$13*'2.Hao hut &amp; % chai '!H69</f>
        <v>0</v>
      </c>
      <c r="G18" s="415">
        <f>'1.NVL Chai'!I$13*'2.Hao hut &amp; % chai '!I69</f>
        <v>0</v>
      </c>
      <c r="H18" s="415">
        <f>'1.NVL Chai'!J$13*'2.Hao hut &amp; % chai '!J69</f>
        <v>0</v>
      </c>
      <c r="I18" s="415">
        <f>'1.NVL Chai'!K$13*'2.Hao hut &amp; % chai '!K69</f>
        <v>0</v>
      </c>
      <c r="J18" s="415">
        <f>'1.NVL Chai'!L$13*'2.Hao hut &amp; % chai '!L69</f>
        <v>0</v>
      </c>
      <c r="K18" s="415">
        <f>'1.NVL Chai'!M$13*'2.Hao hut &amp; % chai '!M69</f>
        <v>0</v>
      </c>
      <c r="L18" s="415">
        <f>'1.NVL Chai'!N$13*'2.Hao hut &amp; % chai '!N69</f>
        <v>0</v>
      </c>
      <c r="M18" s="415">
        <f>'1.NVL Chai'!O$13*'2.Hao hut &amp; % chai '!O69</f>
        <v>0</v>
      </c>
      <c r="N18" s="415">
        <f>'1.NVL Chai'!P$13*'2.Hao hut &amp; % chai '!P69</f>
        <v>0</v>
      </c>
      <c r="O18" s="415">
        <f>'1.NVL Chai'!Q$13*'2.Hao hut &amp; % chai '!Q69</f>
        <v>0</v>
      </c>
      <c r="P18" s="415">
        <f>'1.NVL Chai'!R$13*'2.Hao hut &amp; % chai '!R69</f>
        <v>0</v>
      </c>
      <c r="Q18" s="415">
        <f>'1.NVL Chai'!S$13*'2.Hao hut &amp; % chai '!S69</f>
        <v>0</v>
      </c>
      <c r="R18" s="414">
        <f t="shared" si="0"/>
        <v>0</v>
      </c>
      <c r="S18" s="433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414">
        <f t="shared" si="1"/>
        <v>0</v>
      </c>
      <c r="AG18" s="433"/>
    </row>
    <row r="19" spans="2:33" x14ac:dyDescent="0.35">
      <c r="B19" s="412">
        <v>14</v>
      </c>
      <c r="C19" s="413" t="s">
        <v>544</v>
      </c>
      <c r="D19" s="413"/>
      <c r="E19" s="414"/>
      <c r="F19" s="415">
        <f>'1.NVL Chai'!H$13*'2.Hao hut &amp; % chai '!H70</f>
        <v>4050</v>
      </c>
      <c r="G19" s="415">
        <f>'1.NVL Chai'!I$13*'2.Hao hut &amp; % chai '!I70</f>
        <v>3150</v>
      </c>
      <c r="H19" s="415">
        <f>'1.NVL Chai'!J$13*'2.Hao hut &amp; % chai '!J70</f>
        <v>4500</v>
      </c>
      <c r="I19" s="415">
        <f>'1.NVL Chai'!K$13*'2.Hao hut &amp; % chai '!K70</f>
        <v>4950</v>
      </c>
      <c r="J19" s="415">
        <f>'1.NVL Chai'!L$13*'2.Hao hut &amp; % chai '!L70</f>
        <v>4400</v>
      </c>
      <c r="K19" s="415">
        <f>'1.NVL Chai'!M$13*'2.Hao hut &amp; % chai '!M70</f>
        <v>3850</v>
      </c>
      <c r="L19" s="415">
        <f>'1.NVL Chai'!N$13*'2.Hao hut &amp; % chai '!N70</f>
        <v>3850</v>
      </c>
      <c r="M19" s="415">
        <f>'1.NVL Chai'!O$13*'2.Hao hut &amp; % chai '!O70</f>
        <v>3850</v>
      </c>
      <c r="N19" s="415">
        <f>'1.NVL Chai'!P$13*'2.Hao hut &amp; % chai '!P70</f>
        <v>3850</v>
      </c>
      <c r="O19" s="415">
        <f>'1.NVL Chai'!Q$13*'2.Hao hut &amp; % chai '!Q70</f>
        <v>3850</v>
      </c>
      <c r="P19" s="415">
        <f>'1.NVL Chai'!R$13*'2.Hao hut &amp; % chai '!R70</f>
        <v>3850</v>
      </c>
      <c r="Q19" s="415">
        <f>'1.NVL Chai'!S$13*'2.Hao hut &amp; % chai '!S70</f>
        <v>3850</v>
      </c>
      <c r="R19" s="414">
        <f t="shared" si="0"/>
        <v>48000</v>
      </c>
      <c r="S19" s="433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414">
        <f t="shared" si="1"/>
        <v>0</v>
      </c>
      <c r="AG19" s="433"/>
    </row>
    <row r="20" spans="2:33" x14ac:dyDescent="0.35">
      <c r="B20" s="416">
        <v>15</v>
      </c>
      <c r="C20" s="417" t="s">
        <v>175</v>
      </c>
      <c r="D20" s="417"/>
      <c r="E20" s="418"/>
      <c r="F20" s="419">
        <f>'1.NVL Chai'!H$13*'2.Hao hut &amp; % chai '!H71</f>
        <v>0</v>
      </c>
      <c r="G20" s="419">
        <f>'1.NVL Chai'!I$13*'2.Hao hut &amp; % chai '!I71</f>
        <v>0</v>
      </c>
      <c r="H20" s="419">
        <f>'1.NVL Chai'!J$13*'2.Hao hut &amp; % chai '!J71</f>
        <v>0</v>
      </c>
      <c r="I20" s="419">
        <f>'1.NVL Chai'!K$13*'2.Hao hut &amp; % chai '!K71</f>
        <v>0</v>
      </c>
      <c r="J20" s="419">
        <f>'1.NVL Chai'!L$13*'2.Hao hut &amp; % chai '!L71</f>
        <v>0</v>
      </c>
      <c r="K20" s="419">
        <f>'1.NVL Chai'!M$13*'2.Hao hut &amp; % chai '!M71</f>
        <v>0</v>
      </c>
      <c r="L20" s="419">
        <f>'1.NVL Chai'!N$13*'2.Hao hut &amp; % chai '!N71</f>
        <v>0</v>
      </c>
      <c r="M20" s="419">
        <f>'1.NVL Chai'!O$13*'2.Hao hut &amp; % chai '!O71</f>
        <v>0</v>
      </c>
      <c r="N20" s="419">
        <f>'1.NVL Chai'!P$13*'2.Hao hut &amp; % chai '!P71</f>
        <v>0</v>
      </c>
      <c r="O20" s="419">
        <f>'1.NVL Chai'!Q$13*'2.Hao hut &amp; % chai '!Q71</f>
        <v>0</v>
      </c>
      <c r="P20" s="419">
        <f>'1.NVL Chai'!R$13*'2.Hao hut &amp; % chai '!R71</f>
        <v>0</v>
      </c>
      <c r="Q20" s="419">
        <f>'1.NVL Chai'!S$13*'2.Hao hut &amp; % chai '!S71</f>
        <v>0</v>
      </c>
      <c r="R20" s="418">
        <f t="shared" si="0"/>
        <v>0</v>
      </c>
      <c r="T20" s="419"/>
      <c r="U20" s="419"/>
      <c r="V20" s="419"/>
      <c r="W20" s="419"/>
      <c r="X20" s="419"/>
      <c r="Y20" s="419"/>
      <c r="Z20" s="419"/>
      <c r="AA20" s="419"/>
      <c r="AB20" s="419"/>
      <c r="AC20" s="419"/>
      <c r="AD20" s="419"/>
      <c r="AE20" s="419"/>
      <c r="AF20" s="418">
        <f t="shared" si="1"/>
        <v>0</v>
      </c>
    </row>
    <row r="21" spans="2:33" x14ac:dyDescent="0.35">
      <c r="B21" s="163"/>
      <c r="C21" s="164" t="s">
        <v>480</v>
      </c>
      <c r="D21" s="164"/>
      <c r="E21" s="166">
        <f>SUM(E6:E20)</f>
        <v>0</v>
      </c>
      <c r="F21" s="166">
        <f>SUM(F6:F20)</f>
        <v>360450</v>
      </c>
      <c r="G21" s="166">
        <f>SUM(G6:G20)</f>
        <v>280350</v>
      </c>
      <c r="H21" s="166">
        <f>SUM(H6:H20)</f>
        <v>400500</v>
      </c>
      <c r="I21" s="166">
        <f>SUM(I6:I20)</f>
        <v>440550</v>
      </c>
      <c r="J21" s="166">
        <f t="shared" ref="J21:Q21" si="2">SUM(J6:J20)</f>
        <v>391600</v>
      </c>
      <c r="K21" s="166">
        <f t="shared" si="2"/>
        <v>342650</v>
      </c>
      <c r="L21" s="166">
        <f t="shared" si="2"/>
        <v>342650</v>
      </c>
      <c r="M21" s="166">
        <f t="shared" si="2"/>
        <v>342650</v>
      </c>
      <c r="N21" s="166">
        <f t="shared" si="2"/>
        <v>342650</v>
      </c>
      <c r="O21" s="166">
        <f t="shared" si="2"/>
        <v>342650</v>
      </c>
      <c r="P21" s="166">
        <f t="shared" si="2"/>
        <v>342650</v>
      </c>
      <c r="Q21" s="166">
        <f t="shared" si="2"/>
        <v>342650</v>
      </c>
      <c r="R21" s="166">
        <f>SUM(R6:R20)</f>
        <v>4272000</v>
      </c>
      <c r="T21" s="166">
        <f>SUM(T6:T20)</f>
        <v>0</v>
      </c>
      <c r="U21" s="166">
        <f>SUM(U6:U20)</f>
        <v>0</v>
      </c>
      <c r="V21" s="166">
        <f>SUM(V6:V20)</f>
        <v>0</v>
      </c>
      <c r="W21" s="166">
        <f>SUM(W6:W20)</f>
        <v>0</v>
      </c>
      <c r="X21" s="166">
        <f t="shared" ref="X21:AE21" si="3">SUM(X6:X20)</f>
        <v>0</v>
      </c>
      <c r="Y21" s="166">
        <f t="shared" si="3"/>
        <v>0</v>
      </c>
      <c r="Z21" s="166">
        <f t="shared" si="3"/>
        <v>0</v>
      </c>
      <c r="AA21" s="166">
        <f t="shared" si="3"/>
        <v>0</v>
      </c>
      <c r="AB21" s="166">
        <f t="shared" si="3"/>
        <v>0</v>
      </c>
      <c r="AC21" s="166">
        <f t="shared" si="3"/>
        <v>0</v>
      </c>
      <c r="AD21" s="166">
        <f t="shared" si="3"/>
        <v>0</v>
      </c>
      <c r="AE21" s="166">
        <f t="shared" si="3"/>
        <v>0</v>
      </c>
      <c r="AF21" s="166">
        <f>SUM(AF6:AF20)</f>
        <v>0</v>
      </c>
    </row>
    <row r="23" spans="2:33" x14ac:dyDescent="0.35">
      <c r="B23" s="11" t="s">
        <v>660</v>
      </c>
      <c r="R23" s="11" t="s">
        <v>659</v>
      </c>
      <c r="AF23" s="11" t="s">
        <v>659</v>
      </c>
    </row>
    <row r="24" spans="2:33" ht="26" x14ac:dyDescent="0.35">
      <c r="B24" s="187" t="s">
        <v>36</v>
      </c>
      <c r="C24" s="187" t="s">
        <v>524</v>
      </c>
      <c r="D24" s="187" t="s">
        <v>257</v>
      </c>
      <c r="E24" s="116" t="s">
        <v>148</v>
      </c>
      <c r="F24" s="116" t="s">
        <v>149</v>
      </c>
      <c r="G24" s="116" t="s">
        <v>150</v>
      </c>
      <c r="H24" s="116" t="s">
        <v>151</v>
      </c>
      <c r="I24" s="116" t="s">
        <v>152</v>
      </c>
      <c r="J24" s="116" t="s">
        <v>153</v>
      </c>
      <c r="K24" s="116" t="s">
        <v>154</v>
      </c>
      <c r="L24" s="116" t="s">
        <v>155</v>
      </c>
      <c r="M24" s="116" t="s">
        <v>156</v>
      </c>
      <c r="N24" s="116" t="s">
        <v>157</v>
      </c>
      <c r="O24" s="116" t="s">
        <v>158</v>
      </c>
      <c r="P24" s="116" t="s">
        <v>159</v>
      </c>
      <c r="Q24" s="116" t="s">
        <v>160</v>
      </c>
      <c r="R24" s="116" t="s">
        <v>2147</v>
      </c>
      <c r="T24" s="714" t="s">
        <v>149</v>
      </c>
      <c r="U24" s="714" t="s">
        <v>150</v>
      </c>
      <c r="V24" s="714" t="s">
        <v>151</v>
      </c>
      <c r="W24" s="714" t="s">
        <v>152</v>
      </c>
      <c r="X24" s="714" t="s">
        <v>153</v>
      </c>
      <c r="Y24" s="714" t="s">
        <v>154</v>
      </c>
      <c r="Z24" s="714" t="s">
        <v>155</v>
      </c>
      <c r="AA24" s="714" t="s">
        <v>156</v>
      </c>
      <c r="AB24" s="714" t="s">
        <v>157</v>
      </c>
      <c r="AC24" s="714" t="s">
        <v>158</v>
      </c>
      <c r="AD24" s="714" t="s">
        <v>159</v>
      </c>
      <c r="AE24" s="714" t="s">
        <v>160</v>
      </c>
      <c r="AF24" s="714" t="s">
        <v>148</v>
      </c>
    </row>
    <row r="25" spans="2:33" x14ac:dyDescent="0.35">
      <c r="B25" s="408">
        <v>1</v>
      </c>
      <c r="C25" s="409" t="s">
        <v>530</v>
      </c>
      <c r="D25" s="409"/>
      <c r="E25" s="410"/>
      <c r="F25" s="411">
        <f>'1.NVL Chai'!H$14*'2.Hao hut &amp; % chai '!H76</f>
        <v>229500</v>
      </c>
      <c r="G25" s="411">
        <f>'1.NVL Chai'!I$14*'2.Hao hut &amp; % chai '!I76</f>
        <v>178500</v>
      </c>
      <c r="H25" s="411">
        <f>'1.NVL Chai'!J$14*'2.Hao hut &amp; % chai '!J76</f>
        <v>255000</v>
      </c>
      <c r="I25" s="411">
        <f>'1.NVL Chai'!K$14*'2.Hao hut &amp; % chai '!K76</f>
        <v>280500</v>
      </c>
      <c r="J25" s="411">
        <f>'1.NVL Chai'!L$14*'2.Hao hut &amp; % chai '!L76</f>
        <v>308549.99999999994</v>
      </c>
      <c r="K25" s="411">
        <f>'1.NVL Chai'!M$14*'2.Hao hut &amp; % chai '!M76</f>
        <v>336600</v>
      </c>
      <c r="L25" s="411">
        <f>'1.NVL Chai'!N$14*'2.Hao hut &amp; % chai '!N76</f>
        <v>336600</v>
      </c>
      <c r="M25" s="411">
        <f>'1.NVL Chai'!O$14*'2.Hao hut &amp; % chai '!O76</f>
        <v>336600</v>
      </c>
      <c r="N25" s="411">
        <f>'1.NVL Chai'!P$14*'2.Hao hut &amp; % chai '!P76</f>
        <v>336600</v>
      </c>
      <c r="O25" s="411">
        <f>'1.NVL Chai'!Q$14*'2.Hao hut &amp; % chai '!Q76</f>
        <v>336600</v>
      </c>
      <c r="P25" s="411">
        <f>'1.NVL Chai'!R$14*'2.Hao hut &amp; % chai '!R76</f>
        <v>336600</v>
      </c>
      <c r="Q25" s="411">
        <f>'1.NVL Chai'!S$14*'2.Hao hut &amp; % chai '!S76</f>
        <v>336600</v>
      </c>
      <c r="R25" s="410">
        <f>SUM(F25:Q25)</f>
        <v>3608250</v>
      </c>
      <c r="S25" s="433"/>
      <c r="T25" s="411"/>
      <c r="U25" s="411"/>
      <c r="V25" s="411"/>
      <c r="W25" s="411"/>
      <c r="X25" s="411"/>
      <c r="Y25" s="411"/>
      <c r="Z25" s="411"/>
      <c r="AA25" s="411"/>
      <c r="AB25" s="411"/>
      <c r="AC25" s="411"/>
      <c r="AD25" s="411"/>
      <c r="AE25" s="411"/>
      <c r="AF25" s="410">
        <f>SUM(T25:AE25)</f>
        <v>0</v>
      </c>
      <c r="AG25" s="433"/>
    </row>
    <row r="26" spans="2:33" x14ac:dyDescent="0.35">
      <c r="B26" s="412">
        <v>2</v>
      </c>
      <c r="C26" s="413" t="s">
        <v>532</v>
      </c>
      <c r="D26" s="413"/>
      <c r="E26" s="414"/>
      <c r="F26" s="415">
        <f>'1.NVL Chai'!H$14*'2.Hao hut &amp; % chai '!H77</f>
        <v>0</v>
      </c>
      <c r="G26" s="415">
        <f>'1.NVL Chai'!I$14*'2.Hao hut &amp; % chai '!I77</f>
        <v>0</v>
      </c>
      <c r="H26" s="415">
        <f>'1.NVL Chai'!J$14*'2.Hao hut &amp; % chai '!J77</f>
        <v>0</v>
      </c>
      <c r="I26" s="415">
        <f>'1.NVL Chai'!K$14*'2.Hao hut &amp; % chai '!K77</f>
        <v>0</v>
      </c>
      <c r="J26" s="415">
        <f>'1.NVL Chai'!L$14*'2.Hao hut &amp; % chai '!L77</f>
        <v>0</v>
      </c>
      <c r="K26" s="415">
        <f>'1.NVL Chai'!M$14*'2.Hao hut &amp; % chai '!M77</f>
        <v>0</v>
      </c>
      <c r="L26" s="415">
        <f>'1.NVL Chai'!N$14*'2.Hao hut &amp; % chai '!N77</f>
        <v>0</v>
      </c>
      <c r="M26" s="415">
        <f>'1.NVL Chai'!O$14*'2.Hao hut &amp; % chai '!O77</f>
        <v>0</v>
      </c>
      <c r="N26" s="415">
        <f>'1.NVL Chai'!P$14*'2.Hao hut &amp; % chai '!P77</f>
        <v>0</v>
      </c>
      <c r="O26" s="415">
        <f>'1.NVL Chai'!Q$14*'2.Hao hut &amp; % chai '!Q77</f>
        <v>0</v>
      </c>
      <c r="P26" s="415">
        <f>'1.NVL Chai'!R$14*'2.Hao hut &amp; % chai '!R77</f>
        <v>0</v>
      </c>
      <c r="Q26" s="415">
        <f>'1.NVL Chai'!S$14*'2.Hao hut &amp; % chai '!S77</f>
        <v>0</v>
      </c>
      <c r="R26" s="414">
        <f t="shared" ref="R26:R39" si="4">SUM(F26:Q26)</f>
        <v>0</v>
      </c>
      <c r="S26" s="433"/>
      <c r="T26" s="415"/>
      <c r="U26" s="415"/>
      <c r="V26" s="415"/>
      <c r="W26" s="415"/>
      <c r="X26" s="415"/>
      <c r="Y26" s="415"/>
      <c r="Z26" s="415"/>
      <c r="AA26" s="415"/>
      <c r="AB26" s="415"/>
      <c r="AC26" s="415"/>
      <c r="AD26" s="415"/>
      <c r="AE26" s="415"/>
      <c r="AF26" s="414">
        <f t="shared" ref="AF26:AF39" si="5">SUM(T26:AE26)</f>
        <v>0</v>
      </c>
      <c r="AG26" s="433"/>
    </row>
    <row r="27" spans="2:33" x14ac:dyDescent="0.35">
      <c r="B27" s="412">
        <v>3</v>
      </c>
      <c r="C27" s="413" t="s">
        <v>533</v>
      </c>
      <c r="D27" s="413"/>
      <c r="E27" s="414"/>
      <c r="F27" s="415">
        <f>'1.NVL Chai'!H$14*'2.Hao hut &amp; % chai '!H78</f>
        <v>0</v>
      </c>
      <c r="G27" s="415">
        <f>'1.NVL Chai'!I$14*'2.Hao hut &amp; % chai '!I78</f>
        <v>0</v>
      </c>
      <c r="H27" s="415">
        <f>'1.NVL Chai'!J$14*'2.Hao hut &amp; % chai '!J78</f>
        <v>0</v>
      </c>
      <c r="I27" s="415">
        <f>'1.NVL Chai'!K$14*'2.Hao hut &amp; % chai '!K78</f>
        <v>0</v>
      </c>
      <c r="J27" s="415">
        <f>'1.NVL Chai'!L$14*'2.Hao hut &amp; % chai '!L78</f>
        <v>0</v>
      </c>
      <c r="K27" s="415">
        <f>'1.NVL Chai'!M$14*'2.Hao hut &amp; % chai '!M78</f>
        <v>0</v>
      </c>
      <c r="L27" s="415">
        <f>'1.NVL Chai'!N$14*'2.Hao hut &amp; % chai '!N78</f>
        <v>0</v>
      </c>
      <c r="M27" s="415">
        <f>'1.NVL Chai'!O$14*'2.Hao hut &amp; % chai '!O78</f>
        <v>0</v>
      </c>
      <c r="N27" s="415">
        <f>'1.NVL Chai'!P$14*'2.Hao hut &amp; % chai '!P78</f>
        <v>0</v>
      </c>
      <c r="O27" s="415">
        <f>'1.NVL Chai'!Q$14*'2.Hao hut &amp; % chai '!Q78</f>
        <v>0</v>
      </c>
      <c r="P27" s="415">
        <f>'1.NVL Chai'!R$14*'2.Hao hut &amp; % chai '!R78</f>
        <v>0</v>
      </c>
      <c r="Q27" s="415">
        <f>'1.NVL Chai'!S$14*'2.Hao hut &amp; % chai '!S78</f>
        <v>0</v>
      </c>
      <c r="R27" s="414">
        <f t="shared" si="4"/>
        <v>0</v>
      </c>
      <c r="S27" s="433"/>
      <c r="T27" s="415"/>
      <c r="U27" s="415"/>
      <c r="V27" s="415"/>
      <c r="W27" s="415"/>
      <c r="X27" s="415"/>
      <c r="Y27" s="415"/>
      <c r="Z27" s="415"/>
      <c r="AA27" s="415"/>
      <c r="AB27" s="415"/>
      <c r="AC27" s="415"/>
      <c r="AD27" s="415"/>
      <c r="AE27" s="415"/>
      <c r="AF27" s="414">
        <f t="shared" si="5"/>
        <v>0</v>
      </c>
      <c r="AG27" s="433"/>
    </row>
    <row r="28" spans="2:33" x14ac:dyDescent="0.35">
      <c r="B28" s="412">
        <v>4</v>
      </c>
      <c r="C28" s="413" t="s">
        <v>534</v>
      </c>
      <c r="D28" s="413"/>
      <c r="E28" s="414"/>
      <c r="F28" s="415">
        <f>'1.NVL Chai'!H$14*'2.Hao hut &amp; % chai '!H79</f>
        <v>0</v>
      </c>
      <c r="G28" s="415">
        <f>'1.NVL Chai'!I$14*'2.Hao hut &amp; % chai '!I79</f>
        <v>0</v>
      </c>
      <c r="H28" s="415">
        <f>'1.NVL Chai'!J$14*'2.Hao hut &amp; % chai '!J79</f>
        <v>0</v>
      </c>
      <c r="I28" s="415">
        <f>'1.NVL Chai'!K$14*'2.Hao hut &amp; % chai '!K79</f>
        <v>0</v>
      </c>
      <c r="J28" s="415">
        <f>'1.NVL Chai'!L$14*'2.Hao hut &amp; % chai '!L79</f>
        <v>0</v>
      </c>
      <c r="K28" s="415">
        <f>'1.NVL Chai'!M$14*'2.Hao hut &amp; % chai '!M79</f>
        <v>0</v>
      </c>
      <c r="L28" s="415">
        <f>'1.NVL Chai'!N$14*'2.Hao hut &amp; % chai '!N79</f>
        <v>0</v>
      </c>
      <c r="M28" s="415">
        <f>'1.NVL Chai'!O$14*'2.Hao hut &amp; % chai '!O79</f>
        <v>0</v>
      </c>
      <c r="N28" s="415">
        <f>'1.NVL Chai'!P$14*'2.Hao hut &amp; % chai '!P79</f>
        <v>0</v>
      </c>
      <c r="O28" s="415">
        <f>'1.NVL Chai'!Q$14*'2.Hao hut &amp; % chai '!Q79</f>
        <v>0</v>
      </c>
      <c r="P28" s="415">
        <f>'1.NVL Chai'!R$14*'2.Hao hut &amp; % chai '!R79</f>
        <v>0</v>
      </c>
      <c r="Q28" s="415">
        <f>'1.NVL Chai'!S$14*'2.Hao hut &amp; % chai '!S79</f>
        <v>0</v>
      </c>
      <c r="R28" s="414">
        <f t="shared" si="4"/>
        <v>0</v>
      </c>
      <c r="S28" s="433"/>
      <c r="T28" s="415"/>
      <c r="U28" s="415"/>
      <c r="V28" s="415"/>
      <c r="W28" s="415"/>
      <c r="X28" s="415"/>
      <c r="Y28" s="415"/>
      <c r="Z28" s="415"/>
      <c r="AA28" s="415"/>
      <c r="AB28" s="415"/>
      <c r="AC28" s="415"/>
      <c r="AD28" s="415"/>
      <c r="AE28" s="415"/>
      <c r="AF28" s="414">
        <f t="shared" si="5"/>
        <v>0</v>
      </c>
      <c r="AG28" s="433"/>
    </row>
    <row r="29" spans="2:33" x14ac:dyDescent="0.35">
      <c r="B29" s="412">
        <v>5</v>
      </c>
      <c r="C29" s="413" t="s">
        <v>535</v>
      </c>
      <c r="D29" s="413"/>
      <c r="E29" s="414"/>
      <c r="F29" s="415">
        <f>'1.NVL Chai'!H$14*'2.Hao hut &amp; % chai '!H80</f>
        <v>9000</v>
      </c>
      <c r="G29" s="415">
        <f>'1.NVL Chai'!I$14*'2.Hao hut &amp; % chai '!I80</f>
        <v>7000</v>
      </c>
      <c r="H29" s="415">
        <f>'1.NVL Chai'!J$14*'2.Hao hut &amp; % chai '!J80</f>
        <v>10000</v>
      </c>
      <c r="I29" s="415">
        <f>'1.NVL Chai'!K$14*'2.Hao hut &amp; % chai '!K80</f>
        <v>11000</v>
      </c>
      <c r="J29" s="415">
        <f>'1.NVL Chai'!L$14*'2.Hao hut &amp; % chai '!L80</f>
        <v>12099.999999999998</v>
      </c>
      <c r="K29" s="415">
        <f>'1.NVL Chai'!M$14*'2.Hao hut &amp; % chai '!M80</f>
        <v>13200</v>
      </c>
      <c r="L29" s="415">
        <f>'1.NVL Chai'!N$14*'2.Hao hut &amp; % chai '!N80</f>
        <v>13200</v>
      </c>
      <c r="M29" s="415">
        <f>'1.NVL Chai'!O$14*'2.Hao hut &amp; % chai '!O80</f>
        <v>13200</v>
      </c>
      <c r="N29" s="415">
        <f>'1.NVL Chai'!P$14*'2.Hao hut &amp; % chai '!P80</f>
        <v>13200</v>
      </c>
      <c r="O29" s="415">
        <f>'1.NVL Chai'!Q$14*'2.Hao hut &amp; % chai '!Q80</f>
        <v>13200</v>
      </c>
      <c r="P29" s="415">
        <f>'1.NVL Chai'!R$14*'2.Hao hut &amp; % chai '!R80</f>
        <v>13200</v>
      </c>
      <c r="Q29" s="415">
        <f>'1.NVL Chai'!S$14*'2.Hao hut &amp; % chai '!S80</f>
        <v>13200</v>
      </c>
      <c r="R29" s="414">
        <f t="shared" si="4"/>
        <v>141500</v>
      </c>
      <c r="S29" s="433"/>
      <c r="T29" s="415"/>
      <c r="U29" s="415"/>
      <c r="V29" s="415"/>
      <c r="W29" s="415"/>
      <c r="X29" s="415"/>
      <c r="Y29" s="415"/>
      <c r="Z29" s="415"/>
      <c r="AA29" s="415"/>
      <c r="AB29" s="415"/>
      <c r="AC29" s="415"/>
      <c r="AD29" s="415"/>
      <c r="AE29" s="415"/>
      <c r="AF29" s="414">
        <f t="shared" si="5"/>
        <v>0</v>
      </c>
      <c r="AG29" s="433"/>
    </row>
    <row r="30" spans="2:33" x14ac:dyDescent="0.35">
      <c r="B30" s="412">
        <v>6</v>
      </c>
      <c r="C30" s="413" t="s">
        <v>536</v>
      </c>
      <c r="D30" s="413"/>
      <c r="E30" s="414"/>
      <c r="F30" s="415">
        <f>'1.NVL Chai'!H$14*'2.Hao hut &amp; % chai '!H81</f>
        <v>0</v>
      </c>
      <c r="G30" s="415">
        <f>'1.NVL Chai'!I$14*'2.Hao hut &amp; % chai '!I81</f>
        <v>0</v>
      </c>
      <c r="H30" s="415">
        <f>'1.NVL Chai'!J$14*'2.Hao hut &amp; % chai '!J81</f>
        <v>0</v>
      </c>
      <c r="I30" s="415">
        <f>'1.NVL Chai'!K$14*'2.Hao hut &amp; % chai '!K81</f>
        <v>0</v>
      </c>
      <c r="J30" s="415">
        <f>'1.NVL Chai'!L$14*'2.Hao hut &amp; % chai '!L81</f>
        <v>0</v>
      </c>
      <c r="K30" s="415">
        <f>'1.NVL Chai'!M$14*'2.Hao hut &amp; % chai '!M81</f>
        <v>0</v>
      </c>
      <c r="L30" s="415">
        <f>'1.NVL Chai'!N$14*'2.Hao hut &amp; % chai '!N81</f>
        <v>0</v>
      </c>
      <c r="M30" s="415">
        <f>'1.NVL Chai'!O$14*'2.Hao hut &amp; % chai '!O81</f>
        <v>0</v>
      </c>
      <c r="N30" s="415">
        <f>'1.NVL Chai'!P$14*'2.Hao hut &amp; % chai '!P81</f>
        <v>0</v>
      </c>
      <c r="O30" s="415">
        <f>'1.NVL Chai'!Q$14*'2.Hao hut &amp; % chai '!Q81</f>
        <v>0</v>
      </c>
      <c r="P30" s="415">
        <f>'1.NVL Chai'!R$14*'2.Hao hut &amp; % chai '!R81</f>
        <v>0</v>
      </c>
      <c r="Q30" s="415">
        <f>'1.NVL Chai'!S$14*'2.Hao hut &amp; % chai '!S81</f>
        <v>0</v>
      </c>
      <c r="R30" s="414">
        <f t="shared" si="4"/>
        <v>0</v>
      </c>
      <c r="S30" s="433"/>
      <c r="T30" s="415"/>
      <c r="U30" s="415"/>
      <c r="V30" s="415"/>
      <c r="W30" s="415"/>
      <c r="X30" s="415"/>
      <c r="Y30" s="415"/>
      <c r="Z30" s="415"/>
      <c r="AA30" s="415"/>
      <c r="AB30" s="415"/>
      <c r="AC30" s="415"/>
      <c r="AD30" s="415"/>
      <c r="AE30" s="415"/>
      <c r="AF30" s="414">
        <f t="shared" si="5"/>
        <v>0</v>
      </c>
      <c r="AG30" s="433"/>
    </row>
    <row r="31" spans="2:33" x14ac:dyDescent="0.35">
      <c r="B31" s="412">
        <v>7</v>
      </c>
      <c r="C31" s="413" t="s">
        <v>537</v>
      </c>
      <c r="D31" s="413"/>
      <c r="E31" s="414"/>
      <c r="F31" s="415">
        <f>'1.NVL Chai'!H$14*'2.Hao hut &amp; % chai '!H82</f>
        <v>4500</v>
      </c>
      <c r="G31" s="415">
        <f>'1.NVL Chai'!I$14*'2.Hao hut &amp; % chai '!I82</f>
        <v>3500</v>
      </c>
      <c r="H31" s="415">
        <f>'1.NVL Chai'!J$14*'2.Hao hut &amp; % chai '!J82</f>
        <v>5000</v>
      </c>
      <c r="I31" s="415">
        <f>'1.NVL Chai'!K$14*'2.Hao hut &amp; % chai '!K82</f>
        <v>5500</v>
      </c>
      <c r="J31" s="415">
        <f>'1.NVL Chai'!L$14*'2.Hao hut &amp; % chai '!L82</f>
        <v>6049.9999999999991</v>
      </c>
      <c r="K31" s="415">
        <f>'1.NVL Chai'!M$14*'2.Hao hut &amp; % chai '!M82</f>
        <v>6600</v>
      </c>
      <c r="L31" s="415">
        <f>'1.NVL Chai'!N$14*'2.Hao hut &amp; % chai '!N82</f>
        <v>6600</v>
      </c>
      <c r="M31" s="415">
        <f>'1.NVL Chai'!O$14*'2.Hao hut &amp; % chai '!O82</f>
        <v>6600</v>
      </c>
      <c r="N31" s="415">
        <f>'1.NVL Chai'!P$14*'2.Hao hut &amp; % chai '!P82</f>
        <v>6600</v>
      </c>
      <c r="O31" s="415">
        <f>'1.NVL Chai'!Q$14*'2.Hao hut &amp; % chai '!Q82</f>
        <v>6600</v>
      </c>
      <c r="P31" s="415">
        <f>'1.NVL Chai'!R$14*'2.Hao hut &amp; % chai '!R82</f>
        <v>6600</v>
      </c>
      <c r="Q31" s="415">
        <f>'1.NVL Chai'!S$14*'2.Hao hut &amp; % chai '!S82</f>
        <v>6600</v>
      </c>
      <c r="R31" s="414">
        <f t="shared" si="4"/>
        <v>70750</v>
      </c>
      <c r="S31" s="433"/>
      <c r="T31" s="415"/>
      <c r="U31" s="415"/>
      <c r="V31" s="415"/>
      <c r="W31" s="415"/>
      <c r="X31" s="415"/>
      <c r="Y31" s="415"/>
      <c r="Z31" s="415"/>
      <c r="AA31" s="415"/>
      <c r="AB31" s="415"/>
      <c r="AC31" s="415"/>
      <c r="AD31" s="415"/>
      <c r="AE31" s="415"/>
      <c r="AF31" s="414">
        <f t="shared" si="5"/>
        <v>0</v>
      </c>
      <c r="AG31" s="433"/>
    </row>
    <row r="32" spans="2:33" x14ac:dyDescent="0.35">
      <c r="B32" s="412">
        <v>8</v>
      </c>
      <c r="C32" s="413" t="s">
        <v>538</v>
      </c>
      <c r="D32" s="413"/>
      <c r="E32" s="414"/>
      <c r="F32" s="415">
        <f>'1.NVL Chai'!H$14*'2.Hao hut &amp; % chai '!H83</f>
        <v>9000</v>
      </c>
      <c r="G32" s="415">
        <f>'1.NVL Chai'!I$14*'2.Hao hut &amp; % chai '!I83</f>
        <v>7000</v>
      </c>
      <c r="H32" s="415">
        <f>'1.NVL Chai'!J$14*'2.Hao hut &amp; % chai '!J83</f>
        <v>10000</v>
      </c>
      <c r="I32" s="415">
        <f>'1.NVL Chai'!K$14*'2.Hao hut &amp; % chai '!K83</f>
        <v>11000</v>
      </c>
      <c r="J32" s="415">
        <f>'1.NVL Chai'!L$14*'2.Hao hut &amp; % chai '!L83</f>
        <v>12099.999999999998</v>
      </c>
      <c r="K32" s="415">
        <f>'1.NVL Chai'!M$14*'2.Hao hut &amp; % chai '!M83</f>
        <v>13200</v>
      </c>
      <c r="L32" s="415">
        <f>'1.NVL Chai'!N$14*'2.Hao hut &amp; % chai '!N83</f>
        <v>13200</v>
      </c>
      <c r="M32" s="415">
        <f>'1.NVL Chai'!O$14*'2.Hao hut &amp; % chai '!O83</f>
        <v>13200</v>
      </c>
      <c r="N32" s="415">
        <f>'1.NVL Chai'!P$14*'2.Hao hut &amp; % chai '!P83</f>
        <v>13200</v>
      </c>
      <c r="O32" s="415">
        <f>'1.NVL Chai'!Q$14*'2.Hao hut &amp; % chai '!Q83</f>
        <v>13200</v>
      </c>
      <c r="P32" s="415">
        <f>'1.NVL Chai'!R$14*'2.Hao hut &amp; % chai '!R83</f>
        <v>13200</v>
      </c>
      <c r="Q32" s="415">
        <f>'1.NVL Chai'!S$14*'2.Hao hut &amp; % chai '!S83</f>
        <v>13200</v>
      </c>
      <c r="R32" s="414">
        <f t="shared" si="4"/>
        <v>141500</v>
      </c>
      <c r="S32" s="433"/>
      <c r="T32" s="415"/>
      <c r="U32" s="415"/>
      <c r="V32" s="415"/>
      <c r="W32" s="415"/>
      <c r="X32" s="415"/>
      <c r="Y32" s="415"/>
      <c r="Z32" s="415"/>
      <c r="AA32" s="415"/>
      <c r="AB32" s="415"/>
      <c r="AC32" s="415"/>
      <c r="AD32" s="415"/>
      <c r="AE32" s="415"/>
      <c r="AF32" s="414">
        <f t="shared" si="5"/>
        <v>0</v>
      </c>
      <c r="AG32" s="433"/>
    </row>
    <row r="33" spans="2:33" x14ac:dyDescent="0.35">
      <c r="B33" s="412">
        <v>9</v>
      </c>
      <c r="C33" s="413" t="s">
        <v>539</v>
      </c>
      <c r="D33" s="413"/>
      <c r="E33" s="414"/>
      <c r="F33" s="415">
        <f>'1.NVL Chai'!H$14*'2.Hao hut &amp; % chai '!H84</f>
        <v>0</v>
      </c>
      <c r="G33" s="415">
        <f>'1.NVL Chai'!I$14*'2.Hao hut &amp; % chai '!I84</f>
        <v>0</v>
      </c>
      <c r="H33" s="415">
        <f>'1.NVL Chai'!J$14*'2.Hao hut &amp; % chai '!J84</f>
        <v>0</v>
      </c>
      <c r="I33" s="415">
        <f>'1.NVL Chai'!K$14*'2.Hao hut &amp; % chai '!K84</f>
        <v>0</v>
      </c>
      <c r="J33" s="415">
        <f>'1.NVL Chai'!L$14*'2.Hao hut &amp; % chai '!L84</f>
        <v>0</v>
      </c>
      <c r="K33" s="415">
        <f>'1.NVL Chai'!M$14*'2.Hao hut &amp; % chai '!M84</f>
        <v>0</v>
      </c>
      <c r="L33" s="415">
        <f>'1.NVL Chai'!N$14*'2.Hao hut &amp; % chai '!N84</f>
        <v>0</v>
      </c>
      <c r="M33" s="415">
        <f>'1.NVL Chai'!O$14*'2.Hao hut &amp; % chai '!O84</f>
        <v>0</v>
      </c>
      <c r="N33" s="415">
        <f>'1.NVL Chai'!P$14*'2.Hao hut &amp; % chai '!P84</f>
        <v>0</v>
      </c>
      <c r="O33" s="415">
        <f>'1.NVL Chai'!Q$14*'2.Hao hut &amp; % chai '!Q84</f>
        <v>0</v>
      </c>
      <c r="P33" s="415">
        <f>'1.NVL Chai'!R$14*'2.Hao hut &amp; % chai '!R84</f>
        <v>0</v>
      </c>
      <c r="Q33" s="415">
        <f>'1.NVL Chai'!S$14*'2.Hao hut &amp; % chai '!S84</f>
        <v>0</v>
      </c>
      <c r="R33" s="414">
        <f t="shared" si="4"/>
        <v>0</v>
      </c>
      <c r="S33" s="433"/>
      <c r="T33" s="415"/>
      <c r="U33" s="415"/>
      <c r="V33" s="415"/>
      <c r="W33" s="415"/>
      <c r="X33" s="415"/>
      <c r="Y33" s="415"/>
      <c r="Z33" s="415"/>
      <c r="AA33" s="415"/>
      <c r="AB33" s="415"/>
      <c r="AC33" s="415"/>
      <c r="AD33" s="415"/>
      <c r="AE33" s="415"/>
      <c r="AF33" s="414">
        <f t="shared" si="5"/>
        <v>0</v>
      </c>
      <c r="AG33" s="433"/>
    </row>
    <row r="34" spans="2:33" x14ac:dyDescent="0.35">
      <c r="B34" s="412">
        <v>10</v>
      </c>
      <c r="C34" s="413" t="s">
        <v>540</v>
      </c>
      <c r="D34" s="413"/>
      <c r="E34" s="414"/>
      <c r="F34" s="415">
        <f>'1.NVL Chai'!H$14*'2.Hao hut &amp; % chai '!H85</f>
        <v>135000</v>
      </c>
      <c r="G34" s="415">
        <f>'1.NVL Chai'!I$14*'2.Hao hut &amp; % chai '!I85</f>
        <v>105000</v>
      </c>
      <c r="H34" s="415">
        <f>'1.NVL Chai'!J$14*'2.Hao hut &amp; % chai '!J85</f>
        <v>150000</v>
      </c>
      <c r="I34" s="415">
        <f>'1.NVL Chai'!K$14*'2.Hao hut &amp; % chai '!K85</f>
        <v>165000</v>
      </c>
      <c r="J34" s="415">
        <f>'1.NVL Chai'!L$14*'2.Hao hut &amp; % chai '!L85</f>
        <v>181499.99999999997</v>
      </c>
      <c r="K34" s="415">
        <f>'1.NVL Chai'!M$14*'2.Hao hut &amp; % chai '!M85</f>
        <v>198000</v>
      </c>
      <c r="L34" s="415">
        <f>'1.NVL Chai'!N$14*'2.Hao hut &amp; % chai '!N85</f>
        <v>198000</v>
      </c>
      <c r="M34" s="415">
        <f>'1.NVL Chai'!O$14*'2.Hao hut &amp; % chai '!O85</f>
        <v>198000</v>
      </c>
      <c r="N34" s="415">
        <f>'1.NVL Chai'!P$14*'2.Hao hut &amp; % chai '!P85</f>
        <v>198000</v>
      </c>
      <c r="O34" s="415">
        <f>'1.NVL Chai'!Q$14*'2.Hao hut &amp; % chai '!Q85</f>
        <v>198000</v>
      </c>
      <c r="P34" s="415">
        <f>'1.NVL Chai'!R$14*'2.Hao hut &amp; % chai '!R85</f>
        <v>198000</v>
      </c>
      <c r="Q34" s="415">
        <f>'1.NVL Chai'!S$14*'2.Hao hut &amp; % chai '!S85</f>
        <v>198000</v>
      </c>
      <c r="R34" s="414">
        <f t="shared" si="4"/>
        <v>2122500</v>
      </c>
      <c r="S34" s="433"/>
      <c r="T34" s="415"/>
      <c r="U34" s="415"/>
      <c r="V34" s="415"/>
      <c r="W34" s="415"/>
      <c r="X34" s="415"/>
      <c r="Y34" s="415"/>
      <c r="Z34" s="415"/>
      <c r="AA34" s="415"/>
      <c r="AB34" s="415"/>
      <c r="AC34" s="415"/>
      <c r="AD34" s="415"/>
      <c r="AE34" s="415"/>
      <c r="AF34" s="414">
        <f t="shared" si="5"/>
        <v>0</v>
      </c>
      <c r="AG34" s="433"/>
    </row>
    <row r="35" spans="2:33" x14ac:dyDescent="0.35">
      <c r="B35" s="412">
        <v>11</v>
      </c>
      <c r="C35" s="413" t="s">
        <v>541</v>
      </c>
      <c r="D35" s="413"/>
      <c r="E35" s="414"/>
      <c r="F35" s="415">
        <f>'1.NVL Chai'!H$14*'2.Hao hut &amp; % chai '!H86</f>
        <v>0</v>
      </c>
      <c r="G35" s="415">
        <f>'1.NVL Chai'!I$14*'2.Hao hut &amp; % chai '!I86</f>
        <v>0</v>
      </c>
      <c r="H35" s="415">
        <f>'1.NVL Chai'!J$14*'2.Hao hut &amp; % chai '!J86</f>
        <v>0</v>
      </c>
      <c r="I35" s="415">
        <f>'1.NVL Chai'!K$14*'2.Hao hut &amp; % chai '!K86</f>
        <v>0</v>
      </c>
      <c r="J35" s="415">
        <f>'1.NVL Chai'!L$14*'2.Hao hut &amp; % chai '!L86</f>
        <v>0</v>
      </c>
      <c r="K35" s="415">
        <f>'1.NVL Chai'!M$14*'2.Hao hut &amp; % chai '!M86</f>
        <v>0</v>
      </c>
      <c r="L35" s="415">
        <f>'1.NVL Chai'!N$14*'2.Hao hut &amp; % chai '!N86</f>
        <v>0</v>
      </c>
      <c r="M35" s="415">
        <f>'1.NVL Chai'!O$14*'2.Hao hut &amp; % chai '!O86</f>
        <v>0</v>
      </c>
      <c r="N35" s="415">
        <f>'1.NVL Chai'!P$14*'2.Hao hut &amp; % chai '!P86</f>
        <v>0</v>
      </c>
      <c r="O35" s="415">
        <f>'1.NVL Chai'!Q$14*'2.Hao hut &amp; % chai '!Q86</f>
        <v>0</v>
      </c>
      <c r="P35" s="415">
        <f>'1.NVL Chai'!R$14*'2.Hao hut &amp; % chai '!R86</f>
        <v>0</v>
      </c>
      <c r="Q35" s="415">
        <f>'1.NVL Chai'!S$14*'2.Hao hut &amp; % chai '!S86</f>
        <v>0</v>
      </c>
      <c r="R35" s="414">
        <f t="shared" si="4"/>
        <v>0</v>
      </c>
      <c r="S35" s="433"/>
      <c r="T35" s="415"/>
      <c r="U35" s="415"/>
      <c r="V35" s="415"/>
      <c r="W35" s="415"/>
      <c r="X35" s="415"/>
      <c r="Y35" s="415"/>
      <c r="Z35" s="415"/>
      <c r="AA35" s="415"/>
      <c r="AB35" s="415"/>
      <c r="AC35" s="415"/>
      <c r="AD35" s="415"/>
      <c r="AE35" s="415"/>
      <c r="AF35" s="414">
        <f t="shared" si="5"/>
        <v>0</v>
      </c>
      <c r="AG35" s="433"/>
    </row>
    <row r="36" spans="2:33" x14ac:dyDescent="0.35">
      <c r="B36" s="412">
        <v>12</v>
      </c>
      <c r="C36" s="413" t="s">
        <v>542</v>
      </c>
      <c r="D36" s="413"/>
      <c r="E36" s="414"/>
      <c r="F36" s="415">
        <f>'1.NVL Chai'!H$14*'2.Hao hut &amp; % chai '!H87</f>
        <v>0</v>
      </c>
      <c r="G36" s="415">
        <f>'1.NVL Chai'!I$14*'2.Hao hut &amp; % chai '!I87</f>
        <v>0</v>
      </c>
      <c r="H36" s="415">
        <f>'1.NVL Chai'!J$14*'2.Hao hut &amp; % chai '!J87</f>
        <v>0</v>
      </c>
      <c r="I36" s="415">
        <f>'1.NVL Chai'!K$14*'2.Hao hut &amp; % chai '!K87</f>
        <v>0</v>
      </c>
      <c r="J36" s="415">
        <f>'1.NVL Chai'!L$14*'2.Hao hut &amp; % chai '!L87</f>
        <v>0</v>
      </c>
      <c r="K36" s="415">
        <f>'1.NVL Chai'!M$14*'2.Hao hut &amp; % chai '!M87</f>
        <v>0</v>
      </c>
      <c r="L36" s="415">
        <f>'1.NVL Chai'!N$14*'2.Hao hut &amp; % chai '!N87</f>
        <v>0</v>
      </c>
      <c r="M36" s="415">
        <f>'1.NVL Chai'!O$14*'2.Hao hut &amp; % chai '!O87</f>
        <v>0</v>
      </c>
      <c r="N36" s="415">
        <f>'1.NVL Chai'!P$14*'2.Hao hut &amp; % chai '!P87</f>
        <v>0</v>
      </c>
      <c r="O36" s="415">
        <f>'1.NVL Chai'!Q$14*'2.Hao hut &amp; % chai '!Q87</f>
        <v>0</v>
      </c>
      <c r="P36" s="415">
        <f>'1.NVL Chai'!R$14*'2.Hao hut &amp; % chai '!R87</f>
        <v>0</v>
      </c>
      <c r="Q36" s="415">
        <f>'1.NVL Chai'!S$14*'2.Hao hut &amp; % chai '!S87</f>
        <v>0</v>
      </c>
      <c r="R36" s="414">
        <f t="shared" si="4"/>
        <v>0</v>
      </c>
      <c r="S36" s="433"/>
      <c r="T36" s="415"/>
      <c r="U36" s="415"/>
      <c r="V36" s="415"/>
      <c r="W36" s="415"/>
      <c r="X36" s="415"/>
      <c r="Y36" s="415"/>
      <c r="Z36" s="415"/>
      <c r="AA36" s="415"/>
      <c r="AB36" s="415"/>
      <c r="AC36" s="415"/>
      <c r="AD36" s="415"/>
      <c r="AE36" s="415"/>
      <c r="AF36" s="414">
        <f t="shared" si="5"/>
        <v>0</v>
      </c>
      <c r="AG36" s="433"/>
    </row>
    <row r="37" spans="2:33" x14ac:dyDescent="0.35">
      <c r="B37" s="412">
        <v>13</v>
      </c>
      <c r="C37" s="413" t="s">
        <v>543</v>
      </c>
      <c r="D37" s="413"/>
      <c r="E37" s="414"/>
      <c r="F37" s="415">
        <f>'1.NVL Chai'!H$14*'2.Hao hut &amp; % chai '!H88</f>
        <v>0</v>
      </c>
      <c r="G37" s="415">
        <f>'1.NVL Chai'!I$14*'2.Hao hut &amp; % chai '!I88</f>
        <v>0</v>
      </c>
      <c r="H37" s="415">
        <f>'1.NVL Chai'!J$14*'2.Hao hut &amp; % chai '!J88</f>
        <v>0</v>
      </c>
      <c r="I37" s="415">
        <f>'1.NVL Chai'!K$14*'2.Hao hut &amp; % chai '!K88</f>
        <v>0</v>
      </c>
      <c r="J37" s="415">
        <f>'1.NVL Chai'!L$14*'2.Hao hut &amp; % chai '!L88</f>
        <v>0</v>
      </c>
      <c r="K37" s="415">
        <f>'1.NVL Chai'!M$14*'2.Hao hut &amp; % chai '!M88</f>
        <v>0</v>
      </c>
      <c r="L37" s="415">
        <f>'1.NVL Chai'!N$14*'2.Hao hut &amp; % chai '!N88</f>
        <v>0</v>
      </c>
      <c r="M37" s="415">
        <f>'1.NVL Chai'!O$14*'2.Hao hut &amp; % chai '!O88</f>
        <v>0</v>
      </c>
      <c r="N37" s="415">
        <f>'1.NVL Chai'!P$14*'2.Hao hut &amp; % chai '!P88</f>
        <v>0</v>
      </c>
      <c r="O37" s="415">
        <f>'1.NVL Chai'!Q$14*'2.Hao hut &amp; % chai '!Q88</f>
        <v>0</v>
      </c>
      <c r="P37" s="415">
        <f>'1.NVL Chai'!R$14*'2.Hao hut &amp; % chai '!R88</f>
        <v>0</v>
      </c>
      <c r="Q37" s="415">
        <f>'1.NVL Chai'!S$14*'2.Hao hut &amp; % chai '!S88</f>
        <v>0</v>
      </c>
      <c r="R37" s="414">
        <f t="shared" si="4"/>
        <v>0</v>
      </c>
      <c r="S37" s="433"/>
      <c r="T37" s="415"/>
      <c r="U37" s="415"/>
      <c r="V37" s="415"/>
      <c r="W37" s="415"/>
      <c r="X37" s="415"/>
      <c r="Y37" s="415"/>
      <c r="Z37" s="415"/>
      <c r="AA37" s="415"/>
      <c r="AB37" s="415"/>
      <c r="AC37" s="415"/>
      <c r="AD37" s="415"/>
      <c r="AE37" s="415"/>
      <c r="AF37" s="414">
        <f t="shared" si="5"/>
        <v>0</v>
      </c>
      <c r="AG37" s="433"/>
    </row>
    <row r="38" spans="2:33" x14ac:dyDescent="0.35">
      <c r="B38" s="412">
        <v>14</v>
      </c>
      <c r="C38" s="413" t="s">
        <v>544</v>
      </c>
      <c r="D38" s="413"/>
      <c r="E38" s="414"/>
      <c r="F38" s="415">
        <f>'1.NVL Chai'!H$14*'2.Hao hut &amp; % chai '!H89</f>
        <v>4500</v>
      </c>
      <c r="G38" s="415">
        <f>'1.NVL Chai'!I$14*'2.Hao hut &amp; % chai '!I89</f>
        <v>3500</v>
      </c>
      <c r="H38" s="415">
        <f>'1.NVL Chai'!J$14*'2.Hao hut &amp; % chai '!J89</f>
        <v>5000</v>
      </c>
      <c r="I38" s="415">
        <f>'1.NVL Chai'!K$14*'2.Hao hut &amp; % chai '!K89</f>
        <v>5500</v>
      </c>
      <c r="J38" s="415">
        <f>'1.NVL Chai'!L$14*'2.Hao hut &amp; % chai '!L89</f>
        <v>6049.9999999999991</v>
      </c>
      <c r="K38" s="415">
        <f>'1.NVL Chai'!M$14*'2.Hao hut &amp; % chai '!M89</f>
        <v>6600</v>
      </c>
      <c r="L38" s="415">
        <f>'1.NVL Chai'!N$14*'2.Hao hut &amp; % chai '!N89</f>
        <v>6600</v>
      </c>
      <c r="M38" s="415">
        <f>'1.NVL Chai'!O$14*'2.Hao hut &amp; % chai '!O89</f>
        <v>6600</v>
      </c>
      <c r="N38" s="415">
        <f>'1.NVL Chai'!P$14*'2.Hao hut &amp; % chai '!P89</f>
        <v>6600</v>
      </c>
      <c r="O38" s="415">
        <f>'1.NVL Chai'!Q$14*'2.Hao hut &amp; % chai '!Q89</f>
        <v>6600</v>
      </c>
      <c r="P38" s="415">
        <f>'1.NVL Chai'!R$14*'2.Hao hut &amp; % chai '!R89</f>
        <v>6600</v>
      </c>
      <c r="Q38" s="415">
        <f>'1.NVL Chai'!S$14*'2.Hao hut &amp; % chai '!S89</f>
        <v>6600</v>
      </c>
      <c r="R38" s="414">
        <f t="shared" si="4"/>
        <v>70750</v>
      </c>
      <c r="S38" s="433"/>
      <c r="T38" s="415"/>
      <c r="U38" s="415"/>
      <c r="V38" s="415"/>
      <c r="W38" s="415"/>
      <c r="X38" s="415"/>
      <c r="Y38" s="415"/>
      <c r="Z38" s="415"/>
      <c r="AA38" s="415"/>
      <c r="AB38" s="415"/>
      <c r="AC38" s="415"/>
      <c r="AD38" s="415"/>
      <c r="AE38" s="415"/>
      <c r="AF38" s="414">
        <f t="shared" si="5"/>
        <v>0</v>
      </c>
      <c r="AG38" s="433"/>
    </row>
    <row r="39" spans="2:33" x14ac:dyDescent="0.35">
      <c r="B39" s="416">
        <v>15</v>
      </c>
      <c r="C39" s="417" t="s">
        <v>175</v>
      </c>
      <c r="D39" s="417"/>
      <c r="E39" s="418"/>
      <c r="F39" s="419">
        <f>'1.NVL Chai'!H$14*'2.Hao hut &amp; % chai '!H90</f>
        <v>0</v>
      </c>
      <c r="G39" s="419">
        <f>'1.NVL Chai'!I$14*'2.Hao hut &amp; % chai '!I90</f>
        <v>0</v>
      </c>
      <c r="H39" s="419">
        <f>'1.NVL Chai'!J$14*'2.Hao hut &amp; % chai '!J90</f>
        <v>0</v>
      </c>
      <c r="I39" s="419">
        <f>'1.NVL Chai'!K$14*'2.Hao hut &amp; % chai '!K90</f>
        <v>0</v>
      </c>
      <c r="J39" s="419">
        <f>'1.NVL Chai'!L$14*'2.Hao hut &amp; % chai '!L90</f>
        <v>0</v>
      </c>
      <c r="K39" s="419">
        <f>'1.NVL Chai'!M$14*'2.Hao hut &amp; % chai '!M90</f>
        <v>0</v>
      </c>
      <c r="L39" s="419">
        <f>'1.NVL Chai'!N$14*'2.Hao hut &amp; % chai '!N90</f>
        <v>0</v>
      </c>
      <c r="M39" s="419">
        <f>'1.NVL Chai'!O$14*'2.Hao hut &amp; % chai '!O90</f>
        <v>0</v>
      </c>
      <c r="N39" s="419">
        <f>'1.NVL Chai'!P$14*'2.Hao hut &amp; % chai '!P90</f>
        <v>0</v>
      </c>
      <c r="O39" s="419">
        <f>'1.NVL Chai'!Q$14*'2.Hao hut &amp; % chai '!Q90</f>
        <v>0</v>
      </c>
      <c r="P39" s="419">
        <f>'1.NVL Chai'!R$14*'2.Hao hut &amp; % chai '!R90</f>
        <v>0</v>
      </c>
      <c r="Q39" s="419">
        <f>'1.NVL Chai'!S$14*'2.Hao hut &amp; % chai '!S90</f>
        <v>0</v>
      </c>
      <c r="R39" s="418">
        <f t="shared" si="4"/>
        <v>0</v>
      </c>
      <c r="T39" s="419"/>
      <c r="U39" s="419"/>
      <c r="V39" s="419"/>
      <c r="W39" s="419"/>
      <c r="X39" s="419"/>
      <c r="Y39" s="419"/>
      <c r="Z39" s="419"/>
      <c r="AA39" s="419"/>
      <c r="AB39" s="419"/>
      <c r="AC39" s="419"/>
      <c r="AD39" s="419"/>
      <c r="AE39" s="419"/>
      <c r="AF39" s="418">
        <f t="shared" si="5"/>
        <v>0</v>
      </c>
    </row>
    <row r="40" spans="2:33" x14ac:dyDescent="0.35">
      <c r="B40" s="163"/>
      <c r="C40" s="164" t="s">
        <v>480</v>
      </c>
      <c r="D40" s="164"/>
      <c r="E40" s="166">
        <f>SUM(E25:E39)</f>
        <v>0</v>
      </c>
      <c r="F40" s="166">
        <f t="shared" ref="F40:R40" si="6">SUM(F25:F39)</f>
        <v>391500</v>
      </c>
      <c r="G40" s="166">
        <f t="shared" si="6"/>
        <v>304500</v>
      </c>
      <c r="H40" s="166">
        <f t="shared" si="6"/>
        <v>435000</v>
      </c>
      <c r="I40" s="166">
        <f t="shared" si="6"/>
        <v>478500</v>
      </c>
      <c r="J40" s="166">
        <f t="shared" si="6"/>
        <v>526349.99999999988</v>
      </c>
      <c r="K40" s="166">
        <f>SUM(K25:K39)</f>
        <v>574200</v>
      </c>
      <c r="L40" s="166">
        <f t="shared" si="6"/>
        <v>574200</v>
      </c>
      <c r="M40" s="166">
        <f t="shared" si="6"/>
        <v>574200</v>
      </c>
      <c r="N40" s="166">
        <f t="shared" si="6"/>
        <v>574200</v>
      </c>
      <c r="O40" s="166">
        <f t="shared" si="6"/>
        <v>574200</v>
      </c>
      <c r="P40" s="166">
        <f t="shared" si="6"/>
        <v>574200</v>
      </c>
      <c r="Q40" s="166">
        <f t="shared" si="6"/>
        <v>574200</v>
      </c>
      <c r="R40" s="166">
        <f t="shared" si="6"/>
        <v>6155250</v>
      </c>
      <c r="T40" s="166">
        <f t="shared" ref="T40:X40" si="7">SUM(T25:T39)</f>
        <v>0</v>
      </c>
      <c r="U40" s="166">
        <f t="shared" si="7"/>
        <v>0</v>
      </c>
      <c r="V40" s="166">
        <f t="shared" si="7"/>
        <v>0</v>
      </c>
      <c r="W40" s="166">
        <f t="shared" si="7"/>
        <v>0</v>
      </c>
      <c r="X40" s="166">
        <f t="shared" si="7"/>
        <v>0</v>
      </c>
      <c r="Y40" s="166">
        <f>SUM(Y25:Y39)</f>
        <v>0</v>
      </c>
      <c r="Z40" s="166">
        <f t="shared" ref="Z40:AF40" si="8">SUM(Z25:Z39)</f>
        <v>0</v>
      </c>
      <c r="AA40" s="166">
        <f t="shared" si="8"/>
        <v>0</v>
      </c>
      <c r="AB40" s="166">
        <f t="shared" si="8"/>
        <v>0</v>
      </c>
      <c r="AC40" s="166">
        <f t="shared" si="8"/>
        <v>0</v>
      </c>
      <c r="AD40" s="166">
        <f t="shared" si="8"/>
        <v>0</v>
      </c>
      <c r="AE40" s="166">
        <f t="shared" si="8"/>
        <v>0</v>
      </c>
      <c r="AF40" s="166">
        <f t="shared" si="8"/>
        <v>0</v>
      </c>
    </row>
    <row r="42" spans="2:33" x14ac:dyDescent="0.35">
      <c r="B42" s="11" t="s">
        <v>661</v>
      </c>
    </row>
    <row r="43" spans="2:33" ht="26" x14ac:dyDescent="0.35">
      <c r="B43" s="187" t="s">
        <v>36</v>
      </c>
      <c r="C43" s="187" t="s">
        <v>524</v>
      </c>
      <c r="D43" s="187" t="s">
        <v>257</v>
      </c>
      <c r="E43" s="116" t="s">
        <v>148</v>
      </c>
      <c r="F43" s="116" t="s">
        <v>149</v>
      </c>
      <c r="G43" s="116" t="s">
        <v>150</v>
      </c>
      <c r="H43" s="116" t="s">
        <v>151</v>
      </c>
      <c r="I43" s="116" t="s">
        <v>152</v>
      </c>
      <c r="J43" s="116" t="s">
        <v>153</v>
      </c>
      <c r="K43" s="116" t="s">
        <v>154</v>
      </c>
      <c r="L43" s="116" t="s">
        <v>155</v>
      </c>
      <c r="M43" s="116" t="s">
        <v>156</v>
      </c>
      <c r="N43" s="116" t="s">
        <v>157</v>
      </c>
      <c r="O43" s="116" t="s">
        <v>158</v>
      </c>
      <c r="P43" s="116" t="s">
        <v>159</v>
      </c>
      <c r="Q43" s="116" t="s">
        <v>160</v>
      </c>
      <c r="R43" s="116" t="s">
        <v>2147</v>
      </c>
      <c r="T43" s="714" t="s">
        <v>149</v>
      </c>
      <c r="U43" s="714" t="s">
        <v>150</v>
      </c>
      <c r="V43" s="714" t="s">
        <v>151</v>
      </c>
      <c r="W43" s="714" t="s">
        <v>152</v>
      </c>
      <c r="X43" s="714" t="s">
        <v>153</v>
      </c>
      <c r="Y43" s="714" t="s">
        <v>154</v>
      </c>
      <c r="Z43" s="714" t="s">
        <v>155</v>
      </c>
      <c r="AA43" s="714" t="s">
        <v>156</v>
      </c>
      <c r="AB43" s="714" t="s">
        <v>157</v>
      </c>
      <c r="AC43" s="714" t="s">
        <v>158</v>
      </c>
      <c r="AD43" s="714" t="s">
        <v>159</v>
      </c>
      <c r="AE43" s="714" t="s">
        <v>160</v>
      </c>
      <c r="AF43" s="714" t="s">
        <v>148</v>
      </c>
    </row>
    <row r="44" spans="2:33" x14ac:dyDescent="0.35">
      <c r="B44" s="408">
        <v>1</v>
      </c>
      <c r="C44" s="409" t="s">
        <v>530</v>
      </c>
      <c r="D44" s="409"/>
      <c r="E44" s="410"/>
      <c r="F44" s="411">
        <f>'1.NVL Chai'!H$15*'2.Hao hut &amp; % chai '!H95</f>
        <v>33750</v>
      </c>
      <c r="G44" s="411">
        <f>'1.NVL Chai'!I$15*'2.Hao hut &amp; % chai '!I95</f>
        <v>26250</v>
      </c>
      <c r="H44" s="411">
        <f>'1.NVL Chai'!J$15*'2.Hao hut &amp; % chai '!J95</f>
        <v>37500</v>
      </c>
      <c r="I44" s="411">
        <f>'1.NVL Chai'!K$15*'2.Hao hut &amp; % chai '!K95</f>
        <v>41250</v>
      </c>
      <c r="J44" s="411">
        <f>'1.NVL Chai'!L$15*'2.Hao hut &amp; % chai '!L95</f>
        <v>41250</v>
      </c>
      <c r="K44" s="411">
        <f>'1.NVL Chai'!M$15*'2.Hao hut &amp; % chai '!M95</f>
        <v>41250</v>
      </c>
      <c r="L44" s="411">
        <f>'1.NVL Chai'!N$15*'2.Hao hut &amp; % chai '!N95</f>
        <v>41250</v>
      </c>
      <c r="M44" s="411">
        <f>'1.NVL Chai'!O$15*'2.Hao hut &amp; % chai '!O95</f>
        <v>41250</v>
      </c>
      <c r="N44" s="411">
        <f>'1.NVL Chai'!P$15*'2.Hao hut &amp; % chai '!P95</f>
        <v>41250</v>
      </c>
      <c r="O44" s="411">
        <f>'1.NVL Chai'!Q$15*'2.Hao hut &amp; % chai '!Q95</f>
        <v>41250</v>
      </c>
      <c r="P44" s="411">
        <f>'1.NVL Chai'!R$15*'2.Hao hut &amp; % chai '!R95</f>
        <v>41250</v>
      </c>
      <c r="Q44" s="411">
        <f>'1.NVL Chai'!S$15*'2.Hao hut &amp; % chai '!S95</f>
        <v>41250</v>
      </c>
      <c r="R44" s="410">
        <f>SUM(F44:Q44)</f>
        <v>468750</v>
      </c>
      <c r="T44" s="411"/>
      <c r="U44" s="411"/>
      <c r="V44" s="411"/>
      <c r="W44" s="411"/>
      <c r="X44" s="411"/>
      <c r="Y44" s="411"/>
      <c r="Z44" s="411"/>
      <c r="AA44" s="411"/>
      <c r="AB44" s="411"/>
      <c r="AC44" s="411"/>
      <c r="AD44" s="411"/>
      <c r="AE44" s="411"/>
      <c r="AF44" s="410">
        <f>SUM(T44:AE44)</f>
        <v>0</v>
      </c>
    </row>
    <row r="45" spans="2:33" x14ac:dyDescent="0.35">
      <c r="B45" s="412">
        <v>2</v>
      </c>
      <c r="C45" s="413" t="s">
        <v>532</v>
      </c>
      <c r="D45" s="413"/>
      <c r="E45" s="414"/>
      <c r="F45" s="415">
        <f>'1.NVL Chai'!H$15*'2.Hao hut &amp; % chai '!H96</f>
        <v>0</v>
      </c>
      <c r="G45" s="415">
        <f>'1.NVL Chai'!I$15*'2.Hao hut &amp; % chai '!I96</f>
        <v>0</v>
      </c>
      <c r="H45" s="415">
        <f>'1.NVL Chai'!J$15*'2.Hao hut &amp; % chai '!J96</f>
        <v>0</v>
      </c>
      <c r="I45" s="415">
        <f>'1.NVL Chai'!K$15*'2.Hao hut &amp; % chai '!K96</f>
        <v>0</v>
      </c>
      <c r="J45" s="415">
        <f>'1.NVL Chai'!L$15*'2.Hao hut &amp; % chai '!L96</f>
        <v>0</v>
      </c>
      <c r="K45" s="415">
        <f>'1.NVL Chai'!M$15*'2.Hao hut &amp; % chai '!M96</f>
        <v>0</v>
      </c>
      <c r="L45" s="415">
        <f>'1.NVL Chai'!N$15*'2.Hao hut &amp; % chai '!N96</f>
        <v>0</v>
      </c>
      <c r="M45" s="415">
        <f>'1.NVL Chai'!O$15*'2.Hao hut &amp; % chai '!O96</f>
        <v>0</v>
      </c>
      <c r="N45" s="415">
        <f>'1.NVL Chai'!P$15*'2.Hao hut &amp; % chai '!P96</f>
        <v>0</v>
      </c>
      <c r="O45" s="415">
        <f>'1.NVL Chai'!Q$15*'2.Hao hut &amp; % chai '!Q96</f>
        <v>0</v>
      </c>
      <c r="P45" s="415">
        <f>'1.NVL Chai'!R$15*'2.Hao hut &amp; % chai '!R96</f>
        <v>0</v>
      </c>
      <c r="Q45" s="415">
        <f>'1.NVL Chai'!S$15*'2.Hao hut &amp; % chai '!S96</f>
        <v>0</v>
      </c>
      <c r="R45" s="414">
        <f t="shared" ref="R45:R58" si="9">SUM(F45:Q45)</f>
        <v>0</v>
      </c>
      <c r="T45" s="415"/>
      <c r="U45" s="415"/>
      <c r="V45" s="415"/>
      <c r="W45" s="415"/>
      <c r="X45" s="415"/>
      <c r="Y45" s="415"/>
      <c r="Z45" s="415"/>
      <c r="AA45" s="415"/>
      <c r="AB45" s="415"/>
      <c r="AC45" s="415"/>
      <c r="AD45" s="415"/>
      <c r="AE45" s="415"/>
      <c r="AF45" s="414">
        <f t="shared" ref="AF45:AF58" si="10">SUM(T45:AE45)</f>
        <v>0</v>
      </c>
    </row>
    <row r="46" spans="2:33" x14ac:dyDescent="0.35">
      <c r="B46" s="412">
        <v>3</v>
      </c>
      <c r="C46" s="413" t="s">
        <v>533</v>
      </c>
      <c r="D46" s="413"/>
      <c r="E46" s="414"/>
      <c r="F46" s="415">
        <f>'1.NVL Chai'!H$15*'2.Hao hut &amp; % chai '!H97</f>
        <v>0</v>
      </c>
      <c r="G46" s="415">
        <f>'1.NVL Chai'!I$15*'2.Hao hut &amp; % chai '!I97</f>
        <v>0</v>
      </c>
      <c r="H46" s="415">
        <f>'1.NVL Chai'!J$15*'2.Hao hut &amp; % chai '!J97</f>
        <v>0</v>
      </c>
      <c r="I46" s="415">
        <f>'1.NVL Chai'!K$15*'2.Hao hut &amp; % chai '!K97</f>
        <v>0</v>
      </c>
      <c r="J46" s="415">
        <f>'1.NVL Chai'!L$15*'2.Hao hut &amp; % chai '!L97</f>
        <v>0</v>
      </c>
      <c r="K46" s="415">
        <f>'1.NVL Chai'!M$15*'2.Hao hut &amp; % chai '!M97</f>
        <v>0</v>
      </c>
      <c r="L46" s="415">
        <f>'1.NVL Chai'!N$15*'2.Hao hut &amp; % chai '!N97</f>
        <v>0</v>
      </c>
      <c r="M46" s="415">
        <f>'1.NVL Chai'!O$15*'2.Hao hut &amp; % chai '!O97</f>
        <v>0</v>
      </c>
      <c r="N46" s="415">
        <f>'1.NVL Chai'!P$15*'2.Hao hut &amp; % chai '!P97</f>
        <v>0</v>
      </c>
      <c r="O46" s="415">
        <f>'1.NVL Chai'!Q$15*'2.Hao hut &amp; % chai '!Q97</f>
        <v>0</v>
      </c>
      <c r="P46" s="415">
        <f>'1.NVL Chai'!R$15*'2.Hao hut &amp; % chai '!R97</f>
        <v>0</v>
      </c>
      <c r="Q46" s="415">
        <f>'1.NVL Chai'!S$15*'2.Hao hut &amp; % chai '!S97</f>
        <v>0</v>
      </c>
      <c r="R46" s="414">
        <f t="shared" si="9"/>
        <v>0</v>
      </c>
      <c r="T46" s="415"/>
      <c r="U46" s="415"/>
      <c r="V46" s="415"/>
      <c r="W46" s="415"/>
      <c r="X46" s="415"/>
      <c r="Y46" s="415"/>
      <c r="Z46" s="415"/>
      <c r="AA46" s="415"/>
      <c r="AB46" s="415"/>
      <c r="AC46" s="415"/>
      <c r="AD46" s="415"/>
      <c r="AE46" s="415"/>
      <c r="AF46" s="414">
        <f t="shared" si="10"/>
        <v>0</v>
      </c>
    </row>
    <row r="47" spans="2:33" x14ac:dyDescent="0.35">
      <c r="B47" s="412">
        <v>4</v>
      </c>
      <c r="C47" s="413" t="s">
        <v>534</v>
      </c>
      <c r="D47" s="413"/>
      <c r="E47" s="414"/>
      <c r="F47" s="415">
        <f>'1.NVL Chai'!H$15*'2.Hao hut &amp; % chai '!H98</f>
        <v>0</v>
      </c>
      <c r="G47" s="415">
        <f>'1.NVL Chai'!I$15*'2.Hao hut &amp; % chai '!I98</f>
        <v>0</v>
      </c>
      <c r="H47" s="415">
        <f>'1.NVL Chai'!J$15*'2.Hao hut &amp; % chai '!J98</f>
        <v>0</v>
      </c>
      <c r="I47" s="415">
        <f>'1.NVL Chai'!K$15*'2.Hao hut &amp; % chai '!K98</f>
        <v>0</v>
      </c>
      <c r="J47" s="415">
        <f>'1.NVL Chai'!L$15*'2.Hao hut &amp; % chai '!L98</f>
        <v>0</v>
      </c>
      <c r="K47" s="415">
        <f>'1.NVL Chai'!M$15*'2.Hao hut &amp; % chai '!M98</f>
        <v>0</v>
      </c>
      <c r="L47" s="415">
        <f>'1.NVL Chai'!N$15*'2.Hao hut &amp; % chai '!N98</f>
        <v>0</v>
      </c>
      <c r="M47" s="415">
        <f>'1.NVL Chai'!O$15*'2.Hao hut &amp; % chai '!O98</f>
        <v>0</v>
      </c>
      <c r="N47" s="415">
        <f>'1.NVL Chai'!P$15*'2.Hao hut &amp; % chai '!P98</f>
        <v>0</v>
      </c>
      <c r="O47" s="415">
        <f>'1.NVL Chai'!Q$15*'2.Hao hut &amp; % chai '!Q98</f>
        <v>0</v>
      </c>
      <c r="P47" s="415">
        <f>'1.NVL Chai'!R$15*'2.Hao hut &amp; % chai '!R98</f>
        <v>0</v>
      </c>
      <c r="Q47" s="415">
        <f>'1.NVL Chai'!S$15*'2.Hao hut &amp; % chai '!S98</f>
        <v>0</v>
      </c>
      <c r="R47" s="414">
        <f t="shared" si="9"/>
        <v>0</v>
      </c>
      <c r="T47" s="415"/>
      <c r="U47" s="415"/>
      <c r="V47" s="415"/>
      <c r="W47" s="415"/>
      <c r="X47" s="415"/>
      <c r="Y47" s="415"/>
      <c r="Z47" s="415"/>
      <c r="AA47" s="415"/>
      <c r="AB47" s="415"/>
      <c r="AC47" s="415"/>
      <c r="AD47" s="415"/>
      <c r="AE47" s="415"/>
      <c r="AF47" s="414">
        <f t="shared" si="10"/>
        <v>0</v>
      </c>
    </row>
    <row r="48" spans="2:33" x14ac:dyDescent="0.35">
      <c r="B48" s="412">
        <v>5</v>
      </c>
      <c r="C48" s="413" t="s">
        <v>535</v>
      </c>
      <c r="D48" s="413"/>
      <c r="E48" s="414"/>
      <c r="F48" s="415">
        <f>'1.NVL Chai'!H$15*'2.Hao hut &amp; % chai '!H99</f>
        <v>0</v>
      </c>
      <c r="G48" s="415">
        <f>'1.NVL Chai'!I$15*'2.Hao hut &amp; % chai '!I99</f>
        <v>0</v>
      </c>
      <c r="H48" s="415">
        <f>'1.NVL Chai'!J$15*'2.Hao hut &amp; % chai '!J99</f>
        <v>0</v>
      </c>
      <c r="I48" s="415">
        <f>'1.NVL Chai'!K$15*'2.Hao hut &amp; % chai '!K99</f>
        <v>0</v>
      </c>
      <c r="J48" s="415">
        <f>'1.NVL Chai'!L$15*'2.Hao hut &amp; % chai '!L99</f>
        <v>0</v>
      </c>
      <c r="K48" s="415">
        <f>'1.NVL Chai'!M$15*'2.Hao hut &amp; % chai '!M99</f>
        <v>0</v>
      </c>
      <c r="L48" s="415">
        <f>'1.NVL Chai'!N$15*'2.Hao hut &amp; % chai '!N99</f>
        <v>0</v>
      </c>
      <c r="M48" s="415">
        <f>'1.NVL Chai'!O$15*'2.Hao hut &amp; % chai '!O99</f>
        <v>0</v>
      </c>
      <c r="N48" s="415">
        <f>'1.NVL Chai'!P$15*'2.Hao hut &amp; % chai '!P99</f>
        <v>0</v>
      </c>
      <c r="O48" s="415">
        <f>'1.NVL Chai'!Q$15*'2.Hao hut &amp; % chai '!Q99</f>
        <v>0</v>
      </c>
      <c r="P48" s="415">
        <f>'1.NVL Chai'!R$15*'2.Hao hut &amp; % chai '!R99</f>
        <v>0</v>
      </c>
      <c r="Q48" s="415">
        <f>'1.NVL Chai'!S$15*'2.Hao hut &amp; % chai '!S99</f>
        <v>0</v>
      </c>
      <c r="R48" s="414">
        <f t="shared" si="9"/>
        <v>0</v>
      </c>
      <c r="T48" s="415"/>
      <c r="U48" s="415"/>
      <c r="V48" s="415"/>
      <c r="W48" s="415"/>
      <c r="X48" s="415"/>
      <c r="Y48" s="415"/>
      <c r="Z48" s="415"/>
      <c r="AA48" s="415"/>
      <c r="AB48" s="415"/>
      <c r="AC48" s="415"/>
      <c r="AD48" s="415"/>
      <c r="AE48" s="415"/>
      <c r="AF48" s="414">
        <f t="shared" si="10"/>
        <v>0</v>
      </c>
    </row>
    <row r="49" spans="2:32" x14ac:dyDescent="0.35">
      <c r="B49" s="412">
        <v>6</v>
      </c>
      <c r="C49" s="413" t="s">
        <v>536</v>
      </c>
      <c r="D49" s="413"/>
      <c r="E49" s="414"/>
      <c r="F49" s="415">
        <f>'1.NVL Chai'!H$15*'2.Hao hut &amp; % chai '!H100</f>
        <v>0</v>
      </c>
      <c r="G49" s="415">
        <f>'1.NVL Chai'!I$15*'2.Hao hut &amp; % chai '!I100</f>
        <v>0</v>
      </c>
      <c r="H49" s="415">
        <f>'1.NVL Chai'!J$15*'2.Hao hut &amp; % chai '!J100</f>
        <v>0</v>
      </c>
      <c r="I49" s="415">
        <f>'1.NVL Chai'!K$15*'2.Hao hut &amp; % chai '!K100</f>
        <v>0</v>
      </c>
      <c r="J49" s="415">
        <f>'1.NVL Chai'!L$15*'2.Hao hut &amp; % chai '!L100</f>
        <v>0</v>
      </c>
      <c r="K49" s="415">
        <f>'1.NVL Chai'!M$15*'2.Hao hut &amp; % chai '!M100</f>
        <v>0</v>
      </c>
      <c r="L49" s="415">
        <f>'1.NVL Chai'!N$15*'2.Hao hut &amp; % chai '!N100</f>
        <v>0</v>
      </c>
      <c r="M49" s="415">
        <f>'1.NVL Chai'!O$15*'2.Hao hut &amp; % chai '!O100</f>
        <v>0</v>
      </c>
      <c r="N49" s="415">
        <f>'1.NVL Chai'!P$15*'2.Hao hut &amp; % chai '!P100</f>
        <v>0</v>
      </c>
      <c r="O49" s="415">
        <f>'1.NVL Chai'!Q$15*'2.Hao hut &amp; % chai '!Q100</f>
        <v>0</v>
      </c>
      <c r="P49" s="415">
        <f>'1.NVL Chai'!R$15*'2.Hao hut &amp; % chai '!R100</f>
        <v>0</v>
      </c>
      <c r="Q49" s="415">
        <f>'1.NVL Chai'!S$15*'2.Hao hut &amp; % chai '!S100</f>
        <v>0</v>
      </c>
      <c r="R49" s="414">
        <f t="shared" si="9"/>
        <v>0</v>
      </c>
      <c r="T49" s="415"/>
      <c r="U49" s="415"/>
      <c r="V49" s="415"/>
      <c r="W49" s="415"/>
      <c r="X49" s="415"/>
      <c r="Y49" s="415"/>
      <c r="Z49" s="415"/>
      <c r="AA49" s="415"/>
      <c r="AB49" s="415"/>
      <c r="AC49" s="415"/>
      <c r="AD49" s="415"/>
      <c r="AE49" s="415"/>
      <c r="AF49" s="414">
        <f t="shared" si="10"/>
        <v>0</v>
      </c>
    </row>
    <row r="50" spans="2:32" x14ac:dyDescent="0.35">
      <c r="B50" s="412">
        <v>7</v>
      </c>
      <c r="C50" s="413" t="s">
        <v>537</v>
      </c>
      <c r="D50" s="413"/>
      <c r="E50" s="414"/>
      <c r="F50" s="415">
        <f>'1.NVL Chai'!H$15*'2.Hao hut &amp; % chai '!H101</f>
        <v>0</v>
      </c>
      <c r="G50" s="415">
        <f>'1.NVL Chai'!I$15*'2.Hao hut &amp; % chai '!I101</f>
        <v>0</v>
      </c>
      <c r="H50" s="415">
        <f>'1.NVL Chai'!J$15*'2.Hao hut &amp; % chai '!J101</f>
        <v>0</v>
      </c>
      <c r="I50" s="415">
        <f>'1.NVL Chai'!K$15*'2.Hao hut &amp; % chai '!K101</f>
        <v>0</v>
      </c>
      <c r="J50" s="415">
        <f>'1.NVL Chai'!L$15*'2.Hao hut &amp; % chai '!L101</f>
        <v>0</v>
      </c>
      <c r="K50" s="415">
        <f>'1.NVL Chai'!M$15*'2.Hao hut &amp; % chai '!M101</f>
        <v>0</v>
      </c>
      <c r="L50" s="415">
        <f>'1.NVL Chai'!N$15*'2.Hao hut &amp; % chai '!N101</f>
        <v>0</v>
      </c>
      <c r="M50" s="415">
        <f>'1.NVL Chai'!O$15*'2.Hao hut &amp; % chai '!O101</f>
        <v>0</v>
      </c>
      <c r="N50" s="415">
        <f>'1.NVL Chai'!P$15*'2.Hao hut &amp; % chai '!P101</f>
        <v>0</v>
      </c>
      <c r="O50" s="415">
        <f>'1.NVL Chai'!Q$15*'2.Hao hut &amp; % chai '!Q101</f>
        <v>0</v>
      </c>
      <c r="P50" s="415">
        <f>'1.NVL Chai'!R$15*'2.Hao hut &amp; % chai '!R101</f>
        <v>0</v>
      </c>
      <c r="Q50" s="415">
        <f>'1.NVL Chai'!S$15*'2.Hao hut &amp; % chai '!S101</f>
        <v>0</v>
      </c>
      <c r="R50" s="414">
        <f t="shared" si="9"/>
        <v>0</v>
      </c>
      <c r="T50" s="415"/>
      <c r="U50" s="415"/>
      <c r="V50" s="415"/>
      <c r="W50" s="415"/>
      <c r="X50" s="415"/>
      <c r="Y50" s="415"/>
      <c r="Z50" s="415"/>
      <c r="AA50" s="415"/>
      <c r="AB50" s="415"/>
      <c r="AC50" s="415"/>
      <c r="AD50" s="415"/>
      <c r="AE50" s="415"/>
      <c r="AF50" s="414">
        <f t="shared" si="10"/>
        <v>0</v>
      </c>
    </row>
    <row r="51" spans="2:32" x14ac:dyDescent="0.35">
      <c r="B51" s="412">
        <v>8</v>
      </c>
      <c r="C51" s="413" t="s">
        <v>538</v>
      </c>
      <c r="D51" s="413"/>
      <c r="E51" s="414"/>
      <c r="F51" s="415">
        <f>'1.NVL Chai'!H$15*'2.Hao hut &amp; % chai '!H102</f>
        <v>0</v>
      </c>
      <c r="G51" s="415">
        <f>'1.NVL Chai'!I$15*'2.Hao hut &amp; % chai '!I102</f>
        <v>0</v>
      </c>
      <c r="H51" s="415">
        <f>'1.NVL Chai'!J$15*'2.Hao hut &amp; % chai '!J102</f>
        <v>0</v>
      </c>
      <c r="I51" s="415">
        <f>'1.NVL Chai'!K$15*'2.Hao hut &amp; % chai '!K102</f>
        <v>0</v>
      </c>
      <c r="J51" s="415">
        <f>'1.NVL Chai'!L$15*'2.Hao hut &amp; % chai '!L102</f>
        <v>0</v>
      </c>
      <c r="K51" s="415">
        <f>'1.NVL Chai'!M$15*'2.Hao hut &amp; % chai '!M102</f>
        <v>0</v>
      </c>
      <c r="L51" s="415">
        <f>'1.NVL Chai'!N$15*'2.Hao hut &amp; % chai '!N102</f>
        <v>0</v>
      </c>
      <c r="M51" s="415">
        <f>'1.NVL Chai'!O$15*'2.Hao hut &amp; % chai '!O102</f>
        <v>0</v>
      </c>
      <c r="N51" s="415">
        <f>'1.NVL Chai'!P$15*'2.Hao hut &amp; % chai '!P102</f>
        <v>0</v>
      </c>
      <c r="O51" s="415">
        <f>'1.NVL Chai'!Q$15*'2.Hao hut &amp; % chai '!Q102</f>
        <v>0</v>
      </c>
      <c r="P51" s="415">
        <f>'1.NVL Chai'!R$15*'2.Hao hut &amp; % chai '!R102</f>
        <v>0</v>
      </c>
      <c r="Q51" s="415">
        <f>'1.NVL Chai'!S$15*'2.Hao hut &amp; % chai '!S102</f>
        <v>0</v>
      </c>
      <c r="R51" s="414">
        <f t="shared" si="9"/>
        <v>0</v>
      </c>
      <c r="T51" s="415"/>
      <c r="U51" s="415"/>
      <c r="V51" s="415"/>
      <c r="W51" s="415"/>
      <c r="X51" s="415"/>
      <c r="Y51" s="415"/>
      <c r="Z51" s="415"/>
      <c r="AA51" s="415"/>
      <c r="AB51" s="415"/>
      <c r="AC51" s="415"/>
      <c r="AD51" s="415"/>
      <c r="AE51" s="415"/>
      <c r="AF51" s="414">
        <f t="shared" si="10"/>
        <v>0</v>
      </c>
    </row>
    <row r="52" spans="2:32" x14ac:dyDescent="0.35">
      <c r="B52" s="412">
        <v>9</v>
      </c>
      <c r="C52" s="413" t="s">
        <v>539</v>
      </c>
      <c r="D52" s="413"/>
      <c r="E52" s="414"/>
      <c r="F52" s="415">
        <f>'1.NVL Chai'!H$15*'2.Hao hut &amp; % chai '!H103</f>
        <v>0</v>
      </c>
      <c r="G52" s="415">
        <f>'1.NVL Chai'!I$15*'2.Hao hut &amp; % chai '!I103</f>
        <v>0</v>
      </c>
      <c r="H52" s="415">
        <f>'1.NVL Chai'!J$15*'2.Hao hut &amp; % chai '!J103</f>
        <v>0</v>
      </c>
      <c r="I52" s="415">
        <f>'1.NVL Chai'!K$15*'2.Hao hut &amp; % chai '!K103</f>
        <v>0</v>
      </c>
      <c r="J52" s="415">
        <f>'1.NVL Chai'!L$15*'2.Hao hut &amp; % chai '!L103</f>
        <v>0</v>
      </c>
      <c r="K52" s="415">
        <f>'1.NVL Chai'!M$15*'2.Hao hut &amp; % chai '!M103</f>
        <v>0</v>
      </c>
      <c r="L52" s="415">
        <f>'1.NVL Chai'!N$15*'2.Hao hut &amp; % chai '!N103</f>
        <v>0</v>
      </c>
      <c r="M52" s="415">
        <f>'1.NVL Chai'!O$15*'2.Hao hut &amp; % chai '!O103</f>
        <v>0</v>
      </c>
      <c r="N52" s="415">
        <f>'1.NVL Chai'!P$15*'2.Hao hut &amp; % chai '!P103</f>
        <v>0</v>
      </c>
      <c r="O52" s="415">
        <f>'1.NVL Chai'!Q$15*'2.Hao hut &amp; % chai '!Q103</f>
        <v>0</v>
      </c>
      <c r="P52" s="415">
        <f>'1.NVL Chai'!R$15*'2.Hao hut &amp; % chai '!R103</f>
        <v>0</v>
      </c>
      <c r="Q52" s="415">
        <f>'1.NVL Chai'!S$15*'2.Hao hut &amp; % chai '!S103</f>
        <v>0</v>
      </c>
      <c r="R52" s="414">
        <f t="shared" si="9"/>
        <v>0</v>
      </c>
      <c r="T52" s="415"/>
      <c r="U52" s="415"/>
      <c r="V52" s="415"/>
      <c r="W52" s="415"/>
      <c r="X52" s="415"/>
      <c r="Y52" s="415"/>
      <c r="Z52" s="415"/>
      <c r="AA52" s="415"/>
      <c r="AB52" s="415"/>
      <c r="AC52" s="415"/>
      <c r="AD52" s="415"/>
      <c r="AE52" s="415"/>
      <c r="AF52" s="414">
        <f t="shared" si="10"/>
        <v>0</v>
      </c>
    </row>
    <row r="53" spans="2:32" x14ac:dyDescent="0.35">
      <c r="B53" s="412">
        <v>10</v>
      </c>
      <c r="C53" s="413" t="s">
        <v>540</v>
      </c>
      <c r="D53" s="413"/>
      <c r="E53" s="414"/>
      <c r="F53" s="415">
        <f>'1.NVL Chai'!H$15*'2.Hao hut &amp; % chai '!H104</f>
        <v>8550</v>
      </c>
      <c r="G53" s="415">
        <f>'1.NVL Chai'!I$15*'2.Hao hut &amp; % chai '!I104</f>
        <v>6650</v>
      </c>
      <c r="H53" s="415">
        <f>'1.NVL Chai'!J$15*'2.Hao hut &amp; % chai '!J104</f>
        <v>9500</v>
      </c>
      <c r="I53" s="415">
        <f>'1.NVL Chai'!K$15*'2.Hao hut &amp; % chai '!K104</f>
        <v>10450</v>
      </c>
      <c r="J53" s="415">
        <f>'1.NVL Chai'!L$15*'2.Hao hut &amp; % chai '!L104</f>
        <v>10450</v>
      </c>
      <c r="K53" s="415">
        <f>'1.NVL Chai'!M$15*'2.Hao hut &amp; % chai '!M104</f>
        <v>10450</v>
      </c>
      <c r="L53" s="415">
        <f>'1.NVL Chai'!N$15*'2.Hao hut &amp; % chai '!N104</f>
        <v>10450</v>
      </c>
      <c r="M53" s="415">
        <f>'1.NVL Chai'!O$15*'2.Hao hut &amp; % chai '!O104</f>
        <v>10450</v>
      </c>
      <c r="N53" s="415">
        <f>'1.NVL Chai'!P$15*'2.Hao hut &amp; % chai '!P104</f>
        <v>10450</v>
      </c>
      <c r="O53" s="415">
        <f>'1.NVL Chai'!Q$15*'2.Hao hut &amp; % chai '!Q104</f>
        <v>10450</v>
      </c>
      <c r="P53" s="415">
        <f>'1.NVL Chai'!R$15*'2.Hao hut &amp; % chai '!R104</f>
        <v>10450</v>
      </c>
      <c r="Q53" s="415">
        <f>'1.NVL Chai'!S$15*'2.Hao hut &amp; % chai '!S104</f>
        <v>10450</v>
      </c>
      <c r="R53" s="414">
        <f t="shared" si="9"/>
        <v>118750</v>
      </c>
      <c r="T53" s="415"/>
      <c r="U53" s="415"/>
      <c r="V53" s="415"/>
      <c r="W53" s="415"/>
      <c r="X53" s="415"/>
      <c r="Y53" s="415"/>
      <c r="Z53" s="415"/>
      <c r="AA53" s="415"/>
      <c r="AB53" s="415"/>
      <c r="AC53" s="415"/>
      <c r="AD53" s="415"/>
      <c r="AE53" s="415"/>
      <c r="AF53" s="414">
        <f t="shared" si="10"/>
        <v>0</v>
      </c>
    </row>
    <row r="54" spans="2:32" x14ac:dyDescent="0.35">
      <c r="B54" s="412">
        <v>11</v>
      </c>
      <c r="C54" s="413" t="s">
        <v>541</v>
      </c>
      <c r="D54" s="413"/>
      <c r="E54" s="414"/>
      <c r="F54" s="415">
        <f>'1.NVL Chai'!H$15*'2.Hao hut &amp; % chai '!H105</f>
        <v>0</v>
      </c>
      <c r="G54" s="415">
        <f>'1.NVL Chai'!I$15*'2.Hao hut &amp; % chai '!I105</f>
        <v>0</v>
      </c>
      <c r="H54" s="415">
        <f>'1.NVL Chai'!J$15*'2.Hao hut &amp; % chai '!J105</f>
        <v>0</v>
      </c>
      <c r="I54" s="415">
        <f>'1.NVL Chai'!K$15*'2.Hao hut &amp; % chai '!K105</f>
        <v>0</v>
      </c>
      <c r="J54" s="415">
        <f>'1.NVL Chai'!L$15*'2.Hao hut &amp; % chai '!L105</f>
        <v>0</v>
      </c>
      <c r="K54" s="415">
        <f>'1.NVL Chai'!M$15*'2.Hao hut &amp; % chai '!M105</f>
        <v>0</v>
      </c>
      <c r="L54" s="415">
        <f>'1.NVL Chai'!N$15*'2.Hao hut &amp; % chai '!N105</f>
        <v>0</v>
      </c>
      <c r="M54" s="415">
        <f>'1.NVL Chai'!O$15*'2.Hao hut &amp; % chai '!O105</f>
        <v>0</v>
      </c>
      <c r="N54" s="415">
        <f>'1.NVL Chai'!P$15*'2.Hao hut &amp; % chai '!P105</f>
        <v>0</v>
      </c>
      <c r="O54" s="415">
        <f>'1.NVL Chai'!Q$15*'2.Hao hut &amp; % chai '!Q105</f>
        <v>0</v>
      </c>
      <c r="P54" s="415">
        <f>'1.NVL Chai'!R$15*'2.Hao hut &amp; % chai '!R105</f>
        <v>0</v>
      </c>
      <c r="Q54" s="415">
        <f>'1.NVL Chai'!S$15*'2.Hao hut &amp; % chai '!S105</f>
        <v>0</v>
      </c>
      <c r="R54" s="414">
        <f t="shared" si="9"/>
        <v>0</v>
      </c>
      <c r="T54" s="415"/>
      <c r="U54" s="415"/>
      <c r="V54" s="415"/>
      <c r="W54" s="415"/>
      <c r="X54" s="415"/>
      <c r="Y54" s="415"/>
      <c r="Z54" s="415"/>
      <c r="AA54" s="415"/>
      <c r="AB54" s="415"/>
      <c r="AC54" s="415"/>
      <c r="AD54" s="415"/>
      <c r="AE54" s="415"/>
      <c r="AF54" s="414">
        <f t="shared" si="10"/>
        <v>0</v>
      </c>
    </row>
    <row r="55" spans="2:32" x14ac:dyDescent="0.35">
      <c r="B55" s="412">
        <v>12</v>
      </c>
      <c r="C55" s="413" t="s">
        <v>542</v>
      </c>
      <c r="D55" s="413"/>
      <c r="E55" s="414"/>
      <c r="F55" s="415">
        <f>'1.NVL Chai'!H$15*'2.Hao hut &amp; % chai '!H106</f>
        <v>0</v>
      </c>
      <c r="G55" s="415">
        <f>'1.NVL Chai'!I$15*'2.Hao hut &amp; % chai '!I106</f>
        <v>0</v>
      </c>
      <c r="H55" s="415">
        <f>'1.NVL Chai'!J$15*'2.Hao hut &amp; % chai '!J106</f>
        <v>0</v>
      </c>
      <c r="I55" s="415">
        <f>'1.NVL Chai'!K$15*'2.Hao hut &amp; % chai '!K106</f>
        <v>0</v>
      </c>
      <c r="J55" s="415">
        <f>'1.NVL Chai'!L$15*'2.Hao hut &amp; % chai '!L106</f>
        <v>0</v>
      </c>
      <c r="K55" s="415">
        <f>'1.NVL Chai'!M$15*'2.Hao hut &amp; % chai '!M106</f>
        <v>0</v>
      </c>
      <c r="L55" s="415">
        <f>'1.NVL Chai'!N$15*'2.Hao hut &amp; % chai '!N106</f>
        <v>0</v>
      </c>
      <c r="M55" s="415">
        <f>'1.NVL Chai'!O$15*'2.Hao hut &amp; % chai '!O106</f>
        <v>0</v>
      </c>
      <c r="N55" s="415">
        <f>'1.NVL Chai'!P$15*'2.Hao hut &amp; % chai '!P106</f>
        <v>0</v>
      </c>
      <c r="O55" s="415">
        <f>'1.NVL Chai'!Q$15*'2.Hao hut &amp; % chai '!Q106</f>
        <v>0</v>
      </c>
      <c r="P55" s="415">
        <f>'1.NVL Chai'!R$15*'2.Hao hut &amp; % chai '!R106</f>
        <v>0</v>
      </c>
      <c r="Q55" s="415">
        <f>'1.NVL Chai'!S$15*'2.Hao hut &amp; % chai '!S106</f>
        <v>0</v>
      </c>
      <c r="R55" s="414">
        <f t="shared" si="9"/>
        <v>0</v>
      </c>
      <c r="T55" s="415"/>
      <c r="U55" s="415"/>
      <c r="V55" s="415"/>
      <c r="W55" s="415"/>
      <c r="X55" s="415"/>
      <c r="Y55" s="415"/>
      <c r="Z55" s="415"/>
      <c r="AA55" s="415"/>
      <c r="AB55" s="415"/>
      <c r="AC55" s="415"/>
      <c r="AD55" s="415"/>
      <c r="AE55" s="415"/>
      <c r="AF55" s="414">
        <f t="shared" si="10"/>
        <v>0</v>
      </c>
    </row>
    <row r="56" spans="2:32" x14ac:dyDescent="0.35">
      <c r="B56" s="412">
        <v>13</v>
      </c>
      <c r="C56" s="413" t="s">
        <v>543</v>
      </c>
      <c r="D56" s="413"/>
      <c r="E56" s="414"/>
      <c r="F56" s="415">
        <f>'1.NVL Chai'!H$15*'2.Hao hut &amp; % chai '!H107</f>
        <v>0</v>
      </c>
      <c r="G56" s="415">
        <f>'1.NVL Chai'!I$15*'2.Hao hut &amp; % chai '!I107</f>
        <v>0</v>
      </c>
      <c r="H56" s="415">
        <f>'1.NVL Chai'!J$15*'2.Hao hut &amp; % chai '!J107</f>
        <v>0</v>
      </c>
      <c r="I56" s="415">
        <f>'1.NVL Chai'!K$15*'2.Hao hut &amp; % chai '!K107</f>
        <v>0</v>
      </c>
      <c r="J56" s="415">
        <f>'1.NVL Chai'!L$15*'2.Hao hut &amp; % chai '!L107</f>
        <v>0</v>
      </c>
      <c r="K56" s="415">
        <f>'1.NVL Chai'!M$15*'2.Hao hut &amp; % chai '!M107</f>
        <v>0</v>
      </c>
      <c r="L56" s="415">
        <f>'1.NVL Chai'!N$15*'2.Hao hut &amp; % chai '!N107</f>
        <v>0</v>
      </c>
      <c r="M56" s="415">
        <f>'1.NVL Chai'!O$15*'2.Hao hut &amp; % chai '!O107</f>
        <v>0</v>
      </c>
      <c r="N56" s="415">
        <f>'1.NVL Chai'!P$15*'2.Hao hut &amp; % chai '!P107</f>
        <v>0</v>
      </c>
      <c r="O56" s="415">
        <f>'1.NVL Chai'!Q$15*'2.Hao hut &amp; % chai '!Q107</f>
        <v>0</v>
      </c>
      <c r="P56" s="415">
        <f>'1.NVL Chai'!R$15*'2.Hao hut &amp; % chai '!R107</f>
        <v>0</v>
      </c>
      <c r="Q56" s="415">
        <f>'1.NVL Chai'!S$15*'2.Hao hut &amp; % chai '!S107</f>
        <v>0</v>
      </c>
      <c r="R56" s="414">
        <f t="shared" si="9"/>
        <v>0</v>
      </c>
      <c r="T56" s="415"/>
      <c r="U56" s="415"/>
      <c r="V56" s="415"/>
      <c r="W56" s="415"/>
      <c r="X56" s="415"/>
      <c r="Y56" s="415"/>
      <c r="Z56" s="415"/>
      <c r="AA56" s="415"/>
      <c r="AB56" s="415"/>
      <c r="AC56" s="415"/>
      <c r="AD56" s="415"/>
      <c r="AE56" s="415"/>
      <c r="AF56" s="414">
        <f t="shared" si="10"/>
        <v>0</v>
      </c>
    </row>
    <row r="57" spans="2:32" x14ac:dyDescent="0.35">
      <c r="B57" s="412">
        <v>14</v>
      </c>
      <c r="C57" s="413" t="s">
        <v>544</v>
      </c>
      <c r="D57" s="413"/>
      <c r="E57" s="414"/>
      <c r="F57" s="415">
        <f>'1.NVL Chai'!H$15*'2.Hao hut &amp; % chai '!H108</f>
        <v>1125</v>
      </c>
      <c r="G57" s="415">
        <f>'1.NVL Chai'!I$15*'2.Hao hut &amp; % chai '!I108</f>
        <v>875</v>
      </c>
      <c r="H57" s="415">
        <f>'1.NVL Chai'!J$15*'2.Hao hut &amp; % chai '!J108</f>
        <v>1250</v>
      </c>
      <c r="I57" s="415">
        <f>'1.NVL Chai'!K$15*'2.Hao hut &amp; % chai '!K108</f>
        <v>1375</v>
      </c>
      <c r="J57" s="415">
        <f>'1.NVL Chai'!L$15*'2.Hao hut &amp; % chai '!L108</f>
        <v>1375</v>
      </c>
      <c r="K57" s="415">
        <f>'1.NVL Chai'!M$15*'2.Hao hut &amp; % chai '!M108</f>
        <v>1375</v>
      </c>
      <c r="L57" s="415">
        <f>'1.NVL Chai'!N$15*'2.Hao hut &amp; % chai '!N108</f>
        <v>1375</v>
      </c>
      <c r="M57" s="415">
        <f>'1.NVL Chai'!O$15*'2.Hao hut &amp; % chai '!O108</f>
        <v>1375</v>
      </c>
      <c r="N57" s="415">
        <f>'1.NVL Chai'!P$15*'2.Hao hut &amp; % chai '!P108</f>
        <v>1375</v>
      </c>
      <c r="O57" s="415">
        <f>'1.NVL Chai'!Q$15*'2.Hao hut &amp; % chai '!Q108</f>
        <v>1375</v>
      </c>
      <c r="P57" s="415">
        <f>'1.NVL Chai'!R$15*'2.Hao hut &amp; % chai '!R108</f>
        <v>1375</v>
      </c>
      <c r="Q57" s="415">
        <f>'1.NVL Chai'!S$15*'2.Hao hut &amp; % chai '!S108</f>
        <v>1375</v>
      </c>
      <c r="R57" s="414">
        <f t="shared" si="9"/>
        <v>15625</v>
      </c>
      <c r="T57" s="415"/>
      <c r="U57" s="415"/>
      <c r="V57" s="415"/>
      <c r="W57" s="415"/>
      <c r="X57" s="415"/>
      <c r="Y57" s="415"/>
      <c r="Z57" s="415"/>
      <c r="AA57" s="415"/>
      <c r="AB57" s="415"/>
      <c r="AC57" s="415"/>
      <c r="AD57" s="415"/>
      <c r="AE57" s="415"/>
      <c r="AF57" s="414">
        <f t="shared" si="10"/>
        <v>0</v>
      </c>
    </row>
    <row r="58" spans="2:32" x14ac:dyDescent="0.35">
      <c r="B58" s="416">
        <v>15</v>
      </c>
      <c r="C58" s="417" t="s">
        <v>175</v>
      </c>
      <c r="D58" s="417"/>
      <c r="E58" s="418"/>
      <c r="F58" s="419">
        <f>'1.NVL Chai'!H$15*'2.Hao hut &amp; % chai '!H109</f>
        <v>0</v>
      </c>
      <c r="G58" s="419">
        <f>'1.NVL Chai'!I$15*'2.Hao hut &amp; % chai '!I109</f>
        <v>0</v>
      </c>
      <c r="H58" s="419">
        <f>'1.NVL Chai'!J$15*'2.Hao hut &amp; % chai '!J109</f>
        <v>0</v>
      </c>
      <c r="I58" s="419">
        <f>'1.NVL Chai'!K$15*'2.Hao hut &amp; % chai '!K109</f>
        <v>0</v>
      </c>
      <c r="J58" s="419">
        <f>'1.NVL Chai'!L$15*'2.Hao hut &amp; % chai '!L109</f>
        <v>0</v>
      </c>
      <c r="K58" s="419">
        <f>'1.NVL Chai'!M$15*'2.Hao hut &amp; % chai '!M109</f>
        <v>0</v>
      </c>
      <c r="L58" s="419">
        <f>'1.NVL Chai'!N$15*'2.Hao hut &amp; % chai '!N109</f>
        <v>0</v>
      </c>
      <c r="M58" s="419">
        <f>'1.NVL Chai'!O$15*'2.Hao hut &amp; % chai '!O109</f>
        <v>0</v>
      </c>
      <c r="N58" s="419">
        <f>'1.NVL Chai'!P$15*'2.Hao hut &amp; % chai '!P109</f>
        <v>0</v>
      </c>
      <c r="O58" s="419">
        <f>'1.NVL Chai'!Q$15*'2.Hao hut &amp; % chai '!Q109</f>
        <v>0</v>
      </c>
      <c r="P58" s="419">
        <f>'1.NVL Chai'!R$15*'2.Hao hut &amp; % chai '!R109</f>
        <v>0</v>
      </c>
      <c r="Q58" s="419">
        <f>'1.NVL Chai'!S$15*'2.Hao hut &amp; % chai '!S109</f>
        <v>0</v>
      </c>
      <c r="R58" s="418">
        <f t="shared" si="9"/>
        <v>0</v>
      </c>
      <c r="T58" s="419"/>
      <c r="U58" s="419"/>
      <c r="V58" s="419"/>
      <c r="W58" s="419"/>
      <c r="X58" s="419"/>
      <c r="Y58" s="419"/>
      <c r="Z58" s="419"/>
      <c r="AA58" s="419"/>
      <c r="AB58" s="419"/>
      <c r="AC58" s="419"/>
      <c r="AD58" s="419"/>
      <c r="AE58" s="419"/>
      <c r="AF58" s="418">
        <f t="shared" si="10"/>
        <v>0</v>
      </c>
    </row>
    <row r="59" spans="2:32" x14ac:dyDescent="0.35">
      <c r="B59" s="163"/>
      <c r="C59" s="164" t="s">
        <v>480</v>
      </c>
      <c r="D59" s="164"/>
      <c r="E59" s="166">
        <f t="shared" ref="E59:R59" si="11">SUM(E44:E58)</f>
        <v>0</v>
      </c>
      <c r="F59" s="166">
        <f t="shared" si="11"/>
        <v>43425</v>
      </c>
      <c r="G59" s="166">
        <f t="shared" si="11"/>
        <v>33775</v>
      </c>
      <c r="H59" s="166">
        <f t="shared" si="11"/>
        <v>48250</v>
      </c>
      <c r="I59" s="166">
        <f t="shared" si="11"/>
        <v>53075</v>
      </c>
      <c r="J59" s="166">
        <f t="shared" si="11"/>
        <v>53075</v>
      </c>
      <c r="K59" s="166">
        <f t="shared" si="11"/>
        <v>53075</v>
      </c>
      <c r="L59" s="166">
        <f t="shared" si="11"/>
        <v>53075</v>
      </c>
      <c r="M59" s="166">
        <f t="shared" si="11"/>
        <v>53075</v>
      </c>
      <c r="N59" s="166">
        <f t="shared" si="11"/>
        <v>53075</v>
      </c>
      <c r="O59" s="166">
        <f t="shared" si="11"/>
        <v>53075</v>
      </c>
      <c r="P59" s="166">
        <f t="shared" si="11"/>
        <v>53075</v>
      </c>
      <c r="Q59" s="166">
        <f t="shared" si="11"/>
        <v>53075</v>
      </c>
      <c r="R59" s="166">
        <f t="shared" si="11"/>
        <v>603125</v>
      </c>
      <c r="T59" s="166">
        <f t="shared" ref="T59:AF59" si="12">SUM(T44:T58)</f>
        <v>0</v>
      </c>
      <c r="U59" s="166">
        <f t="shared" si="12"/>
        <v>0</v>
      </c>
      <c r="V59" s="166">
        <f t="shared" si="12"/>
        <v>0</v>
      </c>
      <c r="W59" s="166">
        <f t="shared" si="12"/>
        <v>0</v>
      </c>
      <c r="X59" s="166">
        <f t="shared" si="12"/>
        <v>0</v>
      </c>
      <c r="Y59" s="166">
        <f t="shared" si="12"/>
        <v>0</v>
      </c>
      <c r="Z59" s="166">
        <f t="shared" si="12"/>
        <v>0</v>
      </c>
      <c r="AA59" s="166">
        <f t="shared" si="12"/>
        <v>0</v>
      </c>
      <c r="AB59" s="166">
        <f t="shared" si="12"/>
        <v>0</v>
      </c>
      <c r="AC59" s="166">
        <f t="shared" si="12"/>
        <v>0</v>
      </c>
      <c r="AD59" s="166">
        <f t="shared" si="12"/>
        <v>0</v>
      </c>
      <c r="AE59" s="166">
        <f t="shared" si="12"/>
        <v>0</v>
      </c>
      <c r="AF59" s="166">
        <f t="shared" si="12"/>
        <v>0</v>
      </c>
    </row>
    <row r="60" spans="2:32" x14ac:dyDescent="0.35">
      <c r="E60" s="434"/>
      <c r="F60" s="108"/>
      <c r="G60" s="108"/>
      <c r="H60" s="108"/>
      <c r="I60" s="108"/>
      <c r="J60" s="108"/>
      <c r="K60" s="108"/>
      <c r="L60" s="108"/>
      <c r="M60" s="108"/>
      <c r="N60" s="108"/>
      <c r="O60" s="108"/>
      <c r="P60" s="108"/>
      <c r="Q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8"/>
      <c r="AD60" s="108"/>
      <c r="AE60" s="108"/>
    </row>
    <row r="61" spans="2:32" x14ac:dyDescent="0.35">
      <c r="B61" s="1293" t="s">
        <v>662</v>
      </c>
      <c r="C61" s="1294"/>
      <c r="D61" s="1294"/>
      <c r="E61" s="1294"/>
      <c r="F61" s="1294"/>
      <c r="G61" s="1294"/>
      <c r="H61" s="1294"/>
      <c r="I61" s="1294"/>
      <c r="J61" s="1294"/>
      <c r="K61" s="1294"/>
      <c r="L61" s="1294"/>
      <c r="M61" s="1294"/>
      <c r="N61" s="1294"/>
      <c r="O61" s="1294"/>
      <c r="P61" s="1294"/>
      <c r="Q61" s="1294"/>
      <c r="R61" s="1294"/>
    </row>
    <row r="62" spans="2:32" ht="26" x14ac:dyDescent="0.35">
      <c r="B62" s="187" t="s">
        <v>36</v>
      </c>
      <c r="C62" s="187" t="s">
        <v>524</v>
      </c>
      <c r="D62" s="187" t="s">
        <v>257</v>
      </c>
      <c r="E62" s="116" t="s">
        <v>148</v>
      </c>
      <c r="F62" s="116" t="s">
        <v>149</v>
      </c>
      <c r="G62" s="116" t="s">
        <v>150</v>
      </c>
      <c r="H62" s="116" t="s">
        <v>151</v>
      </c>
      <c r="I62" s="116" t="s">
        <v>152</v>
      </c>
      <c r="J62" s="116" t="s">
        <v>153</v>
      </c>
      <c r="K62" s="116" t="s">
        <v>154</v>
      </c>
      <c r="L62" s="116" t="s">
        <v>155</v>
      </c>
      <c r="M62" s="116" t="s">
        <v>156</v>
      </c>
      <c r="N62" s="116" t="s">
        <v>157</v>
      </c>
      <c r="O62" s="116" t="s">
        <v>158</v>
      </c>
      <c r="P62" s="116" t="s">
        <v>159</v>
      </c>
      <c r="Q62" s="116" t="s">
        <v>160</v>
      </c>
      <c r="R62" s="116" t="s">
        <v>2147</v>
      </c>
      <c r="T62" s="714" t="s">
        <v>149</v>
      </c>
      <c r="U62" s="714" t="s">
        <v>150</v>
      </c>
      <c r="V62" s="714" t="s">
        <v>151</v>
      </c>
      <c r="W62" s="714" t="s">
        <v>152</v>
      </c>
      <c r="X62" s="714" t="s">
        <v>153</v>
      </c>
      <c r="Y62" s="714" t="s">
        <v>154</v>
      </c>
      <c r="Z62" s="714" t="s">
        <v>155</v>
      </c>
      <c r="AA62" s="714" t="s">
        <v>156</v>
      </c>
      <c r="AB62" s="714" t="s">
        <v>157</v>
      </c>
      <c r="AC62" s="714" t="s">
        <v>158</v>
      </c>
      <c r="AD62" s="714" t="s">
        <v>159</v>
      </c>
      <c r="AE62" s="714" t="s">
        <v>160</v>
      </c>
      <c r="AF62" s="714" t="s">
        <v>148</v>
      </c>
    </row>
    <row r="63" spans="2:32" x14ac:dyDescent="0.35">
      <c r="B63" s="408">
        <v>1</v>
      </c>
      <c r="C63" s="409" t="s">
        <v>530</v>
      </c>
      <c r="D63" s="409"/>
      <c r="E63" s="410"/>
      <c r="F63" s="411">
        <f>F6+F25+F44</f>
        <v>481950</v>
      </c>
      <c r="G63" s="411">
        <f t="shared" ref="G63:P63" si="13">G6+G25+G44</f>
        <v>374850</v>
      </c>
      <c r="H63" s="411">
        <f t="shared" si="13"/>
        <v>535500</v>
      </c>
      <c r="I63" s="411">
        <f t="shared" si="13"/>
        <v>589050</v>
      </c>
      <c r="J63" s="411">
        <f t="shared" si="13"/>
        <v>587400</v>
      </c>
      <c r="K63" s="411">
        <f t="shared" si="13"/>
        <v>585750</v>
      </c>
      <c r="L63" s="411">
        <f t="shared" si="13"/>
        <v>585750</v>
      </c>
      <c r="M63" s="411">
        <f t="shared" si="13"/>
        <v>585750</v>
      </c>
      <c r="N63" s="411">
        <f t="shared" si="13"/>
        <v>585750</v>
      </c>
      <c r="O63" s="411">
        <f t="shared" si="13"/>
        <v>585750</v>
      </c>
      <c r="P63" s="411">
        <f t="shared" si="13"/>
        <v>585750</v>
      </c>
      <c r="Q63" s="411">
        <f>Q6+Q25+Q44</f>
        <v>585750</v>
      </c>
      <c r="R63" s="410">
        <f>SUM(F63:Q63)</f>
        <v>6669000</v>
      </c>
      <c r="T63" s="411"/>
      <c r="U63" s="411"/>
      <c r="V63" s="411"/>
      <c r="W63" s="411"/>
      <c r="X63" s="411"/>
      <c r="Y63" s="411"/>
      <c r="Z63" s="411"/>
      <c r="AA63" s="411"/>
      <c r="AB63" s="411"/>
      <c r="AC63" s="411"/>
      <c r="AD63" s="411"/>
      <c r="AE63" s="411"/>
      <c r="AF63" s="410">
        <f>SUM(T63:AE63)</f>
        <v>0</v>
      </c>
    </row>
    <row r="64" spans="2:32" x14ac:dyDescent="0.35">
      <c r="B64" s="412">
        <v>2</v>
      </c>
      <c r="C64" s="413" t="s">
        <v>532</v>
      </c>
      <c r="D64" s="413"/>
      <c r="E64" s="414"/>
      <c r="F64" s="415">
        <f t="shared" ref="F64:Q64" si="14">F7+F26+F45</f>
        <v>0</v>
      </c>
      <c r="G64" s="415">
        <f t="shared" si="14"/>
        <v>0</v>
      </c>
      <c r="H64" s="415">
        <f t="shared" si="14"/>
        <v>0</v>
      </c>
      <c r="I64" s="415">
        <f t="shared" si="14"/>
        <v>0</v>
      </c>
      <c r="J64" s="415">
        <f t="shared" si="14"/>
        <v>0</v>
      </c>
      <c r="K64" s="415">
        <f t="shared" si="14"/>
        <v>0</v>
      </c>
      <c r="L64" s="415">
        <f t="shared" si="14"/>
        <v>0</v>
      </c>
      <c r="M64" s="415">
        <f t="shared" si="14"/>
        <v>0</v>
      </c>
      <c r="N64" s="415">
        <f t="shared" si="14"/>
        <v>0</v>
      </c>
      <c r="O64" s="415">
        <f t="shared" si="14"/>
        <v>0</v>
      </c>
      <c r="P64" s="415">
        <f t="shared" si="14"/>
        <v>0</v>
      </c>
      <c r="Q64" s="415">
        <f t="shared" si="14"/>
        <v>0</v>
      </c>
      <c r="R64" s="414">
        <f t="shared" ref="R64:R77" si="15">SUM(F64:Q64)</f>
        <v>0</v>
      </c>
      <c r="T64" s="415"/>
      <c r="U64" s="415"/>
      <c r="V64" s="415"/>
      <c r="W64" s="415"/>
      <c r="X64" s="415"/>
      <c r="Y64" s="415"/>
      <c r="Z64" s="415"/>
      <c r="AA64" s="415"/>
      <c r="AB64" s="415"/>
      <c r="AC64" s="415"/>
      <c r="AD64" s="415"/>
      <c r="AE64" s="415"/>
      <c r="AF64" s="414">
        <f t="shared" ref="AF64:AF77" si="16">SUM(T64:AE64)</f>
        <v>0</v>
      </c>
    </row>
    <row r="65" spans="2:32" x14ac:dyDescent="0.35">
      <c r="B65" s="412">
        <v>3</v>
      </c>
      <c r="C65" s="413" t="s">
        <v>533</v>
      </c>
      <c r="D65" s="413"/>
      <c r="E65" s="414"/>
      <c r="F65" s="415">
        <f t="shared" ref="F65:Q65" si="17">F8+F27+F46</f>
        <v>0</v>
      </c>
      <c r="G65" s="415">
        <f t="shared" si="17"/>
        <v>0</v>
      </c>
      <c r="H65" s="415">
        <f t="shared" si="17"/>
        <v>0</v>
      </c>
      <c r="I65" s="415">
        <f t="shared" si="17"/>
        <v>0</v>
      </c>
      <c r="J65" s="415">
        <f t="shared" si="17"/>
        <v>0</v>
      </c>
      <c r="K65" s="415">
        <f t="shared" si="17"/>
        <v>0</v>
      </c>
      <c r="L65" s="415">
        <f t="shared" si="17"/>
        <v>0</v>
      </c>
      <c r="M65" s="415">
        <f t="shared" si="17"/>
        <v>0</v>
      </c>
      <c r="N65" s="415">
        <f t="shared" si="17"/>
        <v>0</v>
      </c>
      <c r="O65" s="415">
        <f t="shared" si="17"/>
        <v>0</v>
      </c>
      <c r="P65" s="415">
        <f t="shared" si="17"/>
        <v>0</v>
      </c>
      <c r="Q65" s="415">
        <f t="shared" si="17"/>
        <v>0</v>
      </c>
      <c r="R65" s="414">
        <f t="shared" si="15"/>
        <v>0</v>
      </c>
      <c r="T65" s="415"/>
      <c r="U65" s="415"/>
      <c r="V65" s="415"/>
      <c r="W65" s="415"/>
      <c r="X65" s="415"/>
      <c r="Y65" s="415"/>
      <c r="Z65" s="415"/>
      <c r="AA65" s="415"/>
      <c r="AB65" s="415"/>
      <c r="AC65" s="415"/>
      <c r="AD65" s="415"/>
      <c r="AE65" s="415"/>
      <c r="AF65" s="414">
        <f t="shared" si="16"/>
        <v>0</v>
      </c>
    </row>
    <row r="66" spans="2:32" x14ac:dyDescent="0.35">
      <c r="B66" s="412">
        <v>4</v>
      </c>
      <c r="C66" s="413" t="s">
        <v>534</v>
      </c>
      <c r="D66" s="413"/>
      <c r="E66" s="414"/>
      <c r="F66" s="415">
        <f t="shared" ref="F66:Q66" si="18">F9+F28+F47</f>
        <v>0</v>
      </c>
      <c r="G66" s="415">
        <f t="shared" si="18"/>
        <v>0</v>
      </c>
      <c r="H66" s="415">
        <f t="shared" si="18"/>
        <v>0</v>
      </c>
      <c r="I66" s="415">
        <f t="shared" si="18"/>
        <v>0</v>
      </c>
      <c r="J66" s="415">
        <f t="shared" si="18"/>
        <v>0</v>
      </c>
      <c r="K66" s="415">
        <f t="shared" si="18"/>
        <v>0</v>
      </c>
      <c r="L66" s="415">
        <f t="shared" si="18"/>
        <v>0</v>
      </c>
      <c r="M66" s="415">
        <f t="shared" si="18"/>
        <v>0</v>
      </c>
      <c r="N66" s="415">
        <f t="shared" si="18"/>
        <v>0</v>
      </c>
      <c r="O66" s="415">
        <f t="shared" si="18"/>
        <v>0</v>
      </c>
      <c r="P66" s="415">
        <f t="shared" si="18"/>
        <v>0</v>
      </c>
      <c r="Q66" s="415">
        <f t="shared" si="18"/>
        <v>0</v>
      </c>
      <c r="R66" s="414">
        <f t="shared" si="15"/>
        <v>0</v>
      </c>
      <c r="T66" s="415"/>
      <c r="U66" s="415"/>
      <c r="V66" s="415"/>
      <c r="W66" s="415"/>
      <c r="X66" s="415"/>
      <c r="Y66" s="415"/>
      <c r="Z66" s="415"/>
      <c r="AA66" s="415"/>
      <c r="AB66" s="415"/>
      <c r="AC66" s="415"/>
      <c r="AD66" s="415"/>
      <c r="AE66" s="415"/>
      <c r="AF66" s="414">
        <f t="shared" si="16"/>
        <v>0</v>
      </c>
    </row>
    <row r="67" spans="2:32" x14ac:dyDescent="0.35">
      <c r="B67" s="412">
        <v>5</v>
      </c>
      <c r="C67" s="413" t="s">
        <v>535</v>
      </c>
      <c r="D67" s="413"/>
      <c r="E67" s="414"/>
      <c r="F67" s="415">
        <f t="shared" ref="F67:Q67" si="19">F10+F29+F48</f>
        <v>17100</v>
      </c>
      <c r="G67" s="415">
        <f t="shared" si="19"/>
        <v>13300</v>
      </c>
      <c r="H67" s="415">
        <f t="shared" si="19"/>
        <v>19000</v>
      </c>
      <c r="I67" s="415">
        <f t="shared" si="19"/>
        <v>20900</v>
      </c>
      <c r="J67" s="415">
        <f t="shared" si="19"/>
        <v>20900</v>
      </c>
      <c r="K67" s="415">
        <f t="shared" si="19"/>
        <v>20900</v>
      </c>
      <c r="L67" s="415">
        <f t="shared" si="19"/>
        <v>20900</v>
      </c>
      <c r="M67" s="415">
        <f t="shared" si="19"/>
        <v>20900</v>
      </c>
      <c r="N67" s="415">
        <f t="shared" si="19"/>
        <v>20900</v>
      </c>
      <c r="O67" s="415">
        <f t="shared" si="19"/>
        <v>20900</v>
      </c>
      <c r="P67" s="415">
        <f t="shared" si="19"/>
        <v>20900</v>
      </c>
      <c r="Q67" s="415">
        <f t="shared" si="19"/>
        <v>20900</v>
      </c>
      <c r="R67" s="414">
        <f t="shared" si="15"/>
        <v>237500</v>
      </c>
      <c r="T67" s="415"/>
      <c r="U67" s="415"/>
      <c r="V67" s="415"/>
      <c r="W67" s="415"/>
      <c r="X67" s="415"/>
      <c r="Y67" s="415"/>
      <c r="Z67" s="415"/>
      <c r="AA67" s="415"/>
      <c r="AB67" s="415"/>
      <c r="AC67" s="415"/>
      <c r="AD67" s="415"/>
      <c r="AE67" s="415"/>
      <c r="AF67" s="414">
        <f t="shared" si="16"/>
        <v>0</v>
      </c>
    </row>
    <row r="68" spans="2:32" x14ac:dyDescent="0.35">
      <c r="B68" s="412">
        <v>6</v>
      </c>
      <c r="C68" s="413" t="s">
        <v>536</v>
      </c>
      <c r="D68" s="413"/>
      <c r="E68" s="414"/>
      <c r="F68" s="415">
        <f t="shared" ref="F68:Q68" si="20">F11+F30+F49</f>
        <v>0</v>
      </c>
      <c r="G68" s="415">
        <f t="shared" si="20"/>
        <v>0</v>
      </c>
      <c r="H68" s="415">
        <f t="shared" si="20"/>
        <v>0</v>
      </c>
      <c r="I68" s="415">
        <f t="shared" si="20"/>
        <v>0</v>
      </c>
      <c r="J68" s="415">
        <f t="shared" si="20"/>
        <v>0</v>
      </c>
      <c r="K68" s="415">
        <f t="shared" si="20"/>
        <v>0</v>
      </c>
      <c r="L68" s="415">
        <f t="shared" si="20"/>
        <v>0</v>
      </c>
      <c r="M68" s="415">
        <f t="shared" si="20"/>
        <v>0</v>
      </c>
      <c r="N68" s="415">
        <f t="shared" si="20"/>
        <v>0</v>
      </c>
      <c r="O68" s="415">
        <f t="shared" si="20"/>
        <v>0</v>
      </c>
      <c r="P68" s="415">
        <f t="shared" si="20"/>
        <v>0</v>
      </c>
      <c r="Q68" s="415">
        <f t="shared" si="20"/>
        <v>0</v>
      </c>
      <c r="R68" s="414">
        <f t="shared" si="15"/>
        <v>0</v>
      </c>
      <c r="T68" s="415"/>
      <c r="U68" s="415"/>
      <c r="V68" s="415"/>
      <c r="W68" s="415"/>
      <c r="X68" s="415"/>
      <c r="Y68" s="415"/>
      <c r="Z68" s="415"/>
      <c r="AA68" s="415"/>
      <c r="AB68" s="415"/>
      <c r="AC68" s="415"/>
      <c r="AD68" s="415"/>
      <c r="AE68" s="415"/>
      <c r="AF68" s="414">
        <f t="shared" si="16"/>
        <v>0</v>
      </c>
    </row>
    <row r="69" spans="2:32" x14ac:dyDescent="0.35">
      <c r="B69" s="412">
        <v>7</v>
      </c>
      <c r="C69" s="413" t="s">
        <v>537</v>
      </c>
      <c r="D69" s="413"/>
      <c r="E69" s="414"/>
      <c r="F69" s="415">
        <f t="shared" ref="F69:Q69" si="21">F12+F31+F50</f>
        <v>12600</v>
      </c>
      <c r="G69" s="415">
        <f t="shared" si="21"/>
        <v>9800</v>
      </c>
      <c r="H69" s="415">
        <f t="shared" si="21"/>
        <v>14000</v>
      </c>
      <c r="I69" s="415">
        <f t="shared" si="21"/>
        <v>15400</v>
      </c>
      <c r="J69" s="415">
        <f t="shared" si="21"/>
        <v>14850</v>
      </c>
      <c r="K69" s="415">
        <f t="shared" si="21"/>
        <v>14300</v>
      </c>
      <c r="L69" s="415">
        <f t="shared" si="21"/>
        <v>14300</v>
      </c>
      <c r="M69" s="415">
        <f t="shared" si="21"/>
        <v>14300</v>
      </c>
      <c r="N69" s="415">
        <f t="shared" si="21"/>
        <v>14300</v>
      </c>
      <c r="O69" s="415">
        <f t="shared" si="21"/>
        <v>14300</v>
      </c>
      <c r="P69" s="415">
        <f t="shared" si="21"/>
        <v>14300</v>
      </c>
      <c r="Q69" s="415">
        <f t="shared" si="21"/>
        <v>14300</v>
      </c>
      <c r="R69" s="414">
        <f t="shared" si="15"/>
        <v>166750</v>
      </c>
      <c r="T69" s="415"/>
      <c r="U69" s="415"/>
      <c r="V69" s="415"/>
      <c r="W69" s="415"/>
      <c r="X69" s="415"/>
      <c r="Y69" s="415"/>
      <c r="Z69" s="415"/>
      <c r="AA69" s="415"/>
      <c r="AB69" s="415"/>
      <c r="AC69" s="415"/>
      <c r="AD69" s="415"/>
      <c r="AE69" s="415"/>
      <c r="AF69" s="414">
        <f t="shared" si="16"/>
        <v>0</v>
      </c>
    </row>
    <row r="70" spans="2:32" x14ac:dyDescent="0.35">
      <c r="B70" s="412">
        <v>8</v>
      </c>
      <c r="C70" s="413" t="s">
        <v>538</v>
      </c>
      <c r="D70" s="413"/>
      <c r="E70" s="414"/>
      <c r="F70" s="415">
        <f t="shared" ref="F70:Q70" si="22">F13+F32+F51</f>
        <v>13050</v>
      </c>
      <c r="G70" s="415">
        <f t="shared" si="22"/>
        <v>10150</v>
      </c>
      <c r="H70" s="415">
        <f t="shared" si="22"/>
        <v>14500</v>
      </c>
      <c r="I70" s="415">
        <f t="shared" si="22"/>
        <v>15950</v>
      </c>
      <c r="J70" s="415">
        <f t="shared" si="22"/>
        <v>16500</v>
      </c>
      <c r="K70" s="415">
        <f t="shared" si="22"/>
        <v>17050</v>
      </c>
      <c r="L70" s="415">
        <f t="shared" si="22"/>
        <v>17050</v>
      </c>
      <c r="M70" s="415">
        <f t="shared" si="22"/>
        <v>17050</v>
      </c>
      <c r="N70" s="415">
        <f t="shared" si="22"/>
        <v>17050</v>
      </c>
      <c r="O70" s="415">
        <f t="shared" si="22"/>
        <v>17050</v>
      </c>
      <c r="P70" s="415">
        <f t="shared" si="22"/>
        <v>17050</v>
      </c>
      <c r="Q70" s="415">
        <f t="shared" si="22"/>
        <v>17050</v>
      </c>
      <c r="R70" s="414">
        <f t="shared" si="15"/>
        <v>189500</v>
      </c>
      <c r="T70" s="415"/>
      <c r="U70" s="415"/>
      <c r="V70" s="415"/>
      <c r="W70" s="415"/>
      <c r="X70" s="415"/>
      <c r="Y70" s="415"/>
      <c r="Z70" s="415"/>
      <c r="AA70" s="415"/>
      <c r="AB70" s="415"/>
      <c r="AC70" s="415"/>
      <c r="AD70" s="415"/>
      <c r="AE70" s="415"/>
      <c r="AF70" s="414">
        <f t="shared" si="16"/>
        <v>0</v>
      </c>
    </row>
    <row r="71" spans="2:32" x14ac:dyDescent="0.35">
      <c r="B71" s="412">
        <v>9</v>
      </c>
      <c r="C71" s="413" t="s">
        <v>539</v>
      </c>
      <c r="D71" s="413"/>
      <c r="E71" s="414"/>
      <c r="F71" s="415">
        <f t="shared" ref="F71:Q71" si="23">F14+F33+F52</f>
        <v>0</v>
      </c>
      <c r="G71" s="415">
        <f t="shared" si="23"/>
        <v>0</v>
      </c>
      <c r="H71" s="415">
        <f t="shared" si="23"/>
        <v>0</v>
      </c>
      <c r="I71" s="415">
        <f t="shared" si="23"/>
        <v>0</v>
      </c>
      <c r="J71" s="415">
        <f t="shared" si="23"/>
        <v>0</v>
      </c>
      <c r="K71" s="415">
        <f t="shared" si="23"/>
        <v>0</v>
      </c>
      <c r="L71" s="415">
        <f t="shared" si="23"/>
        <v>0</v>
      </c>
      <c r="M71" s="415">
        <f t="shared" si="23"/>
        <v>0</v>
      </c>
      <c r="N71" s="415">
        <f t="shared" si="23"/>
        <v>0</v>
      </c>
      <c r="O71" s="415">
        <f t="shared" si="23"/>
        <v>0</v>
      </c>
      <c r="P71" s="415">
        <f t="shared" si="23"/>
        <v>0</v>
      </c>
      <c r="Q71" s="415">
        <f t="shared" si="23"/>
        <v>0</v>
      </c>
      <c r="R71" s="414">
        <f t="shared" si="15"/>
        <v>0</v>
      </c>
      <c r="T71" s="415"/>
      <c r="U71" s="415"/>
      <c r="V71" s="415"/>
      <c r="W71" s="415"/>
      <c r="X71" s="415"/>
      <c r="Y71" s="415"/>
      <c r="Z71" s="415"/>
      <c r="AA71" s="415"/>
      <c r="AB71" s="415"/>
      <c r="AC71" s="415"/>
      <c r="AD71" s="415"/>
      <c r="AE71" s="415"/>
      <c r="AF71" s="414">
        <f t="shared" si="16"/>
        <v>0</v>
      </c>
    </row>
    <row r="72" spans="2:32" x14ac:dyDescent="0.35">
      <c r="B72" s="412">
        <v>10</v>
      </c>
      <c r="C72" s="413" t="s">
        <v>540</v>
      </c>
      <c r="D72" s="413"/>
      <c r="E72" s="414"/>
      <c r="F72" s="415">
        <f t="shared" ref="F72:Q72" si="24">F15+F34+F53</f>
        <v>261000</v>
      </c>
      <c r="G72" s="415">
        <f t="shared" si="24"/>
        <v>203000</v>
      </c>
      <c r="H72" s="415">
        <f t="shared" si="24"/>
        <v>290000</v>
      </c>
      <c r="I72" s="415">
        <f t="shared" si="24"/>
        <v>319000</v>
      </c>
      <c r="J72" s="415">
        <f t="shared" si="24"/>
        <v>319549.99999999994</v>
      </c>
      <c r="K72" s="415">
        <f t="shared" si="24"/>
        <v>320100</v>
      </c>
      <c r="L72" s="415">
        <f t="shared" si="24"/>
        <v>320100</v>
      </c>
      <c r="M72" s="415">
        <f t="shared" si="24"/>
        <v>320100</v>
      </c>
      <c r="N72" s="415">
        <f t="shared" si="24"/>
        <v>320100</v>
      </c>
      <c r="O72" s="415">
        <f t="shared" si="24"/>
        <v>320100</v>
      </c>
      <c r="P72" s="415">
        <f t="shared" si="24"/>
        <v>320100</v>
      </c>
      <c r="Q72" s="415">
        <f t="shared" si="24"/>
        <v>320100</v>
      </c>
      <c r="R72" s="414">
        <f t="shared" si="15"/>
        <v>3633250</v>
      </c>
      <c r="T72" s="415"/>
      <c r="U72" s="415"/>
      <c r="V72" s="415"/>
      <c r="W72" s="415"/>
      <c r="X72" s="415"/>
      <c r="Y72" s="415"/>
      <c r="Z72" s="415"/>
      <c r="AA72" s="415"/>
      <c r="AB72" s="415"/>
      <c r="AC72" s="415"/>
      <c r="AD72" s="415"/>
      <c r="AE72" s="415"/>
      <c r="AF72" s="414">
        <f t="shared" si="16"/>
        <v>0</v>
      </c>
    </row>
    <row r="73" spans="2:32" x14ac:dyDescent="0.35">
      <c r="B73" s="412">
        <v>11</v>
      </c>
      <c r="C73" s="413" t="s">
        <v>541</v>
      </c>
      <c r="D73" s="413"/>
      <c r="E73" s="414"/>
      <c r="F73" s="415">
        <f t="shared" ref="F73:Q73" si="25">F16+F35+F54</f>
        <v>0</v>
      </c>
      <c r="G73" s="415">
        <f t="shared" si="25"/>
        <v>0</v>
      </c>
      <c r="H73" s="415">
        <f t="shared" si="25"/>
        <v>0</v>
      </c>
      <c r="I73" s="415">
        <f t="shared" si="25"/>
        <v>0</v>
      </c>
      <c r="J73" s="415">
        <f t="shared" si="25"/>
        <v>0</v>
      </c>
      <c r="K73" s="415">
        <f t="shared" si="25"/>
        <v>0</v>
      </c>
      <c r="L73" s="415">
        <f t="shared" si="25"/>
        <v>0</v>
      </c>
      <c r="M73" s="415">
        <f t="shared" si="25"/>
        <v>0</v>
      </c>
      <c r="N73" s="415">
        <f t="shared" si="25"/>
        <v>0</v>
      </c>
      <c r="O73" s="415">
        <f t="shared" si="25"/>
        <v>0</v>
      </c>
      <c r="P73" s="415">
        <f t="shared" si="25"/>
        <v>0</v>
      </c>
      <c r="Q73" s="415">
        <f t="shared" si="25"/>
        <v>0</v>
      </c>
      <c r="R73" s="414">
        <f t="shared" si="15"/>
        <v>0</v>
      </c>
      <c r="T73" s="415"/>
      <c r="U73" s="415"/>
      <c r="V73" s="415"/>
      <c r="W73" s="415"/>
      <c r="X73" s="415"/>
      <c r="Y73" s="415"/>
      <c r="Z73" s="415"/>
      <c r="AA73" s="415"/>
      <c r="AB73" s="415"/>
      <c r="AC73" s="415"/>
      <c r="AD73" s="415"/>
      <c r="AE73" s="415"/>
      <c r="AF73" s="414">
        <f t="shared" si="16"/>
        <v>0</v>
      </c>
    </row>
    <row r="74" spans="2:32" x14ac:dyDescent="0.35">
      <c r="B74" s="412">
        <v>12</v>
      </c>
      <c r="C74" s="413" t="s">
        <v>542</v>
      </c>
      <c r="D74" s="413"/>
      <c r="E74" s="414"/>
      <c r="F74" s="415">
        <f t="shared" ref="F74:Q74" si="26">F17+F36+F55</f>
        <v>0</v>
      </c>
      <c r="G74" s="415">
        <f t="shared" si="26"/>
        <v>0</v>
      </c>
      <c r="H74" s="415">
        <f t="shared" si="26"/>
        <v>0</v>
      </c>
      <c r="I74" s="415">
        <f t="shared" si="26"/>
        <v>0</v>
      </c>
      <c r="J74" s="415">
        <f t="shared" si="26"/>
        <v>0</v>
      </c>
      <c r="K74" s="415">
        <f t="shared" si="26"/>
        <v>0</v>
      </c>
      <c r="L74" s="415">
        <f t="shared" si="26"/>
        <v>0</v>
      </c>
      <c r="M74" s="415">
        <f t="shared" si="26"/>
        <v>0</v>
      </c>
      <c r="N74" s="415">
        <f t="shared" si="26"/>
        <v>0</v>
      </c>
      <c r="O74" s="415">
        <f t="shared" si="26"/>
        <v>0</v>
      </c>
      <c r="P74" s="415">
        <f t="shared" si="26"/>
        <v>0</v>
      </c>
      <c r="Q74" s="415">
        <f t="shared" si="26"/>
        <v>0</v>
      </c>
      <c r="R74" s="414">
        <f t="shared" si="15"/>
        <v>0</v>
      </c>
      <c r="T74" s="415"/>
      <c r="U74" s="415"/>
      <c r="V74" s="415"/>
      <c r="W74" s="415"/>
      <c r="X74" s="415"/>
      <c r="Y74" s="415"/>
      <c r="Z74" s="415"/>
      <c r="AA74" s="415"/>
      <c r="AB74" s="415"/>
      <c r="AC74" s="415"/>
      <c r="AD74" s="415"/>
      <c r="AE74" s="415"/>
      <c r="AF74" s="414">
        <f t="shared" si="16"/>
        <v>0</v>
      </c>
    </row>
    <row r="75" spans="2:32" x14ac:dyDescent="0.35">
      <c r="B75" s="412">
        <v>13</v>
      </c>
      <c r="C75" s="413" t="s">
        <v>543</v>
      </c>
      <c r="D75" s="413"/>
      <c r="E75" s="414"/>
      <c r="F75" s="415">
        <f t="shared" ref="F75:Q75" si="27">F18+F37+F56</f>
        <v>0</v>
      </c>
      <c r="G75" s="415">
        <f t="shared" si="27"/>
        <v>0</v>
      </c>
      <c r="H75" s="415">
        <f t="shared" si="27"/>
        <v>0</v>
      </c>
      <c r="I75" s="415">
        <f t="shared" si="27"/>
        <v>0</v>
      </c>
      <c r="J75" s="415">
        <f t="shared" si="27"/>
        <v>0</v>
      </c>
      <c r="K75" s="415">
        <f t="shared" si="27"/>
        <v>0</v>
      </c>
      <c r="L75" s="415">
        <f t="shared" si="27"/>
        <v>0</v>
      </c>
      <c r="M75" s="415">
        <f t="shared" si="27"/>
        <v>0</v>
      </c>
      <c r="N75" s="415">
        <f t="shared" si="27"/>
        <v>0</v>
      </c>
      <c r="O75" s="415">
        <f t="shared" si="27"/>
        <v>0</v>
      </c>
      <c r="P75" s="415">
        <f t="shared" si="27"/>
        <v>0</v>
      </c>
      <c r="Q75" s="415">
        <f t="shared" si="27"/>
        <v>0</v>
      </c>
      <c r="R75" s="414">
        <f t="shared" si="15"/>
        <v>0</v>
      </c>
      <c r="T75" s="415"/>
      <c r="U75" s="415"/>
      <c r="V75" s="415"/>
      <c r="W75" s="415"/>
      <c r="X75" s="415"/>
      <c r="Y75" s="415"/>
      <c r="Z75" s="415"/>
      <c r="AA75" s="415"/>
      <c r="AB75" s="415"/>
      <c r="AC75" s="415"/>
      <c r="AD75" s="415"/>
      <c r="AE75" s="415"/>
      <c r="AF75" s="414">
        <f t="shared" si="16"/>
        <v>0</v>
      </c>
    </row>
    <row r="76" spans="2:32" x14ac:dyDescent="0.35">
      <c r="B76" s="412">
        <v>14</v>
      </c>
      <c r="C76" s="413" t="s">
        <v>544</v>
      </c>
      <c r="D76" s="413"/>
      <c r="E76" s="414"/>
      <c r="F76" s="415">
        <f t="shared" ref="F76:Q76" si="28">F19+F38+F57</f>
        <v>9675</v>
      </c>
      <c r="G76" s="415">
        <f t="shared" si="28"/>
        <v>7525</v>
      </c>
      <c r="H76" s="415">
        <f t="shared" si="28"/>
        <v>10750</v>
      </c>
      <c r="I76" s="415">
        <f t="shared" si="28"/>
        <v>11825</v>
      </c>
      <c r="J76" s="415">
        <f t="shared" si="28"/>
        <v>11825</v>
      </c>
      <c r="K76" s="415">
        <f t="shared" si="28"/>
        <v>11825</v>
      </c>
      <c r="L76" s="415">
        <f t="shared" si="28"/>
        <v>11825</v>
      </c>
      <c r="M76" s="415">
        <f t="shared" si="28"/>
        <v>11825</v>
      </c>
      <c r="N76" s="415">
        <f t="shared" si="28"/>
        <v>11825</v>
      </c>
      <c r="O76" s="415">
        <f t="shared" si="28"/>
        <v>11825</v>
      </c>
      <c r="P76" s="415">
        <f t="shared" si="28"/>
        <v>11825</v>
      </c>
      <c r="Q76" s="415">
        <f t="shared" si="28"/>
        <v>11825</v>
      </c>
      <c r="R76" s="414">
        <f t="shared" si="15"/>
        <v>134375</v>
      </c>
      <c r="T76" s="415"/>
      <c r="U76" s="415"/>
      <c r="V76" s="415"/>
      <c r="W76" s="415"/>
      <c r="X76" s="415"/>
      <c r="Y76" s="415"/>
      <c r="Z76" s="415"/>
      <c r="AA76" s="415"/>
      <c r="AB76" s="415"/>
      <c r="AC76" s="415"/>
      <c r="AD76" s="415"/>
      <c r="AE76" s="415"/>
      <c r="AF76" s="414">
        <f t="shared" si="16"/>
        <v>0</v>
      </c>
    </row>
    <row r="77" spans="2:32" x14ac:dyDescent="0.35">
      <c r="B77" s="416">
        <v>15</v>
      </c>
      <c r="C77" s="417" t="s">
        <v>175</v>
      </c>
      <c r="D77" s="417"/>
      <c r="E77" s="418"/>
      <c r="F77" s="419">
        <f t="shared" ref="F77:Q77" si="29">F20+F39+F58</f>
        <v>0</v>
      </c>
      <c r="G77" s="419">
        <f t="shared" si="29"/>
        <v>0</v>
      </c>
      <c r="H77" s="419">
        <f t="shared" si="29"/>
        <v>0</v>
      </c>
      <c r="I77" s="419">
        <f t="shared" si="29"/>
        <v>0</v>
      </c>
      <c r="J77" s="419">
        <f t="shared" si="29"/>
        <v>0</v>
      </c>
      <c r="K77" s="419">
        <f t="shared" si="29"/>
        <v>0</v>
      </c>
      <c r="L77" s="419">
        <f t="shared" si="29"/>
        <v>0</v>
      </c>
      <c r="M77" s="419">
        <f t="shared" si="29"/>
        <v>0</v>
      </c>
      <c r="N77" s="419">
        <f t="shared" si="29"/>
        <v>0</v>
      </c>
      <c r="O77" s="419">
        <f t="shared" si="29"/>
        <v>0</v>
      </c>
      <c r="P77" s="419">
        <f t="shared" si="29"/>
        <v>0</v>
      </c>
      <c r="Q77" s="419">
        <f t="shared" si="29"/>
        <v>0</v>
      </c>
      <c r="R77" s="418">
        <f t="shared" si="15"/>
        <v>0</v>
      </c>
      <c r="T77" s="419"/>
      <c r="U77" s="419"/>
      <c r="V77" s="419"/>
      <c r="W77" s="419"/>
      <c r="X77" s="419"/>
      <c r="Y77" s="419"/>
      <c r="Z77" s="419"/>
      <c r="AA77" s="419"/>
      <c r="AB77" s="419"/>
      <c r="AC77" s="419"/>
      <c r="AD77" s="419"/>
      <c r="AE77" s="419"/>
      <c r="AF77" s="418">
        <f t="shared" si="16"/>
        <v>0</v>
      </c>
    </row>
    <row r="78" spans="2:32" x14ac:dyDescent="0.35">
      <c r="B78" s="163"/>
      <c r="C78" s="164" t="s">
        <v>663</v>
      </c>
      <c r="D78" s="164"/>
      <c r="E78" s="166">
        <v>4425375.5444444455</v>
      </c>
      <c r="F78" s="166">
        <f>SUM(F63:F77)</f>
        <v>795375</v>
      </c>
      <c r="G78" s="166">
        <f t="shared" ref="G78:R78" si="30">SUM(G63:G77)</f>
        <v>618625</v>
      </c>
      <c r="H78" s="166">
        <f t="shared" si="30"/>
        <v>883750</v>
      </c>
      <c r="I78" s="166">
        <f t="shared" si="30"/>
        <v>972125</v>
      </c>
      <c r="J78" s="166">
        <f t="shared" si="30"/>
        <v>971025</v>
      </c>
      <c r="K78" s="166">
        <f t="shared" si="30"/>
        <v>969925</v>
      </c>
      <c r="L78" s="166">
        <f t="shared" si="30"/>
        <v>969925</v>
      </c>
      <c r="M78" s="166">
        <f t="shared" si="30"/>
        <v>969925</v>
      </c>
      <c r="N78" s="166">
        <f t="shared" si="30"/>
        <v>969925</v>
      </c>
      <c r="O78" s="166">
        <f t="shared" si="30"/>
        <v>969925</v>
      </c>
      <c r="P78" s="166">
        <f t="shared" si="30"/>
        <v>969925</v>
      </c>
      <c r="Q78" s="166">
        <f t="shared" si="30"/>
        <v>969925</v>
      </c>
      <c r="R78" s="166">
        <f t="shared" si="30"/>
        <v>11030375</v>
      </c>
      <c r="T78" s="166">
        <f>SUM(T63:T77)</f>
        <v>0</v>
      </c>
      <c r="U78" s="166">
        <f t="shared" ref="U78:AF78" si="31">SUM(U63:U77)</f>
        <v>0</v>
      </c>
      <c r="V78" s="166">
        <f t="shared" si="31"/>
        <v>0</v>
      </c>
      <c r="W78" s="166">
        <f t="shared" si="31"/>
        <v>0</v>
      </c>
      <c r="X78" s="166">
        <f t="shared" si="31"/>
        <v>0</v>
      </c>
      <c r="Y78" s="166">
        <f t="shared" si="31"/>
        <v>0</v>
      </c>
      <c r="Z78" s="166">
        <f t="shared" si="31"/>
        <v>0</v>
      </c>
      <c r="AA78" s="166">
        <f t="shared" si="31"/>
        <v>0</v>
      </c>
      <c r="AB78" s="166">
        <f t="shared" si="31"/>
        <v>0</v>
      </c>
      <c r="AC78" s="166">
        <f t="shared" si="31"/>
        <v>0</v>
      </c>
      <c r="AD78" s="166">
        <f t="shared" si="31"/>
        <v>0</v>
      </c>
      <c r="AE78" s="166">
        <f t="shared" si="31"/>
        <v>0</v>
      </c>
      <c r="AF78" s="166">
        <f t="shared" si="31"/>
        <v>0</v>
      </c>
    </row>
    <row r="79" spans="2:32" x14ac:dyDescent="0.35">
      <c r="E79" s="434"/>
      <c r="F79" s="108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</row>
    <row r="80" spans="2:32" x14ac:dyDescent="0.35">
      <c r="B80" s="213" t="s">
        <v>664</v>
      </c>
      <c r="E80" s="213"/>
      <c r="R80" s="213"/>
      <c r="AF80" s="213"/>
    </row>
    <row r="81" spans="2:32" ht="26" x14ac:dyDescent="0.35">
      <c r="B81" s="187" t="s">
        <v>36</v>
      </c>
      <c r="C81" s="187" t="s">
        <v>524</v>
      </c>
      <c r="D81" s="187" t="s">
        <v>257</v>
      </c>
      <c r="E81" s="116" t="s">
        <v>148</v>
      </c>
      <c r="F81" s="116" t="s">
        <v>149</v>
      </c>
      <c r="G81" s="116" t="s">
        <v>150</v>
      </c>
      <c r="H81" s="116" t="s">
        <v>151</v>
      </c>
      <c r="I81" s="116" t="s">
        <v>152</v>
      </c>
      <c r="J81" s="116" t="s">
        <v>153</v>
      </c>
      <c r="K81" s="116" t="s">
        <v>154</v>
      </c>
      <c r="L81" s="116" t="s">
        <v>155</v>
      </c>
      <c r="M81" s="116" t="s">
        <v>156</v>
      </c>
      <c r="N81" s="116" t="s">
        <v>157</v>
      </c>
      <c r="O81" s="116" t="s">
        <v>158</v>
      </c>
      <c r="P81" s="116" t="s">
        <v>159</v>
      </c>
      <c r="Q81" s="116" t="s">
        <v>160</v>
      </c>
      <c r="R81" s="116" t="s">
        <v>2147</v>
      </c>
      <c r="T81" s="714" t="s">
        <v>149</v>
      </c>
      <c r="U81" s="714" t="s">
        <v>150</v>
      </c>
      <c r="V81" s="714" t="s">
        <v>151</v>
      </c>
      <c r="W81" s="714" t="s">
        <v>152</v>
      </c>
      <c r="X81" s="714" t="s">
        <v>153</v>
      </c>
      <c r="Y81" s="714" t="s">
        <v>154</v>
      </c>
      <c r="Z81" s="714" t="s">
        <v>155</v>
      </c>
      <c r="AA81" s="714" t="s">
        <v>156</v>
      </c>
      <c r="AB81" s="714" t="s">
        <v>157</v>
      </c>
      <c r="AC81" s="714" t="s">
        <v>158</v>
      </c>
      <c r="AD81" s="714" t="s">
        <v>159</v>
      </c>
      <c r="AE81" s="714" t="s">
        <v>160</v>
      </c>
      <c r="AF81" s="714" t="s">
        <v>148</v>
      </c>
    </row>
    <row r="82" spans="2:32" x14ac:dyDescent="0.35">
      <c r="B82" s="408">
        <v>1</v>
      </c>
      <c r="C82" s="409" t="s">
        <v>530</v>
      </c>
      <c r="D82" s="409"/>
      <c r="E82" s="410"/>
      <c r="F82" s="411">
        <f>F63-F102</f>
        <v>481950</v>
      </c>
      <c r="G82" s="411">
        <f t="shared" ref="G82:Q82" si="32">G63-G102</f>
        <v>374850</v>
      </c>
      <c r="H82" s="411">
        <f t="shared" si="32"/>
        <v>535500</v>
      </c>
      <c r="I82" s="411">
        <f>I63-I102</f>
        <v>589050</v>
      </c>
      <c r="J82" s="411">
        <f t="shared" si="32"/>
        <v>587400</v>
      </c>
      <c r="K82" s="1311">
        <f t="shared" si="32"/>
        <v>0</v>
      </c>
      <c r="L82" s="1311">
        <f t="shared" si="32"/>
        <v>0</v>
      </c>
      <c r="M82" s="1311">
        <f t="shared" si="32"/>
        <v>0</v>
      </c>
      <c r="N82" s="1311">
        <f t="shared" si="32"/>
        <v>0</v>
      </c>
      <c r="O82" s="1311">
        <f t="shared" si="32"/>
        <v>0</v>
      </c>
      <c r="P82" s="1311">
        <f t="shared" si="32"/>
        <v>0</v>
      </c>
      <c r="Q82" s="1311">
        <f t="shared" si="32"/>
        <v>0</v>
      </c>
      <c r="R82" s="410">
        <f t="shared" ref="R82:R96" si="33">SUM(F82:Q82)</f>
        <v>2568750</v>
      </c>
      <c r="T82" s="411"/>
      <c r="U82" s="411"/>
      <c r="V82" s="411"/>
      <c r="W82" s="411"/>
      <c r="X82" s="411"/>
      <c r="Y82" s="411"/>
      <c r="Z82" s="411"/>
      <c r="AA82" s="411"/>
      <c r="AB82" s="411"/>
      <c r="AC82" s="411"/>
      <c r="AD82" s="411"/>
      <c r="AE82" s="411"/>
      <c r="AF82" s="410">
        <f t="shared" ref="AF82:AF96" si="34">SUM(T82:AE82)</f>
        <v>0</v>
      </c>
    </row>
    <row r="83" spans="2:32" x14ac:dyDescent="0.35">
      <c r="B83" s="412">
        <v>2</v>
      </c>
      <c r="C83" s="413" t="s">
        <v>532</v>
      </c>
      <c r="D83" s="413"/>
      <c r="E83" s="414"/>
      <c r="F83" s="415">
        <f t="shared" ref="F83:Q83" si="35">F64-F103</f>
        <v>0</v>
      </c>
      <c r="G83" s="415">
        <f t="shared" si="35"/>
        <v>0</v>
      </c>
      <c r="H83" s="415">
        <f t="shared" si="35"/>
        <v>0</v>
      </c>
      <c r="I83" s="415">
        <f t="shared" si="35"/>
        <v>0</v>
      </c>
      <c r="J83" s="415">
        <f t="shared" si="35"/>
        <v>0</v>
      </c>
      <c r="K83" s="415">
        <f t="shared" si="35"/>
        <v>0</v>
      </c>
      <c r="L83" s="415">
        <f t="shared" si="35"/>
        <v>0</v>
      </c>
      <c r="M83" s="415">
        <f t="shared" si="35"/>
        <v>0</v>
      </c>
      <c r="N83" s="415">
        <f t="shared" si="35"/>
        <v>0</v>
      </c>
      <c r="O83" s="415">
        <f t="shared" si="35"/>
        <v>0</v>
      </c>
      <c r="P83" s="415">
        <f t="shared" si="35"/>
        <v>0</v>
      </c>
      <c r="Q83" s="415">
        <f t="shared" si="35"/>
        <v>0</v>
      </c>
      <c r="R83" s="414">
        <f t="shared" si="33"/>
        <v>0</v>
      </c>
      <c r="T83" s="415"/>
      <c r="U83" s="415"/>
      <c r="V83" s="415"/>
      <c r="W83" s="415"/>
      <c r="X83" s="415"/>
      <c r="Y83" s="415"/>
      <c r="Z83" s="415"/>
      <c r="AA83" s="415"/>
      <c r="AB83" s="415"/>
      <c r="AC83" s="415"/>
      <c r="AD83" s="415"/>
      <c r="AE83" s="415"/>
      <c r="AF83" s="414">
        <f t="shared" si="34"/>
        <v>0</v>
      </c>
    </row>
    <row r="84" spans="2:32" x14ac:dyDescent="0.35">
      <c r="B84" s="412">
        <v>3</v>
      </c>
      <c r="C84" s="413" t="s">
        <v>533</v>
      </c>
      <c r="D84" s="413"/>
      <c r="E84" s="414"/>
      <c r="F84" s="415">
        <f t="shared" ref="F84:Q84" si="36">F65-F104</f>
        <v>0</v>
      </c>
      <c r="G84" s="415">
        <f t="shared" si="36"/>
        <v>0</v>
      </c>
      <c r="H84" s="415">
        <f t="shared" si="36"/>
        <v>0</v>
      </c>
      <c r="I84" s="415">
        <f t="shared" si="36"/>
        <v>0</v>
      </c>
      <c r="J84" s="415">
        <f t="shared" si="36"/>
        <v>0</v>
      </c>
      <c r="K84" s="415">
        <f t="shared" si="36"/>
        <v>0</v>
      </c>
      <c r="L84" s="415">
        <f t="shared" si="36"/>
        <v>0</v>
      </c>
      <c r="M84" s="415">
        <f t="shared" si="36"/>
        <v>0</v>
      </c>
      <c r="N84" s="415">
        <f t="shared" si="36"/>
        <v>0</v>
      </c>
      <c r="O84" s="415">
        <f t="shared" si="36"/>
        <v>0</v>
      </c>
      <c r="P84" s="415">
        <f t="shared" si="36"/>
        <v>0</v>
      </c>
      <c r="Q84" s="415">
        <f t="shared" si="36"/>
        <v>0</v>
      </c>
      <c r="R84" s="414">
        <f t="shared" si="33"/>
        <v>0</v>
      </c>
      <c r="T84" s="415"/>
      <c r="U84" s="415"/>
      <c r="V84" s="415"/>
      <c r="W84" s="415"/>
      <c r="X84" s="415"/>
      <c r="Y84" s="415"/>
      <c r="Z84" s="415"/>
      <c r="AA84" s="415"/>
      <c r="AB84" s="415"/>
      <c r="AC84" s="415"/>
      <c r="AD84" s="415"/>
      <c r="AE84" s="415"/>
      <c r="AF84" s="414">
        <f t="shared" si="34"/>
        <v>0</v>
      </c>
    </row>
    <row r="85" spans="2:32" x14ac:dyDescent="0.35">
      <c r="B85" s="412">
        <v>4</v>
      </c>
      <c r="C85" s="413" t="s">
        <v>534</v>
      </c>
      <c r="D85" s="413"/>
      <c r="E85" s="414"/>
      <c r="F85" s="415">
        <f t="shared" ref="F85:Q85" si="37">F66-F105</f>
        <v>0</v>
      </c>
      <c r="G85" s="415">
        <f t="shared" si="37"/>
        <v>0</v>
      </c>
      <c r="H85" s="415">
        <f t="shared" si="37"/>
        <v>0</v>
      </c>
      <c r="I85" s="415">
        <f t="shared" si="37"/>
        <v>0</v>
      </c>
      <c r="J85" s="415">
        <f t="shared" si="37"/>
        <v>0</v>
      </c>
      <c r="K85" s="415">
        <f t="shared" si="37"/>
        <v>0</v>
      </c>
      <c r="L85" s="415">
        <f t="shared" si="37"/>
        <v>0</v>
      </c>
      <c r="M85" s="415">
        <f t="shared" si="37"/>
        <v>0</v>
      </c>
      <c r="N85" s="415">
        <f t="shared" si="37"/>
        <v>0</v>
      </c>
      <c r="O85" s="415">
        <f t="shared" si="37"/>
        <v>0</v>
      </c>
      <c r="P85" s="415">
        <f t="shared" si="37"/>
        <v>0</v>
      </c>
      <c r="Q85" s="415">
        <f t="shared" si="37"/>
        <v>0</v>
      </c>
      <c r="R85" s="414">
        <f t="shared" si="33"/>
        <v>0</v>
      </c>
      <c r="T85" s="415"/>
      <c r="U85" s="415"/>
      <c r="V85" s="415"/>
      <c r="W85" s="415"/>
      <c r="X85" s="415"/>
      <c r="Y85" s="415"/>
      <c r="Z85" s="415"/>
      <c r="AA85" s="415"/>
      <c r="AB85" s="415"/>
      <c r="AC85" s="415"/>
      <c r="AD85" s="415"/>
      <c r="AE85" s="415"/>
      <c r="AF85" s="414">
        <f t="shared" si="34"/>
        <v>0</v>
      </c>
    </row>
    <row r="86" spans="2:32" x14ac:dyDescent="0.35">
      <c r="B86" s="412">
        <v>5</v>
      </c>
      <c r="C86" s="413" t="s">
        <v>535</v>
      </c>
      <c r="D86" s="413"/>
      <c r="E86" s="414"/>
      <c r="F86" s="415">
        <f t="shared" ref="F86:Q86" si="38">F67-F106</f>
        <v>17100</v>
      </c>
      <c r="G86" s="415">
        <f t="shared" si="38"/>
        <v>13300</v>
      </c>
      <c r="H86" s="415">
        <f t="shared" si="38"/>
        <v>19000</v>
      </c>
      <c r="I86" s="415">
        <f t="shared" si="38"/>
        <v>20900</v>
      </c>
      <c r="J86" s="415">
        <f t="shared" si="38"/>
        <v>20900</v>
      </c>
      <c r="K86" s="415">
        <f t="shared" si="38"/>
        <v>20900</v>
      </c>
      <c r="L86" s="415">
        <f t="shared" si="38"/>
        <v>20900</v>
      </c>
      <c r="M86" s="415">
        <f t="shared" si="38"/>
        <v>20900</v>
      </c>
      <c r="N86" s="415">
        <f t="shared" si="38"/>
        <v>20900</v>
      </c>
      <c r="O86" s="415">
        <f t="shared" si="38"/>
        <v>20900</v>
      </c>
      <c r="P86" s="415">
        <f t="shared" si="38"/>
        <v>20900</v>
      </c>
      <c r="Q86" s="415">
        <f t="shared" si="38"/>
        <v>20900</v>
      </c>
      <c r="R86" s="414">
        <f t="shared" si="33"/>
        <v>237500</v>
      </c>
      <c r="T86" s="415"/>
      <c r="U86" s="415"/>
      <c r="V86" s="415"/>
      <c r="W86" s="415"/>
      <c r="X86" s="415"/>
      <c r="Y86" s="415"/>
      <c r="Z86" s="415"/>
      <c r="AA86" s="415"/>
      <c r="AB86" s="415"/>
      <c r="AC86" s="415"/>
      <c r="AD86" s="415"/>
      <c r="AE86" s="415"/>
      <c r="AF86" s="414">
        <f t="shared" si="34"/>
        <v>0</v>
      </c>
    </row>
    <row r="87" spans="2:32" x14ac:dyDescent="0.35">
      <c r="B87" s="412">
        <v>6</v>
      </c>
      <c r="C87" s="413" t="s">
        <v>536</v>
      </c>
      <c r="D87" s="413"/>
      <c r="E87" s="414"/>
      <c r="F87" s="415">
        <f t="shared" ref="F87:Q87" si="39">F68-F107</f>
        <v>0</v>
      </c>
      <c r="G87" s="415">
        <f t="shared" si="39"/>
        <v>0</v>
      </c>
      <c r="H87" s="415">
        <f t="shared" si="39"/>
        <v>0</v>
      </c>
      <c r="I87" s="415">
        <f t="shared" si="39"/>
        <v>0</v>
      </c>
      <c r="J87" s="415">
        <f t="shared" si="39"/>
        <v>0</v>
      </c>
      <c r="K87" s="415">
        <f t="shared" si="39"/>
        <v>0</v>
      </c>
      <c r="L87" s="415">
        <f t="shared" si="39"/>
        <v>0</v>
      </c>
      <c r="M87" s="415">
        <f t="shared" si="39"/>
        <v>0</v>
      </c>
      <c r="N87" s="415">
        <f t="shared" si="39"/>
        <v>0</v>
      </c>
      <c r="O87" s="415">
        <f t="shared" si="39"/>
        <v>0</v>
      </c>
      <c r="P87" s="415">
        <f t="shared" si="39"/>
        <v>0</v>
      </c>
      <c r="Q87" s="415">
        <f t="shared" si="39"/>
        <v>0</v>
      </c>
      <c r="R87" s="414">
        <f t="shared" si="33"/>
        <v>0</v>
      </c>
      <c r="T87" s="415"/>
      <c r="U87" s="415"/>
      <c r="V87" s="415"/>
      <c r="W87" s="415"/>
      <c r="X87" s="415"/>
      <c r="Y87" s="415"/>
      <c r="Z87" s="415"/>
      <c r="AA87" s="415"/>
      <c r="AB87" s="415"/>
      <c r="AC87" s="415"/>
      <c r="AD87" s="415"/>
      <c r="AE87" s="415"/>
      <c r="AF87" s="414">
        <f t="shared" si="34"/>
        <v>0</v>
      </c>
    </row>
    <row r="88" spans="2:32" x14ac:dyDescent="0.35">
      <c r="B88" s="412">
        <v>7</v>
      </c>
      <c r="C88" s="413" t="s">
        <v>537</v>
      </c>
      <c r="D88" s="413"/>
      <c r="E88" s="414"/>
      <c r="F88" s="415">
        <f t="shared" ref="F88:Q88" si="40">F69-F108</f>
        <v>12600</v>
      </c>
      <c r="G88" s="415">
        <f t="shared" si="40"/>
        <v>9800</v>
      </c>
      <c r="H88" s="415">
        <f t="shared" si="40"/>
        <v>14000</v>
      </c>
      <c r="I88" s="415">
        <f t="shared" si="40"/>
        <v>15400</v>
      </c>
      <c r="J88" s="415">
        <f t="shared" si="40"/>
        <v>14850</v>
      </c>
      <c r="K88" s="415">
        <f t="shared" si="40"/>
        <v>14300</v>
      </c>
      <c r="L88" s="415">
        <f t="shared" si="40"/>
        <v>14300</v>
      </c>
      <c r="M88" s="415">
        <f t="shared" si="40"/>
        <v>14300</v>
      </c>
      <c r="N88" s="415">
        <f t="shared" si="40"/>
        <v>14300</v>
      </c>
      <c r="O88" s="415">
        <f t="shared" si="40"/>
        <v>14300</v>
      </c>
      <c r="P88" s="415">
        <f t="shared" si="40"/>
        <v>14300</v>
      </c>
      <c r="Q88" s="415">
        <f t="shared" si="40"/>
        <v>14300</v>
      </c>
      <c r="R88" s="414">
        <f t="shared" si="33"/>
        <v>166750</v>
      </c>
      <c r="T88" s="415"/>
      <c r="U88" s="415"/>
      <c r="V88" s="415"/>
      <c r="W88" s="415"/>
      <c r="X88" s="415"/>
      <c r="Y88" s="415"/>
      <c r="Z88" s="415"/>
      <c r="AA88" s="415"/>
      <c r="AB88" s="415"/>
      <c r="AC88" s="415"/>
      <c r="AD88" s="415"/>
      <c r="AE88" s="415"/>
      <c r="AF88" s="414">
        <f t="shared" si="34"/>
        <v>0</v>
      </c>
    </row>
    <row r="89" spans="2:32" x14ac:dyDescent="0.35">
      <c r="B89" s="412">
        <v>8</v>
      </c>
      <c r="C89" s="413" t="s">
        <v>538</v>
      </c>
      <c r="D89" s="413"/>
      <c r="E89" s="414"/>
      <c r="F89" s="415">
        <f t="shared" ref="F89:Q89" si="41">F70-F109</f>
        <v>13050</v>
      </c>
      <c r="G89" s="415">
        <f t="shared" si="41"/>
        <v>10150</v>
      </c>
      <c r="H89" s="415">
        <f t="shared" si="41"/>
        <v>14500</v>
      </c>
      <c r="I89" s="415">
        <f t="shared" si="41"/>
        <v>15950</v>
      </c>
      <c r="J89" s="415">
        <f t="shared" si="41"/>
        <v>16500</v>
      </c>
      <c r="K89" s="415">
        <f t="shared" si="41"/>
        <v>17050</v>
      </c>
      <c r="L89" s="415">
        <f t="shared" si="41"/>
        <v>17050</v>
      </c>
      <c r="M89" s="415">
        <f t="shared" si="41"/>
        <v>17050</v>
      </c>
      <c r="N89" s="415">
        <f t="shared" si="41"/>
        <v>17050</v>
      </c>
      <c r="O89" s="415">
        <f t="shared" si="41"/>
        <v>17050</v>
      </c>
      <c r="P89" s="415">
        <f t="shared" si="41"/>
        <v>17050</v>
      </c>
      <c r="Q89" s="415">
        <f t="shared" si="41"/>
        <v>17050</v>
      </c>
      <c r="R89" s="414">
        <f t="shared" si="33"/>
        <v>189500</v>
      </c>
      <c r="T89" s="415"/>
      <c r="U89" s="415"/>
      <c r="V89" s="415"/>
      <c r="W89" s="415"/>
      <c r="X89" s="415"/>
      <c r="Y89" s="415"/>
      <c r="Z89" s="415"/>
      <c r="AA89" s="415"/>
      <c r="AB89" s="415"/>
      <c r="AC89" s="415"/>
      <c r="AD89" s="415"/>
      <c r="AE89" s="415"/>
      <c r="AF89" s="414">
        <f t="shared" si="34"/>
        <v>0</v>
      </c>
    </row>
    <row r="90" spans="2:32" x14ac:dyDescent="0.35">
      <c r="B90" s="412">
        <v>9</v>
      </c>
      <c r="C90" s="413" t="s">
        <v>539</v>
      </c>
      <c r="D90" s="413"/>
      <c r="E90" s="414"/>
      <c r="F90" s="415">
        <f t="shared" ref="F90:Q90" si="42">F71-F110</f>
        <v>0</v>
      </c>
      <c r="G90" s="415">
        <f t="shared" si="42"/>
        <v>0</v>
      </c>
      <c r="H90" s="415">
        <f t="shared" si="42"/>
        <v>0</v>
      </c>
      <c r="I90" s="415">
        <f t="shared" si="42"/>
        <v>0</v>
      </c>
      <c r="J90" s="415">
        <f t="shared" si="42"/>
        <v>0</v>
      </c>
      <c r="K90" s="415">
        <f t="shared" si="42"/>
        <v>0</v>
      </c>
      <c r="L90" s="415">
        <f t="shared" si="42"/>
        <v>0</v>
      </c>
      <c r="M90" s="415">
        <f t="shared" si="42"/>
        <v>0</v>
      </c>
      <c r="N90" s="415">
        <f t="shared" si="42"/>
        <v>0</v>
      </c>
      <c r="O90" s="415">
        <f t="shared" si="42"/>
        <v>0</v>
      </c>
      <c r="P90" s="415">
        <f t="shared" si="42"/>
        <v>0</v>
      </c>
      <c r="Q90" s="415">
        <f t="shared" si="42"/>
        <v>0</v>
      </c>
      <c r="R90" s="414">
        <f t="shared" si="33"/>
        <v>0</v>
      </c>
      <c r="T90" s="415"/>
      <c r="U90" s="415"/>
      <c r="V90" s="415"/>
      <c r="W90" s="415"/>
      <c r="X90" s="415"/>
      <c r="Y90" s="415"/>
      <c r="Z90" s="415"/>
      <c r="AA90" s="415"/>
      <c r="AB90" s="415"/>
      <c r="AC90" s="415"/>
      <c r="AD90" s="415"/>
      <c r="AE90" s="415"/>
      <c r="AF90" s="414">
        <f t="shared" si="34"/>
        <v>0</v>
      </c>
    </row>
    <row r="91" spans="2:32" x14ac:dyDescent="0.35">
      <c r="B91" s="412">
        <v>10</v>
      </c>
      <c r="C91" s="413" t="s">
        <v>540</v>
      </c>
      <c r="D91" s="413"/>
      <c r="E91" s="414"/>
      <c r="F91" s="415">
        <f t="shared" ref="F91:Q91" si="43">F72-F111</f>
        <v>0</v>
      </c>
      <c r="G91" s="415">
        <f t="shared" si="43"/>
        <v>0</v>
      </c>
      <c r="H91" s="415">
        <f t="shared" si="43"/>
        <v>0</v>
      </c>
      <c r="I91" s="415">
        <f t="shared" si="43"/>
        <v>0</v>
      </c>
      <c r="J91" s="415">
        <f t="shared" si="43"/>
        <v>0</v>
      </c>
      <c r="K91" s="415">
        <f t="shared" si="43"/>
        <v>0</v>
      </c>
      <c r="L91" s="415">
        <f t="shared" si="43"/>
        <v>0</v>
      </c>
      <c r="M91" s="415">
        <f t="shared" si="43"/>
        <v>0</v>
      </c>
      <c r="N91" s="415">
        <f t="shared" si="43"/>
        <v>0</v>
      </c>
      <c r="O91" s="415">
        <f t="shared" si="43"/>
        <v>0</v>
      </c>
      <c r="P91" s="415">
        <f t="shared" si="43"/>
        <v>0</v>
      </c>
      <c r="Q91" s="415">
        <f t="shared" si="43"/>
        <v>0</v>
      </c>
      <c r="R91" s="414">
        <f t="shared" si="33"/>
        <v>0</v>
      </c>
      <c r="T91" s="415"/>
      <c r="U91" s="415"/>
      <c r="V91" s="415"/>
      <c r="W91" s="415"/>
      <c r="X91" s="415"/>
      <c r="Y91" s="415"/>
      <c r="Z91" s="415"/>
      <c r="AA91" s="415"/>
      <c r="AB91" s="415"/>
      <c r="AC91" s="415"/>
      <c r="AD91" s="415"/>
      <c r="AE91" s="415"/>
      <c r="AF91" s="414">
        <f t="shared" si="34"/>
        <v>0</v>
      </c>
    </row>
    <row r="92" spans="2:32" x14ac:dyDescent="0.35">
      <c r="B92" s="412">
        <v>11</v>
      </c>
      <c r="C92" s="413" t="s">
        <v>541</v>
      </c>
      <c r="D92" s="413"/>
      <c r="E92" s="414"/>
      <c r="F92" s="415">
        <f t="shared" ref="F92:Q92" si="44">F73-F112</f>
        <v>0</v>
      </c>
      <c r="G92" s="415">
        <f t="shared" si="44"/>
        <v>0</v>
      </c>
      <c r="H92" s="415">
        <f t="shared" si="44"/>
        <v>0</v>
      </c>
      <c r="I92" s="415">
        <f t="shared" si="44"/>
        <v>0</v>
      </c>
      <c r="J92" s="415">
        <f t="shared" si="44"/>
        <v>0</v>
      </c>
      <c r="K92" s="415">
        <f t="shared" si="44"/>
        <v>0</v>
      </c>
      <c r="L92" s="415">
        <f t="shared" si="44"/>
        <v>0</v>
      </c>
      <c r="M92" s="415">
        <f t="shared" si="44"/>
        <v>0</v>
      </c>
      <c r="N92" s="415">
        <f t="shared" si="44"/>
        <v>0</v>
      </c>
      <c r="O92" s="415">
        <f t="shared" si="44"/>
        <v>0</v>
      </c>
      <c r="P92" s="415">
        <f t="shared" si="44"/>
        <v>0</v>
      </c>
      <c r="Q92" s="415">
        <f t="shared" si="44"/>
        <v>0</v>
      </c>
      <c r="R92" s="414">
        <f t="shared" si="33"/>
        <v>0</v>
      </c>
      <c r="T92" s="415"/>
      <c r="U92" s="415"/>
      <c r="V92" s="415"/>
      <c r="W92" s="415"/>
      <c r="X92" s="415"/>
      <c r="Y92" s="415"/>
      <c r="Z92" s="415"/>
      <c r="AA92" s="415"/>
      <c r="AB92" s="415"/>
      <c r="AC92" s="415"/>
      <c r="AD92" s="415"/>
      <c r="AE92" s="415"/>
      <c r="AF92" s="414">
        <f t="shared" si="34"/>
        <v>0</v>
      </c>
    </row>
    <row r="93" spans="2:32" x14ac:dyDescent="0.35">
      <c r="B93" s="412">
        <v>12</v>
      </c>
      <c r="C93" s="413" t="s">
        <v>542</v>
      </c>
      <c r="D93" s="413"/>
      <c r="E93" s="414"/>
      <c r="F93" s="415">
        <f t="shared" ref="F93:Q93" si="45">F74-F113</f>
        <v>0</v>
      </c>
      <c r="G93" s="415">
        <f t="shared" si="45"/>
        <v>0</v>
      </c>
      <c r="H93" s="415">
        <f t="shared" si="45"/>
        <v>0</v>
      </c>
      <c r="I93" s="415">
        <f t="shared" si="45"/>
        <v>0</v>
      </c>
      <c r="J93" s="415">
        <f t="shared" si="45"/>
        <v>0</v>
      </c>
      <c r="K93" s="415">
        <f t="shared" si="45"/>
        <v>0</v>
      </c>
      <c r="L93" s="415">
        <f t="shared" si="45"/>
        <v>0</v>
      </c>
      <c r="M93" s="415">
        <f t="shared" si="45"/>
        <v>0</v>
      </c>
      <c r="N93" s="415">
        <f t="shared" si="45"/>
        <v>0</v>
      </c>
      <c r="O93" s="415">
        <f t="shared" si="45"/>
        <v>0</v>
      </c>
      <c r="P93" s="415">
        <f t="shared" si="45"/>
        <v>0</v>
      </c>
      <c r="Q93" s="415">
        <f t="shared" si="45"/>
        <v>0</v>
      </c>
      <c r="R93" s="414">
        <f t="shared" si="33"/>
        <v>0</v>
      </c>
      <c r="T93" s="415"/>
      <c r="U93" s="415"/>
      <c r="V93" s="415"/>
      <c r="W93" s="415"/>
      <c r="X93" s="415"/>
      <c r="Y93" s="415"/>
      <c r="Z93" s="415"/>
      <c r="AA93" s="415"/>
      <c r="AB93" s="415"/>
      <c r="AC93" s="415"/>
      <c r="AD93" s="415"/>
      <c r="AE93" s="415"/>
      <c r="AF93" s="414">
        <f t="shared" si="34"/>
        <v>0</v>
      </c>
    </row>
    <row r="94" spans="2:32" x14ac:dyDescent="0.35">
      <c r="B94" s="412">
        <v>13</v>
      </c>
      <c r="C94" s="413" t="s">
        <v>543</v>
      </c>
      <c r="D94" s="413"/>
      <c r="E94" s="414"/>
      <c r="F94" s="415">
        <f t="shared" ref="F94:Q94" si="46">F75-F114</f>
        <v>0</v>
      </c>
      <c r="G94" s="415">
        <f t="shared" si="46"/>
        <v>0</v>
      </c>
      <c r="H94" s="415">
        <f t="shared" si="46"/>
        <v>0</v>
      </c>
      <c r="I94" s="415">
        <f t="shared" si="46"/>
        <v>0</v>
      </c>
      <c r="J94" s="415">
        <f t="shared" si="46"/>
        <v>0</v>
      </c>
      <c r="K94" s="415">
        <f t="shared" si="46"/>
        <v>0</v>
      </c>
      <c r="L94" s="415">
        <f t="shared" si="46"/>
        <v>0</v>
      </c>
      <c r="M94" s="415">
        <f t="shared" si="46"/>
        <v>0</v>
      </c>
      <c r="N94" s="415">
        <f t="shared" si="46"/>
        <v>0</v>
      </c>
      <c r="O94" s="415">
        <f t="shared" si="46"/>
        <v>0</v>
      </c>
      <c r="P94" s="415">
        <f t="shared" si="46"/>
        <v>0</v>
      </c>
      <c r="Q94" s="415">
        <f t="shared" si="46"/>
        <v>0</v>
      </c>
      <c r="R94" s="414">
        <f t="shared" si="33"/>
        <v>0</v>
      </c>
      <c r="T94" s="415"/>
      <c r="U94" s="415"/>
      <c r="V94" s="415"/>
      <c r="W94" s="415"/>
      <c r="X94" s="415"/>
      <c r="Y94" s="415"/>
      <c r="Z94" s="415"/>
      <c r="AA94" s="415"/>
      <c r="AB94" s="415"/>
      <c r="AC94" s="415"/>
      <c r="AD94" s="415"/>
      <c r="AE94" s="415"/>
      <c r="AF94" s="414">
        <f t="shared" si="34"/>
        <v>0</v>
      </c>
    </row>
    <row r="95" spans="2:32" x14ac:dyDescent="0.35">
      <c r="B95" s="412">
        <v>14</v>
      </c>
      <c r="C95" s="413" t="s">
        <v>544</v>
      </c>
      <c r="D95" s="413"/>
      <c r="E95" s="414"/>
      <c r="F95" s="415">
        <f t="shared" ref="F95:Q95" si="47">F76-F115</f>
        <v>9675</v>
      </c>
      <c r="G95" s="415">
        <f t="shared" si="47"/>
        <v>7525</v>
      </c>
      <c r="H95" s="415">
        <f t="shared" si="47"/>
        <v>10750</v>
      </c>
      <c r="I95" s="415">
        <f t="shared" si="47"/>
        <v>11825</v>
      </c>
      <c r="J95" s="415">
        <f t="shared" si="47"/>
        <v>11825</v>
      </c>
      <c r="K95" s="415">
        <f t="shared" si="47"/>
        <v>11825</v>
      </c>
      <c r="L95" s="415">
        <f t="shared" si="47"/>
        <v>11825</v>
      </c>
      <c r="M95" s="415">
        <f t="shared" si="47"/>
        <v>11825</v>
      </c>
      <c r="N95" s="415">
        <f t="shared" si="47"/>
        <v>11825</v>
      </c>
      <c r="O95" s="415">
        <f t="shared" si="47"/>
        <v>11825</v>
      </c>
      <c r="P95" s="415">
        <f t="shared" si="47"/>
        <v>11825</v>
      </c>
      <c r="Q95" s="415">
        <f t="shared" si="47"/>
        <v>11825</v>
      </c>
      <c r="R95" s="414">
        <f t="shared" si="33"/>
        <v>134375</v>
      </c>
      <c r="T95" s="415"/>
      <c r="U95" s="415"/>
      <c r="V95" s="415"/>
      <c r="W95" s="415"/>
      <c r="X95" s="415"/>
      <c r="Y95" s="415"/>
      <c r="Z95" s="415"/>
      <c r="AA95" s="415"/>
      <c r="AB95" s="415"/>
      <c r="AC95" s="415"/>
      <c r="AD95" s="415"/>
      <c r="AE95" s="415"/>
      <c r="AF95" s="414">
        <f t="shared" si="34"/>
        <v>0</v>
      </c>
    </row>
    <row r="96" spans="2:32" x14ac:dyDescent="0.35">
      <c r="B96" s="416">
        <v>15</v>
      </c>
      <c r="C96" s="417" t="s">
        <v>175</v>
      </c>
      <c r="D96" s="417"/>
      <c r="E96" s="418"/>
      <c r="F96" s="419">
        <f>F77-F116</f>
        <v>0</v>
      </c>
      <c r="G96" s="419">
        <f t="shared" ref="G96:Q96" si="48">G77-G116</f>
        <v>0</v>
      </c>
      <c r="H96" s="419">
        <f t="shared" si="48"/>
        <v>0</v>
      </c>
      <c r="I96" s="419">
        <f t="shared" si="48"/>
        <v>0</v>
      </c>
      <c r="J96" s="419">
        <f t="shared" si="48"/>
        <v>0</v>
      </c>
      <c r="K96" s="419">
        <f t="shared" si="48"/>
        <v>0</v>
      </c>
      <c r="L96" s="419">
        <f t="shared" si="48"/>
        <v>0</v>
      </c>
      <c r="M96" s="419">
        <f t="shared" si="48"/>
        <v>0</v>
      </c>
      <c r="N96" s="419">
        <f t="shared" si="48"/>
        <v>0</v>
      </c>
      <c r="O96" s="419">
        <f t="shared" si="48"/>
        <v>0</v>
      </c>
      <c r="P96" s="419">
        <f t="shared" si="48"/>
        <v>0</v>
      </c>
      <c r="Q96" s="419">
        <f t="shared" si="48"/>
        <v>0</v>
      </c>
      <c r="R96" s="418">
        <f t="shared" si="33"/>
        <v>0</v>
      </c>
      <c r="T96" s="419"/>
      <c r="U96" s="419"/>
      <c r="V96" s="419"/>
      <c r="W96" s="419"/>
      <c r="X96" s="419"/>
      <c r="Y96" s="419"/>
      <c r="Z96" s="419"/>
      <c r="AA96" s="419"/>
      <c r="AB96" s="419"/>
      <c r="AC96" s="419"/>
      <c r="AD96" s="419"/>
      <c r="AE96" s="419"/>
      <c r="AF96" s="418">
        <f t="shared" si="34"/>
        <v>0</v>
      </c>
    </row>
    <row r="97" spans="2:32" x14ac:dyDescent="0.35">
      <c r="B97" s="163"/>
      <c r="C97" s="164" t="s">
        <v>665</v>
      </c>
      <c r="D97" s="164"/>
      <c r="E97" s="166">
        <f>SUM(E104:E118)</f>
        <v>0</v>
      </c>
      <c r="F97" s="166">
        <f>SUM(F82:F96)</f>
        <v>534375</v>
      </c>
      <c r="G97" s="166">
        <f t="shared" ref="G97:P97" si="49">SUM(G82:G96)</f>
        <v>415625</v>
      </c>
      <c r="H97" s="166">
        <f t="shared" si="49"/>
        <v>593750</v>
      </c>
      <c r="I97" s="166">
        <f t="shared" si="49"/>
        <v>653125</v>
      </c>
      <c r="J97" s="166">
        <f t="shared" si="49"/>
        <v>651475</v>
      </c>
      <c r="K97" s="166">
        <f t="shared" si="49"/>
        <v>64075</v>
      </c>
      <c r="L97" s="166">
        <f t="shared" si="49"/>
        <v>64075</v>
      </c>
      <c r="M97" s="166">
        <f t="shared" si="49"/>
        <v>64075</v>
      </c>
      <c r="N97" s="166">
        <f t="shared" si="49"/>
        <v>64075</v>
      </c>
      <c r="O97" s="166">
        <f t="shared" si="49"/>
        <v>64075</v>
      </c>
      <c r="P97" s="166">
        <f t="shared" si="49"/>
        <v>64075</v>
      </c>
      <c r="Q97" s="166">
        <f>SUM(Q82:Q96)</f>
        <v>64075</v>
      </c>
      <c r="R97" s="166">
        <f>SUM(R82:R96)</f>
        <v>3296875</v>
      </c>
      <c r="T97" s="166">
        <f>SUM(T82:T96)</f>
        <v>0</v>
      </c>
      <c r="U97" s="166">
        <f t="shared" ref="U97:AD97" si="50">SUM(U82:U96)</f>
        <v>0</v>
      </c>
      <c r="V97" s="166">
        <f t="shared" si="50"/>
        <v>0</v>
      </c>
      <c r="W97" s="166">
        <f t="shared" si="50"/>
        <v>0</v>
      </c>
      <c r="X97" s="166">
        <f t="shared" si="50"/>
        <v>0</v>
      </c>
      <c r="Y97" s="166">
        <f t="shared" si="50"/>
        <v>0</v>
      </c>
      <c r="Z97" s="166">
        <f t="shared" si="50"/>
        <v>0</v>
      </c>
      <c r="AA97" s="166">
        <f t="shared" si="50"/>
        <v>0</v>
      </c>
      <c r="AB97" s="166">
        <f t="shared" si="50"/>
        <v>0</v>
      </c>
      <c r="AC97" s="166">
        <f t="shared" si="50"/>
        <v>0</v>
      </c>
      <c r="AD97" s="166">
        <f t="shared" si="50"/>
        <v>0</v>
      </c>
      <c r="AE97" s="166">
        <f>SUM(AE82:AE96)</f>
        <v>0</v>
      </c>
      <c r="AF97" s="166">
        <f>SUM(AF82:AF96)</f>
        <v>0</v>
      </c>
    </row>
    <row r="98" spans="2:32" x14ac:dyDescent="0.35">
      <c r="F98" s="10">
        <f>F97/1000</f>
        <v>534.375</v>
      </c>
      <c r="G98" s="10">
        <f t="shared" ref="G98:Q98" si="51">G97/1000</f>
        <v>415.625</v>
      </c>
      <c r="H98" s="10">
        <f t="shared" si="51"/>
        <v>593.75</v>
      </c>
      <c r="I98" s="10">
        <f t="shared" si="51"/>
        <v>653.125</v>
      </c>
      <c r="J98" s="10">
        <f t="shared" si="51"/>
        <v>651.47500000000002</v>
      </c>
      <c r="K98" s="10">
        <f t="shared" si="51"/>
        <v>64.075000000000003</v>
      </c>
      <c r="L98" s="10">
        <f t="shared" si="51"/>
        <v>64.075000000000003</v>
      </c>
      <c r="M98" s="10">
        <f t="shared" si="51"/>
        <v>64.075000000000003</v>
      </c>
      <c r="N98" s="10">
        <f t="shared" si="51"/>
        <v>64.075000000000003</v>
      </c>
      <c r="O98" s="10">
        <f t="shared" si="51"/>
        <v>64.075000000000003</v>
      </c>
      <c r="P98" s="10">
        <f t="shared" si="51"/>
        <v>64.075000000000003</v>
      </c>
      <c r="Q98" s="10">
        <f t="shared" si="51"/>
        <v>64.075000000000003</v>
      </c>
    </row>
    <row r="99" spans="2:32" x14ac:dyDescent="0.35">
      <c r="B99" s="63" t="s">
        <v>666</v>
      </c>
    </row>
    <row r="100" spans="2:32" x14ac:dyDescent="0.35">
      <c r="B100" s="11" t="s">
        <v>667</v>
      </c>
    </row>
    <row r="101" spans="2:32" ht="26" x14ac:dyDescent="0.35">
      <c r="B101" s="187" t="s">
        <v>36</v>
      </c>
      <c r="C101" s="187" t="s">
        <v>524</v>
      </c>
      <c r="D101" s="187" t="s">
        <v>257</v>
      </c>
      <c r="E101" s="116" t="s">
        <v>148</v>
      </c>
      <c r="F101" s="116" t="s">
        <v>149</v>
      </c>
      <c r="G101" s="116" t="s">
        <v>150</v>
      </c>
      <c r="H101" s="116" t="s">
        <v>151</v>
      </c>
      <c r="I101" s="116" t="s">
        <v>152</v>
      </c>
      <c r="J101" s="116" t="s">
        <v>153</v>
      </c>
      <c r="K101" s="116" t="s">
        <v>154</v>
      </c>
      <c r="L101" s="116" t="s">
        <v>155</v>
      </c>
      <c r="M101" s="116" t="s">
        <v>156</v>
      </c>
      <c r="N101" s="116" t="s">
        <v>157</v>
      </c>
      <c r="O101" s="116" t="s">
        <v>158</v>
      </c>
      <c r="P101" s="116" t="s">
        <v>159</v>
      </c>
      <c r="Q101" s="116" t="s">
        <v>160</v>
      </c>
      <c r="R101" s="116" t="s">
        <v>2147</v>
      </c>
      <c r="T101" s="714" t="s">
        <v>149</v>
      </c>
      <c r="U101" s="714" t="s">
        <v>150</v>
      </c>
      <c r="V101" s="714" t="s">
        <v>151</v>
      </c>
      <c r="W101" s="714" t="s">
        <v>152</v>
      </c>
      <c r="X101" s="714" t="s">
        <v>153</v>
      </c>
      <c r="Y101" s="714" t="s">
        <v>154</v>
      </c>
      <c r="Z101" s="714" t="s">
        <v>155</v>
      </c>
      <c r="AA101" s="714" t="s">
        <v>156</v>
      </c>
      <c r="AB101" s="714" t="s">
        <v>157</v>
      </c>
      <c r="AC101" s="714" t="s">
        <v>158</v>
      </c>
      <c r="AD101" s="714" t="s">
        <v>159</v>
      </c>
      <c r="AE101" s="714" t="s">
        <v>160</v>
      </c>
      <c r="AF101" s="714" t="s">
        <v>148</v>
      </c>
    </row>
    <row r="102" spans="2:32" x14ac:dyDescent="0.35">
      <c r="B102" s="408">
        <v>1</v>
      </c>
      <c r="C102" s="409" t="s">
        <v>530</v>
      </c>
      <c r="D102" s="409"/>
      <c r="E102" s="410"/>
      <c r="F102" s="411">
        <f>F63*'2.Hao hut &amp; % chai '!H114</f>
        <v>0</v>
      </c>
      <c r="G102" s="411">
        <f>G63*'2.Hao hut &amp; % chai '!I114</f>
        <v>0</v>
      </c>
      <c r="H102" s="411">
        <f>H63*'2.Hao hut &amp; % chai '!J114</f>
        <v>0</v>
      </c>
      <c r="I102" s="411">
        <f>I63*'2.Hao hut &amp; % chai '!K114</f>
        <v>0</v>
      </c>
      <c r="J102" s="411">
        <f>J63*'2.Hao hut &amp; % chai '!L114</f>
        <v>0</v>
      </c>
      <c r="K102" s="1369">
        <f>K63*'2.Hao hut &amp; % chai '!M114</f>
        <v>585750</v>
      </c>
      <c r="L102" s="1369">
        <f>L63*'2.Hao hut &amp; % chai '!N114</f>
        <v>585750</v>
      </c>
      <c r="M102" s="1369">
        <f>M63*'2.Hao hut &amp; % chai '!O114</f>
        <v>585750</v>
      </c>
      <c r="N102" s="1369">
        <f>N63*'2.Hao hut &amp; % chai '!P114</f>
        <v>585750</v>
      </c>
      <c r="O102" s="1369">
        <f>O63*'2.Hao hut &amp; % chai '!Q114</f>
        <v>585750</v>
      </c>
      <c r="P102" s="1369">
        <f>P63*'2.Hao hut &amp; % chai '!R114</f>
        <v>585750</v>
      </c>
      <c r="Q102" s="1369">
        <f>Q63*'2.Hao hut &amp; % chai '!S114</f>
        <v>585750</v>
      </c>
      <c r="R102" s="1370">
        <f t="shared" ref="R102" si="52">SUM(F102:Q102)</f>
        <v>4100250</v>
      </c>
      <c r="T102" s="411"/>
      <c r="U102" s="411"/>
      <c r="V102" s="411"/>
      <c r="W102" s="411"/>
      <c r="X102" s="411"/>
      <c r="Y102" s="411"/>
      <c r="Z102" s="411"/>
      <c r="AA102" s="411"/>
      <c r="AB102" s="411"/>
      <c r="AC102" s="411"/>
      <c r="AD102" s="411"/>
      <c r="AE102" s="411"/>
      <c r="AF102" s="410">
        <f t="shared" ref="AF102:AF116" si="53">SUM(T102:AE102)</f>
        <v>0</v>
      </c>
    </row>
    <row r="103" spans="2:32" x14ac:dyDescent="0.35">
      <c r="B103" s="412">
        <v>2</v>
      </c>
      <c r="C103" s="413" t="s">
        <v>532</v>
      </c>
      <c r="D103" s="413"/>
      <c r="E103" s="414"/>
      <c r="F103" s="415">
        <f>F64*'2.Hao hut &amp; % chai '!H115</f>
        <v>0</v>
      </c>
      <c r="G103" s="415">
        <f>G64*'2.Hao hut &amp; % chai '!I115</f>
        <v>0</v>
      </c>
      <c r="H103" s="415">
        <f>H64*'2.Hao hut &amp; % chai '!J115</f>
        <v>0</v>
      </c>
      <c r="I103" s="415">
        <f>I64*'2.Hao hut &amp; % chai '!K115</f>
        <v>0</v>
      </c>
      <c r="J103" s="415">
        <f>J64*'2.Hao hut &amp; % chai '!L115</f>
        <v>0</v>
      </c>
      <c r="K103" s="415">
        <f>K64*'2.Hao hut &amp; % chai '!M115</f>
        <v>0</v>
      </c>
      <c r="L103" s="415">
        <f>L64*'2.Hao hut &amp; % chai '!N115</f>
        <v>0</v>
      </c>
      <c r="M103" s="415">
        <f>M64*'2.Hao hut &amp; % chai '!O115</f>
        <v>0</v>
      </c>
      <c r="N103" s="415">
        <f>N64*'2.Hao hut &amp; % chai '!P115</f>
        <v>0</v>
      </c>
      <c r="O103" s="415">
        <f>O64*'2.Hao hut &amp; % chai '!Q115</f>
        <v>0</v>
      </c>
      <c r="P103" s="415">
        <f>P64*'2.Hao hut &amp; % chai '!R115</f>
        <v>0</v>
      </c>
      <c r="Q103" s="415">
        <f>Q64*'2.Hao hut &amp; % chai '!S115</f>
        <v>0</v>
      </c>
      <c r="R103" s="414">
        <f t="shared" ref="R103:R116" si="54">SUM(F103:Q103)</f>
        <v>0</v>
      </c>
      <c r="T103" s="415"/>
      <c r="U103" s="415"/>
      <c r="V103" s="415"/>
      <c r="W103" s="415"/>
      <c r="X103" s="415"/>
      <c r="Y103" s="415"/>
      <c r="Z103" s="415"/>
      <c r="AA103" s="415"/>
      <c r="AB103" s="415"/>
      <c r="AC103" s="415"/>
      <c r="AD103" s="415"/>
      <c r="AE103" s="415"/>
      <c r="AF103" s="414">
        <f t="shared" si="53"/>
        <v>0</v>
      </c>
    </row>
    <row r="104" spans="2:32" x14ac:dyDescent="0.35">
      <c r="B104" s="412">
        <v>3</v>
      </c>
      <c r="C104" s="413" t="s">
        <v>533</v>
      </c>
      <c r="D104" s="413"/>
      <c r="E104" s="414"/>
      <c r="F104" s="415">
        <f>F65*'2.Hao hut &amp; % chai '!H116</f>
        <v>0</v>
      </c>
      <c r="G104" s="415">
        <f>G65*'2.Hao hut &amp; % chai '!I116</f>
        <v>0</v>
      </c>
      <c r="H104" s="415">
        <f>H65*'2.Hao hut &amp; % chai '!J116</f>
        <v>0</v>
      </c>
      <c r="I104" s="415">
        <f>I65*'2.Hao hut &amp; % chai '!K116</f>
        <v>0</v>
      </c>
      <c r="J104" s="415">
        <f>J65*'2.Hao hut &amp; % chai '!L116</f>
        <v>0</v>
      </c>
      <c r="K104" s="415">
        <f>K65*'2.Hao hut &amp; % chai '!M116</f>
        <v>0</v>
      </c>
      <c r="L104" s="415">
        <f>L65*'2.Hao hut &amp; % chai '!N116</f>
        <v>0</v>
      </c>
      <c r="M104" s="415">
        <f>M65*'2.Hao hut &amp; % chai '!O116</f>
        <v>0</v>
      </c>
      <c r="N104" s="415">
        <f>N65*'2.Hao hut &amp; % chai '!P116</f>
        <v>0</v>
      </c>
      <c r="O104" s="415">
        <f>O65*'2.Hao hut &amp; % chai '!Q116</f>
        <v>0</v>
      </c>
      <c r="P104" s="415">
        <f>P65*'2.Hao hut &amp; % chai '!R116</f>
        <v>0</v>
      </c>
      <c r="Q104" s="415">
        <f>Q65*'2.Hao hut &amp; % chai '!S116</f>
        <v>0</v>
      </c>
      <c r="R104" s="414">
        <f t="shared" si="54"/>
        <v>0</v>
      </c>
      <c r="T104" s="415"/>
      <c r="U104" s="415"/>
      <c r="V104" s="415"/>
      <c r="W104" s="415"/>
      <c r="X104" s="415"/>
      <c r="Y104" s="415"/>
      <c r="Z104" s="415"/>
      <c r="AA104" s="415"/>
      <c r="AB104" s="415"/>
      <c r="AC104" s="415"/>
      <c r="AD104" s="415"/>
      <c r="AE104" s="415"/>
      <c r="AF104" s="414">
        <f t="shared" si="53"/>
        <v>0</v>
      </c>
    </row>
    <row r="105" spans="2:32" x14ac:dyDescent="0.35">
      <c r="B105" s="412">
        <v>4</v>
      </c>
      <c r="C105" s="413" t="s">
        <v>534</v>
      </c>
      <c r="D105" s="413"/>
      <c r="E105" s="414"/>
      <c r="F105" s="415">
        <f>F66*'2.Hao hut &amp; % chai '!H117</f>
        <v>0</v>
      </c>
      <c r="G105" s="415">
        <f>G66*'2.Hao hut &amp; % chai '!I117</f>
        <v>0</v>
      </c>
      <c r="H105" s="415">
        <f>H66*'2.Hao hut &amp; % chai '!J117</f>
        <v>0</v>
      </c>
      <c r="I105" s="415">
        <f>I66*'2.Hao hut &amp; % chai '!K117</f>
        <v>0</v>
      </c>
      <c r="J105" s="415">
        <f>J66*'2.Hao hut &amp; % chai '!L117</f>
        <v>0</v>
      </c>
      <c r="K105" s="415">
        <f>K66*'2.Hao hut &amp; % chai '!M117</f>
        <v>0</v>
      </c>
      <c r="L105" s="415">
        <f>L66*'2.Hao hut &amp; % chai '!N117</f>
        <v>0</v>
      </c>
      <c r="M105" s="415">
        <f>M66*'2.Hao hut &amp; % chai '!O117</f>
        <v>0</v>
      </c>
      <c r="N105" s="415">
        <f>N66*'2.Hao hut &amp; % chai '!P117</f>
        <v>0</v>
      </c>
      <c r="O105" s="415">
        <f>O66*'2.Hao hut &amp; % chai '!Q117</f>
        <v>0</v>
      </c>
      <c r="P105" s="415">
        <f>P66*'2.Hao hut &amp; % chai '!R117</f>
        <v>0</v>
      </c>
      <c r="Q105" s="415">
        <f>Q66*'2.Hao hut &amp; % chai '!S117</f>
        <v>0</v>
      </c>
      <c r="R105" s="414">
        <f t="shared" si="54"/>
        <v>0</v>
      </c>
      <c r="T105" s="415"/>
      <c r="U105" s="415"/>
      <c r="V105" s="415"/>
      <c r="W105" s="415"/>
      <c r="X105" s="415"/>
      <c r="Y105" s="415"/>
      <c r="Z105" s="415"/>
      <c r="AA105" s="415"/>
      <c r="AB105" s="415"/>
      <c r="AC105" s="415"/>
      <c r="AD105" s="415"/>
      <c r="AE105" s="415"/>
      <c r="AF105" s="414">
        <f t="shared" si="53"/>
        <v>0</v>
      </c>
    </row>
    <row r="106" spans="2:32" x14ac:dyDescent="0.35">
      <c r="B106" s="412">
        <v>5</v>
      </c>
      <c r="C106" s="413" t="s">
        <v>535</v>
      </c>
      <c r="D106" s="413"/>
      <c r="E106" s="414"/>
      <c r="F106" s="415">
        <f>F67*'2.Hao hut &amp; % chai '!H118</f>
        <v>0</v>
      </c>
      <c r="G106" s="415">
        <f>G67*'2.Hao hut &amp; % chai '!I118</f>
        <v>0</v>
      </c>
      <c r="H106" s="415">
        <f>H67*'2.Hao hut &amp; % chai '!J118</f>
        <v>0</v>
      </c>
      <c r="I106" s="415">
        <f>I67*'2.Hao hut &amp; % chai '!K118</f>
        <v>0</v>
      </c>
      <c r="J106" s="415">
        <f>J67*'2.Hao hut &amp; % chai '!L118</f>
        <v>0</v>
      </c>
      <c r="K106" s="415">
        <f>K67*'2.Hao hut &amp; % chai '!M118</f>
        <v>0</v>
      </c>
      <c r="L106" s="415">
        <f>L67*'2.Hao hut &amp; % chai '!N118</f>
        <v>0</v>
      </c>
      <c r="M106" s="415">
        <f>M67*'2.Hao hut &amp; % chai '!O118</f>
        <v>0</v>
      </c>
      <c r="N106" s="415">
        <f>N67*'2.Hao hut &amp; % chai '!P118</f>
        <v>0</v>
      </c>
      <c r="O106" s="415">
        <f>O67*'2.Hao hut &amp; % chai '!Q118</f>
        <v>0</v>
      </c>
      <c r="P106" s="415">
        <f>P67*'2.Hao hut &amp; % chai '!R118</f>
        <v>0</v>
      </c>
      <c r="Q106" s="415">
        <f>Q67*'2.Hao hut &amp; % chai '!S118</f>
        <v>0</v>
      </c>
      <c r="R106" s="414">
        <f t="shared" si="54"/>
        <v>0</v>
      </c>
      <c r="T106" s="415"/>
      <c r="U106" s="415"/>
      <c r="V106" s="415"/>
      <c r="W106" s="415"/>
      <c r="X106" s="415"/>
      <c r="Y106" s="415"/>
      <c r="Z106" s="415"/>
      <c r="AA106" s="415"/>
      <c r="AB106" s="415"/>
      <c r="AC106" s="415"/>
      <c r="AD106" s="415"/>
      <c r="AE106" s="415"/>
      <c r="AF106" s="414">
        <f t="shared" si="53"/>
        <v>0</v>
      </c>
    </row>
    <row r="107" spans="2:32" x14ac:dyDescent="0.35">
      <c r="B107" s="412">
        <v>6</v>
      </c>
      <c r="C107" s="413" t="s">
        <v>536</v>
      </c>
      <c r="D107" s="413"/>
      <c r="E107" s="414"/>
      <c r="F107" s="415">
        <f>F68*'2.Hao hut &amp; % chai '!H119</f>
        <v>0</v>
      </c>
      <c r="G107" s="415">
        <f>G68*'2.Hao hut &amp; % chai '!I119</f>
        <v>0</v>
      </c>
      <c r="H107" s="415">
        <f>H68*'2.Hao hut &amp; % chai '!J119</f>
        <v>0</v>
      </c>
      <c r="I107" s="415">
        <f>I68*'2.Hao hut &amp; % chai '!K119</f>
        <v>0</v>
      </c>
      <c r="J107" s="415">
        <f>J68*'2.Hao hut &amp; % chai '!L119</f>
        <v>0</v>
      </c>
      <c r="K107" s="415">
        <f>K68*'2.Hao hut &amp; % chai '!M119</f>
        <v>0</v>
      </c>
      <c r="L107" s="415">
        <f>L68*'2.Hao hut &amp; % chai '!N119</f>
        <v>0</v>
      </c>
      <c r="M107" s="415">
        <f>M68*'2.Hao hut &amp; % chai '!O119</f>
        <v>0</v>
      </c>
      <c r="N107" s="415">
        <f>N68*'2.Hao hut &amp; % chai '!P119</f>
        <v>0</v>
      </c>
      <c r="O107" s="415">
        <f>O68*'2.Hao hut &amp; % chai '!Q119</f>
        <v>0</v>
      </c>
      <c r="P107" s="415">
        <f>P68*'2.Hao hut &amp; % chai '!R119</f>
        <v>0</v>
      </c>
      <c r="Q107" s="415">
        <f>Q68*'2.Hao hut &amp; % chai '!S119</f>
        <v>0</v>
      </c>
      <c r="R107" s="414">
        <f t="shared" si="54"/>
        <v>0</v>
      </c>
      <c r="T107" s="415"/>
      <c r="U107" s="415"/>
      <c r="V107" s="415"/>
      <c r="W107" s="415"/>
      <c r="X107" s="415"/>
      <c r="Y107" s="415"/>
      <c r="Z107" s="415"/>
      <c r="AA107" s="415"/>
      <c r="AB107" s="415"/>
      <c r="AC107" s="415"/>
      <c r="AD107" s="415"/>
      <c r="AE107" s="415"/>
      <c r="AF107" s="414">
        <f t="shared" si="53"/>
        <v>0</v>
      </c>
    </row>
    <row r="108" spans="2:32" x14ac:dyDescent="0.35">
      <c r="B108" s="412">
        <v>7</v>
      </c>
      <c r="C108" s="413" t="s">
        <v>537</v>
      </c>
      <c r="D108" s="413"/>
      <c r="E108" s="414"/>
      <c r="F108" s="415"/>
      <c r="G108" s="415"/>
      <c r="H108" s="415"/>
      <c r="I108" s="415"/>
      <c r="J108" s="415"/>
      <c r="K108" s="415"/>
      <c r="L108" s="415"/>
      <c r="M108" s="415"/>
      <c r="N108" s="415"/>
      <c r="O108" s="415"/>
      <c r="P108" s="415"/>
      <c r="Q108" s="415"/>
      <c r="R108" s="414">
        <f t="shared" si="54"/>
        <v>0</v>
      </c>
      <c r="T108" s="415"/>
      <c r="U108" s="415"/>
      <c r="V108" s="415"/>
      <c r="W108" s="415"/>
      <c r="X108" s="415"/>
      <c r="Y108" s="415"/>
      <c r="Z108" s="415"/>
      <c r="AA108" s="415"/>
      <c r="AB108" s="415"/>
      <c r="AC108" s="415"/>
      <c r="AD108" s="415"/>
      <c r="AE108" s="415"/>
      <c r="AF108" s="414">
        <f t="shared" si="53"/>
        <v>0</v>
      </c>
    </row>
    <row r="109" spans="2:32" x14ac:dyDescent="0.35">
      <c r="B109" s="412">
        <v>8</v>
      </c>
      <c r="C109" s="413" t="s">
        <v>538</v>
      </c>
      <c r="D109" s="413"/>
      <c r="E109" s="414"/>
      <c r="F109" s="415">
        <f>F70*'2.Hao hut &amp; % chai '!H121</f>
        <v>0</v>
      </c>
      <c r="G109" s="415">
        <f>G70*'2.Hao hut &amp; % chai '!I121</f>
        <v>0</v>
      </c>
      <c r="H109" s="415">
        <f>H70*'2.Hao hut &amp; % chai '!J121</f>
        <v>0</v>
      </c>
      <c r="I109" s="415">
        <f>I70*'2.Hao hut &amp; % chai '!K121</f>
        <v>0</v>
      </c>
      <c r="J109" s="415">
        <f>J70*'2.Hao hut &amp; % chai '!L121</f>
        <v>0</v>
      </c>
      <c r="K109" s="415">
        <f>K70*'2.Hao hut &amp; % chai '!M121</f>
        <v>0</v>
      </c>
      <c r="L109" s="415">
        <f>L70*'2.Hao hut &amp; % chai '!N121</f>
        <v>0</v>
      </c>
      <c r="M109" s="415">
        <f>M70*'2.Hao hut &amp; % chai '!O121</f>
        <v>0</v>
      </c>
      <c r="N109" s="415">
        <f>N70*'2.Hao hut &amp; % chai '!P121</f>
        <v>0</v>
      </c>
      <c r="O109" s="415">
        <f>O70*'2.Hao hut &amp; % chai '!Q121</f>
        <v>0</v>
      </c>
      <c r="P109" s="415">
        <f>P70*'2.Hao hut &amp; % chai '!R121</f>
        <v>0</v>
      </c>
      <c r="Q109" s="415">
        <f>Q70*'2.Hao hut &amp; % chai '!S121</f>
        <v>0</v>
      </c>
      <c r="R109" s="414">
        <f t="shared" si="54"/>
        <v>0</v>
      </c>
      <c r="T109" s="415"/>
      <c r="U109" s="415"/>
      <c r="V109" s="415"/>
      <c r="W109" s="415"/>
      <c r="X109" s="415"/>
      <c r="Y109" s="415"/>
      <c r="Z109" s="415"/>
      <c r="AA109" s="415"/>
      <c r="AB109" s="415"/>
      <c r="AC109" s="415"/>
      <c r="AD109" s="415"/>
      <c r="AE109" s="415"/>
      <c r="AF109" s="414">
        <f t="shared" si="53"/>
        <v>0</v>
      </c>
    </row>
    <row r="110" spans="2:32" x14ac:dyDescent="0.35">
      <c r="B110" s="412">
        <v>9</v>
      </c>
      <c r="C110" s="413" t="s">
        <v>539</v>
      </c>
      <c r="D110" s="413"/>
      <c r="E110" s="414"/>
      <c r="F110" s="415">
        <f>F71*'2.Hao hut &amp; % chai '!H122</f>
        <v>0</v>
      </c>
      <c r="G110" s="415">
        <f>G71*'2.Hao hut &amp; % chai '!I122</f>
        <v>0</v>
      </c>
      <c r="H110" s="415">
        <f>H71*'2.Hao hut &amp; % chai '!J122</f>
        <v>0</v>
      </c>
      <c r="I110" s="415">
        <f>I71*'2.Hao hut &amp; % chai '!K122</f>
        <v>0</v>
      </c>
      <c r="J110" s="415">
        <f>J71*'2.Hao hut &amp; % chai '!L122</f>
        <v>0</v>
      </c>
      <c r="K110" s="415">
        <f>K71*'2.Hao hut &amp; % chai '!M122</f>
        <v>0</v>
      </c>
      <c r="L110" s="415">
        <f>L71*'2.Hao hut &amp; % chai '!N122</f>
        <v>0</v>
      </c>
      <c r="M110" s="415">
        <f>M71*'2.Hao hut &amp; % chai '!O122</f>
        <v>0</v>
      </c>
      <c r="N110" s="415">
        <f>N71*'2.Hao hut &amp; % chai '!P122</f>
        <v>0</v>
      </c>
      <c r="O110" s="415">
        <f>O71*'2.Hao hut &amp; % chai '!Q122</f>
        <v>0</v>
      </c>
      <c r="P110" s="415">
        <f>P71*'2.Hao hut &amp; % chai '!R122</f>
        <v>0</v>
      </c>
      <c r="Q110" s="415">
        <f>Q71*'2.Hao hut &amp; % chai '!S122</f>
        <v>0</v>
      </c>
      <c r="R110" s="414">
        <f t="shared" si="54"/>
        <v>0</v>
      </c>
      <c r="T110" s="415"/>
      <c r="U110" s="415"/>
      <c r="V110" s="415"/>
      <c r="W110" s="415"/>
      <c r="X110" s="415"/>
      <c r="Y110" s="415"/>
      <c r="Z110" s="415"/>
      <c r="AA110" s="415"/>
      <c r="AB110" s="415"/>
      <c r="AC110" s="415"/>
      <c r="AD110" s="415"/>
      <c r="AE110" s="415"/>
      <c r="AF110" s="414">
        <f t="shared" si="53"/>
        <v>0</v>
      </c>
    </row>
    <row r="111" spans="2:32" x14ac:dyDescent="0.35">
      <c r="B111" s="412">
        <v>10</v>
      </c>
      <c r="C111" s="413" t="s">
        <v>540</v>
      </c>
      <c r="D111" s="413"/>
      <c r="E111" s="414"/>
      <c r="F111" s="415">
        <f>F72*'2.Hao hut &amp; % chai '!H123</f>
        <v>261000</v>
      </c>
      <c r="G111" s="415">
        <f>G72*'2.Hao hut &amp; % chai '!I123</f>
        <v>203000</v>
      </c>
      <c r="H111" s="415">
        <f>H72*'2.Hao hut &amp; % chai '!J123</f>
        <v>290000</v>
      </c>
      <c r="I111" s="415">
        <f>I72*'2.Hao hut &amp; % chai '!K123</f>
        <v>319000</v>
      </c>
      <c r="J111" s="415">
        <f>J72*'2.Hao hut &amp; % chai '!L123</f>
        <v>319549.99999999994</v>
      </c>
      <c r="K111" s="415">
        <f>K72*'2.Hao hut &amp; % chai '!M123</f>
        <v>320100</v>
      </c>
      <c r="L111" s="415">
        <f>L72*'2.Hao hut &amp; % chai '!N123</f>
        <v>320100</v>
      </c>
      <c r="M111" s="415">
        <f>M72*'2.Hao hut &amp; % chai '!O123</f>
        <v>320100</v>
      </c>
      <c r="N111" s="415">
        <f>N72*'2.Hao hut &amp; % chai '!P123</f>
        <v>320100</v>
      </c>
      <c r="O111" s="415">
        <f>O72*'2.Hao hut &amp; % chai '!Q123</f>
        <v>320100</v>
      </c>
      <c r="P111" s="415">
        <f>P72*'2.Hao hut &amp; % chai '!R123</f>
        <v>320100</v>
      </c>
      <c r="Q111" s="415">
        <f>Q72*'2.Hao hut &amp; % chai '!S123</f>
        <v>320100</v>
      </c>
      <c r="R111" s="414">
        <f t="shared" si="54"/>
        <v>3633250</v>
      </c>
      <c r="T111" s="415"/>
      <c r="U111" s="415"/>
      <c r="V111" s="415"/>
      <c r="W111" s="415"/>
      <c r="X111" s="415"/>
      <c r="Y111" s="415"/>
      <c r="Z111" s="415"/>
      <c r="AA111" s="415"/>
      <c r="AB111" s="415"/>
      <c r="AC111" s="415"/>
      <c r="AD111" s="415"/>
      <c r="AE111" s="415"/>
      <c r="AF111" s="414">
        <f t="shared" si="53"/>
        <v>0</v>
      </c>
    </row>
    <row r="112" spans="2:32" x14ac:dyDescent="0.35">
      <c r="B112" s="412">
        <v>11</v>
      </c>
      <c r="C112" s="413" t="s">
        <v>541</v>
      </c>
      <c r="D112" s="413"/>
      <c r="E112" s="414"/>
      <c r="F112" s="415">
        <f>F73*'2.Hao hut &amp; % chai '!H124</f>
        <v>0</v>
      </c>
      <c r="G112" s="415">
        <f>G73*'2.Hao hut &amp; % chai '!I124</f>
        <v>0</v>
      </c>
      <c r="H112" s="415">
        <f>H73*'2.Hao hut &amp; % chai '!J124</f>
        <v>0</v>
      </c>
      <c r="I112" s="415">
        <f>I73*'2.Hao hut &amp; % chai '!K124</f>
        <v>0</v>
      </c>
      <c r="J112" s="415">
        <f>J73*'2.Hao hut &amp; % chai '!L124</f>
        <v>0</v>
      </c>
      <c r="K112" s="415">
        <f>K73*'2.Hao hut &amp; % chai '!M124</f>
        <v>0</v>
      </c>
      <c r="L112" s="415">
        <f>L73*'2.Hao hut &amp; % chai '!N124</f>
        <v>0</v>
      </c>
      <c r="M112" s="415">
        <f>M73*'2.Hao hut &amp; % chai '!O124</f>
        <v>0</v>
      </c>
      <c r="N112" s="415">
        <f>N73*'2.Hao hut &amp; % chai '!P124</f>
        <v>0</v>
      </c>
      <c r="O112" s="415">
        <f>O73*'2.Hao hut &amp; % chai '!Q124</f>
        <v>0</v>
      </c>
      <c r="P112" s="415">
        <f>P73*'2.Hao hut &amp; % chai '!R124</f>
        <v>0</v>
      </c>
      <c r="Q112" s="415">
        <f>Q73*'2.Hao hut &amp; % chai '!S124</f>
        <v>0</v>
      </c>
      <c r="R112" s="414">
        <f t="shared" si="54"/>
        <v>0</v>
      </c>
      <c r="T112" s="415"/>
      <c r="U112" s="415"/>
      <c r="V112" s="415"/>
      <c r="W112" s="415"/>
      <c r="X112" s="415"/>
      <c r="Y112" s="415"/>
      <c r="Z112" s="415"/>
      <c r="AA112" s="415"/>
      <c r="AB112" s="415"/>
      <c r="AC112" s="415"/>
      <c r="AD112" s="415"/>
      <c r="AE112" s="415"/>
      <c r="AF112" s="414">
        <f t="shared" si="53"/>
        <v>0</v>
      </c>
    </row>
    <row r="113" spans="2:32" x14ac:dyDescent="0.35">
      <c r="B113" s="412">
        <v>12</v>
      </c>
      <c r="C113" s="413" t="s">
        <v>542</v>
      </c>
      <c r="D113" s="413"/>
      <c r="E113" s="414"/>
      <c r="F113" s="415">
        <f>F74*'2.Hao hut &amp; % chai '!H125</f>
        <v>0</v>
      </c>
      <c r="G113" s="415">
        <f>G74*'2.Hao hut &amp; % chai '!I125</f>
        <v>0</v>
      </c>
      <c r="H113" s="415">
        <f>H74*'2.Hao hut &amp; % chai '!J125</f>
        <v>0</v>
      </c>
      <c r="I113" s="415">
        <f>I74*'2.Hao hut &amp; % chai '!K125</f>
        <v>0</v>
      </c>
      <c r="J113" s="415">
        <f>J74*'2.Hao hut &amp; % chai '!L125</f>
        <v>0</v>
      </c>
      <c r="K113" s="415">
        <f>K74*'2.Hao hut &amp; % chai '!M125</f>
        <v>0</v>
      </c>
      <c r="L113" s="415">
        <f>L74*'2.Hao hut &amp; % chai '!N125</f>
        <v>0</v>
      </c>
      <c r="M113" s="415">
        <f>M74*'2.Hao hut &amp; % chai '!O125</f>
        <v>0</v>
      </c>
      <c r="N113" s="415">
        <f>N74*'2.Hao hut &amp; % chai '!P125</f>
        <v>0</v>
      </c>
      <c r="O113" s="415">
        <f>O74*'2.Hao hut &amp; % chai '!Q125</f>
        <v>0</v>
      </c>
      <c r="P113" s="415">
        <f>P74*'2.Hao hut &amp; % chai '!R125</f>
        <v>0</v>
      </c>
      <c r="Q113" s="415">
        <f>Q74*'2.Hao hut &amp; % chai '!S125</f>
        <v>0</v>
      </c>
      <c r="R113" s="414">
        <f t="shared" si="54"/>
        <v>0</v>
      </c>
      <c r="T113" s="415"/>
      <c r="U113" s="415"/>
      <c r="V113" s="415"/>
      <c r="W113" s="415"/>
      <c r="X113" s="415"/>
      <c r="Y113" s="415"/>
      <c r="Z113" s="415"/>
      <c r="AA113" s="415"/>
      <c r="AB113" s="415"/>
      <c r="AC113" s="415"/>
      <c r="AD113" s="415"/>
      <c r="AE113" s="415"/>
      <c r="AF113" s="414">
        <f t="shared" si="53"/>
        <v>0</v>
      </c>
    </row>
    <row r="114" spans="2:32" x14ac:dyDescent="0.35">
      <c r="B114" s="412">
        <v>13</v>
      </c>
      <c r="C114" s="413" t="s">
        <v>543</v>
      </c>
      <c r="D114" s="413"/>
      <c r="E114" s="414"/>
      <c r="F114" s="415">
        <f>F75*'2.Hao hut &amp; % chai '!H126</f>
        <v>0</v>
      </c>
      <c r="G114" s="415">
        <f>G75*'2.Hao hut &amp; % chai '!I126</f>
        <v>0</v>
      </c>
      <c r="H114" s="415">
        <f>H75*'2.Hao hut &amp; % chai '!J126</f>
        <v>0</v>
      </c>
      <c r="I114" s="415">
        <f>I75*'2.Hao hut &amp; % chai '!K126</f>
        <v>0</v>
      </c>
      <c r="J114" s="415">
        <f>J75*'2.Hao hut &amp; % chai '!L126</f>
        <v>0</v>
      </c>
      <c r="K114" s="415">
        <f>K75*'2.Hao hut &amp; % chai '!M126</f>
        <v>0</v>
      </c>
      <c r="L114" s="415">
        <f>L75*'2.Hao hut &amp; % chai '!N126</f>
        <v>0</v>
      </c>
      <c r="M114" s="415">
        <f>M75*'2.Hao hut &amp; % chai '!O126</f>
        <v>0</v>
      </c>
      <c r="N114" s="415">
        <f>N75*'2.Hao hut &amp; % chai '!P126</f>
        <v>0</v>
      </c>
      <c r="O114" s="415">
        <f>O75*'2.Hao hut &amp; % chai '!Q126</f>
        <v>0</v>
      </c>
      <c r="P114" s="415">
        <f>P75*'2.Hao hut &amp; % chai '!R126</f>
        <v>0</v>
      </c>
      <c r="Q114" s="415">
        <f>Q75*'2.Hao hut &amp; % chai '!S126</f>
        <v>0</v>
      </c>
      <c r="R114" s="414">
        <f t="shared" si="54"/>
        <v>0</v>
      </c>
      <c r="T114" s="415"/>
      <c r="U114" s="415"/>
      <c r="V114" s="415"/>
      <c r="W114" s="415"/>
      <c r="X114" s="415"/>
      <c r="Y114" s="415"/>
      <c r="Z114" s="415"/>
      <c r="AA114" s="415"/>
      <c r="AB114" s="415"/>
      <c r="AC114" s="415"/>
      <c r="AD114" s="415"/>
      <c r="AE114" s="415"/>
      <c r="AF114" s="414">
        <f t="shared" si="53"/>
        <v>0</v>
      </c>
    </row>
    <row r="115" spans="2:32" x14ac:dyDescent="0.35">
      <c r="B115" s="412">
        <v>14</v>
      </c>
      <c r="C115" s="413" t="s">
        <v>544</v>
      </c>
      <c r="D115" s="413"/>
      <c r="E115" s="414"/>
      <c r="F115" s="415"/>
      <c r="G115" s="415">
        <f>G76*'2.Hao hut &amp; % chai '!I127</f>
        <v>0</v>
      </c>
      <c r="H115" s="415">
        <f>H76*'2.Hao hut &amp; % chai '!J127</f>
        <v>0</v>
      </c>
      <c r="I115" s="415">
        <f>I76*'2.Hao hut &amp; % chai '!K127</f>
        <v>0</v>
      </c>
      <c r="J115" s="415">
        <f>J76*'2.Hao hut &amp; % chai '!L127</f>
        <v>0</v>
      </c>
      <c r="K115" s="415">
        <f>K76*'2.Hao hut &amp; % chai '!M127</f>
        <v>0</v>
      </c>
      <c r="L115" s="415">
        <f>L76*'2.Hao hut &amp; % chai '!N127</f>
        <v>0</v>
      </c>
      <c r="M115" s="415">
        <f>M76*'2.Hao hut &amp; % chai '!O127</f>
        <v>0</v>
      </c>
      <c r="N115" s="415">
        <f>N76*'2.Hao hut &amp; % chai '!P127</f>
        <v>0</v>
      </c>
      <c r="O115" s="415">
        <f>O76*'2.Hao hut &amp; % chai '!Q127</f>
        <v>0</v>
      </c>
      <c r="P115" s="415">
        <f>P76*'2.Hao hut &amp; % chai '!R127</f>
        <v>0</v>
      </c>
      <c r="Q115" s="415">
        <f>Q76*'2.Hao hut &amp; % chai '!S127</f>
        <v>0</v>
      </c>
      <c r="R115" s="414">
        <f t="shared" si="54"/>
        <v>0</v>
      </c>
      <c r="T115" s="415"/>
      <c r="U115" s="415"/>
      <c r="V115" s="415"/>
      <c r="W115" s="415"/>
      <c r="X115" s="415"/>
      <c r="Y115" s="415"/>
      <c r="Z115" s="415"/>
      <c r="AA115" s="415"/>
      <c r="AB115" s="415"/>
      <c r="AC115" s="415"/>
      <c r="AD115" s="415"/>
      <c r="AE115" s="415"/>
      <c r="AF115" s="414">
        <f t="shared" si="53"/>
        <v>0</v>
      </c>
    </row>
    <row r="116" spans="2:32" x14ac:dyDescent="0.35">
      <c r="B116" s="416">
        <v>15</v>
      </c>
      <c r="C116" s="417" t="s">
        <v>175</v>
      </c>
      <c r="D116" s="417"/>
      <c r="E116" s="418"/>
      <c r="F116" s="419">
        <f>F77*'2.Hao hut &amp; % chai '!H128</f>
        <v>0</v>
      </c>
      <c r="G116" s="419">
        <f>G77*'2.Hao hut &amp; % chai '!I128</f>
        <v>0</v>
      </c>
      <c r="H116" s="419">
        <f>H77*'2.Hao hut &amp; % chai '!J128</f>
        <v>0</v>
      </c>
      <c r="I116" s="419">
        <f>I77*'2.Hao hut &amp; % chai '!K128</f>
        <v>0</v>
      </c>
      <c r="J116" s="419">
        <f>J77*'2.Hao hut &amp; % chai '!L128</f>
        <v>0</v>
      </c>
      <c r="K116" s="419">
        <f>K77*'2.Hao hut &amp; % chai '!M128</f>
        <v>0</v>
      </c>
      <c r="L116" s="419">
        <f>L77*'2.Hao hut &amp; % chai '!N128</f>
        <v>0</v>
      </c>
      <c r="M116" s="419">
        <f>M77*'2.Hao hut &amp; % chai '!O128</f>
        <v>0</v>
      </c>
      <c r="N116" s="419">
        <f>N77*'2.Hao hut &amp; % chai '!P128</f>
        <v>0</v>
      </c>
      <c r="O116" s="419">
        <f>O77*'2.Hao hut &amp; % chai '!Q128</f>
        <v>0</v>
      </c>
      <c r="P116" s="419">
        <f>P77*'2.Hao hut &amp; % chai '!R128</f>
        <v>0</v>
      </c>
      <c r="Q116" s="419">
        <f>Q77*'2.Hao hut &amp; % chai '!S128</f>
        <v>0</v>
      </c>
      <c r="R116" s="418">
        <f t="shared" si="54"/>
        <v>0</v>
      </c>
      <c r="T116" s="419"/>
      <c r="U116" s="419"/>
      <c r="V116" s="419"/>
      <c r="W116" s="419"/>
      <c r="X116" s="419"/>
      <c r="Y116" s="419"/>
      <c r="Z116" s="419"/>
      <c r="AA116" s="419"/>
      <c r="AB116" s="419"/>
      <c r="AC116" s="419"/>
      <c r="AD116" s="419"/>
      <c r="AE116" s="419"/>
      <c r="AF116" s="418">
        <f t="shared" si="53"/>
        <v>0</v>
      </c>
    </row>
    <row r="117" spans="2:32" x14ac:dyDescent="0.35">
      <c r="B117" s="163"/>
      <c r="C117" s="164" t="s">
        <v>665</v>
      </c>
      <c r="D117" s="164"/>
      <c r="E117" s="166"/>
      <c r="F117" s="166">
        <f>SUM(F102:F116)</f>
        <v>261000</v>
      </c>
      <c r="G117" s="166">
        <f>SUM(G102:G116)</f>
        <v>203000</v>
      </c>
      <c r="H117" s="166">
        <f t="shared" ref="H117:Q117" si="55">SUM(H102:H116)</f>
        <v>290000</v>
      </c>
      <c r="I117" s="166">
        <f t="shared" si="55"/>
        <v>319000</v>
      </c>
      <c r="J117" s="166">
        <f t="shared" si="55"/>
        <v>319549.99999999994</v>
      </c>
      <c r="K117" s="166">
        <f t="shared" si="55"/>
        <v>905850</v>
      </c>
      <c r="L117" s="166">
        <f t="shared" si="55"/>
        <v>905850</v>
      </c>
      <c r="M117" s="166">
        <f t="shared" si="55"/>
        <v>905850</v>
      </c>
      <c r="N117" s="166">
        <f t="shared" si="55"/>
        <v>905850</v>
      </c>
      <c r="O117" s="166">
        <f t="shared" si="55"/>
        <v>905850</v>
      </c>
      <c r="P117" s="166">
        <f t="shared" si="55"/>
        <v>905850</v>
      </c>
      <c r="Q117" s="166">
        <f t="shared" si="55"/>
        <v>905850</v>
      </c>
      <c r="R117" s="166">
        <f>SUM(R102:R116)</f>
        <v>7733500</v>
      </c>
      <c r="T117" s="166">
        <f>SUM(T102:T116)</f>
        <v>0</v>
      </c>
      <c r="U117" s="166">
        <f>SUM(U102:U116)</f>
        <v>0</v>
      </c>
      <c r="V117" s="166">
        <f t="shared" ref="V117:AE117" si="56">SUM(V102:V116)</f>
        <v>0</v>
      </c>
      <c r="W117" s="166">
        <f t="shared" si="56"/>
        <v>0</v>
      </c>
      <c r="X117" s="166">
        <f t="shared" si="56"/>
        <v>0</v>
      </c>
      <c r="Y117" s="166">
        <f t="shared" si="56"/>
        <v>0</v>
      </c>
      <c r="Z117" s="166">
        <f t="shared" si="56"/>
        <v>0</v>
      </c>
      <c r="AA117" s="166">
        <f t="shared" si="56"/>
        <v>0</v>
      </c>
      <c r="AB117" s="166">
        <f t="shared" si="56"/>
        <v>0</v>
      </c>
      <c r="AC117" s="166">
        <f t="shared" si="56"/>
        <v>0</v>
      </c>
      <c r="AD117" s="166">
        <f t="shared" si="56"/>
        <v>0</v>
      </c>
      <c r="AE117" s="166">
        <f t="shared" si="56"/>
        <v>0</v>
      </c>
      <c r="AF117" s="166">
        <f>SUM(AF102:AF116)</f>
        <v>0</v>
      </c>
    </row>
    <row r="119" spans="2:32" x14ac:dyDescent="0.35">
      <c r="B119" s="1295" t="s">
        <v>668</v>
      </c>
      <c r="C119" s="1294"/>
      <c r="D119" s="1294"/>
      <c r="E119" s="1294"/>
      <c r="F119" s="1294"/>
      <c r="G119" s="1294"/>
      <c r="H119" s="1294"/>
      <c r="I119" s="1294"/>
      <c r="J119" s="1294"/>
      <c r="K119" s="1294"/>
      <c r="L119" s="1294"/>
      <c r="M119" s="1294"/>
      <c r="N119" s="1294"/>
      <c r="O119" s="1294"/>
      <c r="P119" s="1294"/>
      <c r="Q119" s="1294"/>
      <c r="R119" s="1294"/>
    </row>
    <row r="120" spans="2:32" ht="26" x14ac:dyDescent="0.35">
      <c r="B120" s="187" t="s">
        <v>36</v>
      </c>
      <c r="C120" s="187" t="s">
        <v>524</v>
      </c>
      <c r="D120" s="187" t="s">
        <v>257</v>
      </c>
      <c r="E120" s="116" t="s">
        <v>148</v>
      </c>
      <c r="F120" s="116" t="s">
        <v>149</v>
      </c>
      <c r="G120" s="116" t="s">
        <v>150</v>
      </c>
      <c r="H120" s="116" t="s">
        <v>151</v>
      </c>
      <c r="I120" s="116" t="s">
        <v>152</v>
      </c>
      <c r="J120" s="116" t="s">
        <v>153</v>
      </c>
      <c r="K120" s="116" t="s">
        <v>154</v>
      </c>
      <c r="L120" s="116" t="s">
        <v>155</v>
      </c>
      <c r="M120" s="116" t="s">
        <v>156</v>
      </c>
      <c r="N120" s="116" t="s">
        <v>157</v>
      </c>
      <c r="O120" s="116" t="s">
        <v>158</v>
      </c>
      <c r="P120" s="116" t="s">
        <v>159</v>
      </c>
      <c r="Q120" s="116" t="s">
        <v>160</v>
      </c>
      <c r="R120" s="116" t="s">
        <v>2147</v>
      </c>
      <c r="T120" s="714" t="s">
        <v>149</v>
      </c>
      <c r="U120" s="714" t="s">
        <v>150</v>
      </c>
      <c r="V120" s="714" t="s">
        <v>151</v>
      </c>
      <c r="W120" s="714" t="s">
        <v>152</v>
      </c>
      <c r="X120" s="714" t="s">
        <v>153</v>
      </c>
      <c r="Y120" s="714" t="s">
        <v>154</v>
      </c>
      <c r="Z120" s="714" t="s">
        <v>155</v>
      </c>
      <c r="AA120" s="714" t="s">
        <v>156</v>
      </c>
      <c r="AB120" s="714" t="s">
        <v>157</v>
      </c>
      <c r="AC120" s="714" t="s">
        <v>158</v>
      </c>
      <c r="AD120" s="714" t="s">
        <v>159</v>
      </c>
      <c r="AE120" s="714" t="s">
        <v>160</v>
      </c>
      <c r="AF120" s="714" t="s">
        <v>148</v>
      </c>
    </row>
    <row r="121" spans="2:32" x14ac:dyDescent="0.35">
      <c r="B121" s="408">
        <v>1</v>
      </c>
      <c r="C121" s="409" t="s">
        <v>567</v>
      </c>
      <c r="D121" s="409"/>
      <c r="E121" s="410"/>
      <c r="F121" s="411"/>
      <c r="G121" s="411"/>
      <c r="H121" s="411"/>
      <c r="I121" s="411"/>
      <c r="J121" s="411"/>
      <c r="K121" s="411"/>
      <c r="L121" s="411"/>
      <c r="M121" s="411"/>
      <c r="N121" s="411"/>
      <c r="O121" s="411"/>
      <c r="P121" s="411"/>
      <c r="Q121" s="411"/>
      <c r="R121" s="410">
        <f t="shared" ref="R121:R136" si="57">SUM(F121:Q121)</f>
        <v>0</v>
      </c>
      <c r="T121" s="411"/>
      <c r="U121" s="411"/>
      <c r="V121" s="411"/>
      <c r="W121" s="411"/>
      <c r="X121" s="411"/>
      <c r="Y121" s="411"/>
      <c r="Z121" s="411"/>
      <c r="AA121" s="411"/>
      <c r="AB121" s="411"/>
      <c r="AC121" s="411"/>
      <c r="AD121" s="411"/>
      <c r="AE121" s="411"/>
      <c r="AF121" s="410">
        <f t="shared" ref="AF121:AF136" si="58">SUM(T121:AE121)</f>
        <v>0</v>
      </c>
    </row>
    <row r="122" spans="2:32" x14ac:dyDescent="0.35">
      <c r="B122" s="412">
        <v>2</v>
      </c>
      <c r="C122" s="413" t="s">
        <v>568</v>
      </c>
      <c r="D122" s="413"/>
      <c r="E122" s="414"/>
      <c r="F122" s="415">
        <f>F103*(1-'2.Hao hut &amp; % chai '!H134)</f>
        <v>0</v>
      </c>
      <c r="G122" s="415">
        <f>G103*(1-'2.Hao hut &amp; % chai '!I134)</f>
        <v>0</v>
      </c>
      <c r="H122" s="415">
        <f>H103*(1-'2.Hao hut &amp; % chai '!J134)</f>
        <v>0</v>
      </c>
      <c r="I122" s="415">
        <f>I103*(1-'2.Hao hut &amp; % chai '!K134)</f>
        <v>0</v>
      </c>
      <c r="J122" s="415">
        <f>J103*(1-'2.Hao hut &amp; % chai '!L134)</f>
        <v>0</v>
      </c>
      <c r="K122" s="415">
        <f>K103*(1-'2.Hao hut &amp; % chai '!M134)</f>
        <v>0</v>
      </c>
      <c r="L122" s="415">
        <f>L103*(1-'2.Hao hut &amp; % chai '!N134)</f>
        <v>0</v>
      </c>
      <c r="M122" s="415">
        <f>M103*(1-'2.Hao hut &amp; % chai '!O134)</f>
        <v>0</v>
      </c>
      <c r="N122" s="415">
        <f>N103*(1-'2.Hao hut &amp; % chai '!P134)</f>
        <v>0</v>
      </c>
      <c r="O122" s="415">
        <f>O103*(1-'2.Hao hut &amp; % chai '!Q134)</f>
        <v>0</v>
      </c>
      <c r="P122" s="415">
        <f>P103*(1-'2.Hao hut &amp; % chai '!R134)</f>
        <v>0</v>
      </c>
      <c r="Q122" s="415">
        <f>Q103*(1-'2.Hao hut &amp; % chai '!S134)</f>
        <v>0</v>
      </c>
      <c r="R122" s="414">
        <f t="shared" si="57"/>
        <v>0</v>
      </c>
      <c r="T122" s="415"/>
      <c r="U122" s="415"/>
      <c r="V122" s="415"/>
      <c r="W122" s="415"/>
      <c r="X122" s="415"/>
      <c r="Y122" s="415"/>
      <c r="Z122" s="415"/>
      <c r="AA122" s="415"/>
      <c r="AB122" s="415"/>
      <c r="AC122" s="415"/>
      <c r="AD122" s="415"/>
      <c r="AE122" s="415"/>
      <c r="AF122" s="414">
        <f t="shared" si="58"/>
        <v>0</v>
      </c>
    </row>
    <row r="123" spans="2:32" x14ac:dyDescent="0.35">
      <c r="B123" s="412">
        <v>3</v>
      </c>
      <c r="C123" s="413" t="s">
        <v>569</v>
      </c>
      <c r="D123" s="413"/>
      <c r="E123" s="414"/>
      <c r="F123" s="415">
        <f>F104*(1-'2.Hao hut &amp; % chai '!H135)</f>
        <v>0</v>
      </c>
      <c r="G123" s="415">
        <f>G104*(1-'2.Hao hut &amp; % chai '!I135)</f>
        <v>0</v>
      </c>
      <c r="H123" s="415">
        <f>H104*(1-'2.Hao hut &amp; % chai '!J135)</f>
        <v>0</v>
      </c>
      <c r="I123" s="415">
        <f>I104*(1-'2.Hao hut &amp; % chai '!K135)</f>
        <v>0</v>
      </c>
      <c r="J123" s="415">
        <f>J104*(1-'2.Hao hut &amp; % chai '!L135)</f>
        <v>0</v>
      </c>
      <c r="K123" s="415">
        <f>K104*(1-'2.Hao hut &amp; % chai '!M135)</f>
        <v>0</v>
      </c>
      <c r="L123" s="415">
        <f>L104*(1-'2.Hao hut &amp; % chai '!N135)</f>
        <v>0</v>
      </c>
      <c r="M123" s="415">
        <f>M104*(1-'2.Hao hut &amp; % chai '!O135)</f>
        <v>0</v>
      </c>
      <c r="N123" s="415">
        <f>N104*(1-'2.Hao hut &amp; % chai '!P135)</f>
        <v>0</v>
      </c>
      <c r="O123" s="415">
        <f>O104*(1-'2.Hao hut &amp; % chai '!Q135)</f>
        <v>0</v>
      </c>
      <c r="P123" s="415">
        <f>P104*(1-'2.Hao hut &amp; % chai '!R135)</f>
        <v>0</v>
      </c>
      <c r="Q123" s="415">
        <f>Q104*(1-'2.Hao hut &amp; % chai '!S135)</f>
        <v>0</v>
      </c>
      <c r="R123" s="414">
        <f t="shared" si="57"/>
        <v>0</v>
      </c>
      <c r="T123" s="415"/>
      <c r="U123" s="415"/>
      <c r="V123" s="415"/>
      <c r="W123" s="415"/>
      <c r="X123" s="415"/>
      <c r="Y123" s="415"/>
      <c r="Z123" s="415"/>
      <c r="AA123" s="415"/>
      <c r="AB123" s="415"/>
      <c r="AC123" s="415"/>
      <c r="AD123" s="415"/>
      <c r="AE123" s="415"/>
      <c r="AF123" s="414">
        <f t="shared" si="58"/>
        <v>0</v>
      </c>
    </row>
    <row r="124" spans="2:32" x14ac:dyDescent="0.35">
      <c r="B124" s="412">
        <v>4</v>
      </c>
      <c r="C124" s="413" t="s">
        <v>570</v>
      </c>
      <c r="D124" s="413"/>
      <c r="E124" s="414"/>
      <c r="F124" s="415">
        <f>F105*(1-'2.Hao hut &amp; % chai '!H136)</f>
        <v>0</v>
      </c>
      <c r="G124" s="415">
        <f>G105*(1-'2.Hao hut &amp; % chai '!I136)</f>
        <v>0</v>
      </c>
      <c r="H124" s="415">
        <f>H105*(1-'2.Hao hut &amp; % chai '!J136)</f>
        <v>0</v>
      </c>
      <c r="I124" s="415">
        <f>I105*(1-'2.Hao hut &amp; % chai '!K136)</f>
        <v>0</v>
      </c>
      <c r="J124" s="415">
        <f>J105*(1-'2.Hao hut &amp; % chai '!L136)</f>
        <v>0</v>
      </c>
      <c r="K124" s="415">
        <f>K105*(1-'2.Hao hut &amp; % chai '!M136)</f>
        <v>0</v>
      </c>
      <c r="L124" s="415">
        <f>L105*(1-'2.Hao hut &amp; % chai '!N136)</f>
        <v>0</v>
      </c>
      <c r="M124" s="415">
        <f>M105*(1-'2.Hao hut &amp; % chai '!O136)</f>
        <v>0</v>
      </c>
      <c r="N124" s="415">
        <f>N105*(1-'2.Hao hut &amp; % chai '!P136)</f>
        <v>0</v>
      </c>
      <c r="O124" s="415">
        <f>O105*(1-'2.Hao hut &amp; % chai '!Q136)</f>
        <v>0</v>
      </c>
      <c r="P124" s="415">
        <f>P105*(1-'2.Hao hut &amp; % chai '!R136)</f>
        <v>0</v>
      </c>
      <c r="Q124" s="415">
        <f>Q105*(1-'2.Hao hut &amp; % chai '!S136)</f>
        <v>0</v>
      </c>
      <c r="R124" s="414">
        <f t="shared" si="57"/>
        <v>0</v>
      </c>
      <c r="T124" s="415"/>
      <c r="U124" s="415"/>
      <c r="V124" s="415"/>
      <c r="W124" s="415"/>
      <c r="X124" s="415"/>
      <c r="Y124" s="415"/>
      <c r="Z124" s="415"/>
      <c r="AA124" s="415"/>
      <c r="AB124" s="415"/>
      <c r="AC124" s="415"/>
      <c r="AD124" s="415"/>
      <c r="AE124" s="415"/>
      <c r="AF124" s="414">
        <f t="shared" si="58"/>
        <v>0</v>
      </c>
    </row>
    <row r="125" spans="2:32" x14ac:dyDescent="0.35">
      <c r="B125" s="412">
        <v>5</v>
      </c>
      <c r="C125" s="413" t="s">
        <v>571</v>
      </c>
      <c r="D125" s="413"/>
      <c r="E125" s="414"/>
      <c r="F125" s="415">
        <f>F106*(1-'2.Hao hut &amp; % chai '!H137)</f>
        <v>0</v>
      </c>
      <c r="G125" s="415">
        <f>G106*(1-'2.Hao hut &amp; % chai '!I137)</f>
        <v>0</v>
      </c>
      <c r="H125" s="415">
        <f>H106*(1-'2.Hao hut &amp; % chai '!J137)</f>
        <v>0</v>
      </c>
      <c r="I125" s="415">
        <f>I106*(1-'2.Hao hut &amp; % chai '!K137)</f>
        <v>0</v>
      </c>
      <c r="J125" s="415">
        <f>J106*(1-'2.Hao hut &amp; % chai '!L137)</f>
        <v>0</v>
      </c>
      <c r="K125" s="415">
        <f>K106*(1-'2.Hao hut &amp; % chai '!M137)</f>
        <v>0</v>
      </c>
      <c r="L125" s="415">
        <f>L106*(1-'2.Hao hut &amp; % chai '!N137)</f>
        <v>0</v>
      </c>
      <c r="M125" s="415">
        <f>M106*(1-'2.Hao hut &amp; % chai '!O137)</f>
        <v>0</v>
      </c>
      <c r="N125" s="415">
        <f>N106*(1-'2.Hao hut &amp; % chai '!P137)</f>
        <v>0</v>
      </c>
      <c r="O125" s="415">
        <f>O106*(1-'2.Hao hut &amp; % chai '!Q137)</f>
        <v>0</v>
      </c>
      <c r="P125" s="415">
        <f>P106*(1-'2.Hao hut &amp; % chai '!R137)</f>
        <v>0</v>
      </c>
      <c r="Q125" s="415">
        <f>Q106*(1-'2.Hao hut &amp; % chai '!S137)</f>
        <v>0</v>
      </c>
      <c r="R125" s="414">
        <f t="shared" si="57"/>
        <v>0</v>
      </c>
      <c r="T125" s="415"/>
      <c r="U125" s="415"/>
      <c r="V125" s="415"/>
      <c r="W125" s="415"/>
      <c r="X125" s="415"/>
      <c r="Y125" s="415"/>
      <c r="Z125" s="415"/>
      <c r="AA125" s="415"/>
      <c r="AB125" s="415"/>
      <c r="AC125" s="415"/>
      <c r="AD125" s="415"/>
      <c r="AE125" s="415"/>
      <c r="AF125" s="414">
        <f t="shared" si="58"/>
        <v>0</v>
      </c>
    </row>
    <row r="126" spans="2:32" x14ac:dyDescent="0.35">
      <c r="B126" s="412">
        <v>6</v>
      </c>
      <c r="C126" s="413" t="s">
        <v>572</v>
      </c>
      <c r="D126" s="413"/>
      <c r="E126" s="414"/>
      <c r="F126" s="415">
        <f>F107*(1-'2.Hao hut &amp; % chai '!H138)</f>
        <v>0</v>
      </c>
      <c r="G126" s="415">
        <f>G107*(1-'2.Hao hut &amp; % chai '!I138)</f>
        <v>0</v>
      </c>
      <c r="H126" s="415">
        <f>H107*(1-'2.Hao hut &amp; % chai '!J138)</f>
        <v>0</v>
      </c>
      <c r="I126" s="415">
        <f>I107*(1-'2.Hao hut &amp; % chai '!K138)</f>
        <v>0</v>
      </c>
      <c r="J126" s="415">
        <f>J107*(1-'2.Hao hut &amp; % chai '!L138)</f>
        <v>0</v>
      </c>
      <c r="K126" s="415">
        <f>K107*(1-'2.Hao hut &amp; % chai '!M138)</f>
        <v>0</v>
      </c>
      <c r="L126" s="415">
        <f>L107*(1-'2.Hao hut &amp; % chai '!N138)</f>
        <v>0</v>
      </c>
      <c r="M126" s="415">
        <f>M107*(1-'2.Hao hut &amp; % chai '!O138)</f>
        <v>0</v>
      </c>
      <c r="N126" s="415">
        <f>N107*(1-'2.Hao hut &amp; % chai '!P138)</f>
        <v>0</v>
      </c>
      <c r="O126" s="415">
        <f>O107*(1-'2.Hao hut &amp; % chai '!Q138)</f>
        <v>0</v>
      </c>
      <c r="P126" s="415">
        <f>P107*(1-'2.Hao hut &amp; % chai '!R138)</f>
        <v>0</v>
      </c>
      <c r="Q126" s="415">
        <f>Q107*(1-'2.Hao hut &amp; % chai '!S138)</f>
        <v>0</v>
      </c>
      <c r="R126" s="414">
        <f t="shared" si="57"/>
        <v>0</v>
      </c>
      <c r="T126" s="415"/>
      <c r="U126" s="415"/>
      <c r="V126" s="415"/>
      <c r="W126" s="415"/>
      <c r="X126" s="415"/>
      <c r="Y126" s="415"/>
      <c r="Z126" s="415"/>
      <c r="AA126" s="415"/>
      <c r="AB126" s="415"/>
      <c r="AC126" s="415"/>
      <c r="AD126" s="415"/>
      <c r="AE126" s="415"/>
      <c r="AF126" s="414">
        <f t="shared" si="58"/>
        <v>0</v>
      </c>
    </row>
    <row r="127" spans="2:32" x14ac:dyDescent="0.35">
      <c r="B127" s="412">
        <v>7</v>
      </c>
      <c r="C127" s="413" t="s">
        <v>573</v>
      </c>
      <c r="D127" s="413"/>
      <c r="E127" s="414"/>
      <c r="F127" s="415">
        <f>F108*(1-'2.Hao hut &amp; % chai '!H139)</f>
        <v>0</v>
      </c>
      <c r="G127" s="415">
        <f>G108*(1-'2.Hao hut &amp; % chai '!I139)</f>
        <v>0</v>
      </c>
      <c r="H127" s="415">
        <f>H108*(1-'2.Hao hut &amp; % chai '!J139)</f>
        <v>0</v>
      </c>
      <c r="I127" s="415">
        <f>I108*(1-'2.Hao hut &amp; % chai '!K139)</f>
        <v>0</v>
      </c>
      <c r="J127" s="415">
        <f>J108*(1-'2.Hao hut &amp; % chai '!L139)</f>
        <v>0</v>
      </c>
      <c r="K127" s="415">
        <f>K108*(1-'2.Hao hut &amp; % chai '!M139)</f>
        <v>0</v>
      </c>
      <c r="L127" s="415">
        <f>L108*(1-'2.Hao hut &amp; % chai '!N139)</f>
        <v>0</v>
      </c>
      <c r="M127" s="415">
        <f>M108*(1-'2.Hao hut &amp; % chai '!O139)</f>
        <v>0</v>
      </c>
      <c r="N127" s="415">
        <f>N108*(1-'2.Hao hut &amp; % chai '!P139)</f>
        <v>0</v>
      </c>
      <c r="O127" s="415">
        <f>O108*(1-'2.Hao hut &amp; % chai '!Q139)</f>
        <v>0</v>
      </c>
      <c r="P127" s="415">
        <f>P108*(1-'2.Hao hut &amp; % chai '!R139)</f>
        <v>0</v>
      </c>
      <c r="Q127" s="415">
        <f>Q108*(1-'2.Hao hut &amp; % chai '!S139)</f>
        <v>0</v>
      </c>
      <c r="R127" s="414">
        <f t="shared" si="57"/>
        <v>0</v>
      </c>
      <c r="T127" s="415"/>
      <c r="U127" s="415"/>
      <c r="V127" s="415"/>
      <c r="W127" s="415"/>
      <c r="X127" s="415"/>
      <c r="Y127" s="415"/>
      <c r="Z127" s="415"/>
      <c r="AA127" s="415"/>
      <c r="AB127" s="415"/>
      <c r="AC127" s="415"/>
      <c r="AD127" s="415"/>
      <c r="AE127" s="415"/>
      <c r="AF127" s="414">
        <f t="shared" si="58"/>
        <v>0</v>
      </c>
    </row>
    <row r="128" spans="2:32" x14ac:dyDescent="0.35">
      <c r="B128" s="412">
        <v>8</v>
      </c>
      <c r="C128" s="413" t="s">
        <v>574</v>
      </c>
      <c r="D128" s="413"/>
      <c r="E128" s="414"/>
      <c r="F128" s="415">
        <f>F109*(1-'2.Hao hut &amp; % chai '!H140)</f>
        <v>0</v>
      </c>
      <c r="G128" s="415">
        <f>G109*(1-'2.Hao hut &amp; % chai '!I140)</f>
        <v>0</v>
      </c>
      <c r="H128" s="415">
        <f>H109*(1-'2.Hao hut &amp; % chai '!J140)</f>
        <v>0</v>
      </c>
      <c r="I128" s="415">
        <f>I109*(1-'2.Hao hut &amp; % chai '!K140)</f>
        <v>0</v>
      </c>
      <c r="J128" s="415">
        <f>J109*(1-'2.Hao hut &amp; % chai '!L140)</f>
        <v>0</v>
      </c>
      <c r="K128" s="415">
        <f>K109*(1-'2.Hao hut &amp; % chai '!M140)</f>
        <v>0</v>
      </c>
      <c r="L128" s="415">
        <f>L109*(1-'2.Hao hut &amp; % chai '!N140)</f>
        <v>0</v>
      </c>
      <c r="M128" s="415">
        <f>M109*(1-'2.Hao hut &amp; % chai '!O140)</f>
        <v>0</v>
      </c>
      <c r="N128" s="415">
        <f>N109*(1-'2.Hao hut &amp; % chai '!P140)</f>
        <v>0</v>
      </c>
      <c r="O128" s="415">
        <f>O109*(1-'2.Hao hut &amp; % chai '!Q140)</f>
        <v>0</v>
      </c>
      <c r="P128" s="415">
        <f>P109*(1-'2.Hao hut &amp; % chai '!R140)</f>
        <v>0</v>
      </c>
      <c r="Q128" s="415">
        <f>Q109*(1-'2.Hao hut &amp; % chai '!S140)</f>
        <v>0</v>
      </c>
      <c r="R128" s="414">
        <f t="shared" si="57"/>
        <v>0</v>
      </c>
      <c r="T128" s="415"/>
      <c r="U128" s="415"/>
      <c r="V128" s="415"/>
      <c r="W128" s="415"/>
      <c r="X128" s="415"/>
      <c r="Y128" s="415"/>
      <c r="Z128" s="415"/>
      <c r="AA128" s="415"/>
      <c r="AB128" s="415"/>
      <c r="AC128" s="415"/>
      <c r="AD128" s="415"/>
      <c r="AE128" s="415"/>
      <c r="AF128" s="414">
        <f t="shared" si="58"/>
        <v>0</v>
      </c>
    </row>
    <row r="129" spans="2:32" x14ac:dyDescent="0.35">
      <c r="B129" s="412">
        <v>9</v>
      </c>
      <c r="C129" s="413" t="s">
        <v>575</v>
      </c>
      <c r="D129" s="413"/>
      <c r="E129" s="414"/>
      <c r="F129" s="415">
        <f>F110*(1-'2.Hao hut &amp; % chai '!H141)</f>
        <v>0</v>
      </c>
      <c r="G129" s="415">
        <f>G110*(1-'2.Hao hut &amp; % chai '!I141)</f>
        <v>0</v>
      </c>
      <c r="H129" s="415">
        <f>H110*(1-'2.Hao hut &amp; % chai '!J141)</f>
        <v>0</v>
      </c>
      <c r="I129" s="415">
        <f>I110*(1-'2.Hao hut &amp; % chai '!K141)</f>
        <v>0</v>
      </c>
      <c r="J129" s="415">
        <f>J110*(1-'2.Hao hut &amp; % chai '!L141)</f>
        <v>0</v>
      </c>
      <c r="K129" s="415">
        <f>K110*(1-'2.Hao hut &amp; % chai '!M141)</f>
        <v>0</v>
      </c>
      <c r="L129" s="415">
        <f>L110*(1-'2.Hao hut &amp; % chai '!N141)</f>
        <v>0</v>
      </c>
      <c r="M129" s="415">
        <f>M110*(1-'2.Hao hut &amp; % chai '!O141)</f>
        <v>0</v>
      </c>
      <c r="N129" s="415">
        <f>N110*(1-'2.Hao hut &amp; % chai '!P141)</f>
        <v>0</v>
      </c>
      <c r="O129" s="415">
        <f>O110*(1-'2.Hao hut &amp; % chai '!Q141)</f>
        <v>0</v>
      </c>
      <c r="P129" s="415">
        <f>P110*(1-'2.Hao hut &amp; % chai '!R141)</f>
        <v>0</v>
      </c>
      <c r="Q129" s="415">
        <f>Q110*(1-'2.Hao hut &amp; % chai '!S141)</f>
        <v>0</v>
      </c>
      <c r="R129" s="414">
        <f t="shared" si="57"/>
        <v>0</v>
      </c>
      <c r="T129" s="415"/>
      <c r="U129" s="415"/>
      <c r="V129" s="415"/>
      <c r="W129" s="415"/>
      <c r="X129" s="415"/>
      <c r="Y129" s="415"/>
      <c r="Z129" s="415"/>
      <c r="AA129" s="415"/>
      <c r="AB129" s="415"/>
      <c r="AC129" s="415"/>
      <c r="AD129" s="415"/>
      <c r="AE129" s="415"/>
      <c r="AF129" s="414">
        <f t="shared" si="58"/>
        <v>0</v>
      </c>
    </row>
    <row r="130" spans="2:32" x14ac:dyDescent="0.35">
      <c r="B130" s="412">
        <v>10</v>
      </c>
      <c r="C130" s="413" t="s">
        <v>576</v>
      </c>
      <c r="D130" s="413"/>
      <c r="E130" s="414"/>
      <c r="F130" s="415">
        <f>F111*'2.Hao hut &amp; % chai '!H44</f>
        <v>221850</v>
      </c>
      <c r="G130" s="415">
        <f>G111*'2.Hao hut &amp; % chai '!I44</f>
        <v>172550</v>
      </c>
      <c r="H130" s="415">
        <f>H111*'2.Hao hut &amp; % chai '!J44</f>
        <v>246500</v>
      </c>
      <c r="I130" s="415">
        <f>I111*'2.Hao hut &amp; % chai '!K44</f>
        <v>271150</v>
      </c>
      <c r="J130" s="415">
        <f>J111*'2.Hao hut &amp; % chai '!L44</f>
        <v>271617.49999999994</v>
      </c>
      <c r="K130" s="415">
        <f>K111*'2.Hao hut &amp; % chai '!M44</f>
        <v>272085</v>
      </c>
      <c r="L130" s="415">
        <f>L111*'2.Hao hut &amp; % chai '!N44</f>
        <v>272085</v>
      </c>
      <c r="M130" s="415">
        <f>M111*'2.Hao hut &amp; % chai '!O44</f>
        <v>272085</v>
      </c>
      <c r="N130" s="415">
        <f>N111*'2.Hao hut &amp; % chai '!P44</f>
        <v>272085</v>
      </c>
      <c r="O130" s="415">
        <f>O111*'2.Hao hut &amp; % chai '!Q44</f>
        <v>272085</v>
      </c>
      <c r="P130" s="415">
        <f>P111*'2.Hao hut &amp; % chai '!R44</f>
        <v>272085</v>
      </c>
      <c r="Q130" s="415">
        <f>Q111*'2.Hao hut &amp; % chai '!S44</f>
        <v>272085</v>
      </c>
      <c r="R130" s="414">
        <f t="shared" si="57"/>
        <v>3088262.5</v>
      </c>
      <c r="T130" s="415"/>
      <c r="U130" s="415"/>
      <c r="V130" s="415"/>
      <c r="W130" s="415"/>
      <c r="X130" s="415"/>
      <c r="Y130" s="415"/>
      <c r="Z130" s="415"/>
      <c r="AA130" s="415"/>
      <c r="AB130" s="415"/>
      <c r="AC130" s="415"/>
      <c r="AD130" s="415"/>
      <c r="AE130" s="415"/>
      <c r="AF130" s="414">
        <f t="shared" si="58"/>
        <v>0</v>
      </c>
    </row>
    <row r="131" spans="2:32" x14ac:dyDescent="0.35">
      <c r="B131" s="412">
        <v>11</v>
      </c>
      <c r="C131" s="413" t="s">
        <v>577</v>
      </c>
      <c r="D131" s="413"/>
      <c r="E131" s="414"/>
      <c r="F131" s="415">
        <f>F112*(1-'2.Hao hut &amp; % chai '!H143)</f>
        <v>0</v>
      </c>
      <c r="G131" s="415">
        <f>G112*(1-'2.Hao hut &amp; % chai '!I143)</f>
        <v>0</v>
      </c>
      <c r="H131" s="415">
        <f>H112*(1-'2.Hao hut &amp; % chai '!J143)</f>
        <v>0</v>
      </c>
      <c r="I131" s="415">
        <f>I112*(1-'2.Hao hut &amp; % chai '!K143)</f>
        <v>0</v>
      </c>
      <c r="J131" s="415">
        <f>J112*(1-'2.Hao hut &amp; % chai '!L143)</f>
        <v>0</v>
      </c>
      <c r="K131" s="415">
        <f>K112*(1-'2.Hao hut &amp; % chai '!M143)</f>
        <v>0</v>
      </c>
      <c r="L131" s="415">
        <f>L112*(1-'2.Hao hut &amp; % chai '!N143)</f>
        <v>0</v>
      </c>
      <c r="M131" s="415">
        <f>M112*(1-'2.Hao hut &amp; % chai '!O143)</f>
        <v>0</v>
      </c>
      <c r="N131" s="415">
        <f>N112*(1-'2.Hao hut &amp; % chai '!P143)</f>
        <v>0</v>
      </c>
      <c r="O131" s="415">
        <f>O112*(1-'2.Hao hut &amp; % chai '!Q143)</f>
        <v>0</v>
      </c>
      <c r="P131" s="415">
        <f>P112*(1-'2.Hao hut &amp; % chai '!R143)</f>
        <v>0</v>
      </c>
      <c r="Q131" s="415">
        <f>Q112*(1-'2.Hao hut &amp; % chai '!S143)</f>
        <v>0</v>
      </c>
      <c r="R131" s="414">
        <f t="shared" si="57"/>
        <v>0</v>
      </c>
      <c r="T131" s="415"/>
      <c r="U131" s="415"/>
      <c r="V131" s="415"/>
      <c r="W131" s="415"/>
      <c r="X131" s="415"/>
      <c r="Y131" s="415"/>
      <c r="Z131" s="415"/>
      <c r="AA131" s="415"/>
      <c r="AB131" s="415"/>
      <c r="AC131" s="415"/>
      <c r="AD131" s="415"/>
      <c r="AE131" s="415"/>
      <c r="AF131" s="414">
        <f t="shared" si="58"/>
        <v>0</v>
      </c>
    </row>
    <row r="132" spans="2:32" x14ac:dyDescent="0.35">
      <c r="B132" s="412">
        <v>12</v>
      </c>
      <c r="C132" s="413" t="s">
        <v>578</v>
      </c>
      <c r="D132" s="413"/>
      <c r="E132" s="414"/>
      <c r="F132" s="415">
        <f>F113*(1-'2.Hao hut &amp; % chai '!H144)</f>
        <v>0</v>
      </c>
      <c r="G132" s="415">
        <f>G113*(1-'2.Hao hut &amp; % chai '!I144)</f>
        <v>0</v>
      </c>
      <c r="H132" s="415">
        <f>H113*(1-'2.Hao hut &amp; % chai '!J144)</f>
        <v>0</v>
      </c>
      <c r="I132" s="415">
        <f>I113*(1-'2.Hao hut &amp; % chai '!K144)</f>
        <v>0</v>
      </c>
      <c r="J132" s="415">
        <f>J113*(1-'2.Hao hut &amp; % chai '!L144)</f>
        <v>0</v>
      </c>
      <c r="K132" s="415">
        <f>K113*(1-'2.Hao hut &amp; % chai '!M144)</f>
        <v>0</v>
      </c>
      <c r="L132" s="415">
        <f>L113*(1-'2.Hao hut &amp; % chai '!N144)</f>
        <v>0</v>
      </c>
      <c r="M132" s="415">
        <f>M113*(1-'2.Hao hut &amp; % chai '!O144)</f>
        <v>0</v>
      </c>
      <c r="N132" s="415">
        <f>N113*(1-'2.Hao hut &amp; % chai '!P144)</f>
        <v>0</v>
      </c>
      <c r="O132" s="415">
        <f>O113*(1-'2.Hao hut &amp; % chai '!Q144)</f>
        <v>0</v>
      </c>
      <c r="P132" s="415">
        <f>P113*(1-'2.Hao hut &amp; % chai '!R144)</f>
        <v>0</v>
      </c>
      <c r="Q132" s="415">
        <f>Q113*(1-'2.Hao hut &amp; % chai '!S144)</f>
        <v>0</v>
      </c>
      <c r="R132" s="414">
        <f t="shared" si="57"/>
        <v>0</v>
      </c>
      <c r="T132" s="415"/>
      <c r="U132" s="415"/>
      <c r="V132" s="415"/>
      <c r="W132" s="415"/>
      <c r="X132" s="415"/>
      <c r="Y132" s="415"/>
      <c r="Z132" s="415"/>
      <c r="AA132" s="415"/>
      <c r="AB132" s="415"/>
      <c r="AC132" s="415"/>
      <c r="AD132" s="415"/>
      <c r="AE132" s="415"/>
      <c r="AF132" s="414">
        <f t="shared" si="58"/>
        <v>0</v>
      </c>
    </row>
    <row r="133" spans="2:32" x14ac:dyDescent="0.35">
      <c r="B133" s="412">
        <v>13</v>
      </c>
      <c r="C133" s="413" t="s">
        <v>579</v>
      </c>
      <c r="D133" s="413"/>
      <c r="E133" s="414"/>
      <c r="F133" s="415">
        <f>F114*(1-'2.Hao hut &amp; % chai '!H145)</f>
        <v>0</v>
      </c>
      <c r="G133" s="415">
        <f>G114*(1-'2.Hao hut &amp; % chai '!I145)</f>
        <v>0</v>
      </c>
      <c r="H133" s="415">
        <f>H114*(1-'2.Hao hut &amp; % chai '!J145)</f>
        <v>0</v>
      </c>
      <c r="I133" s="415">
        <f>I114*(1-'2.Hao hut &amp; % chai '!K145)</f>
        <v>0</v>
      </c>
      <c r="J133" s="415">
        <f>J114*(1-'2.Hao hut &amp; % chai '!L145)</f>
        <v>0</v>
      </c>
      <c r="K133" s="415">
        <f>K114*(1-'2.Hao hut &amp; % chai '!M145)</f>
        <v>0</v>
      </c>
      <c r="L133" s="415">
        <f>L114*(1-'2.Hao hut &amp; % chai '!N145)</f>
        <v>0</v>
      </c>
      <c r="M133" s="415">
        <f>M114*(1-'2.Hao hut &amp; % chai '!O145)</f>
        <v>0</v>
      </c>
      <c r="N133" s="415">
        <f>N114*(1-'2.Hao hut &amp; % chai '!P145)</f>
        <v>0</v>
      </c>
      <c r="O133" s="415">
        <f>O114*(1-'2.Hao hut &amp; % chai '!Q145)</f>
        <v>0</v>
      </c>
      <c r="P133" s="415">
        <f>P114*(1-'2.Hao hut &amp; % chai '!R145)</f>
        <v>0</v>
      </c>
      <c r="Q133" s="415">
        <f>Q114*(1-'2.Hao hut &amp; % chai '!S145)</f>
        <v>0</v>
      </c>
      <c r="R133" s="414">
        <f t="shared" si="57"/>
        <v>0</v>
      </c>
      <c r="T133" s="415"/>
      <c r="U133" s="415"/>
      <c r="V133" s="415"/>
      <c r="W133" s="415"/>
      <c r="X133" s="415"/>
      <c r="Y133" s="415"/>
      <c r="Z133" s="415"/>
      <c r="AA133" s="415"/>
      <c r="AB133" s="415"/>
      <c r="AC133" s="415"/>
      <c r="AD133" s="415"/>
      <c r="AE133" s="415"/>
      <c r="AF133" s="414">
        <f t="shared" si="58"/>
        <v>0</v>
      </c>
    </row>
    <row r="134" spans="2:32" x14ac:dyDescent="0.35">
      <c r="B134" s="412">
        <v>14</v>
      </c>
      <c r="C134" s="413" t="s">
        <v>580</v>
      </c>
      <c r="D134" s="413"/>
      <c r="E134" s="414"/>
      <c r="F134" s="415">
        <f>F111*'2.Hao hut &amp; % chai '!H45</f>
        <v>13050</v>
      </c>
      <c r="G134" s="415">
        <f>G111*'2.Hao hut &amp; % chai '!I45</f>
        <v>10150</v>
      </c>
      <c r="H134" s="415">
        <f>H111*'2.Hao hut &amp; % chai '!J45</f>
        <v>14500</v>
      </c>
      <c r="I134" s="415">
        <f>I111*'2.Hao hut &amp; % chai '!K45</f>
        <v>15950</v>
      </c>
      <c r="J134" s="415">
        <f>J111*'2.Hao hut &amp; % chai '!L45</f>
        <v>15977.499999999998</v>
      </c>
      <c r="K134" s="415">
        <f>K111*'2.Hao hut &amp; % chai '!M45</f>
        <v>16005</v>
      </c>
      <c r="L134" s="415">
        <f>L111*'2.Hao hut &amp; % chai '!N45</f>
        <v>16005</v>
      </c>
      <c r="M134" s="415">
        <f>M111*'2.Hao hut &amp; % chai '!O45</f>
        <v>16005</v>
      </c>
      <c r="N134" s="415">
        <f>N111*'2.Hao hut &amp; % chai '!P45</f>
        <v>16005</v>
      </c>
      <c r="O134" s="415">
        <f>O111*'2.Hao hut &amp; % chai '!Q45</f>
        <v>16005</v>
      </c>
      <c r="P134" s="415">
        <f>P111*'2.Hao hut &amp; % chai '!R45</f>
        <v>16005</v>
      </c>
      <c r="Q134" s="415">
        <f>Q111*'2.Hao hut &amp; % chai '!S45</f>
        <v>16005</v>
      </c>
      <c r="R134" s="414">
        <f t="shared" si="57"/>
        <v>181662.5</v>
      </c>
      <c r="T134" s="415"/>
      <c r="U134" s="415"/>
      <c r="V134" s="415"/>
      <c r="W134" s="415"/>
      <c r="X134" s="415"/>
      <c r="Y134" s="415"/>
      <c r="Z134" s="415"/>
      <c r="AA134" s="415"/>
      <c r="AB134" s="415"/>
      <c r="AC134" s="415"/>
      <c r="AD134" s="415"/>
      <c r="AE134" s="415"/>
      <c r="AF134" s="414">
        <f t="shared" si="58"/>
        <v>0</v>
      </c>
    </row>
    <row r="135" spans="2:32" x14ac:dyDescent="0.35">
      <c r="B135" s="416">
        <v>15</v>
      </c>
      <c r="C135" s="417" t="s">
        <v>175</v>
      </c>
      <c r="D135" s="417"/>
      <c r="E135" s="418"/>
      <c r="F135" s="419">
        <f>F116*(1-'2.Hao hut &amp; % chai '!H147)</f>
        <v>0</v>
      </c>
      <c r="G135" s="419">
        <f>G116*(1-'2.Hao hut &amp; % chai '!I147)</f>
        <v>0</v>
      </c>
      <c r="H135" s="419">
        <f>H116*(1-'2.Hao hut &amp; % chai '!J147)</f>
        <v>0</v>
      </c>
      <c r="I135" s="419">
        <f>I116*(1-'2.Hao hut &amp; % chai '!K147)</f>
        <v>0</v>
      </c>
      <c r="J135" s="419">
        <f>J116*(1-'2.Hao hut &amp; % chai '!L147)</f>
        <v>0</v>
      </c>
      <c r="K135" s="419">
        <f>K116*(1-'2.Hao hut &amp; % chai '!M147)</f>
        <v>0</v>
      </c>
      <c r="L135" s="419">
        <f>L116*(1-'2.Hao hut &amp; % chai '!N147)</f>
        <v>0</v>
      </c>
      <c r="M135" s="419">
        <f>M116*(1-'2.Hao hut &amp; % chai '!O147)</f>
        <v>0</v>
      </c>
      <c r="N135" s="419">
        <f>N116*(1-'2.Hao hut &amp; % chai '!P147)</f>
        <v>0</v>
      </c>
      <c r="O135" s="419">
        <f>O116*(1-'2.Hao hut &amp; % chai '!Q147)</f>
        <v>0</v>
      </c>
      <c r="P135" s="419">
        <f>P116*(1-'2.Hao hut &amp; % chai '!R147)</f>
        <v>0</v>
      </c>
      <c r="Q135" s="419">
        <f>Q116*(1-'2.Hao hut &amp; % chai '!S147)</f>
        <v>0</v>
      </c>
      <c r="R135" s="418">
        <f t="shared" si="57"/>
        <v>0</v>
      </c>
      <c r="T135" s="419"/>
      <c r="U135" s="419"/>
      <c r="V135" s="419"/>
      <c r="W135" s="419"/>
      <c r="X135" s="419"/>
      <c r="Y135" s="419"/>
      <c r="Z135" s="419"/>
      <c r="AA135" s="419"/>
      <c r="AB135" s="419"/>
      <c r="AC135" s="419"/>
      <c r="AD135" s="419"/>
      <c r="AE135" s="419"/>
      <c r="AF135" s="418">
        <f t="shared" si="58"/>
        <v>0</v>
      </c>
    </row>
    <row r="136" spans="2:32" x14ac:dyDescent="0.35">
      <c r="B136" s="163"/>
      <c r="C136" s="164" t="s">
        <v>665</v>
      </c>
      <c r="D136" s="164"/>
      <c r="E136" s="166">
        <f>SUM(E84:E98)</f>
        <v>0</v>
      </c>
      <c r="F136" s="166">
        <f>SUM(F121:F135)</f>
        <v>234900</v>
      </c>
      <c r="G136" s="166">
        <f t="shared" ref="G136:Q136" si="59">SUM(G121:G135)</f>
        <v>182700</v>
      </c>
      <c r="H136" s="166">
        <f t="shared" si="59"/>
        <v>261000</v>
      </c>
      <c r="I136" s="166">
        <f t="shared" si="59"/>
        <v>287100</v>
      </c>
      <c r="J136" s="166">
        <f t="shared" si="59"/>
        <v>287594.99999999994</v>
      </c>
      <c r="K136" s="166">
        <f t="shared" si="59"/>
        <v>288090</v>
      </c>
      <c r="L136" s="166">
        <f t="shared" si="59"/>
        <v>288090</v>
      </c>
      <c r="M136" s="166">
        <f t="shared" si="59"/>
        <v>288090</v>
      </c>
      <c r="N136" s="166">
        <f t="shared" si="59"/>
        <v>288090</v>
      </c>
      <c r="O136" s="166">
        <f t="shared" si="59"/>
        <v>288090</v>
      </c>
      <c r="P136" s="166">
        <f t="shared" si="59"/>
        <v>288090</v>
      </c>
      <c r="Q136" s="166">
        <f t="shared" si="59"/>
        <v>288090</v>
      </c>
      <c r="R136" s="166">
        <f t="shared" si="57"/>
        <v>3269925</v>
      </c>
      <c r="T136" s="166">
        <f>SUM(T121:T135)</f>
        <v>0</v>
      </c>
      <c r="U136" s="166">
        <f t="shared" ref="U136:AE136" si="60">SUM(U121:U135)</f>
        <v>0</v>
      </c>
      <c r="V136" s="166">
        <f t="shared" si="60"/>
        <v>0</v>
      </c>
      <c r="W136" s="166">
        <f t="shared" si="60"/>
        <v>0</v>
      </c>
      <c r="X136" s="166">
        <f t="shared" si="60"/>
        <v>0</v>
      </c>
      <c r="Y136" s="166">
        <f t="shared" si="60"/>
        <v>0</v>
      </c>
      <c r="Z136" s="166">
        <f t="shared" si="60"/>
        <v>0</v>
      </c>
      <c r="AA136" s="166">
        <f t="shared" si="60"/>
        <v>0</v>
      </c>
      <c r="AB136" s="166">
        <f t="shared" si="60"/>
        <v>0</v>
      </c>
      <c r="AC136" s="166">
        <f t="shared" si="60"/>
        <v>0</v>
      </c>
      <c r="AD136" s="166">
        <f t="shared" si="60"/>
        <v>0</v>
      </c>
      <c r="AE136" s="166">
        <f t="shared" si="60"/>
        <v>0</v>
      </c>
      <c r="AF136" s="166">
        <f t="shared" si="58"/>
        <v>0</v>
      </c>
    </row>
    <row r="137" spans="2:32" x14ac:dyDescent="0.35">
      <c r="F137" s="10">
        <f>F136/1000</f>
        <v>234.9</v>
      </c>
      <c r="G137" s="10">
        <f t="shared" ref="G137:Q137" si="61">G136/1000</f>
        <v>182.7</v>
      </c>
      <c r="H137" s="10">
        <f t="shared" si="61"/>
        <v>261</v>
      </c>
      <c r="I137" s="10">
        <f t="shared" si="61"/>
        <v>287.10000000000002</v>
      </c>
      <c r="J137" s="10">
        <f t="shared" si="61"/>
        <v>287.59499999999991</v>
      </c>
      <c r="K137" s="10">
        <f t="shared" si="61"/>
        <v>288.08999999999997</v>
      </c>
      <c r="L137" s="10">
        <f t="shared" si="61"/>
        <v>288.08999999999997</v>
      </c>
      <c r="M137" s="10">
        <f t="shared" si="61"/>
        <v>288.08999999999997</v>
      </c>
      <c r="N137" s="10">
        <f t="shared" si="61"/>
        <v>288.08999999999997</v>
      </c>
      <c r="O137" s="10">
        <f t="shared" si="61"/>
        <v>288.08999999999997</v>
      </c>
      <c r="P137" s="10">
        <f t="shared" si="61"/>
        <v>288.08999999999997</v>
      </c>
      <c r="Q137" s="10">
        <f t="shared" si="61"/>
        <v>288.08999999999997</v>
      </c>
    </row>
    <row r="138" spans="2:32" x14ac:dyDescent="0.35">
      <c r="B138" s="213" t="s">
        <v>2198</v>
      </c>
    </row>
    <row r="139" spans="2:32" ht="26" x14ac:dyDescent="0.35">
      <c r="B139" s="187" t="s">
        <v>36</v>
      </c>
      <c r="C139" s="187" t="s">
        <v>524</v>
      </c>
      <c r="D139" s="187" t="s">
        <v>257</v>
      </c>
      <c r="E139" s="116" t="s">
        <v>148</v>
      </c>
      <c r="F139" s="116" t="s">
        <v>149</v>
      </c>
      <c r="G139" s="116" t="s">
        <v>150</v>
      </c>
      <c r="H139" s="116" t="s">
        <v>151</v>
      </c>
      <c r="I139" s="116" t="s">
        <v>152</v>
      </c>
      <c r="J139" s="116" t="s">
        <v>153</v>
      </c>
      <c r="K139" s="116" t="s">
        <v>154</v>
      </c>
      <c r="L139" s="116" t="s">
        <v>155</v>
      </c>
      <c r="M139" s="116" t="s">
        <v>156</v>
      </c>
      <c r="N139" s="116" t="s">
        <v>157</v>
      </c>
      <c r="O139" s="116" t="s">
        <v>158</v>
      </c>
      <c r="P139" s="116" t="s">
        <v>159</v>
      </c>
      <c r="Q139" s="116" t="s">
        <v>160</v>
      </c>
      <c r="R139" s="116" t="s">
        <v>2147</v>
      </c>
      <c r="T139" s="714" t="s">
        <v>149</v>
      </c>
      <c r="U139" s="714" t="s">
        <v>150</v>
      </c>
      <c r="V139" s="714" t="s">
        <v>151</v>
      </c>
      <c r="W139" s="714" t="s">
        <v>152</v>
      </c>
      <c r="X139" s="714" t="s">
        <v>153</v>
      </c>
      <c r="Y139" s="714" t="s">
        <v>154</v>
      </c>
      <c r="Z139" s="714" t="s">
        <v>155</v>
      </c>
      <c r="AA139" s="714" t="s">
        <v>156</v>
      </c>
      <c r="AB139" s="714" t="s">
        <v>157</v>
      </c>
      <c r="AC139" s="714" t="s">
        <v>158</v>
      </c>
      <c r="AD139" s="714" t="s">
        <v>159</v>
      </c>
      <c r="AE139" s="714" t="s">
        <v>160</v>
      </c>
      <c r="AF139" s="714" t="s">
        <v>148</v>
      </c>
    </row>
    <row r="140" spans="2:32" x14ac:dyDescent="0.35">
      <c r="B140" s="408">
        <v>1</v>
      </c>
      <c r="C140" s="409" t="s">
        <v>567</v>
      </c>
      <c r="D140" s="409"/>
      <c r="E140" s="410"/>
      <c r="F140" s="411">
        <f>F102*'2.Hao hut &amp; % chai '!H29</f>
        <v>0</v>
      </c>
      <c r="G140" s="411">
        <f>G102*'2.Hao hut &amp; % chai '!I29</f>
        <v>0</v>
      </c>
      <c r="H140" s="411">
        <f>H102*'2.Hao hut &amp; % chai '!J29</f>
        <v>0</v>
      </c>
      <c r="I140" s="411">
        <f>I102*'2.Hao hut &amp; % chai '!K29</f>
        <v>0</v>
      </c>
      <c r="J140" s="411">
        <f>J102*'2.Hao hut &amp; % chai '!L29</f>
        <v>0</v>
      </c>
      <c r="K140" s="1367">
        <f>K102*'2.Hao hut &amp; % chai '!M29</f>
        <v>521317.5</v>
      </c>
      <c r="L140" s="1367">
        <f>L102*'2.Hao hut &amp; % chai '!N29</f>
        <v>521317.5</v>
      </c>
      <c r="M140" s="1367">
        <f>M102*'2.Hao hut &amp; % chai '!O29</f>
        <v>521317.5</v>
      </c>
      <c r="N140" s="1367">
        <f>N102*'2.Hao hut &amp; % chai '!P29</f>
        <v>521317.5</v>
      </c>
      <c r="O140" s="1367">
        <f>O102*'2.Hao hut &amp; % chai '!Q29</f>
        <v>521317.5</v>
      </c>
      <c r="P140" s="1367">
        <f>P102*'2.Hao hut &amp; % chai '!R29</f>
        <v>521317.5</v>
      </c>
      <c r="Q140" s="1367">
        <f>Q102*'2.Hao hut &amp; % chai '!S29</f>
        <v>521317.5</v>
      </c>
      <c r="R140" s="1368">
        <f t="shared" ref="R140:R155" si="62">SUM(F140:Q140)</f>
        <v>3649222.5</v>
      </c>
      <c r="T140" s="411"/>
      <c r="U140" s="411"/>
      <c r="V140" s="411"/>
      <c r="W140" s="411"/>
      <c r="X140" s="411"/>
      <c r="Y140" s="411"/>
      <c r="Z140" s="411"/>
      <c r="AA140" s="411"/>
      <c r="AB140" s="411"/>
      <c r="AC140" s="411"/>
      <c r="AD140" s="411"/>
      <c r="AE140" s="411"/>
      <c r="AF140" s="410">
        <f t="shared" ref="AF140:AF155" si="63">SUM(T140:AE140)</f>
        <v>0</v>
      </c>
    </row>
    <row r="141" spans="2:32" x14ac:dyDescent="0.35">
      <c r="B141" s="412">
        <v>2</v>
      </c>
      <c r="C141" s="413" t="s">
        <v>568</v>
      </c>
      <c r="D141" s="413"/>
      <c r="E141" s="414"/>
      <c r="F141" s="415">
        <f>F122*(1-'2.Hao hut &amp; % chai '!H153)</f>
        <v>0</v>
      </c>
      <c r="G141" s="415">
        <f>G122*(1-'2.Hao hut &amp; % chai '!I153)</f>
        <v>0</v>
      </c>
      <c r="H141" s="415">
        <f>H122*(1-'2.Hao hut &amp; % chai '!J153)</f>
        <v>0</v>
      </c>
      <c r="I141" s="415">
        <f>I122*(1-'2.Hao hut &amp; % chai '!K153)</f>
        <v>0</v>
      </c>
      <c r="J141" s="415">
        <f>J122*(1-'2.Hao hut &amp; % chai '!L153)</f>
        <v>0</v>
      </c>
      <c r="K141" s="415">
        <f>K122*(1-'2.Hao hut &amp; % chai '!M153)</f>
        <v>0</v>
      </c>
      <c r="L141" s="415">
        <f>L122*(1-'2.Hao hut &amp; % chai '!N153)</f>
        <v>0</v>
      </c>
      <c r="M141" s="415">
        <f>M122*(1-'2.Hao hut &amp; % chai '!O153)</f>
        <v>0</v>
      </c>
      <c r="N141" s="415">
        <f>N122*(1-'2.Hao hut &amp; % chai '!P153)</f>
        <v>0</v>
      </c>
      <c r="O141" s="415">
        <f>O122*(1-'2.Hao hut &amp; % chai '!Q153)</f>
        <v>0</v>
      </c>
      <c r="P141" s="415">
        <f>P122*(1-'2.Hao hut &amp; % chai '!R153)</f>
        <v>0</v>
      </c>
      <c r="Q141" s="415">
        <f>Q122*(1-'2.Hao hut &amp; % chai '!S153)</f>
        <v>0</v>
      </c>
      <c r="R141" s="414">
        <f t="shared" si="62"/>
        <v>0</v>
      </c>
      <c r="T141" s="415"/>
      <c r="U141" s="415"/>
      <c r="V141" s="415"/>
      <c r="W141" s="415"/>
      <c r="X141" s="415"/>
      <c r="Y141" s="415"/>
      <c r="Z141" s="415"/>
      <c r="AA141" s="415"/>
      <c r="AB141" s="415"/>
      <c r="AC141" s="415"/>
      <c r="AD141" s="415"/>
      <c r="AE141" s="415"/>
      <c r="AF141" s="414">
        <f t="shared" si="63"/>
        <v>0</v>
      </c>
    </row>
    <row r="142" spans="2:32" x14ac:dyDescent="0.35">
      <c r="B142" s="412">
        <v>3</v>
      </c>
      <c r="C142" s="413" t="s">
        <v>569</v>
      </c>
      <c r="D142" s="413"/>
      <c r="E142" s="414"/>
      <c r="F142" s="415">
        <f>F123*(1-'2.Hao hut &amp; % chai '!H154)</f>
        <v>0</v>
      </c>
      <c r="G142" s="415">
        <f>G123*(1-'2.Hao hut &amp; % chai '!I154)</f>
        <v>0</v>
      </c>
      <c r="H142" s="415">
        <f>H123*(1-'2.Hao hut &amp; % chai '!J154)</f>
        <v>0</v>
      </c>
      <c r="I142" s="415">
        <f>I123*(1-'2.Hao hut &amp; % chai '!K154)</f>
        <v>0</v>
      </c>
      <c r="J142" s="415">
        <f>J123*(1-'2.Hao hut &amp; % chai '!L154)</f>
        <v>0</v>
      </c>
      <c r="K142" s="415">
        <f>K123*(1-'2.Hao hut &amp; % chai '!M154)</f>
        <v>0</v>
      </c>
      <c r="L142" s="415">
        <f>L123*(1-'2.Hao hut &amp; % chai '!N154)</f>
        <v>0</v>
      </c>
      <c r="M142" s="415">
        <f>M123*(1-'2.Hao hut &amp; % chai '!O154)</f>
        <v>0</v>
      </c>
      <c r="N142" s="415">
        <f>N123*(1-'2.Hao hut &amp; % chai '!P154)</f>
        <v>0</v>
      </c>
      <c r="O142" s="415">
        <f>O123*(1-'2.Hao hut &amp; % chai '!Q154)</f>
        <v>0</v>
      </c>
      <c r="P142" s="415">
        <f>P123*(1-'2.Hao hut &amp; % chai '!R154)</f>
        <v>0</v>
      </c>
      <c r="Q142" s="415">
        <f>Q123*(1-'2.Hao hut &amp; % chai '!S154)</f>
        <v>0</v>
      </c>
      <c r="R142" s="414">
        <f t="shared" si="62"/>
        <v>0</v>
      </c>
      <c r="T142" s="415"/>
      <c r="U142" s="415"/>
      <c r="V142" s="415"/>
      <c r="W142" s="415"/>
      <c r="X142" s="415"/>
      <c r="Y142" s="415"/>
      <c r="Z142" s="415"/>
      <c r="AA142" s="415"/>
      <c r="AB142" s="415"/>
      <c r="AC142" s="415"/>
      <c r="AD142" s="415"/>
      <c r="AE142" s="415"/>
      <c r="AF142" s="414">
        <f t="shared" si="63"/>
        <v>0</v>
      </c>
    </row>
    <row r="143" spans="2:32" x14ac:dyDescent="0.35">
      <c r="B143" s="412">
        <v>4</v>
      </c>
      <c r="C143" s="413" t="s">
        <v>570</v>
      </c>
      <c r="D143" s="413"/>
      <c r="E143" s="414"/>
      <c r="F143" s="415">
        <f>F124*(1-'2.Hao hut &amp; % chai '!H155)</f>
        <v>0</v>
      </c>
      <c r="G143" s="415">
        <f>G124*(1-'2.Hao hut &amp; % chai '!I155)</f>
        <v>0</v>
      </c>
      <c r="H143" s="415">
        <f>H124*(1-'2.Hao hut &amp; % chai '!J155)</f>
        <v>0</v>
      </c>
      <c r="I143" s="415">
        <f>I124*(1-'2.Hao hut &amp; % chai '!K155)</f>
        <v>0</v>
      </c>
      <c r="J143" s="415">
        <f>J124*(1-'2.Hao hut &amp; % chai '!L155)</f>
        <v>0</v>
      </c>
      <c r="K143" s="415">
        <f>K124*(1-'2.Hao hut &amp; % chai '!M155)</f>
        <v>0</v>
      </c>
      <c r="L143" s="415">
        <f>L124*(1-'2.Hao hut &amp; % chai '!N155)</f>
        <v>0</v>
      </c>
      <c r="M143" s="415">
        <f>M124*(1-'2.Hao hut &amp; % chai '!O155)</f>
        <v>0</v>
      </c>
      <c r="N143" s="415">
        <f>N124*(1-'2.Hao hut &amp; % chai '!P155)</f>
        <v>0</v>
      </c>
      <c r="O143" s="415">
        <f>O124*(1-'2.Hao hut &amp; % chai '!Q155)</f>
        <v>0</v>
      </c>
      <c r="P143" s="415">
        <f>P124*(1-'2.Hao hut &amp; % chai '!R155)</f>
        <v>0</v>
      </c>
      <c r="Q143" s="415">
        <f>Q124*(1-'2.Hao hut &amp; % chai '!S155)</f>
        <v>0</v>
      </c>
      <c r="R143" s="414">
        <f t="shared" si="62"/>
        <v>0</v>
      </c>
      <c r="T143" s="415"/>
      <c r="U143" s="415"/>
      <c r="V143" s="415"/>
      <c r="W143" s="415"/>
      <c r="X143" s="415"/>
      <c r="Y143" s="415"/>
      <c r="Z143" s="415"/>
      <c r="AA143" s="415"/>
      <c r="AB143" s="415"/>
      <c r="AC143" s="415"/>
      <c r="AD143" s="415"/>
      <c r="AE143" s="415"/>
      <c r="AF143" s="414">
        <f t="shared" si="63"/>
        <v>0</v>
      </c>
    </row>
    <row r="144" spans="2:32" x14ac:dyDescent="0.35">
      <c r="B144" s="412">
        <v>5</v>
      </c>
      <c r="C144" s="413" t="s">
        <v>571</v>
      </c>
      <c r="D144" s="413"/>
      <c r="E144" s="414"/>
      <c r="F144" s="415">
        <f>F125*(1-'2.Hao hut &amp; % chai '!H156)</f>
        <v>0</v>
      </c>
      <c r="G144" s="415">
        <f>G125*(1-'2.Hao hut &amp; % chai '!I156)</f>
        <v>0</v>
      </c>
      <c r="H144" s="415">
        <f>H125*(1-'2.Hao hut &amp; % chai '!J156)</f>
        <v>0</v>
      </c>
      <c r="I144" s="415">
        <f>I125*(1-'2.Hao hut &amp; % chai '!K156)</f>
        <v>0</v>
      </c>
      <c r="J144" s="415">
        <f>J125*(1-'2.Hao hut &amp; % chai '!L156)</f>
        <v>0</v>
      </c>
      <c r="K144" s="415">
        <f>K125*(1-'2.Hao hut &amp; % chai '!M156)</f>
        <v>0</v>
      </c>
      <c r="L144" s="415">
        <f>L125*(1-'2.Hao hut &amp; % chai '!N156)</f>
        <v>0</v>
      </c>
      <c r="M144" s="415">
        <f>M125*(1-'2.Hao hut &amp; % chai '!O156)</f>
        <v>0</v>
      </c>
      <c r="N144" s="415">
        <f>N125*(1-'2.Hao hut &amp; % chai '!P156)</f>
        <v>0</v>
      </c>
      <c r="O144" s="415">
        <f>O125*(1-'2.Hao hut &amp; % chai '!Q156)</f>
        <v>0</v>
      </c>
      <c r="P144" s="415">
        <f>P125*(1-'2.Hao hut &amp; % chai '!R156)</f>
        <v>0</v>
      </c>
      <c r="Q144" s="415">
        <f>Q125*(1-'2.Hao hut &amp; % chai '!S156)</f>
        <v>0</v>
      </c>
      <c r="R144" s="414">
        <f t="shared" si="62"/>
        <v>0</v>
      </c>
      <c r="T144" s="415"/>
      <c r="U144" s="415"/>
      <c r="V144" s="415"/>
      <c r="W144" s="415"/>
      <c r="X144" s="415"/>
      <c r="Y144" s="415"/>
      <c r="Z144" s="415"/>
      <c r="AA144" s="415"/>
      <c r="AB144" s="415"/>
      <c r="AC144" s="415"/>
      <c r="AD144" s="415"/>
      <c r="AE144" s="415"/>
      <c r="AF144" s="414">
        <f t="shared" si="63"/>
        <v>0</v>
      </c>
    </row>
    <row r="145" spans="2:32" x14ac:dyDescent="0.35">
      <c r="B145" s="412">
        <v>6</v>
      </c>
      <c r="C145" s="413" t="s">
        <v>572</v>
      </c>
      <c r="D145" s="413"/>
      <c r="E145" s="414"/>
      <c r="F145" s="415">
        <f>F126*(1-'2.Hao hut &amp; % chai '!H157)</f>
        <v>0</v>
      </c>
      <c r="G145" s="415">
        <f>G126*(1-'2.Hao hut &amp; % chai '!I157)</f>
        <v>0</v>
      </c>
      <c r="H145" s="415">
        <f>H126*(1-'2.Hao hut &amp; % chai '!J157)</f>
        <v>0</v>
      </c>
      <c r="I145" s="415">
        <f>I126*(1-'2.Hao hut &amp; % chai '!K157)</f>
        <v>0</v>
      </c>
      <c r="J145" s="415">
        <f>J126*(1-'2.Hao hut &amp; % chai '!L157)</f>
        <v>0</v>
      </c>
      <c r="K145" s="415">
        <f>K126*(1-'2.Hao hut &amp; % chai '!M157)</f>
        <v>0</v>
      </c>
      <c r="L145" s="415">
        <f>L126*(1-'2.Hao hut &amp; % chai '!N157)</f>
        <v>0</v>
      </c>
      <c r="M145" s="415">
        <f>M126*(1-'2.Hao hut &amp; % chai '!O157)</f>
        <v>0</v>
      </c>
      <c r="N145" s="415">
        <f>N126*(1-'2.Hao hut &amp; % chai '!P157)</f>
        <v>0</v>
      </c>
      <c r="O145" s="415">
        <f>O126*(1-'2.Hao hut &amp; % chai '!Q157)</f>
        <v>0</v>
      </c>
      <c r="P145" s="415">
        <f>P126*(1-'2.Hao hut &amp; % chai '!R157)</f>
        <v>0</v>
      </c>
      <c r="Q145" s="415">
        <f>Q126*(1-'2.Hao hut &amp; % chai '!S157)</f>
        <v>0</v>
      </c>
      <c r="R145" s="414">
        <f t="shared" si="62"/>
        <v>0</v>
      </c>
      <c r="T145" s="415"/>
      <c r="U145" s="415"/>
      <c r="V145" s="415"/>
      <c r="W145" s="415"/>
      <c r="X145" s="415"/>
      <c r="Y145" s="415"/>
      <c r="Z145" s="415"/>
      <c r="AA145" s="415"/>
      <c r="AB145" s="415"/>
      <c r="AC145" s="415"/>
      <c r="AD145" s="415"/>
      <c r="AE145" s="415"/>
      <c r="AF145" s="414">
        <f t="shared" si="63"/>
        <v>0</v>
      </c>
    </row>
    <row r="146" spans="2:32" x14ac:dyDescent="0.35">
      <c r="B146" s="412">
        <v>7</v>
      </c>
      <c r="C146" s="413" t="s">
        <v>573</v>
      </c>
      <c r="D146" s="413"/>
      <c r="E146" s="414"/>
      <c r="F146" s="415">
        <f>F127*(1-'2.Hao hut &amp; % chai '!H158)</f>
        <v>0</v>
      </c>
      <c r="G146" s="415">
        <f>G127*(1-'2.Hao hut &amp; % chai '!I158)</f>
        <v>0</v>
      </c>
      <c r="H146" s="415">
        <f>H127*(1-'2.Hao hut &amp; % chai '!J158)</f>
        <v>0</v>
      </c>
      <c r="I146" s="415">
        <f>I127*(1-'2.Hao hut &amp; % chai '!K158)</f>
        <v>0</v>
      </c>
      <c r="J146" s="415">
        <f>J127*(1-'2.Hao hut &amp; % chai '!L158)</f>
        <v>0</v>
      </c>
      <c r="K146" s="415">
        <f>K127*(1-'2.Hao hut &amp; % chai '!M158)</f>
        <v>0</v>
      </c>
      <c r="L146" s="415">
        <f>L127*(1-'2.Hao hut &amp; % chai '!N158)</f>
        <v>0</v>
      </c>
      <c r="M146" s="415">
        <f>M127*(1-'2.Hao hut &amp; % chai '!O158)</f>
        <v>0</v>
      </c>
      <c r="N146" s="415">
        <f>N127*(1-'2.Hao hut &amp; % chai '!P158)</f>
        <v>0</v>
      </c>
      <c r="O146" s="415">
        <f>O127*(1-'2.Hao hut &amp; % chai '!Q158)</f>
        <v>0</v>
      </c>
      <c r="P146" s="415">
        <f>P127*(1-'2.Hao hut &amp; % chai '!R158)</f>
        <v>0</v>
      </c>
      <c r="Q146" s="415">
        <f>Q127*(1-'2.Hao hut &amp; % chai '!S158)</f>
        <v>0</v>
      </c>
      <c r="R146" s="414">
        <f t="shared" si="62"/>
        <v>0</v>
      </c>
      <c r="T146" s="415"/>
      <c r="U146" s="415"/>
      <c r="V146" s="415"/>
      <c r="W146" s="415"/>
      <c r="X146" s="415"/>
      <c r="Y146" s="415"/>
      <c r="Z146" s="415"/>
      <c r="AA146" s="415"/>
      <c r="AB146" s="415"/>
      <c r="AC146" s="415"/>
      <c r="AD146" s="415"/>
      <c r="AE146" s="415"/>
      <c r="AF146" s="414">
        <f t="shared" si="63"/>
        <v>0</v>
      </c>
    </row>
    <row r="147" spans="2:32" x14ac:dyDescent="0.35">
      <c r="B147" s="412">
        <v>8</v>
      </c>
      <c r="C147" s="413" t="s">
        <v>574</v>
      </c>
      <c r="D147" s="413"/>
      <c r="E147" s="414"/>
      <c r="F147" s="415">
        <f>F128*(1-'2.Hao hut &amp; % chai '!H159)</f>
        <v>0</v>
      </c>
      <c r="G147" s="415">
        <f>G128*(1-'2.Hao hut &amp; % chai '!I159)</f>
        <v>0</v>
      </c>
      <c r="H147" s="415">
        <f>H128*(1-'2.Hao hut &amp; % chai '!J159)</f>
        <v>0</v>
      </c>
      <c r="I147" s="415">
        <f>I128*(1-'2.Hao hut &amp; % chai '!K159)</f>
        <v>0</v>
      </c>
      <c r="J147" s="415">
        <f>J128*(1-'2.Hao hut &amp; % chai '!L159)</f>
        <v>0</v>
      </c>
      <c r="K147" s="415">
        <f>K128*(1-'2.Hao hut &amp; % chai '!M159)</f>
        <v>0</v>
      </c>
      <c r="L147" s="415">
        <f>L128*(1-'2.Hao hut &amp; % chai '!N159)</f>
        <v>0</v>
      </c>
      <c r="M147" s="415">
        <f>M128*(1-'2.Hao hut &amp; % chai '!O159)</f>
        <v>0</v>
      </c>
      <c r="N147" s="415">
        <f>N128*(1-'2.Hao hut &amp; % chai '!P159)</f>
        <v>0</v>
      </c>
      <c r="O147" s="415">
        <f>O128*(1-'2.Hao hut &amp; % chai '!Q159)</f>
        <v>0</v>
      </c>
      <c r="P147" s="415">
        <f>P128*(1-'2.Hao hut &amp; % chai '!R159)</f>
        <v>0</v>
      </c>
      <c r="Q147" s="415">
        <f>Q128*(1-'2.Hao hut &amp; % chai '!S159)</f>
        <v>0</v>
      </c>
      <c r="R147" s="414">
        <f t="shared" si="62"/>
        <v>0</v>
      </c>
      <c r="T147" s="415"/>
      <c r="U147" s="415"/>
      <c r="V147" s="415"/>
      <c r="W147" s="415"/>
      <c r="X147" s="415"/>
      <c r="Y147" s="415"/>
      <c r="Z147" s="415"/>
      <c r="AA147" s="415"/>
      <c r="AB147" s="415"/>
      <c r="AC147" s="415"/>
      <c r="AD147" s="415"/>
      <c r="AE147" s="415"/>
      <c r="AF147" s="414">
        <f t="shared" si="63"/>
        <v>0</v>
      </c>
    </row>
    <row r="148" spans="2:32" x14ac:dyDescent="0.35">
      <c r="B148" s="412">
        <v>9</v>
      </c>
      <c r="C148" s="413" t="s">
        <v>575</v>
      </c>
      <c r="D148" s="413"/>
      <c r="E148" s="414"/>
      <c r="F148" s="415">
        <f>F129*(1-'2.Hao hut &amp; % chai '!H160)</f>
        <v>0</v>
      </c>
      <c r="G148" s="415">
        <f>G129*(1-'2.Hao hut &amp; % chai '!I160)</f>
        <v>0</v>
      </c>
      <c r="H148" s="415">
        <f>H129*(1-'2.Hao hut &amp; % chai '!J160)</f>
        <v>0</v>
      </c>
      <c r="I148" s="415">
        <f>I129*(1-'2.Hao hut &amp; % chai '!K160)</f>
        <v>0</v>
      </c>
      <c r="J148" s="415">
        <f>J129*(1-'2.Hao hut &amp; % chai '!L160)</f>
        <v>0</v>
      </c>
      <c r="K148" s="415">
        <f>K129*(1-'2.Hao hut &amp; % chai '!M160)</f>
        <v>0</v>
      </c>
      <c r="L148" s="415">
        <f>L129*(1-'2.Hao hut &amp; % chai '!N160)</f>
        <v>0</v>
      </c>
      <c r="M148" s="415">
        <f>M129*(1-'2.Hao hut &amp; % chai '!O160)</f>
        <v>0</v>
      </c>
      <c r="N148" s="415">
        <f>N129*(1-'2.Hao hut &amp; % chai '!P160)</f>
        <v>0</v>
      </c>
      <c r="O148" s="415">
        <f>O129*(1-'2.Hao hut &amp; % chai '!Q160)</f>
        <v>0</v>
      </c>
      <c r="P148" s="415">
        <f>P129*(1-'2.Hao hut &amp; % chai '!R160)</f>
        <v>0</v>
      </c>
      <c r="Q148" s="415">
        <f>Q129*(1-'2.Hao hut &amp; % chai '!S160)</f>
        <v>0</v>
      </c>
      <c r="R148" s="414">
        <f t="shared" si="62"/>
        <v>0</v>
      </c>
      <c r="T148" s="415"/>
      <c r="U148" s="415"/>
      <c r="V148" s="415"/>
      <c r="W148" s="415"/>
      <c r="X148" s="415"/>
      <c r="Y148" s="415"/>
      <c r="Z148" s="415"/>
      <c r="AA148" s="415"/>
      <c r="AB148" s="415"/>
      <c r="AC148" s="415"/>
      <c r="AD148" s="415"/>
      <c r="AE148" s="415"/>
      <c r="AF148" s="414">
        <f t="shared" si="63"/>
        <v>0</v>
      </c>
    </row>
    <row r="149" spans="2:32" x14ac:dyDescent="0.35">
      <c r="B149" s="412">
        <v>10</v>
      </c>
      <c r="C149" s="413" t="s">
        <v>576</v>
      </c>
      <c r="D149" s="413"/>
      <c r="E149" s="414"/>
      <c r="F149" s="415"/>
      <c r="G149" s="415"/>
      <c r="H149" s="415"/>
      <c r="I149" s="415"/>
      <c r="J149" s="415"/>
      <c r="K149" s="415"/>
      <c r="L149" s="415"/>
      <c r="M149" s="415"/>
      <c r="N149" s="415"/>
      <c r="O149" s="415"/>
      <c r="P149" s="415"/>
      <c r="Q149" s="415"/>
      <c r="R149" s="414">
        <f t="shared" si="62"/>
        <v>0</v>
      </c>
      <c r="T149" s="415"/>
      <c r="U149" s="415"/>
      <c r="V149" s="415"/>
      <c r="W149" s="415"/>
      <c r="X149" s="415"/>
      <c r="Y149" s="415"/>
      <c r="Z149" s="415"/>
      <c r="AA149" s="415"/>
      <c r="AB149" s="415"/>
      <c r="AC149" s="415"/>
      <c r="AD149" s="415"/>
      <c r="AE149" s="415"/>
      <c r="AF149" s="414">
        <f t="shared" si="63"/>
        <v>0</v>
      </c>
    </row>
    <row r="150" spans="2:32" x14ac:dyDescent="0.35">
      <c r="B150" s="412">
        <v>11</v>
      </c>
      <c r="C150" s="413" t="s">
        <v>577</v>
      </c>
      <c r="D150" s="413"/>
      <c r="E150" s="414"/>
      <c r="F150" s="415">
        <f>F131*(1-'2.Hao hut &amp; % chai '!H162)</f>
        <v>0</v>
      </c>
      <c r="G150" s="415">
        <f>G131*(1-'2.Hao hut &amp; % chai '!I162)</f>
        <v>0</v>
      </c>
      <c r="H150" s="415">
        <f>H131*(1-'2.Hao hut &amp; % chai '!J162)</f>
        <v>0</v>
      </c>
      <c r="I150" s="415">
        <f>I131*(1-'2.Hao hut &amp; % chai '!K162)</f>
        <v>0</v>
      </c>
      <c r="J150" s="415">
        <f>J131*(1-'2.Hao hut &amp; % chai '!L162)</f>
        <v>0</v>
      </c>
      <c r="K150" s="415">
        <f>K131*(1-'2.Hao hut &amp; % chai '!M162)</f>
        <v>0</v>
      </c>
      <c r="L150" s="415">
        <f>L131*(1-'2.Hao hut &amp; % chai '!N162)</f>
        <v>0</v>
      </c>
      <c r="M150" s="415">
        <f>M131*(1-'2.Hao hut &amp; % chai '!O162)</f>
        <v>0</v>
      </c>
      <c r="N150" s="415">
        <f>N131*(1-'2.Hao hut &amp; % chai '!P162)</f>
        <v>0</v>
      </c>
      <c r="O150" s="415">
        <f>O131*(1-'2.Hao hut &amp; % chai '!Q162)</f>
        <v>0</v>
      </c>
      <c r="P150" s="415">
        <f>P131*(1-'2.Hao hut &amp; % chai '!R162)</f>
        <v>0</v>
      </c>
      <c r="Q150" s="415">
        <f>Q131*(1-'2.Hao hut &amp; % chai '!S162)</f>
        <v>0</v>
      </c>
      <c r="R150" s="414">
        <f t="shared" si="62"/>
        <v>0</v>
      </c>
      <c r="T150" s="415"/>
      <c r="U150" s="415"/>
      <c r="V150" s="415"/>
      <c r="W150" s="415"/>
      <c r="X150" s="415"/>
      <c r="Y150" s="415"/>
      <c r="Z150" s="415"/>
      <c r="AA150" s="415"/>
      <c r="AB150" s="415"/>
      <c r="AC150" s="415"/>
      <c r="AD150" s="415"/>
      <c r="AE150" s="415"/>
      <c r="AF150" s="414">
        <f t="shared" si="63"/>
        <v>0</v>
      </c>
    </row>
    <row r="151" spans="2:32" x14ac:dyDescent="0.35">
      <c r="B151" s="412">
        <v>12</v>
      </c>
      <c r="C151" s="413" t="s">
        <v>578</v>
      </c>
      <c r="D151" s="413"/>
      <c r="E151" s="414"/>
      <c r="F151" s="415">
        <f>F132*(1-'2.Hao hut &amp; % chai '!H163)</f>
        <v>0</v>
      </c>
      <c r="G151" s="415">
        <f>G132*(1-'2.Hao hut &amp; % chai '!I163)</f>
        <v>0</v>
      </c>
      <c r="H151" s="415">
        <f>H132*(1-'2.Hao hut &amp; % chai '!J163)</f>
        <v>0</v>
      </c>
      <c r="I151" s="415">
        <f>I132*(1-'2.Hao hut &amp; % chai '!K163)</f>
        <v>0</v>
      </c>
      <c r="J151" s="415">
        <f>J132*(1-'2.Hao hut &amp; % chai '!L163)</f>
        <v>0</v>
      </c>
      <c r="K151" s="415">
        <f>K132*(1-'2.Hao hut &amp; % chai '!M163)</f>
        <v>0</v>
      </c>
      <c r="L151" s="415">
        <f>L132*(1-'2.Hao hut &amp; % chai '!N163)</f>
        <v>0</v>
      </c>
      <c r="M151" s="415">
        <f>M132*(1-'2.Hao hut &amp; % chai '!O163)</f>
        <v>0</v>
      </c>
      <c r="N151" s="415">
        <f>N132*(1-'2.Hao hut &amp; % chai '!P163)</f>
        <v>0</v>
      </c>
      <c r="O151" s="415">
        <f>O132*(1-'2.Hao hut &amp; % chai '!Q163)</f>
        <v>0</v>
      </c>
      <c r="P151" s="415">
        <f>P132*(1-'2.Hao hut &amp; % chai '!R163)</f>
        <v>0</v>
      </c>
      <c r="Q151" s="415">
        <f>Q132*(1-'2.Hao hut &amp; % chai '!S163)</f>
        <v>0</v>
      </c>
      <c r="R151" s="414">
        <f t="shared" si="62"/>
        <v>0</v>
      </c>
      <c r="T151" s="415"/>
      <c r="U151" s="415"/>
      <c r="V151" s="415"/>
      <c r="W151" s="415"/>
      <c r="X151" s="415"/>
      <c r="Y151" s="415"/>
      <c r="Z151" s="415"/>
      <c r="AA151" s="415"/>
      <c r="AB151" s="415"/>
      <c r="AC151" s="415"/>
      <c r="AD151" s="415"/>
      <c r="AE151" s="415"/>
      <c r="AF151" s="414">
        <f t="shared" si="63"/>
        <v>0</v>
      </c>
    </row>
    <row r="152" spans="2:32" x14ac:dyDescent="0.35">
      <c r="B152" s="412">
        <v>13</v>
      </c>
      <c r="C152" s="413" t="s">
        <v>579</v>
      </c>
      <c r="D152" s="413"/>
      <c r="E152" s="414"/>
      <c r="F152" s="415">
        <f>F133*(1-'2.Hao hut &amp; % chai '!H164)</f>
        <v>0</v>
      </c>
      <c r="G152" s="415">
        <f>G133*(1-'2.Hao hut &amp; % chai '!I164)</f>
        <v>0</v>
      </c>
      <c r="H152" s="415">
        <f>H133*(1-'2.Hao hut &amp; % chai '!J164)</f>
        <v>0</v>
      </c>
      <c r="I152" s="415">
        <f>I133*(1-'2.Hao hut &amp; % chai '!K164)</f>
        <v>0</v>
      </c>
      <c r="J152" s="415">
        <f>J133*(1-'2.Hao hut &amp; % chai '!L164)</f>
        <v>0</v>
      </c>
      <c r="K152" s="415">
        <f>K133*(1-'2.Hao hut &amp; % chai '!M164)</f>
        <v>0</v>
      </c>
      <c r="L152" s="415">
        <f>L133*(1-'2.Hao hut &amp; % chai '!N164)</f>
        <v>0</v>
      </c>
      <c r="M152" s="415">
        <f>M133*(1-'2.Hao hut &amp; % chai '!O164)</f>
        <v>0</v>
      </c>
      <c r="N152" s="415">
        <f>N133*(1-'2.Hao hut &amp; % chai '!P164)</f>
        <v>0</v>
      </c>
      <c r="O152" s="415">
        <f>O133*(1-'2.Hao hut &amp; % chai '!Q164)</f>
        <v>0</v>
      </c>
      <c r="P152" s="415">
        <f>P133*(1-'2.Hao hut &amp; % chai '!R164)</f>
        <v>0</v>
      </c>
      <c r="Q152" s="415">
        <f>Q133*(1-'2.Hao hut &amp; % chai '!S164)</f>
        <v>0</v>
      </c>
      <c r="R152" s="414">
        <f t="shared" si="62"/>
        <v>0</v>
      </c>
      <c r="T152" s="415"/>
      <c r="U152" s="415"/>
      <c r="V152" s="415"/>
      <c r="W152" s="415"/>
      <c r="X152" s="415"/>
      <c r="Y152" s="415"/>
      <c r="Z152" s="415"/>
      <c r="AA152" s="415"/>
      <c r="AB152" s="415"/>
      <c r="AC152" s="415"/>
      <c r="AD152" s="415"/>
      <c r="AE152" s="415"/>
      <c r="AF152" s="414">
        <f t="shared" si="63"/>
        <v>0</v>
      </c>
    </row>
    <row r="153" spans="2:32" x14ac:dyDescent="0.35">
      <c r="B153" s="412">
        <v>14</v>
      </c>
      <c r="C153" s="413" t="s">
        <v>580</v>
      </c>
      <c r="D153" s="413"/>
      <c r="E153" s="414"/>
      <c r="F153" s="415">
        <f>F102*'2.Hao hut &amp; % chai '!H30</f>
        <v>0</v>
      </c>
      <c r="G153" s="415">
        <f>G102*'2.Hao hut &amp; % chai '!I30</f>
        <v>0</v>
      </c>
      <c r="H153" s="415">
        <f>H102*'2.Hao hut &amp; % chai '!J30</f>
        <v>0</v>
      </c>
      <c r="I153" s="415">
        <f>I102*'2.Hao hut &amp; % chai '!K30</f>
        <v>0</v>
      </c>
      <c r="J153" s="415">
        <f>J102*'2.Hao hut &amp; % chai '!L30</f>
        <v>0</v>
      </c>
      <c r="K153" s="1373">
        <f>K102*'2.Hao hut &amp; % chai '!M30</f>
        <v>29287.5</v>
      </c>
      <c r="L153" s="1373">
        <f>L102*'2.Hao hut &amp; % chai '!N30</f>
        <v>29287.5</v>
      </c>
      <c r="M153" s="1373">
        <f>M102*'2.Hao hut &amp; % chai '!O30</f>
        <v>29287.5</v>
      </c>
      <c r="N153" s="1373">
        <f>N102*'2.Hao hut &amp; % chai '!P30</f>
        <v>29287.5</v>
      </c>
      <c r="O153" s="1373">
        <f>O102*'2.Hao hut &amp; % chai '!Q30</f>
        <v>29287.5</v>
      </c>
      <c r="P153" s="1373">
        <f>P102*'2.Hao hut &amp; % chai '!R30</f>
        <v>29287.5</v>
      </c>
      <c r="Q153" s="1373">
        <f>Q102*'2.Hao hut &amp; % chai '!S30</f>
        <v>29287.5</v>
      </c>
      <c r="R153" s="1374">
        <f t="shared" si="62"/>
        <v>205012.5</v>
      </c>
      <c r="S153" s="1335">
        <f>R153/R155</f>
        <v>5.3191489361702128E-2</v>
      </c>
      <c r="T153" s="415"/>
      <c r="U153" s="415"/>
      <c r="V153" s="415"/>
      <c r="W153" s="415"/>
      <c r="X153" s="415"/>
      <c r="Y153" s="415"/>
      <c r="Z153" s="415"/>
      <c r="AA153" s="415"/>
      <c r="AB153" s="415"/>
      <c r="AC153" s="415"/>
      <c r="AD153" s="415"/>
      <c r="AE153" s="415"/>
      <c r="AF153" s="414">
        <f t="shared" si="63"/>
        <v>0</v>
      </c>
    </row>
    <row r="154" spans="2:32" x14ac:dyDescent="0.35">
      <c r="B154" s="416">
        <v>15</v>
      </c>
      <c r="C154" s="417" t="s">
        <v>175</v>
      </c>
      <c r="D154" s="417"/>
      <c r="E154" s="418"/>
      <c r="F154" s="419">
        <f>F135*(1-'2.Hao hut &amp; % chai '!H166)</f>
        <v>0</v>
      </c>
      <c r="G154" s="419">
        <f>G135*(1-'2.Hao hut &amp; % chai '!I166)</f>
        <v>0</v>
      </c>
      <c r="H154" s="419">
        <f>H135*(1-'2.Hao hut &amp; % chai '!J166)</f>
        <v>0</v>
      </c>
      <c r="I154" s="419">
        <f>I135*(1-'2.Hao hut &amp; % chai '!K166)</f>
        <v>0</v>
      </c>
      <c r="J154" s="419">
        <f>J135*(1-'2.Hao hut &amp; % chai '!L166)</f>
        <v>0</v>
      </c>
      <c r="K154" s="419">
        <f>K135*(1-'2.Hao hut &amp; % chai '!M166)</f>
        <v>0</v>
      </c>
      <c r="L154" s="419">
        <f>L135*(1-'2.Hao hut &amp; % chai '!N166)</f>
        <v>0</v>
      </c>
      <c r="M154" s="419">
        <f>M135*(1-'2.Hao hut &amp; % chai '!O166)</f>
        <v>0</v>
      </c>
      <c r="N154" s="419">
        <f>N135*(1-'2.Hao hut &amp; % chai '!P166)</f>
        <v>0</v>
      </c>
      <c r="O154" s="419">
        <f>O135*(1-'2.Hao hut &amp; % chai '!Q166)</f>
        <v>0</v>
      </c>
      <c r="P154" s="419">
        <f>P135*(1-'2.Hao hut &amp; % chai '!R166)</f>
        <v>0</v>
      </c>
      <c r="Q154" s="419">
        <f>Q135*(1-'2.Hao hut &amp; % chai '!S166)</f>
        <v>0</v>
      </c>
      <c r="R154" s="418">
        <f t="shared" si="62"/>
        <v>0</v>
      </c>
      <c r="T154" s="419"/>
      <c r="U154" s="419"/>
      <c r="V154" s="419"/>
      <c r="W154" s="419"/>
      <c r="X154" s="419"/>
      <c r="Y154" s="419"/>
      <c r="Z154" s="419"/>
      <c r="AA154" s="419"/>
      <c r="AB154" s="419"/>
      <c r="AC154" s="419"/>
      <c r="AD154" s="419"/>
      <c r="AE154" s="419"/>
      <c r="AF154" s="418">
        <f t="shared" si="63"/>
        <v>0</v>
      </c>
    </row>
    <row r="155" spans="2:32" x14ac:dyDescent="0.35">
      <c r="B155" s="163"/>
      <c r="C155" s="164" t="s">
        <v>665</v>
      </c>
      <c r="D155" s="164"/>
      <c r="E155" s="166">
        <f>SUM(E103:E117)</f>
        <v>0</v>
      </c>
      <c r="F155" s="166">
        <f>SUM(F140:F154)</f>
        <v>0</v>
      </c>
      <c r="G155" s="166">
        <f t="shared" ref="G155:Q155" si="64">SUM(G140:G154)</f>
        <v>0</v>
      </c>
      <c r="H155" s="166">
        <f t="shared" si="64"/>
        <v>0</v>
      </c>
      <c r="I155" s="166">
        <f t="shared" si="64"/>
        <v>0</v>
      </c>
      <c r="J155" s="166">
        <f t="shared" si="64"/>
        <v>0</v>
      </c>
      <c r="K155" s="166">
        <f t="shared" si="64"/>
        <v>550605</v>
      </c>
      <c r="L155" s="166">
        <f t="shared" si="64"/>
        <v>550605</v>
      </c>
      <c r="M155" s="166">
        <f t="shared" si="64"/>
        <v>550605</v>
      </c>
      <c r="N155" s="166">
        <f t="shared" si="64"/>
        <v>550605</v>
      </c>
      <c r="O155" s="166">
        <f t="shared" si="64"/>
        <v>550605</v>
      </c>
      <c r="P155" s="166">
        <f t="shared" si="64"/>
        <v>550605</v>
      </c>
      <c r="Q155" s="166">
        <f t="shared" si="64"/>
        <v>550605</v>
      </c>
      <c r="R155" s="166">
        <f t="shared" si="62"/>
        <v>3854235</v>
      </c>
      <c r="T155" s="166">
        <f>SUM(T140:T154)</f>
        <v>0</v>
      </c>
      <c r="U155" s="166">
        <f t="shared" ref="U155:AE155" si="65">SUM(U140:U154)</f>
        <v>0</v>
      </c>
      <c r="V155" s="166">
        <f t="shared" si="65"/>
        <v>0</v>
      </c>
      <c r="W155" s="166">
        <f t="shared" si="65"/>
        <v>0</v>
      </c>
      <c r="X155" s="166">
        <f t="shared" si="65"/>
        <v>0</v>
      </c>
      <c r="Y155" s="166">
        <f t="shared" si="65"/>
        <v>0</v>
      </c>
      <c r="Z155" s="166">
        <f t="shared" si="65"/>
        <v>0</v>
      </c>
      <c r="AA155" s="166">
        <f t="shared" si="65"/>
        <v>0</v>
      </c>
      <c r="AB155" s="166">
        <f t="shared" si="65"/>
        <v>0</v>
      </c>
      <c r="AC155" s="166">
        <f t="shared" si="65"/>
        <v>0</v>
      </c>
      <c r="AD155" s="166">
        <f t="shared" si="65"/>
        <v>0</v>
      </c>
      <c r="AE155" s="166">
        <f t="shared" si="65"/>
        <v>0</v>
      </c>
      <c r="AF155" s="166">
        <f t="shared" si="63"/>
        <v>0</v>
      </c>
    </row>
    <row r="156" spans="2:32" x14ac:dyDescent="0.35">
      <c r="F156" s="10">
        <f>F155/1000</f>
        <v>0</v>
      </c>
      <c r="G156" s="10">
        <f t="shared" ref="G156:Q156" si="66">G155/1000</f>
        <v>0</v>
      </c>
      <c r="H156" s="10">
        <f t="shared" si="66"/>
        <v>0</v>
      </c>
      <c r="I156" s="10">
        <f t="shared" si="66"/>
        <v>0</v>
      </c>
      <c r="J156" s="10">
        <f t="shared" si="66"/>
        <v>0</v>
      </c>
      <c r="K156" s="10">
        <f t="shared" si="66"/>
        <v>550.60500000000002</v>
      </c>
      <c r="L156" s="10">
        <f t="shared" si="66"/>
        <v>550.60500000000002</v>
      </c>
      <c r="M156" s="10">
        <f t="shared" si="66"/>
        <v>550.60500000000002</v>
      </c>
      <c r="N156" s="10">
        <f t="shared" si="66"/>
        <v>550.60500000000002</v>
      </c>
      <c r="O156" s="10">
        <f t="shared" si="66"/>
        <v>550.60500000000002</v>
      </c>
      <c r="P156" s="10">
        <f t="shared" si="66"/>
        <v>550.60500000000002</v>
      </c>
      <c r="Q156" s="10">
        <f t="shared" si="66"/>
        <v>550.60500000000002</v>
      </c>
    </row>
    <row r="157" spans="2:32" x14ac:dyDescent="0.35">
      <c r="B157" s="63" t="s">
        <v>669</v>
      </c>
    </row>
    <row r="158" spans="2:32" x14ac:dyDescent="0.35">
      <c r="B158" s="11" t="s">
        <v>670</v>
      </c>
    </row>
    <row r="159" spans="2:32" ht="26" x14ac:dyDescent="0.35">
      <c r="B159" s="187" t="s">
        <v>36</v>
      </c>
      <c r="C159" s="187" t="s">
        <v>524</v>
      </c>
      <c r="D159" s="187" t="s">
        <v>257</v>
      </c>
      <c r="E159" s="116" t="s">
        <v>148</v>
      </c>
      <c r="F159" s="116" t="s">
        <v>149</v>
      </c>
      <c r="G159" s="116" t="s">
        <v>150</v>
      </c>
      <c r="H159" s="116" t="s">
        <v>151</v>
      </c>
      <c r="I159" s="116" t="s">
        <v>152</v>
      </c>
      <c r="J159" s="116" t="s">
        <v>153</v>
      </c>
      <c r="K159" s="116" t="s">
        <v>154</v>
      </c>
      <c r="L159" s="116" t="s">
        <v>155</v>
      </c>
      <c r="M159" s="116" t="s">
        <v>156</v>
      </c>
      <c r="N159" s="116" t="s">
        <v>157</v>
      </c>
      <c r="O159" s="116" t="s">
        <v>158</v>
      </c>
      <c r="P159" s="116" t="s">
        <v>159</v>
      </c>
      <c r="Q159" s="116" t="s">
        <v>160</v>
      </c>
      <c r="R159" s="116" t="s">
        <v>2147</v>
      </c>
      <c r="T159" s="714" t="s">
        <v>149</v>
      </c>
      <c r="U159" s="714" t="s">
        <v>150</v>
      </c>
      <c r="V159" s="714" t="s">
        <v>151</v>
      </c>
      <c r="W159" s="714" t="s">
        <v>152</v>
      </c>
      <c r="X159" s="714" t="s">
        <v>153</v>
      </c>
      <c r="Y159" s="714" t="s">
        <v>154</v>
      </c>
      <c r="Z159" s="714" t="s">
        <v>155</v>
      </c>
      <c r="AA159" s="714" t="s">
        <v>156</v>
      </c>
      <c r="AB159" s="714" t="s">
        <v>157</v>
      </c>
      <c r="AC159" s="714" t="s">
        <v>158</v>
      </c>
      <c r="AD159" s="714" t="s">
        <v>159</v>
      </c>
      <c r="AE159" s="714" t="s">
        <v>160</v>
      </c>
      <c r="AF159" s="714" t="s">
        <v>148</v>
      </c>
    </row>
    <row r="160" spans="2:32" x14ac:dyDescent="0.35">
      <c r="B160" s="128">
        <v>1</v>
      </c>
      <c r="C160" s="129" t="s">
        <v>169</v>
      </c>
      <c r="D160" s="129"/>
      <c r="E160" s="158"/>
      <c r="F160" s="925">
        <f>'1.NVL Chai'!H$19*'2.Hao hut &amp; % chai '!H$52</f>
        <v>0</v>
      </c>
      <c r="G160" s="925">
        <f>'1.NVL Chai'!I$19*'2.Hao hut &amp; % chai '!I$52</f>
        <v>0</v>
      </c>
      <c r="H160" s="925">
        <f>'1.NVL Chai'!J$19*'2.Hao hut &amp; % chai '!J$52</f>
        <v>0</v>
      </c>
      <c r="I160" s="925">
        <f>'1.NVL Chai'!K$19*'2.Hao hut &amp; % chai '!K$52</f>
        <v>0</v>
      </c>
      <c r="J160" s="925">
        <f>'1.NVL Chai'!L$19*'2.Hao hut &amp; % chai '!L$52</f>
        <v>0</v>
      </c>
      <c r="K160" s="925">
        <f>'1.NVL Chai'!M$19*'2.Hao hut &amp; % chai '!M$52</f>
        <v>0</v>
      </c>
      <c r="L160" s="925">
        <f>'1.NVL Chai'!N$19*'2.Hao hut &amp; % chai '!N$52</f>
        <v>0</v>
      </c>
      <c r="M160" s="925">
        <f>'1.NVL Chai'!O$19*'2.Hao hut &amp; % chai '!O$52</f>
        <v>0</v>
      </c>
      <c r="N160" s="925">
        <f>'1.NVL Chai'!P$19*'2.Hao hut &amp; % chai '!P$52</f>
        <v>0</v>
      </c>
      <c r="O160" s="925">
        <f>'1.NVL Chai'!Q$19*'2.Hao hut &amp; % chai '!Q$52</f>
        <v>0</v>
      </c>
      <c r="P160" s="925">
        <f>'1.NVL Chai'!R$19*'2.Hao hut &amp; % chai '!R$52</f>
        <v>0</v>
      </c>
      <c r="Q160" s="925">
        <f>'1.NVL Chai'!S$19*'2.Hao hut &amp; % chai '!S$52</f>
        <v>0</v>
      </c>
      <c r="R160" s="158">
        <f>SUM(F160:Q160)</f>
        <v>0</v>
      </c>
      <c r="T160" s="925">
        <f>'1.NVL Chai'!V$19*'2.Hao hut &amp; % chai '!V$52</f>
        <v>0</v>
      </c>
      <c r="U160" s="925">
        <f>'1.NVL Chai'!W$19*'2.Hao hut &amp; % chai '!W$52</f>
        <v>0</v>
      </c>
      <c r="V160" s="925">
        <f>'1.NVL Chai'!X$19*'2.Hao hut &amp; % chai '!X$52</f>
        <v>0</v>
      </c>
      <c r="W160" s="925">
        <f>'1.NVL Chai'!Y$19*'2.Hao hut &amp; % chai '!Y$52</f>
        <v>0</v>
      </c>
      <c r="X160" s="925">
        <f>'1.NVL Chai'!Z$19*'2.Hao hut &amp; % chai '!Z$52</f>
        <v>0</v>
      </c>
      <c r="Y160" s="925">
        <f>'1.NVL Chai'!AA$19*'2.Hao hut &amp; % chai '!AA$52</f>
        <v>0</v>
      </c>
      <c r="Z160" s="925">
        <f>'1.NVL Chai'!AB$19*'2.Hao hut &amp; % chai '!AB$52</f>
        <v>0</v>
      </c>
      <c r="AA160" s="925">
        <f>'1.NVL Chai'!AC$19*'2.Hao hut &amp; % chai '!AC$52</f>
        <v>0</v>
      </c>
      <c r="AB160" s="925">
        <f>'1.NVL Chai'!AD$19*'2.Hao hut &amp; % chai '!AD$52</f>
        <v>0</v>
      </c>
      <c r="AC160" s="925">
        <f>'1.NVL Chai'!AE$19*'2.Hao hut &amp; % chai '!AE$52</f>
        <v>0</v>
      </c>
      <c r="AD160" s="925">
        <f>'1.NVL Chai'!AF$19*'2.Hao hut &amp; % chai '!AF$52</f>
        <v>0</v>
      </c>
      <c r="AE160" s="925">
        <f>'1.NVL Chai'!AG$19*'2.Hao hut &amp; % chai '!AG$52</f>
        <v>0</v>
      </c>
      <c r="AF160" s="158">
        <f>SUM(T160:AE160)</f>
        <v>0</v>
      </c>
    </row>
    <row r="162" spans="2:32" x14ac:dyDescent="0.35">
      <c r="B162" s="1099" t="s">
        <v>2160</v>
      </c>
    </row>
    <row r="163" spans="2:32" x14ac:dyDescent="0.35">
      <c r="B163" s="11" t="s">
        <v>2161</v>
      </c>
    </row>
    <row r="164" spans="2:32" ht="26" x14ac:dyDescent="0.35">
      <c r="B164" s="187" t="s">
        <v>36</v>
      </c>
      <c r="C164" s="187" t="s">
        <v>524</v>
      </c>
      <c r="D164" s="187" t="s">
        <v>257</v>
      </c>
      <c r="E164" s="116" t="s">
        <v>148</v>
      </c>
      <c r="F164" s="116" t="s">
        <v>149</v>
      </c>
      <c r="G164" s="116" t="s">
        <v>150</v>
      </c>
      <c r="H164" s="116" t="s">
        <v>151</v>
      </c>
      <c r="I164" s="116" t="s">
        <v>152</v>
      </c>
      <c r="J164" s="116" t="s">
        <v>153</v>
      </c>
      <c r="K164" s="116" t="s">
        <v>154</v>
      </c>
      <c r="L164" s="116" t="s">
        <v>155</v>
      </c>
      <c r="M164" s="116" t="s">
        <v>156</v>
      </c>
      <c r="N164" s="116" t="s">
        <v>157</v>
      </c>
      <c r="O164" s="116" t="s">
        <v>158</v>
      </c>
      <c r="P164" s="116" t="s">
        <v>159</v>
      </c>
      <c r="Q164" s="116" t="s">
        <v>160</v>
      </c>
      <c r="R164" s="116" t="s">
        <v>2147</v>
      </c>
      <c r="T164" s="714" t="s">
        <v>149</v>
      </c>
      <c r="U164" s="714" t="s">
        <v>150</v>
      </c>
      <c r="V164" s="714" t="s">
        <v>151</v>
      </c>
      <c r="W164" s="714" t="s">
        <v>152</v>
      </c>
      <c r="X164" s="714" t="s">
        <v>153</v>
      </c>
      <c r="Y164" s="714" t="s">
        <v>154</v>
      </c>
      <c r="Z164" s="714" t="s">
        <v>155</v>
      </c>
      <c r="AA164" s="714" t="s">
        <v>156</v>
      </c>
      <c r="AB164" s="714" t="s">
        <v>157</v>
      </c>
      <c r="AC164" s="714" t="s">
        <v>158</v>
      </c>
      <c r="AD164" s="714" t="s">
        <v>159</v>
      </c>
      <c r="AE164" s="714" t="s">
        <v>160</v>
      </c>
      <c r="AF164" s="714" t="s">
        <v>148</v>
      </c>
    </row>
    <row r="165" spans="2:32" x14ac:dyDescent="0.35">
      <c r="B165" s="128">
        <v>1</v>
      </c>
      <c r="C165" s="129" t="s">
        <v>169</v>
      </c>
      <c r="D165" s="129"/>
      <c r="E165" s="158"/>
      <c r="F165" s="925">
        <f>'1.NVL Chai'!H$19*'2.Hao hut &amp; % chai '!H$52</f>
        <v>0</v>
      </c>
      <c r="G165" s="925">
        <f>'1.NVL Chai'!I$19*'2.Hao hut &amp; % chai '!I$52</f>
        <v>0</v>
      </c>
      <c r="H165" s="925">
        <f>'1.NVL Chai'!J$19*'2.Hao hut &amp; % chai '!J$52</f>
        <v>0</v>
      </c>
      <c r="I165" s="925">
        <f>'1.NVL Chai'!K$19*'2.Hao hut &amp; % chai '!K$52</f>
        <v>0</v>
      </c>
      <c r="J165" s="925">
        <f>'1.NVL Chai'!L$19*'2.Hao hut &amp; % chai '!L$52</f>
        <v>0</v>
      </c>
      <c r="K165" s="925">
        <f>'1.NVL Chai'!M$19*'2.Hao hut &amp; % chai '!M$52</f>
        <v>0</v>
      </c>
      <c r="L165" s="925">
        <f>'1.NVL Chai'!N$19*'2.Hao hut &amp; % chai '!N$52</f>
        <v>0</v>
      </c>
      <c r="M165" s="925">
        <f>'1.NVL Chai'!O$19*'2.Hao hut &amp; % chai '!O$52</f>
        <v>0</v>
      </c>
      <c r="N165" s="925">
        <f>'1.NVL Chai'!P$19*'2.Hao hut &amp; % chai '!P$52</f>
        <v>0</v>
      </c>
      <c r="O165" s="925">
        <f>'1.NVL Chai'!Q$19*'2.Hao hut &amp; % chai '!Q$52</f>
        <v>0</v>
      </c>
      <c r="P165" s="925">
        <f>'1.NVL Chai'!R$19*'2.Hao hut &amp; % chai '!R$52</f>
        <v>0</v>
      </c>
      <c r="Q165" s="925">
        <f>'1.NVL Chai'!S$19*'2.Hao hut &amp; % chai '!S$52</f>
        <v>0</v>
      </c>
      <c r="R165" s="158">
        <f>SUM(F165:Q165)</f>
        <v>0</v>
      </c>
      <c r="T165" s="925">
        <f>'1.NVL Chai'!V$19*'2.Hao hut &amp; % chai '!V$52</f>
        <v>0</v>
      </c>
      <c r="U165" s="925">
        <f>'1.NVL Chai'!W$19*'2.Hao hut &amp; % chai '!W$52</f>
        <v>0</v>
      </c>
      <c r="V165" s="925">
        <f>'1.NVL Chai'!X$19*'2.Hao hut &amp; % chai '!X$52</f>
        <v>0</v>
      </c>
      <c r="W165" s="925">
        <f>'1.NVL Chai'!Y$19*'2.Hao hut &amp; % chai '!Y$52</f>
        <v>0</v>
      </c>
      <c r="X165" s="925">
        <f>'1.NVL Chai'!Z$19*'2.Hao hut &amp; % chai '!Z$52</f>
        <v>0</v>
      </c>
      <c r="Y165" s="925">
        <f>'1.NVL Chai'!AA$19*'2.Hao hut &amp; % chai '!AA$52</f>
        <v>0</v>
      </c>
      <c r="Z165" s="925">
        <f>'1.NVL Chai'!AB$19*'2.Hao hut &amp; % chai '!AB$52</f>
        <v>0</v>
      </c>
      <c r="AA165" s="925">
        <f>'1.NVL Chai'!AC$19*'2.Hao hut &amp; % chai '!AC$52</f>
        <v>0</v>
      </c>
      <c r="AB165" s="925">
        <f>'1.NVL Chai'!AD$19*'2.Hao hut &amp; % chai '!AD$52</f>
        <v>0</v>
      </c>
      <c r="AC165" s="925">
        <f>'1.NVL Chai'!AE$19*'2.Hao hut &amp; % chai '!AE$52</f>
        <v>0</v>
      </c>
      <c r="AD165" s="925">
        <f>'1.NVL Chai'!AF$19*'2.Hao hut &amp; % chai '!AF$52</f>
        <v>0</v>
      </c>
      <c r="AE165" s="925">
        <f>'1.NVL Chai'!AG$19*'2.Hao hut &amp; % chai '!AG$52</f>
        <v>0</v>
      </c>
      <c r="AF165" s="158">
        <f>SUM(T165:AE165)</f>
        <v>0</v>
      </c>
    </row>
    <row r="167" spans="2:32" x14ac:dyDescent="0.35">
      <c r="B167" s="63" t="s">
        <v>671</v>
      </c>
    </row>
    <row r="169" spans="2:32" x14ac:dyDescent="0.35">
      <c r="B169" s="11" t="s">
        <v>672</v>
      </c>
    </row>
    <row r="170" spans="2:32" ht="26" x14ac:dyDescent="0.35">
      <c r="B170" s="116">
        <v>1</v>
      </c>
      <c r="C170" s="909" t="s">
        <v>631</v>
      </c>
      <c r="D170" s="187" t="s">
        <v>257</v>
      </c>
      <c r="E170" s="116" t="s">
        <v>148</v>
      </c>
      <c r="F170" s="116" t="s">
        <v>149</v>
      </c>
      <c r="G170" s="116" t="s">
        <v>150</v>
      </c>
      <c r="H170" s="116" t="s">
        <v>151</v>
      </c>
      <c r="I170" s="116" t="s">
        <v>152</v>
      </c>
      <c r="J170" s="116" t="s">
        <v>153</v>
      </c>
      <c r="K170" s="116" t="s">
        <v>154</v>
      </c>
      <c r="L170" s="116" t="s">
        <v>155</v>
      </c>
      <c r="M170" s="116" t="s">
        <v>156</v>
      </c>
      <c r="N170" s="116" t="s">
        <v>157</v>
      </c>
      <c r="O170" s="116" t="s">
        <v>158</v>
      </c>
      <c r="P170" s="116" t="s">
        <v>159</v>
      </c>
      <c r="Q170" s="116" t="s">
        <v>160</v>
      </c>
      <c r="R170" s="116" t="s">
        <v>2147</v>
      </c>
      <c r="T170" s="714" t="s">
        <v>149</v>
      </c>
      <c r="U170" s="714" t="s">
        <v>150</v>
      </c>
      <c r="V170" s="714" t="s">
        <v>151</v>
      </c>
      <c r="W170" s="714" t="s">
        <v>152</v>
      </c>
      <c r="X170" s="714" t="s">
        <v>153</v>
      </c>
      <c r="Y170" s="714" t="s">
        <v>154</v>
      </c>
      <c r="Z170" s="714" t="s">
        <v>155</v>
      </c>
      <c r="AA170" s="714" t="s">
        <v>156</v>
      </c>
      <c r="AB170" s="714" t="s">
        <v>157</v>
      </c>
      <c r="AC170" s="714" t="s">
        <v>158</v>
      </c>
      <c r="AD170" s="714" t="s">
        <v>159</v>
      </c>
      <c r="AE170" s="714" t="s">
        <v>160</v>
      </c>
      <c r="AF170" s="714" t="s">
        <v>148</v>
      </c>
    </row>
    <row r="171" spans="2:32" x14ac:dyDescent="0.35">
      <c r="B171" s="420">
        <v>1</v>
      </c>
      <c r="C171" s="421" t="s">
        <v>632</v>
      </c>
      <c r="D171" s="421"/>
      <c r="E171" s="422"/>
      <c r="F171" s="411">
        <f>'1.NVL Chai'!H$13*'2.Hao hut &amp; % chai '!H5</f>
        <v>24300</v>
      </c>
      <c r="G171" s="411">
        <f>'1.NVL Chai'!I$13*'2.Hao hut &amp; % chai '!I5</f>
        <v>18900</v>
      </c>
      <c r="H171" s="411">
        <f>'1.NVL Chai'!J$13*'2.Hao hut &amp; % chai '!J5</f>
        <v>27000</v>
      </c>
      <c r="I171" s="411">
        <f>'1.NVL Chai'!K$13*'2.Hao hut &amp; % chai '!K5</f>
        <v>29700</v>
      </c>
      <c r="J171" s="411">
        <f>'1.NVL Chai'!L$13*'2.Hao hut &amp; % chai '!L5</f>
        <v>26400</v>
      </c>
      <c r="K171" s="411">
        <f>'1.NVL Chai'!M$13*'2.Hao hut &amp; % chai '!M5</f>
        <v>23100</v>
      </c>
      <c r="L171" s="411">
        <f>'1.NVL Chai'!N$13*'2.Hao hut &amp; % chai '!N5</f>
        <v>23100</v>
      </c>
      <c r="M171" s="411">
        <f>'1.NVL Chai'!O$13*'2.Hao hut &amp; % chai '!O5</f>
        <v>23100</v>
      </c>
      <c r="N171" s="411">
        <f>'1.NVL Chai'!P$13*'2.Hao hut &amp; % chai '!P5</f>
        <v>23100</v>
      </c>
      <c r="O171" s="411">
        <f>'1.NVL Chai'!Q$13*'2.Hao hut &amp; % chai '!Q5</f>
        <v>23100</v>
      </c>
      <c r="P171" s="411">
        <f>'1.NVL Chai'!R$13*'2.Hao hut &amp; % chai '!R5</f>
        <v>23100</v>
      </c>
      <c r="Q171" s="411">
        <f>'1.NVL Chai'!S$13*'2.Hao hut &amp; % chai '!S5</f>
        <v>23100</v>
      </c>
      <c r="R171" s="410">
        <f t="shared" ref="R171:R173" si="67">SUM(F171:Q171)</f>
        <v>288000</v>
      </c>
      <c r="T171" s="411"/>
      <c r="U171" s="411"/>
      <c r="V171" s="411"/>
      <c r="W171" s="411"/>
      <c r="X171" s="411"/>
      <c r="Y171" s="411"/>
      <c r="Z171" s="411"/>
      <c r="AA171" s="411"/>
      <c r="AB171" s="411"/>
      <c r="AC171" s="411"/>
      <c r="AD171" s="411"/>
      <c r="AE171" s="411"/>
      <c r="AF171" s="410">
        <f t="shared" ref="AF171:AF173" si="68">SUM(T171:AE171)</f>
        <v>0</v>
      </c>
    </row>
    <row r="172" spans="2:32" x14ac:dyDescent="0.35">
      <c r="B172" s="423">
        <v>2</v>
      </c>
      <c r="C172" s="424" t="s">
        <v>633</v>
      </c>
      <c r="D172" s="424"/>
      <c r="E172" s="425"/>
      <c r="F172" s="415">
        <f>'1.NVL Chai'!H$13*'2.Hao hut &amp; % chai '!H6</f>
        <v>20250</v>
      </c>
      <c r="G172" s="415">
        <f>'1.NVL Chai'!I$13*'2.Hao hut &amp; % chai '!I6</f>
        <v>15750</v>
      </c>
      <c r="H172" s="415">
        <f>'1.NVL Chai'!J$13*'2.Hao hut &amp; % chai '!J6</f>
        <v>22500</v>
      </c>
      <c r="I172" s="415">
        <f>'1.NVL Chai'!K$13*'2.Hao hut &amp; % chai '!K6</f>
        <v>24750</v>
      </c>
      <c r="J172" s="415">
        <f>'1.NVL Chai'!L$13*'2.Hao hut &amp; % chai '!L6</f>
        <v>22000</v>
      </c>
      <c r="K172" s="415">
        <f>'1.NVL Chai'!M$13*'2.Hao hut &amp; % chai '!M6</f>
        <v>19250</v>
      </c>
      <c r="L172" s="415">
        <f>'1.NVL Chai'!N$13*'2.Hao hut &amp; % chai '!N6</f>
        <v>19250</v>
      </c>
      <c r="M172" s="415">
        <f>'1.NVL Chai'!O$13*'2.Hao hut &amp; % chai '!O6</f>
        <v>19250</v>
      </c>
      <c r="N172" s="415">
        <f>'1.NVL Chai'!P$13*'2.Hao hut &amp; % chai '!P6</f>
        <v>19250</v>
      </c>
      <c r="O172" s="415">
        <f>'1.NVL Chai'!Q$13*'2.Hao hut &amp; % chai '!Q6</f>
        <v>19250</v>
      </c>
      <c r="P172" s="415">
        <f>'1.NVL Chai'!R$13*'2.Hao hut &amp; % chai '!R6</f>
        <v>19250</v>
      </c>
      <c r="Q172" s="415">
        <f>'1.NVL Chai'!S$13*'2.Hao hut &amp; % chai '!S6</f>
        <v>19250</v>
      </c>
      <c r="R172" s="414">
        <f t="shared" si="67"/>
        <v>240000</v>
      </c>
      <c r="T172" s="415"/>
      <c r="U172" s="415"/>
      <c r="V172" s="415"/>
      <c r="W172" s="415"/>
      <c r="X172" s="415"/>
      <c r="Y172" s="415"/>
      <c r="Z172" s="415"/>
      <c r="AA172" s="415"/>
      <c r="AB172" s="415"/>
      <c r="AC172" s="415"/>
      <c r="AD172" s="415"/>
      <c r="AE172" s="415"/>
      <c r="AF172" s="414">
        <f t="shared" si="68"/>
        <v>0</v>
      </c>
    </row>
    <row r="173" spans="2:32" ht="37.5" x14ac:dyDescent="0.35">
      <c r="B173" s="426">
        <v>3</v>
      </c>
      <c r="C173" s="427" t="s">
        <v>634</v>
      </c>
      <c r="D173" s="427"/>
      <c r="E173" s="428"/>
      <c r="F173" s="419">
        <f>'1.NVL Chai'!H$13*'2.Hao hut &amp; % chai '!H7</f>
        <v>0</v>
      </c>
      <c r="G173" s="419">
        <f>'1.NVL Chai'!I$13*'2.Hao hut &amp; % chai '!I7</f>
        <v>0</v>
      </c>
      <c r="H173" s="419">
        <f>'1.NVL Chai'!J$13*'2.Hao hut &amp; % chai '!J7</f>
        <v>0</v>
      </c>
      <c r="I173" s="419">
        <f>'1.NVL Chai'!K$13*'2.Hao hut &amp; % chai '!K7</f>
        <v>0</v>
      </c>
      <c r="J173" s="419">
        <f>'1.NVL Chai'!L$13*'2.Hao hut &amp; % chai '!L7</f>
        <v>0</v>
      </c>
      <c r="K173" s="419">
        <f>'1.NVL Chai'!M$13*'2.Hao hut &amp; % chai '!M7</f>
        <v>0</v>
      </c>
      <c r="L173" s="419">
        <f>'1.NVL Chai'!N$13*'2.Hao hut &amp; % chai '!N7</f>
        <v>0</v>
      </c>
      <c r="M173" s="419">
        <f>'1.NVL Chai'!O$13*'2.Hao hut &amp; % chai '!O7</f>
        <v>0</v>
      </c>
      <c r="N173" s="419">
        <f>'1.NVL Chai'!P$13*'2.Hao hut &amp; % chai '!P7</f>
        <v>0</v>
      </c>
      <c r="O173" s="419">
        <f>'1.NVL Chai'!Q$13*'2.Hao hut &amp; % chai '!Q7</f>
        <v>0</v>
      </c>
      <c r="P173" s="419">
        <f>'1.NVL Chai'!R$13*'2.Hao hut &amp; % chai '!R7</f>
        <v>0</v>
      </c>
      <c r="Q173" s="419">
        <f>'1.NVL Chai'!S$13*'2.Hao hut &amp; % chai '!S7</f>
        <v>0</v>
      </c>
      <c r="R173" s="418">
        <f t="shared" si="67"/>
        <v>0</v>
      </c>
      <c r="T173" s="419"/>
      <c r="U173" s="419"/>
      <c r="V173" s="419"/>
      <c r="W173" s="419"/>
      <c r="X173" s="419"/>
      <c r="Y173" s="419"/>
      <c r="Z173" s="419"/>
      <c r="AA173" s="419"/>
      <c r="AB173" s="419"/>
      <c r="AC173" s="419"/>
      <c r="AD173" s="419"/>
      <c r="AE173" s="419"/>
      <c r="AF173" s="418">
        <f t="shared" si="68"/>
        <v>0</v>
      </c>
    </row>
    <row r="174" spans="2:32" x14ac:dyDescent="0.35">
      <c r="B174" s="256"/>
      <c r="C174" s="254" t="s">
        <v>635</v>
      </c>
      <c r="D174" s="254"/>
      <c r="E174" s="784"/>
      <c r="F174" s="166">
        <f t="shared" ref="F174:Q174" si="69">SUM(F171:F173)</f>
        <v>44550</v>
      </c>
      <c r="G174" s="166">
        <f t="shared" si="69"/>
        <v>34650</v>
      </c>
      <c r="H174" s="166">
        <f t="shared" si="69"/>
        <v>49500</v>
      </c>
      <c r="I174" s="166">
        <f t="shared" si="69"/>
        <v>54450</v>
      </c>
      <c r="J174" s="166">
        <f t="shared" si="69"/>
        <v>48400</v>
      </c>
      <c r="K174" s="166">
        <f t="shared" si="69"/>
        <v>42350</v>
      </c>
      <c r="L174" s="166">
        <f t="shared" si="69"/>
        <v>42350</v>
      </c>
      <c r="M174" s="166">
        <f t="shared" si="69"/>
        <v>42350</v>
      </c>
      <c r="N174" s="166">
        <f t="shared" si="69"/>
        <v>42350</v>
      </c>
      <c r="O174" s="166">
        <f t="shared" si="69"/>
        <v>42350</v>
      </c>
      <c r="P174" s="166">
        <f t="shared" si="69"/>
        <v>42350</v>
      </c>
      <c r="Q174" s="166">
        <f t="shared" si="69"/>
        <v>42350</v>
      </c>
      <c r="R174" s="166">
        <f>SUM(R171:R173)</f>
        <v>528000</v>
      </c>
      <c r="T174" s="166">
        <f t="shared" ref="T174:AE174" si="70">SUM(T171:T173)</f>
        <v>0</v>
      </c>
      <c r="U174" s="166">
        <f t="shared" si="70"/>
        <v>0</v>
      </c>
      <c r="V174" s="166">
        <f t="shared" si="70"/>
        <v>0</v>
      </c>
      <c r="W174" s="166">
        <f t="shared" si="70"/>
        <v>0</v>
      </c>
      <c r="X174" s="166">
        <f t="shared" si="70"/>
        <v>0</v>
      </c>
      <c r="Y174" s="166">
        <f t="shared" si="70"/>
        <v>0</v>
      </c>
      <c r="Z174" s="166">
        <f t="shared" si="70"/>
        <v>0</v>
      </c>
      <c r="AA174" s="166">
        <f t="shared" si="70"/>
        <v>0</v>
      </c>
      <c r="AB174" s="166">
        <f t="shared" si="70"/>
        <v>0</v>
      </c>
      <c r="AC174" s="166">
        <f t="shared" si="70"/>
        <v>0</v>
      </c>
      <c r="AD174" s="166">
        <f t="shared" si="70"/>
        <v>0</v>
      </c>
      <c r="AE174" s="166">
        <f t="shared" si="70"/>
        <v>0</v>
      </c>
      <c r="AF174" s="166">
        <f>SUM(AF171:AF173)</f>
        <v>0</v>
      </c>
    </row>
    <row r="175" spans="2:32" x14ac:dyDescent="0.35">
      <c r="B175" s="86"/>
      <c r="C175" s="12"/>
      <c r="D175" s="12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7"/>
      <c r="AD175" s="87"/>
      <c r="AE175" s="87"/>
    </row>
    <row r="176" spans="2:32" x14ac:dyDescent="0.35">
      <c r="B176" s="11" t="s">
        <v>673</v>
      </c>
    </row>
    <row r="177" spans="2:32" ht="26" x14ac:dyDescent="0.35">
      <c r="B177" s="116">
        <v>2</v>
      </c>
      <c r="C177" s="909" t="s">
        <v>636</v>
      </c>
      <c r="D177" s="187" t="s">
        <v>257</v>
      </c>
      <c r="E177" s="116" t="s">
        <v>148</v>
      </c>
      <c r="F177" s="116" t="s">
        <v>149</v>
      </c>
      <c r="G177" s="116" t="s">
        <v>150</v>
      </c>
      <c r="H177" s="116" t="s">
        <v>151</v>
      </c>
      <c r="I177" s="116" t="s">
        <v>152</v>
      </c>
      <c r="J177" s="116" t="s">
        <v>153</v>
      </c>
      <c r="K177" s="116" t="s">
        <v>154</v>
      </c>
      <c r="L177" s="116" t="s">
        <v>155</v>
      </c>
      <c r="M177" s="116" t="s">
        <v>156</v>
      </c>
      <c r="N177" s="116" t="s">
        <v>157</v>
      </c>
      <c r="O177" s="116" t="s">
        <v>158</v>
      </c>
      <c r="P177" s="116" t="s">
        <v>159</v>
      </c>
      <c r="Q177" s="116" t="s">
        <v>160</v>
      </c>
      <c r="R177" s="116" t="s">
        <v>2147</v>
      </c>
      <c r="T177" s="714" t="s">
        <v>149</v>
      </c>
      <c r="U177" s="714" t="s">
        <v>150</v>
      </c>
      <c r="V177" s="714" t="s">
        <v>151</v>
      </c>
      <c r="W177" s="714" t="s">
        <v>152</v>
      </c>
      <c r="X177" s="714" t="s">
        <v>153</v>
      </c>
      <c r="Y177" s="714" t="s">
        <v>154</v>
      </c>
      <c r="Z177" s="714" t="s">
        <v>155</v>
      </c>
      <c r="AA177" s="714" t="s">
        <v>156</v>
      </c>
      <c r="AB177" s="714" t="s">
        <v>157</v>
      </c>
      <c r="AC177" s="714" t="s">
        <v>158</v>
      </c>
      <c r="AD177" s="714" t="s">
        <v>159</v>
      </c>
      <c r="AE177" s="714" t="s">
        <v>160</v>
      </c>
      <c r="AF177" s="714" t="s">
        <v>148</v>
      </c>
    </row>
    <row r="178" spans="2:32" x14ac:dyDescent="0.35">
      <c r="B178" s="420">
        <v>1</v>
      </c>
      <c r="C178" s="421" t="s">
        <v>632</v>
      </c>
      <c r="D178" s="421"/>
      <c r="E178" s="422"/>
      <c r="F178" s="411">
        <f>'1.NVL Chai'!H$14*'2.Hao hut &amp; % chai '!H11</f>
        <v>27000</v>
      </c>
      <c r="G178" s="411">
        <f>'1.NVL Chai'!I$14*'2.Hao hut &amp; % chai '!I11</f>
        <v>21000</v>
      </c>
      <c r="H178" s="411">
        <f>'1.NVL Chai'!J$14*'2.Hao hut &amp; % chai '!J11</f>
        <v>30000</v>
      </c>
      <c r="I178" s="411">
        <f>'1.NVL Chai'!K$14*'2.Hao hut &amp; % chai '!K11</f>
        <v>33000</v>
      </c>
      <c r="J178" s="411">
        <f>'1.NVL Chai'!L$14*'2.Hao hut &amp; % chai '!L11</f>
        <v>36299.999999999993</v>
      </c>
      <c r="K178" s="411">
        <f>'1.NVL Chai'!M$14*'2.Hao hut &amp; % chai '!M11</f>
        <v>39600</v>
      </c>
      <c r="L178" s="411">
        <f>'1.NVL Chai'!N$14*'2.Hao hut &amp; % chai '!N11</f>
        <v>39600</v>
      </c>
      <c r="M178" s="411">
        <f>'1.NVL Chai'!O$14*'2.Hao hut &amp; % chai '!O11</f>
        <v>39600</v>
      </c>
      <c r="N178" s="411">
        <f>'1.NVL Chai'!P$14*'2.Hao hut &amp; % chai '!P11</f>
        <v>39600</v>
      </c>
      <c r="O178" s="411">
        <f>'1.NVL Chai'!Q$14*'2.Hao hut &amp; % chai '!Q11</f>
        <v>39600</v>
      </c>
      <c r="P178" s="411">
        <f>'1.NVL Chai'!R$14*'2.Hao hut &amp; % chai '!R11</f>
        <v>39600</v>
      </c>
      <c r="Q178" s="411">
        <f>'1.NVL Chai'!S$14*'2.Hao hut &amp; % chai '!S11</f>
        <v>39600</v>
      </c>
      <c r="R178" s="410">
        <f t="shared" ref="R178:R180" si="71">SUM(F178:Q178)</f>
        <v>424500</v>
      </c>
      <c r="T178" s="411"/>
      <c r="U178" s="411"/>
      <c r="V178" s="411"/>
      <c r="W178" s="411"/>
      <c r="X178" s="411"/>
      <c r="Y178" s="411"/>
      <c r="Z178" s="411"/>
      <c r="AA178" s="411"/>
      <c r="AB178" s="411"/>
      <c r="AC178" s="411"/>
      <c r="AD178" s="411"/>
      <c r="AE178" s="411"/>
      <c r="AF178" s="410">
        <f t="shared" ref="AF178:AF180" si="72">SUM(T178:AE178)</f>
        <v>0</v>
      </c>
    </row>
    <row r="179" spans="2:32" x14ac:dyDescent="0.35">
      <c r="B179" s="423">
        <v>2</v>
      </c>
      <c r="C179" s="424" t="s">
        <v>633</v>
      </c>
      <c r="D179" s="424"/>
      <c r="E179" s="425"/>
      <c r="F179" s="415">
        <f>'1.NVL Chai'!H$14*'2.Hao hut &amp; % chai '!H12</f>
        <v>27000</v>
      </c>
      <c r="G179" s="415">
        <f>'1.NVL Chai'!I$14*'2.Hao hut &amp; % chai '!I12</f>
        <v>21000</v>
      </c>
      <c r="H179" s="415">
        <f>'1.NVL Chai'!J$14*'2.Hao hut &amp; % chai '!J12</f>
        <v>30000</v>
      </c>
      <c r="I179" s="415">
        <f>'1.NVL Chai'!K$14*'2.Hao hut &amp; % chai '!K12</f>
        <v>33000</v>
      </c>
      <c r="J179" s="415">
        <f>'1.NVL Chai'!L$14*'2.Hao hut &amp; % chai '!L12</f>
        <v>36299.999999999993</v>
      </c>
      <c r="K179" s="415">
        <f>'1.NVL Chai'!M$14*'2.Hao hut &amp; % chai '!M12</f>
        <v>39600</v>
      </c>
      <c r="L179" s="415">
        <f>'1.NVL Chai'!N$14*'2.Hao hut &amp; % chai '!N12</f>
        <v>39600</v>
      </c>
      <c r="M179" s="415">
        <f>'1.NVL Chai'!O$14*'2.Hao hut &amp; % chai '!O12</f>
        <v>39600</v>
      </c>
      <c r="N179" s="415">
        <f>'1.NVL Chai'!P$14*'2.Hao hut &amp; % chai '!P12</f>
        <v>39600</v>
      </c>
      <c r="O179" s="415">
        <f>'1.NVL Chai'!Q$14*'2.Hao hut &amp; % chai '!Q12</f>
        <v>39600</v>
      </c>
      <c r="P179" s="415">
        <f>'1.NVL Chai'!R$14*'2.Hao hut &amp; % chai '!R12</f>
        <v>39600</v>
      </c>
      <c r="Q179" s="415">
        <f>'1.NVL Chai'!S$14*'2.Hao hut &amp; % chai '!S12</f>
        <v>39600</v>
      </c>
      <c r="R179" s="414">
        <f t="shared" si="71"/>
        <v>424500</v>
      </c>
      <c r="T179" s="415"/>
      <c r="U179" s="415"/>
      <c r="V179" s="415"/>
      <c r="W179" s="415"/>
      <c r="X179" s="415"/>
      <c r="Y179" s="415"/>
      <c r="Z179" s="415"/>
      <c r="AA179" s="415"/>
      <c r="AB179" s="415"/>
      <c r="AC179" s="415"/>
      <c r="AD179" s="415"/>
      <c r="AE179" s="415"/>
      <c r="AF179" s="414">
        <f t="shared" si="72"/>
        <v>0</v>
      </c>
    </row>
    <row r="180" spans="2:32" ht="37.5" x14ac:dyDescent="0.35">
      <c r="B180" s="426">
        <v>3</v>
      </c>
      <c r="C180" s="427" t="s">
        <v>634</v>
      </c>
      <c r="D180" s="427"/>
      <c r="E180" s="428"/>
      <c r="F180" s="419">
        <f>'1.NVL Chai'!H$14*'2.Hao hut &amp; % chai '!H13</f>
        <v>4500</v>
      </c>
      <c r="G180" s="419">
        <f>'1.NVL Chai'!I$14*'2.Hao hut &amp; % chai '!I13</f>
        <v>3500</v>
      </c>
      <c r="H180" s="419">
        <f>'1.NVL Chai'!J$14*'2.Hao hut &amp; % chai '!J13</f>
        <v>5000</v>
      </c>
      <c r="I180" s="419">
        <f>'1.NVL Chai'!K$14*'2.Hao hut &amp; % chai '!K13</f>
        <v>5500</v>
      </c>
      <c r="J180" s="419">
        <f>'1.NVL Chai'!L$14*'2.Hao hut &amp; % chai '!L13</f>
        <v>6049.9999999999991</v>
      </c>
      <c r="K180" s="419">
        <f>'1.NVL Chai'!M$14*'2.Hao hut &amp; % chai '!M13</f>
        <v>6600</v>
      </c>
      <c r="L180" s="419">
        <f>'1.NVL Chai'!N$14*'2.Hao hut &amp; % chai '!N13</f>
        <v>6600</v>
      </c>
      <c r="M180" s="419">
        <f>'1.NVL Chai'!O$14*'2.Hao hut &amp; % chai '!O13</f>
        <v>6600</v>
      </c>
      <c r="N180" s="419">
        <f>'1.NVL Chai'!P$14*'2.Hao hut &amp; % chai '!P13</f>
        <v>6600</v>
      </c>
      <c r="O180" s="419">
        <f>'1.NVL Chai'!Q$14*'2.Hao hut &amp; % chai '!Q13</f>
        <v>6600</v>
      </c>
      <c r="P180" s="419">
        <f>'1.NVL Chai'!R$14*'2.Hao hut &amp; % chai '!R13</f>
        <v>6600</v>
      </c>
      <c r="Q180" s="419">
        <f>'1.NVL Chai'!S$14*'2.Hao hut &amp; % chai '!S13</f>
        <v>6600</v>
      </c>
      <c r="R180" s="418">
        <f t="shared" si="71"/>
        <v>70750</v>
      </c>
      <c r="T180" s="419"/>
      <c r="U180" s="419"/>
      <c r="V180" s="419"/>
      <c r="W180" s="419"/>
      <c r="X180" s="419"/>
      <c r="Y180" s="419"/>
      <c r="Z180" s="419"/>
      <c r="AA180" s="419"/>
      <c r="AB180" s="419"/>
      <c r="AC180" s="419"/>
      <c r="AD180" s="419"/>
      <c r="AE180" s="419"/>
      <c r="AF180" s="418">
        <f t="shared" si="72"/>
        <v>0</v>
      </c>
    </row>
    <row r="181" spans="2:32" x14ac:dyDescent="0.35">
      <c r="B181" s="256"/>
      <c r="C181" s="254" t="s">
        <v>635</v>
      </c>
      <c r="D181" s="254"/>
      <c r="E181" s="784">
        <f>SUM(E178:E180)</f>
        <v>0</v>
      </c>
      <c r="F181" s="166">
        <f t="shared" ref="F181:Q181" si="73">SUM(F178:F180)</f>
        <v>58500</v>
      </c>
      <c r="G181" s="166">
        <f t="shared" si="73"/>
        <v>45500</v>
      </c>
      <c r="H181" s="166">
        <f t="shared" si="73"/>
        <v>65000</v>
      </c>
      <c r="I181" s="166">
        <f t="shared" si="73"/>
        <v>71500</v>
      </c>
      <c r="J181" s="166">
        <f t="shared" si="73"/>
        <v>78649.999999999985</v>
      </c>
      <c r="K181" s="166">
        <f t="shared" si="73"/>
        <v>85800</v>
      </c>
      <c r="L181" s="166">
        <f t="shared" si="73"/>
        <v>85800</v>
      </c>
      <c r="M181" s="166">
        <f t="shared" si="73"/>
        <v>85800</v>
      </c>
      <c r="N181" s="166">
        <f t="shared" si="73"/>
        <v>85800</v>
      </c>
      <c r="O181" s="166">
        <f t="shared" si="73"/>
        <v>85800</v>
      </c>
      <c r="P181" s="166">
        <f t="shared" si="73"/>
        <v>85800</v>
      </c>
      <c r="Q181" s="166">
        <f t="shared" si="73"/>
        <v>85800</v>
      </c>
      <c r="R181" s="166">
        <f>SUM(R178:R180)</f>
        <v>919750</v>
      </c>
      <c r="T181" s="166">
        <f t="shared" ref="T181:AE181" si="74">SUM(T178:T180)</f>
        <v>0</v>
      </c>
      <c r="U181" s="166">
        <f t="shared" si="74"/>
        <v>0</v>
      </c>
      <c r="V181" s="166">
        <f t="shared" si="74"/>
        <v>0</v>
      </c>
      <c r="W181" s="166">
        <f t="shared" si="74"/>
        <v>0</v>
      </c>
      <c r="X181" s="166">
        <f t="shared" si="74"/>
        <v>0</v>
      </c>
      <c r="Y181" s="166">
        <f t="shared" si="74"/>
        <v>0</v>
      </c>
      <c r="Z181" s="166">
        <f t="shared" si="74"/>
        <v>0</v>
      </c>
      <c r="AA181" s="166">
        <f t="shared" si="74"/>
        <v>0</v>
      </c>
      <c r="AB181" s="166">
        <f t="shared" si="74"/>
        <v>0</v>
      </c>
      <c r="AC181" s="166">
        <f t="shared" si="74"/>
        <v>0</v>
      </c>
      <c r="AD181" s="166">
        <f t="shared" si="74"/>
        <v>0</v>
      </c>
      <c r="AE181" s="166">
        <f t="shared" si="74"/>
        <v>0</v>
      </c>
      <c r="AF181" s="166">
        <f>SUM(AF178:AF180)</f>
        <v>0</v>
      </c>
    </row>
    <row r="182" spans="2:32" x14ac:dyDescent="0.35">
      <c r="B182" s="86"/>
      <c r="C182" s="12"/>
      <c r="D182" s="12"/>
      <c r="E182" s="87"/>
      <c r="F182" s="87"/>
      <c r="G182" s="87"/>
      <c r="H182" s="87"/>
      <c r="I182" s="161"/>
      <c r="J182" s="87"/>
      <c r="K182" s="87"/>
      <c r="L182" s="87"/>
      <c r="M182" s="87"/>
      <c r="N182" s="87"/>
      <c r="O182" s="87"/>
      <c r="P182" s="87"/>
      <c r="Q182" s="87"/>
      <c r="T182" s="87"/>
      <c r="U182" s="87"/>
      <c r="V182" s="87"/>
      <c r="W182" s="161"/>
      <c r="X182" s="87"/>
      <c r="Y182" s="87"/>
      <c r="Z182" s="87"/>
      <c r="AA182" s="87"/>
      <c r="AB182" s="87"/>
      <c r="AC182" s="87"/>
      <c r="AD182" s="87"/>
      <c r="AE182" s="87"/>
    </row>
    <row r="183" spans="2:32" x14ac:dyDescent="0.35">
      <c r="B183" s="11" t="s">
        <v>674</v>
      </c>
    </row>
    <row r="184" spans="2:32" ht="26" x14ac:dyDescent="0.35">
      <c r="B184" s="116">
        <v>3</v>
      </c>
      <c r="C184" s="909" t="s">
        <v>637</v>
      </c>
      <c r="D184" s="187" t="s">
        <v>257</v>
      </c>
      <c r="E184" s="116" t="s">
        <v>148</v>
      </c>
      <c r="F184" s="116" t="s">
        <v>149</v>
      </c>
      <c r="G184" s="116" t="s">
        <v>150</v>
      </c>
      <c r="H184" s="116" t="s">
        <v>151</v>
      </c>
      <c r="I184" s="116" t="s">
        <v>152</v>
      </c>
      <c r="J184" s="116" t="s">
        <v>153</v>
      </c>
      <c r="K184" s="116" t="s">
        <v>154</v>
      </c>
      <c r="L184" s="116" t="s">
        <v>155</v>
      </c>
      <c r="M184" s="116" t="s">
        <v>156</v>
      </c>
      <c r="N184" s="116" t="s">
        <v>157</v>
      </c>
      <c r="O184" s="116" t="s">
        <v>158</v>
      </c>
      <c r="P184" s="116" t="s">
        <v>159</v>
      </c>
      <c r="Q184" s="116" t="s">
        <v>160</v>
      </c>
      <c r="R184" s="116" t="s">
        <v>2147</v>
      </c>
      <c r="T184" s="714" t="s">
        <v>149</v>
      </c>
      <c r="U184" s="714" t="s">
        <v>150</v>
      </c>
      <c r="V184" s="714" t="s">
        <v>151</v>
      </c>
      <c r="W184" s="714" t="s">
        <v>152</v>
      </c>
      <c r="X184" s="714" t="s">
        <v>153</v>
      </c>
      <c r="Y184" s="714" t="s">
        <v>154</v>
      </c>
      <c r="Z184" s="714" t="s">
        <v>155</v>
      </c>
      <c r="AA184" s="714" t="s">
        <v>156</v>
      </c>
      <c r="AB184" s="714" t="s">
        <v>157</v>
      </c>
      <c r="AC184" s="714" t="s">
        <v>158</v>
      </c>
      <c r="AD184" s="714" t="s">
        <v>159</v>
      </c>
      <c r="AE184" s="714" t="s">
        <v>160</v>
      </c>
      <c r="AF184" s="714" t="s">
        <v>148</v>
      </c>
    </row>
    <row r="185" spans="2:32" x14ac:dyDescent="0.35">
      <c r="B185" s="420">
        <v>1</v>
      </c>
      <c r="C185" s="421" t="s">
        <v>632</v>
      </c>
      <c r="D185" s="421"/>
      <c r="E185" s="422"/>
      <c r="F185" s="429">
        <f>'1.NVL Chai'!H$15*'2.Hao hut &amp; % chai '!H17</f>
        <v>225</v>
      </c>
      <c r="G185" s="429">
        <f>'1.NVL Chai'!I$15*'2.Hao hut &amp; % chai '!I17</f>
        <v>175</v>
      </c>
      <c r="H185" s="429">
        <f>'1.NVL Chai'!J$15*'2.Hao hut &amp; % chai '!J17</f>
        <v>250</v>
      </c>
      <c r="I185" s="429">
        <f>'1.NVL Chai'!K$15*'2.Hao hut &amp; % chai '!K17</f>
        <v>275</v>
      </c>
      <c r="J185" s="429">
        <f>'1.NVL Chai'!L$15*'2.Hao hut &amp; % chai '!L17</f>
        <v>275</v>
      </c>
      <c r="K185" s="429">
        <f>'1.NVL Chai'!M$15*'2.Hao hut &amp; % chai '!M17</f>
        <v>275</v>
      </c>
      <c r="L185" s="429">
        <f>'1.NVL Chai'!N$15*'2.Hao hut &amp; % chai '!N17</f>
        <v>275</v>
      </c>
      <c r="M185" s="429">
        <f>'1.NVL Chai'!O$15*'2.Hao hut &amp; % chai '!O17</f>
        <v>275</v>
      </c>
      <c r="N185" s="429">
        <f>'1.NVL Chai'!P$15*'2.Hao hut &amp; % chai '!P17</f>
        <v>275</v>
      </c>
      <c r="O185" s="429">
        <f>'1.NVL Chai'!Q$15*'2.Hao hut &amp; % chai '!Q17</f>
        <v>275</v>
      </c>
      <c r="P185" s="429">
        <f>'1.NVL Chai'!R$15*'2.Hao hut &amp; % chai '!R17</f>
        <v>275</v>
      </c>
      <c r="Q185" s="429">
        <f>'1.NVL Chai'!S$15*'2.Hao hut &amp; % chai '!S17</f>
        <v>275</v>
      </c>
      <c r="R185" s="430">
        <f t="shared" ref="R185:R187" si="75">SUM(F185:Q185)</f>
        <v>3125</v>
      </c>
      <c r="T185" s="429"/>
      <c r="U185" s="429"/>
      <c r="V185" s="429"/>
      <c r="W185" s="429"/>
      <c r="X185" s="429"/>
      <c r="Y185" s="429"/>
      <c r="Z185" s="429"/>
      <c r="AA185" s="429"/>
      <c r="AB185" s="429"/>
      <c r="AC185" s="429"/>
      <c r="AD185" s="429"/>
      <c r="AE185" s="429"/>
      <c r="AF185" s="430">
        <f t="shared" ref="AF185:AF187" si="76">SUM(T185:AE185)</f>
        <v>0</v>
      </c>
    </row>
    <row r="186" spans="2:32" x14ac:dyDescent="0.35">
      <c r="B186" s="423">
        <v>2</v>
      </c>
      <c r="C186" s="424" t="s">
        <v>633</v>
      </c>
      <c r="D186" s="424"/>
      <c r="E186" s="425"/>
      <c r="F186" s="415">
        <f>'1.NVL Chai'!H$15*'2.Hao hut &amp; % chai '!H18</f>
        <v>1350</v>
      </c>
      <c r="G186" s="415">
        <f>'1.NVL Chai'!I$15*'2.Hao hut &amp; % chai '!I18</f>
        <v>1050</v>
      </c>
      <c r="H186" s="415">
        <f>'1.NVL Chai'!J$15*'2.Hao hut &amp; % chai '!J18</f>
        <v>1500</v>
      </c>
      <c r="I186" s="415">
        <f>'1.NVL Chai'!K$15*'2.Hao hut &amp; % chai '!K18</f>
        <v>1650</v>
      </c>
      <c r="J186" s="415">
        <f>'1.NVL Chai'!L$15*'2.Hao hut &amp; % chai '!L18</f>
        <v>1650</v>
      </c>
      <c r="K186" s="415">
        <f>'1.NVL Chai'!M$15*'2.Hao hut &amp; % chai '!M18</f>
        <v>1650</v>
      </c>
      <c r="L186" s="415">
        <f>'1.NVL Chai'!N$15*'2.Hao hut &amp; % chai '!N18</f>
        <v>1650</v>
      </c>
      <c r="M186" s="415">
        <f>'1.NVL Chai'!O$15*'2.Hao hut &amp; % chai '!O18</f>
        <v>1650</v>
      </c>
      <c r="N186" s="415">
        <f>'1.NVL Chai'!P$15*'2.Hao hut &amp; % chai '!P18</f>
        <v>1650</v>
      </c>
      <c r="O186" s="415">
        <f>'1.NVL Chai'!Q$15*'2.Hao hut &amp; % chai '!Q18</f>
        <v>1650</v>
      </c>
      <c r="P186" s="415">
        <f>'1.NVL Chai'!R$15*'2.Hao hut &amp; % chai '!R18</f>
        <v>1650</v>
      </c>
      <c r="Q186" s="415">
        <f>'1.NVL Chai'!S$15*'2.Hao hut &amp; % chai '!S18</f>
        <v>1650</v>
      </c>
      <c r="R186" s="414">
        <f t="shared" si="75"/>
        <v>18750</v>
      </c>
      <c r="T186" s="415"/>
      <c r="U186" s="415"/>
      <c r="V186" s="415"/>
      <c r="W186" s="415"/>
      <c r="X186" s="415"/>
      <c r="Y186" s="415"/>
      <c r="Z186" s="415"/>
      <c r="AA186" s="415"/>
      <c r="AB186" s="415"/>
      <c r="AC186" s="415"/>
      <c r="AD186" s="415"/>
      <c r="AE186" s="415"/>
      <c r="AF186" s="414">
        <f t="shared" si="76"/>
        <v>0</v>
      </c>
    </row>
    <row r="187" spans="2:32" ht="37.5" x14ac:dyDescent="0.35">
      <c r="B187" s="426">
        <v>3</v>
      </c>
      <c r="C187" s="427" t="s">
        <v>634</v>
      </c>
      <c r="D187" s="427"/>
      <c r="E187" s="428"/>
      <c r="F187" s="419">
        <f>'1.NVL Chai'!H$15*'2.Hao hut &amp; % chai '!H19</f>
        <v>0</v>
      </c>
      <c r="G187" s="419">
        <f>'1.NVL Chai'!I$15*'2.Hao hut &amp; % chai '!I19</f>
        <v>0</v>
      </c>
      <c r="H187" s="419">
        <f>'1.NVL Chai'!J$15*'2.Hao hut &amp; % chai '!J19</f>
        <v>0</v>
      </c>
      <c r="I187" s="419">
        <f>'1.NVL Chai'!K$15*'2.Hao hut &amp; % chai '!K19</f>
        <v>0</v>
      </c>
      <c r="J187" s="419">
        <f>'1.NVL Chai'!L$15*'2.Hao hut &amp; % chai '!L19</f>
        <v>0</v>
      </c>
      <c r="K187" s="419">
        <f>'1.NVL Chai'!M$15*'2.Hao hut &amp; % chai '!M19</f>
        <v>0</v>
      </c>
      <c r="L187" s="419">
        <f>'1.NVL Chai'!N$15*'2.Hao hut &amp; % chai '!N19</f>
        <v>0</v>
      </c>
      <c r="M187" s="419">
        <f>'1.NVL Chai'!O$15*'2.Hao hut &amp; % chai '!O19</f>
        <v>0</v>
      </c>
      <c r="N187" s="419">
        <f>'1.NVL Chai'!P$15*'2.Hao hut &amp; % chai '!P19</f>
        <v>0</v>
      </c>
      <c r="O187" s="419">
        <f>'1.NVL Chai'!Q$15*'2.Hao hut &amp; % chai '!Q19</f>
        <v>0</v>
      </c>
      <c r="P187" s="419">
        <f>'1.NVL Chai'!R$15*'2.Hao hut &amp; % chai '!R19</f>
        <v>0</v>
      </c>
      <c r="Q187" s="419">
        <f>'1.NVL Chai'!S$15*'2.Hao hut &amp; % chai '!S19</f>
        <v>0</v>
      </c>
      <c r="R187" s="418">
        <f t="shared" si="75"/>
        <v>0</v>
      </c>
      <c r="T187" s="419"/>
      <c r="U187" s="419"/>
      <c r="V187" s="419"/>
      <c r="W187" s="419"/>
      <c r="X187" s="419"/>
      <c r="Y187" s="419"/>
      <c r="Z187" s="419"/>
      <c r="AA187" s="419"/>
      <c r="AB187" s="419"/>
      <c r="AC187" s="419"/>
      <c r="AD187" s="419"/>
      <c r="AE187" s="419"/>
      <c r="AF187" s="418">
        <f t="shared" si="76"/>
        <v>0</v>
      </c>
    </row>
    <row r="188" spans="2:32" x14ac:dyDescent="0.35">
      <c r="B188" s="256"/>
      <c r="C188" s="254" t="s">
        <v>635</v>
      </c>
      <c r="D188" s="254"/>
      <c r="E188" s="784">
        <f t="shared" ref="E188:Q188" si="77">SUM(E185:E187)</f>
        <v>0</v>
      </c>
      <c r="F188" s="166">
        <f t="shared" si="77"/>
        <v>1575</v>
      </c>
      <c r="G188" s="166">
        <f t="shared" si="77"/>
        <v>1225</v>
      </c>
      <c r="H188" s="166">
        <f t="shared" si="77"/>
        <v>1750</v>
      </c>
      <c r="I188" s="166">
        <f t="shared" si="77"/>
        <v>1925</v>
      </c>
      <c r="J188" s="166">
        <f t="shared" si="77"/>
        <v>1925</v>
      </c>
      <c r="K188" s="166">
        <f t="shared" si="77"/>
        <v>1925</v>
      </c>
      <c r="L188" s="166">
        <f t="shared" si="77"/>
        <v>1925</v>
      </c>
      <c r="M188" s="166">
        <f t="shared" si="77"/>
        <v>1925</v>
      </c>
      <c r="N188" s="166">
        <f t="shared" si="77"/>
        <v>1925</v>
      </c>
      <c r="O188" s="166">
        <f t="shared" si="77"/>
        <v>1925</v>
      </c>
      <c r="P188" s="166">
        <f t="shared" si="77"/>
        <v>1925</v>
      </c>
      <c r="Q188" s="166">
        <f t="shared" si="77"/>
        <v>1925</v>
      </c>
      <c r="R188" s="166">
        <f>SUM(R185:R187)</f>
        <v>21875</v>
      </c>
      <c r="T188" s="166">
        <f t="shared" ref="T188:AE188" si="78">SUM(T185:T187)</f>
        <v>0</v>
      </c>
      <c r="U188" s="166">
        <f t="shared" si="78"/>
        <v>0</v>
      </c>
      <c r="V188" s="166">
        <f t="shared" si="78"/>
        <v>0</v>
      </c>
      <c r="W188" s="166">
        <f t="shared" si="78"/>
        <v>0</v>
      </c>
      <c r="X188" s="166">
        <f t="shared" si="78"/>
        <v>0</v>
      </c>
      <c r="Y188" s="166">
        <f t="shared" si="78"/>
        <v>0</v>
      </c>
      <c r="Z188" s="166">
        <f t="shared" si="78"/>
        <v>0</v>
      </c>
      <c r="AA188" s="166">
        <f t="shared" si="78"/>
        <v>0</v>
      </c>
      <c r="AB188" s="166">
        <f t="shared" si="78"/>
        <v>0</v>
      </c>
      <c r="AC188" s="166">
        <f t="shared" si="78"/>
        <v>0</v>
      </c>
      <c r="AD188" s="166">
        <f t="shared" si="78"/>
        <v>0</v>
      </c>
      <c r="AE188" s="166">
        <f t="shared" si="78"/>
        <v>0</v>
      </c>
      <c r="AF188" s="166">
        <f>SUM(AF185:AF187)</f>
        <v>0</v>
      </c>
    </row>
    <row r="189" spans="2:32" x14ac:dyDescent="0.35">
      <c r="B189" s="86"/>
      <c r="C189" s="12"/>
      <c r="D189" s="12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7"/>
      <c r="AD189" s="87"/>
      <c r="AE189" s="87"/>
    </row>
    <row r="190" spans="2:32" x14ac:dyDescent="0.35">
      <c r="B190" s="11" t="s">
        <v>675</v>
      </c>
    </row>
    <row r="191" spans="2:32" ht="26" x14ac:dyDescent="0.35">
      <c r="B191" s="187" t="s">
        <v>36</v>
      </c>
      <c r="C191" s="187" t="s">
        <v>655</v>
      </c>
      <c r="D191" s="187" t="s">
        <v>257</v>
      </c>
      <c r="E191" s="116" t="s">
        <v>148</v>
      </c>
      <c r="F191" s="116" t="s">
        <v>149</v>
      </c>
      <c r="G191" s="116" t="s">
        <v>150</v>
      </c>
      <c r="H191" s="116" t="s">
        <v>151</v>
      </c>
      <c r="I191" s="116" t="s">
        <v>152</v>
      </c>
      <c r="J191" s="116" t="s">
        <v>153</v>
      </c>
      <c r="K191" s="116" t="s">
        <v>154</v>
      </c>
      <c r="L191" s="116" t="s">
        <v>155</v>
      </c>
      <c r="M191" s="116" t="s">
        <v>156</v>
      </c>
      <c r="N191" s="116" t="s">
        <v>157</v>
      </c>
      <c r="O191" s="116" t="s">
        <v>158</v>
      </c>
      <c r="P191" s="116" t="s">
        <v>159</v>
      </c>
      <c r="Q191" s="116" t="s">
        <v>160</v>
      </c>
      <c r="R191" s="116" t="s">
        <v>2147</v>
      </c>
      <c r="T191" s="714" t="s">
        <v>149</v>
      </c>
      <c r="U191" s="714" t="s">
        <v>150</v>
      </c>
      <c r="V191" s="714" t="s">
        <v>151</v>
      </c>
      <c r="W191" s="714" t="s">
        <v>152</v>
      </c>
      <c r="X191" s="714" t="s">
        <v>153</v>
      </c>
      <c r="Y191" s="714" t="s">
        <v>154</v>
      </c>
      <c r="Z191" s="714" t="s">
        <v>155</v>
      </c>
      <c r="AA191" s="714" t="s">
        <v>156</v>
      </c>
      <c r="AB191" s="714" t="s">
        <v>157</v>
      </c>
      <c r="AC191" s="714" t="s">
        <v>158</v>
      </c>
      <c r="AD191" s="714" t="s">
        <v>159</v>
      </c>
      <c r="AE191" s="714" t="s">
        <v>160</v>
      </c>
      <c r="AF191" s="714" t="s">
        <v>148</v>
      </c>
    </row>
    <row r="192" spans="2:32" x14ac:dyDescent="0.35">
      <c r="B192" s="408">
        <v>1</v>
      </c>
      <c r="C192" s="409" t="s">
        <v>530</v>
      </c>
      <c r="D192" s="409"/>
      <c r="E192" s="411"/>
      <c r="F192" s="411">
        <f>F102*'2.Hao hut &amp; % chai '!H133</f>
        <v>0</v>
      </c>
      <c r="G192" s="411">
        <f>G102*'2.Hao hut &amp; % chai '!I133</f>
        <v>0</v>
      </c>
      <c r="H192" s="411">
        <f>H102*'2.Hao hut &amp; % chai '!J133</f>
        <v>0</v>
      </c>
      <c r="I192" s="411">
        <f>I102*'2.Hao hut &amp; % chai '!K133</f>
        <v>0</v>
      </c>
      <c r="J192" s="411">
        <f>J102*'2.Hao hut &amp; % chai '!L133</f>
        <v>0</v>
      </c>
      <c r="K192" s="411">
        <f>K102*'2.Hao hut &amp; % chai '!M133</f>
        <v>35145</v>
      </c>
      <c r="L192" s="411">
        <f>L102*'2.Hao hut &amp; % chai '!N133</f>
        <v>35145</v>
      </c>
      <c r="M192" s="411">
        <f>M102*'2.Hao hut &amp; % chai '!O133</f>
        <v>35145</v>
      </c>
      <c r="N192" s="411">
        <f>N102*'2.Hao hut &amp; % chai '!P133</f>
        <v>35145</v>
      </c>
      <c r="O192" s="411">
        <f>O102*'2.Hao hut &amp; % chai '!Q133</f>
        <v>35145</v>
      </c>
      <c r="P192" s="411">
        <f>P102*'2.Hao hut &amp; % chai '!R133</f>
        <v>35145</v>
      </c>
      <c r="Q192" s="411">
        <f>Q102*'2.Hao hut &amp; % chai '!S133</f>
        <v>35145</v>
      </c>
      <c r="R192" s="410">
        <f t="shared" ref="R192:R206" si="79">SUM(F192:Q192)</f>
        <v>246015</v>
      </c>
      <c r="T192" s="411"/>
      <c r="U192" s="411"/>
      <c r="V192" s="411"/>
      <c r="W192" s="411"/>
      <c r="X192" s="411"/>
      <c r="Y192" s="411"/>
      <c r="Z192" s="411"/>
      <c r="AA192" s="411"/>
      <c r="AB192" s="411"/>
      <c r="AC192" s="411"/>
      <c r="AD192" s="411"/>
      <c r="AE192" s="411"/>
      <c r="AF192" s="410">
        <f t="shared" ref="AF192:AF206" si="80">SUM(T192:AE192)</f>
        <v>0</v>
      </c>
    </row>
    <row r="193" spans="2:32" x14ac:dyDescent="0.35">
      <c r="B193" s="412">
        <v>2</v>
      </c>
      <c r="C193" s="413" t="s">
        <v>532</v>
      </c>
      <c r="D193" s="413"/>
      <c r="E193" s="415"/>
      <c r="F193" s="415">
        <f>F103*'2.Hao hut &amp; % chai '!H134</f>
        <v>0</v>
      </c>
      <c r="G193" s="415">
        <f>G103*'2.Hao hut &amp; % chai '!I134</f>
        <v>0</v>
      </c>
      <c r="H193" s="415">
        <f>H103*'2.Hao hut &amp; % chai '!J134</f>
        <v>0</v>
      </c>
      <c r="I193" s="415">
        <f>I103*'2.Hao hut &amp; % chai '!K134</f>
        <v>0</v>
      </c>
      <c r="J193" s="415">
        <f>J103*'2.Hao hut &amp; % chai '!L134</f>
        <v>0</v>
      </c>
      <c r="K193" s="415">
        <f>K103*'2.Hao hut &amp; % chai '!M134</f>
        <v>0</v>
      </c>
      <c r="L193" s="415">
        <f>L103*'2.Hao hut &amp; % chai '!N134</f>
        <v>0</v>
      </c>
      <c r="M193" s="415">
        <f>M103*'2.Hao hut &amp; % chai '!O134</f>
        <v>0</v>
      </c>
      <c r="N193" s="415">
        <f>N103*'2.Hao hut &amp; % chai '!P134</f>
        <v>0</v>
      </c>
      <c r="O193" s="415">
        <f>O103*'2.Hao hut &amp; % chai '!Q134</f>
        <v>0</v>
      </c>
      <c r="P193" s="415">
        <f>P103*'2.Hao hut &amp; % chai '!R134</f>
        <v>0</v>
      </c>
      <c r="Q193" s="415">
        <f>Q103*'2.Hao hut &amp; % chai '!S134</f>
        <v>0</v>
      </c>
      <c r="R193" s="414">
        <f t="shared" si="79"/>
        <v>0</v>
      </c>
      <c r="T193" s="415"/>
      <c r="U193" s="415"/>
      <c r="V193" s="415"/>
      <c r="W193" s="415"/>
      <c r="X193" s="415"/>
      <c r="Y193" s="415"/>
      <c r="Z193" s="415"/>
      <c r="AA193" s="415"/>
      <c r="AB193" s="415"/>
      <c r="AC193" s="415"/>
      <c r="AD193" s="415"/>
      <c r="AE193" s="415"/>
      <c r="AF193" s="414">
        <f t="shared" si="80"/>
        <v>0</v>
      </c>
    </row>
    <row r="194" spans="2:32" x14ac:dyDescent="0.35">
      <c r="B194" s="412">
        <v>3</v>
      </c>
      <c r="C194" s="413" t="s">
        <v>533</v>
      </c>
      <c r="D194" s="413"/>
      <c r="E194" s="415"/>
      <c r="F194" s="415">
        <f>F104*'2.Hao hut &amp; % chai '!H135</f>
        <v>0</v>
      </c>
      <c r="G194" s="415">
        <f>G104*'2.Hao hut &amp; % chai '!I135</f>
        <v>0</v>
      </c>
      <c r="H194" s="415">
        <f>H104*'2.Hao hut &amp; % chai '!J135</f>
        <v>0</v>
      </c>
      <c r="I194" s="415">
        <f>I104*'2.Hao hut &amp; % chai '!K135</f>
        <v>0</v>
      </c>
      <c r="J194" s="415">
        <f>J104*'2.Hao hut &amp; % chai '!L135</f>
        <v>0</v>
      </c>
      <c r="K194" s="415">
        <f>K104*'2.Hao hut &amp; % chai '!M135</f>
        <v>0</v>
      </c>
      <c r="L194" s="415">
        <f>L104*'2.Hao hut &amp; % chai '!N135</f>
        <v>0</v>
      </c>
      <c r="M194" s="415">
        <f>M104*'2.Hao hut &amp; % chai '!O135</f>
        <v>0</v>
      </c>
      <c r="N194" s="415">
        <f>N104*'2.Hao hut &amp; % chai '!P135</f>
        <v>0</v>
      </c>
      <c r="O194" s="415">
        <f>O104*'2.Hao hut &amp; % chai '!Q135</f>
        <v>0</v>
      </c>
      <c r="P194" s="415">
        <f>P104*'2.Hao hut &amp; % chai '!R135</f>
        <v>0</v>
      </c>
      <c r="Q194" s="415">
        <f>Q104*'2.Hao hut &amp; % chai '!S135</f>
        <v>0</v>
      </c>
      <c r="R194" s="414">
        <f t="shared" si="79"/>
        <v>0</v>
      </c>
      <c r="T194" s="415"/>
      <c r="U194" s="415"/>
      <c r="V194" s="415"/>
      <c r="W194" s="415"/>
      <c r="X194" s="415"/>
      <c r="Y194" s="415"/>
      <c r="Z194" s="415"/>
      <c r="AA194" s="415"/>
      <c r="AB194" s="415"/>
      <c r="AC194" s="415"/>
      <c r="AD194" s="415"/>
      <c r="AE194" s="415"/>
      <c r="AF194" s="414">
        <f t="shared" si="80"/>
        <v>0</v>
      </c>
    </row>
    <row r="195" spans="2:32" x14ac:dyDescent="0.35">
      <c r="B195" s="412">
        <v>4</v>
      </c>
      <c r="C195" s="413" t="s">
        <v>534</v>
      </c>
      <c r="D195" s="413"/>
      <c r="E195" s="415"/>
      <c r="F195" s="415">
        <f>F105*'2.Hao hut &amp; % chai '!H136</f>
        <v>0</v>
      </c>
      <c r="G195" s="415">
        <f>G105*'2.Hao hut &amp; % chai '!I136</f>
        <v>0</v>
      </c>
      <c r="H195" s="415">
        <f>H105*'2.Hao hut &amp; % chai '!J136</f>
        <v>0</v>
      </c>
      <c r="I195" s="415">
        <f>I105*'2.Hao hut &amp; % chai '!K136</f>
        <v>0</v>
      </c>
      <c r="J195" s="415">
        <f>J105*'2.Hao hut &amp; % chai '!L136</f>
        <v>0</v>
      </c>
      <c r="K195" s="415">
        <f>K105*'2.Hao hut &amp; % chai '!M136</f>
        <v>0</v>
      </c>
      <c r="L195" s="415">
        <f>L105*'2.Hao hut &amp; % chai '!N136</f>
        <v>0</v>
      </c>
      <c r="M195" s="415">
        <f>M105*'2.Hao hut &amp; % chai '!O136</f>
        <v>0</v>
      </c>
      <c r="N195" s="415">
        <f>N105*'2.Hao hut &amp; % chai '!P136</f>
        <v>0</v>
      </c>
      <c r="O195" s="415">
        <f>O105*'2.Hao hut &amp; % chai '!Q136</f>
        <v>0</v>
      </c>
      <c r="P195" s="415">
        <f>P105*'2.Hao hut &amp; % chai '!R136</f>
        <v>0</v>
      </c>
      <c r="Q195" s="415">
        <f>Q105*'2.Hao hut &amp; % chai '!S136</f>
        <v>0</v>
      </c>
      <c r="R195" s="414">
        <f t="shared" si="79"/>
        <v>0</v>
      </c>
      <c r="T195" s="415"/>
      <c r="U195" s="415"/>
      <c r="V195" s="415"/>
      <c r="W195" s="415"/>
      <c r="X195" s="415"/>
      <c r="Y195" s="415"/>
      <c r="Z195" s="415"/>
      <c r="AA195" s="415"/>
      <c r="AB195" s="415"/>
      <c r="AC195" s="415"/>
      <c r="AD195" s="415"/>
      <c r="AE195" s="415"/>
      <c r="AF195" s="414">
        <f t="shared" si="80"/>
        <v>0</v>
      </c>
    </row>
    <row r="196" spans="2:32" x14ac:dyDescent="0.35">
      <c r="B196" s="412">
        <v>5</v>
      </c>
      <c r="C196" s="413" t="s">
        <v>535</v>
      </c>
      <c r="D196" s="413"/>
      <c r="E196" s="415"/>
      <c r="F196" s="415">
        <f>F106*'2.Hao hut &amp; % chai '!H137</f>
        <v>0</v>
      </c>
      <c r="G196" s="415">
        <f>G106*'2.Hao hut &amp; % chai '!I137</f>
        <v>0</v>
      </c>
      <c r="H196" s="415">
        <f>H106*'2.Hao hut &amp; % chai '!J137</f>
        <v>0</v>
      </c>
      <c r="I196" s="415">
        <f>I106*'2.Hao hut &amp; % chai '!K137</f>
        <v>0</v>
      </c>
      <c r="J196" s="415">
        <f>J106*'2.Hao hut &amp; % chai '!L137</f>
        <v>0</v>
      </c>
      <c r="K196" s="415">
        <f>K106*'2.Hao hut &amp; % chai '!M137</f>
        <v>0</v>
      </c>
      <c r="L196" s="415">
        <f>L106*'2.Hao hut &amp; % chai '!N137</f>
        <v>0</v>
      </c>
      <c r="M196" s="415">
        <f>M106*'2.Hao hut &amp; % chai '!O137</f>
        <v>0</v>
      </c>
      <c r="N196" s="415">
        <f>N106*'2.Hao hut &amp; % chai '!P137</f>
        <v>0</v>
      </c>
      <c r="O196" s="415">
        <f>O106*'2.Hao hut &amp; % chai '!Q137</f>
        <v>0</v>
      </c>
      <c r="P196" s="415">
        <f>P106*'2.Hao hut &amp; % chai '!R137</f>
        <v>0</v>
      </c>
      <c r="Q196" s="415">
        <f>Q106*'2.Hao hut &amp; % chai '!S137</f>
        <v>0</v>
      </c>
      <c r="R196" s="414">
        <f t="shared" si="79"/>
        <v>0</v>
      </c>
      <c r="T196" s="415"/>
      <c r="U196" s="415"/>
      <c r="V196" s="415"/>
      <c r="W196" s="415"/>
      <c r="X196" s="415"/>
      <c r="Y196" s="415"/>
      <c r="Z196" s="415"/>
      <c r="AA196" s="415"/>
      <c r="AB196" s="415"/>
      <c r="AC196" s="415"/>
      <c r="AD196" s="415"/>
      <c r="AE196" s="415"/>
      <c r="AF196" s="414">
        <f t="shared" si="80"/>
        <v>0</v>
      </c>
    </row>
    <row r="197" spans="2:32" x14ac:dyDescent="0.35">
      <c r="B197" s="412">
        <v>6</v>
      </c>
      <c r="C197" s="413" t="s">
        <v>536</v>
      </c>
      <c r="D197" s="413"/>
      <c r="E197" s="415"/>
      <c r="F197" s="415">
        <f>F107*'2.Hao hut &amp; % chai '!H138</f>
        <v>0</v>
      </c>
      <c r="G197" s="415">
        <f>G107*'2.Hao hut &amp; % chai '!I138</f>
        <v>0</v>
      </c>
      <c r="H197" s="415">
        <f>H107*'2.Hao hut &amp; % chai '!J138</f>
        <v>0</v>
      </c>
      <c r="I197" s="415">
        <f>I107*'2.Hao hut &amp; % chai '!K138</f>
        <v>0</v>
      </c>
      <c r="J197" s="415">
        <f>J107*'2.Hao hut &amp; % chai '!L138</f>
        <v>0</v>
      </c>
      <c r="K197" s="415">
        <f>K107*'2.Hao hut &amp; % chai '!M138</f>
        <v>0</v>
      </c>
      <c r="L197" s="415">
        <f>L107*'2.Hao hut &amp; % chai '!N138</f>
        <v>0</v>
      </c>
      <c r="M197" s="415">
        <f>M107*'2.Hao hut &amp; % chai '!O138</f>
        <v>0</v>
      </c>
      <c r="N197" s="415">
        <f>N107*'2.Hao hut &amp; % chai '!P138</f>
        <v>0</v>
      </c>
      <c r="O197" s="415">
        <f>O107*'2.Hao hut &amp; % chai '!Q138</f>
        <v>0</v>
      </c>
      <c r="P197" s="415">
        <f>P107*'2.Hao hut &amp; % chai '!R138</f>
        <v>0</v>
      </c>
      <c r="Q197" s="415">
        <f>Q107*'2.Hao hut &amp; % chai '!S138</f>
        <v>0</v>
      </c>
      <c r="R197" s="414">
        <f t="shared" si="79"/>
        <v>0</v>
      </c>
      <c r="T197" s="415"/>
      <c r="U197" s="415"/>
      <c r="V197" s="415"/>
      <c r="W197" s="415"/>
      <c r="X197" s="415"/>
      <c r="Y197" s="415"/>
      <c r="Z197" s="415"/>
      <c r="AA197" s="415"/>
      <c r="AB197" s="415"/>
      <c r="AC197" s="415"/>
      <c r="AD197" s="415"/>
      <c r="AE197" s="415"/>
      <c r="AF197" s="414">
        <f t="shared" si="80"/>
        <v>0</v>
      </c>
    </row>
    <row r="198" spans="2:32" x14ac:dyDescent="0.35">
      <c r="B198" s="412">
        <v>7</v>
      </c>
      <c r="C198" s="413" t="s">
        <v>537</v>
      </c>
      <c r="D198" s="413"/>
      <c r="E198" s="415"/>
      <c r="F198" s="415">
        <f>F108*'2.Hao hut &amp; % chai '!H139</f>
        <v>0</v>
      </c>
      <c r="G198" s="415">
        <f>G108*'2.Hao hut &amp; % chai '!I139</f>
        <v>0</v>
      </c>
      <c r="H198" s="415">
        <f>H108*'2.Hao hut &amp; % chai '!J139</f>
        <v>0</v>
      </c>
      <c r="I198" s="415">
        <f>I108*'2.Hao hut &amp; % chai '!K139</f>
        <v>0</v>
      </c>
      <c r="J198" s="415">
        <f>J108*'2.Hao hut &amp; % chai '!L139</f>
        <v>0</v>
      </c>
      <c r="K198" s="415">
        <f>K108*'2.Hao hut &amp; % chai '!M139</f>
        <v>0</v>
      </c>
      <c r="L198" s="415">
        <f>L108*'2.Hao hut &amp; % chai '!N139</f>
        <v>0</v>
      </c>
      <c r="M198" s="415">
        <f>M108*'2.Hao hut &amp; % chai '!O139</f>
        <v>0</v>
      </c>
      <c r="N198" s="415">
        <f>N108*'2.Hao hut &amp; % chai '!P139</f>
        <v>0</v>
      </c>
      <c r="O198" s="415">
        <f>O108*'2.Hao hut &amp; % chai '!Q139</f>
        <v>0</v>
      </c>
      <c r="P198" s="415">
        <f>P108*'2.Hao hut &amp; % chai '!R139</f>
        <v>0</v>
      </c>
      <c r="Q198" s="415">
        <f>Q108*'2.Hao hut &amp; % chai '!S139</f>
        <v>0</v>
      </c>
      <c r="R198" s="414">
        <f t="shared" si="79"/>
        <v>0</v>
      </c>
      <c r="T198" s="415"/>
      <c r="U198" s="415"/>
      <c r="V198" s="415"/>
      <c r="W198" s="415"/>
      <c r="X198" s="415"/>
      <c r="Y198" s="415"/>
      <c r="Z198" s="415"/>
      <c r="AA198" s="415"/>
      <c r="AB198" s="415"/>
      <c r="AC198" s="415"/>
      <c r="AD198" s="415"/>
      <c r="AE198" s="415"/>
      <c r="AF198" s="414">
        <f t="shared" si="80"/>
        <v>0</v>
      </c>
    </row>
    <row r="199" spans="2:32" x14ac:dyDescent="0.35">
      <c r="B199" s="412">
        <v>8</v>
      </c>
      <c r="C199" s="413" t="s">
        <v>538</v>
      </c>
      <c r="D199" s="413"/>
      <c r="E199" s="415"/>
      <c r="F199" s="415">
        <f>F109*'2.Hao hut &amp; % chai '!H140</f>
        <v>0</v>
      </c>
      <c r="G199" s="415">
        <f>G109*'2.Hao hut &amp; % chai '!I140</f>
        <v>0</v>
      </c>
      <c r="H199" s="415">
        <f>H109*'2.Hao hut &amp; % chai '!J140</f>
        <v>0</v>
      </c>
      <c r="I199" s="415">
        <f>I109*'2.Hao hut &amp; % chai '!K140</f>
        <v>0</v>
      </c>
      <c r="J199" s="415">
        <f>J109*'2.Hao hut &amp; % chai '!L140</f>
        <v>0</v>
      </c>
      <c r="K199" s="415">
        <f>K109*'2.Hao hut &amp; % chai '!M140</f>
        <v>0</v>
      </c>
      <c r="L199" s="415">
        <f>L109*'2.Hao hut &amp; % chai '!N140</f>
        <v>0</v>
      </c>
      <c r="M199" s="415">
        <f>M109*'2.Hao hut &amp; % chai '!O140</f>
        <v>0</v>
      </c>
      <c r="N199" s="415">
        <f>N109*'2.Hao hut &amp; % chai '!P140</f>
        <v>0</v>
      </c>
      <c r="O199" s="415">
        <f>O109*'2.Hao hut &amp; % chai '!Q140</f>
        <v>0</v>
      </c>
      <c r="P199" s="415">
        <f>P109*'2.Hao hut &amp; % chai '!R140</f>
        <v>0</v>
      </c>
      <c r="Q199" s="415">
        <f>Q109*'2.Hao hut &amp; % chai '!S140</f>
        <v>0</v>
      </c>
      <c r="R199" s="414">
        <f t="shared" si="79"/>
        <v>0</v>
      </c>
      <c r="T199" s="415"/>
      <c r="U199" s="415"/>
      <c r="V199" s="415"/>
      <c r="W199" s="415"/>
      <c r="X199" s="415"/>
      <c r="Y199" s="415"/>
      <c r="Z199" s="415"/>
      <c r="AA199" s="415"/>
      <c r="AB199" s="415"/>
      <c r="AC199" s="415"/>
      <c r="AD199" s="415"/>
      <c r="AE199" s="415"/>
      <c r="AF199" s="414">
        <f t="shared" si="80"/>
        <v>0</v>
      </c>
    </row>
    <row r="200" spans="2:32" x14ac:dyDescent="0.35">
      <c r="B200" s="412">
        <v>9</v>
      </c>
      <c r="C200" s="413" t="s">
        <v>539</v>
      </c>
      <c r="D200" s="413"/>
      <c r="E200" s="415"/>
      <c r="F200" s="415">
        <f>F110*'2.Hao hut &amp; % chai '!H141</f>
        <v>0</v>
      </c>
      <c r="G200" s="415">
        <f>G110*'2.Hao hut &amp; % chai '!I141</f>
        <v>0</v>
      </c>
      <c r="H200" s="415">
        <f>H110*'2.Hao hut &amp; % chai '!J141</f>
        <v>0</v>
      </c>
      <c r="I200" s="415">
        <f>I110*'2.Hao hut &amp; % chai '!K141</f>
        <v>0</v>
      </c>
      <c r="J200" s="415">
        <f>J110*'2.Hao hut &amp; % chai '!L141</f>
        <v>0</v>
      </c>
      <c r="K200" s="415">
        <f>K110*'2.Hao hut &amp; % chai '!M141</f>
        <v>0</v>
      </c>
      <c r="L200" s="415">
        <f>L110*'2.Hao hut &amp; % chai '!N141</f>
        <v>0</v>
      </c>
      <c r="M200" s="415">
        <f>M110*'2.Hao hut &amp; % chai '!O141</f>
        <v>0</v>
      </c>
      <c r="N200" s="415">
        <f>N110*'2.Hao hut &amp; % chai '!P141</f>
        <v>0</v>
      </c>
      <c r="O200" s="415">
        <f>O110*'2.Hao hut &amp; % chai '!Q141</f>
        <v>0</v>
      </c>
      <c r="P200" s="415">
        <f>P110*'2.Hao hut &amp; % chai '!R141</f>
        <v>0</v>
      </c>
      <c r="Q200" s="415">
        <f>Q110*'2.Hao hut &amp; % chai '!S141</f>
        <v>0</v>
      </c>
      <c r="R200" s="414">
        <f t="shared" si="79"/>
        <v>0</v>
      </c>
      <c r="T200" s="415"/>
      <c r="U200" s="415"/>
      <c r="V200" s="415"/>
      <c r="W200" s="415"/>
      <c r="X200" s="415"/>
      <c r="Y200" s="415"/>
      <c r="Z200" s="415"/>
      <c r="AA200" s="415"/>
      <c r="AB200" s="415"/>
      <c r="AC200" s="415"/>
      <c r="AD200" s="415"/>
      <c r="AE200" s="415"/>
      <c r="AF200" s="414">
        <f t="shared" si="80"/>
        <v>0</v>
      </c>
    </row>
    <row r="201" spans="2:32" x14ac:dyDescent="0.35">
      <c r="B201" s="412">
        <v>10</v>
      </c>
      <c r="C201" s="413" t="s">
        <v>540</v>
      </c>
      <c r="D201" s="413"/>
      <c r="E201" s="415"/>
      <c r="F201" s="415">
        <f>F111*'2.Hao hut &amp; % chai '!H142</f>
        <v>26100</v>
      </c>
      <c r="G201" s="415">
        <f>G111*'2.Hao hut &amp; % chai '!I142</f>
        <v>20300</v>
      </c>
      <c r="H201" s="415">
        <f>H111*'2.Hao hut &amp; % chai '!J142</f>
        <v>29000</v>
      </c>
      <c r="I201" s="415">
        <f>I111*'2.Hao hut &amp; % chai '!K142</f>
        <v>31900</v>
      </c>
      <c r="J201" s="415">
        <f>J111*'2.Hao hut &amp; % chai '!L142</f>
        <v>31954.999999999996</v>
      </c>
      <c r="K201" s="415">
        <f>K111*'2.Hao hut &amp; % chai '!M142</f>
        <v>32010</v>
      </c>
      <c r="L201" s="415">
        <f>L111*'2.Hao hut &amp; % chai '!N142</f>
        <v>32010</v>
      </c>
      <c r="M201" s="415">
        <f>M111*'2.Hao hut &amp; % chai '!O142</f>
        <v>32010</v>
      </c>
      <c r="N201" s="415">
        <f>N111*'2.Hao hut &amp; % chai '!P142</f>
        <v>32010</v>
      </c>
      <c r="O201" s="415">
        <f>O111*'2.Hao hut &amp; % chai '!Q142</f>
        <v>32010</v>
      </c>
      <c r="P201" s="415">
        <f>P111*'2.Hao hut &amp; % chai '!R142</f>
        <v>32010</v>
      </c>
      <c r="Q201" s="415">
        <f>Q111*'2.Hao hut &amp; % chai '!S142</f>
        <v>32010</v>
      </c>
      <c r="R201" s="414">
        <f t="shared" si="79"/>
        <v>363325</v>
      </c>
      <c r="T201" s="415"/>
      <c r="U201" s="415"/>
      <c r="V201" s="415"/>
      <c r="W201" s="415"/>
      <c r="X201" s="415"/>
      <c r="Y201" s="415"/>
      <c r="Z201" s="415"/>
      <c r="AA201" s="415"/>
      <c r="AB201" s="415"/>
      <c r="AC201" s="415"/>
      <c r="AD201" s="415"/>
      <c r="AE201" s="415"/>
      <c r="AF201" s="414">
        <f t="shared" si="80"/>
        <v>0</v>
      </c>
    </row>
    <row r="202" spans="2:32" x14ac:dyDescent="0.35">
      <c r="B202" s="412">
        <v>11</v>
      </c>
      <c r="C202" s="413" t="s">
        <v>541</v>
      </c>
      <c r="D202" s="413"/>
      <c r="E202" s="415"/>
      <c r="F202" s="415">
        <f>F112*'2.Hao hut &amp; % chai '!H143</f>
        <v>0</v>
      </c>
      <c r="G202" s="415">
        <f>G112*'2.Hao hut &amp; % chai '!I143</f>
        <v>0</v>
      </c>
      <c r="H202" s="415">
        <f>H112*'2.Hao hut &amp; % chai '!J143</f>
        <v>0</v>
      </c>
      <c r="I202" s="415">
        <f>I112*'2.Hao hut &amp; % chai '!K143</f>
        <v>0</v>
      </c>
      <c r="J202" s="415">
        <f>J112*'2.Hao hut &amp; % chai '!L143</f>
        <v>0</v>
      </c>
      <c r="K202" s="415">
        <f>K112*'2.Hao hut &amp; % chai '!M143</f>
        <v>0</v>
      </c>
      <c r="L202" s="415">
        <f>L112*'2.Hao hut &amp; % chai '!N143</f>
        <v>0</v>
      </c>
      <c r="M202" s="415">
        <f>M112*'2.Hao hut &amp; % chai '!O143</f>
        <v>0</v>
      </c>
      <c r="N202" s="415">
        <f>N112*'2.Hao hut &amp; % chai '!P143</f>
        <v>0</v>
      </c>
      <c r="O202" s="415">
        <f>O112*'2.Hao hut &amp; % chai '!Q143</f>
        <v>0</v>
      </c>
      <c r="P202" s="415">
        <f>P112*'2.Hao hut &amp; % chai '!R143</f>
        <v>0</v>
      </c>
      <c r="Q202" s="415">
        <f>Q112*'2.Hao hut &amp; % chai '!S143</f>
        <v>0</v>
      </c>
      <c r="R202" s="414">
        <f t="shared" si="79"/>
        <v>0</v>
      </c>
      <c r="T202" s="415"/>
      <c r="U202" s="415"/>
      <c r="V202" s="415"/>
      <c r="W202" s="415"/>
      <c r="X202" s="415"/>
      <c r="Y202" s="415"/>
      <c r="Z202" s="415"/>
      <c r="AA202" s="415"/>
      <c r="AB202" s="415"/>
      <c r="AC202" s="415"/>
      <c r="AD202" s="415"/>
      <c r="AE202" s="415"/>
      <c r="AF202" s="414">
        <f t="shared" si="80"/>
        <v>0</v>
      </c>
    </row>
    <row r="203" spans="2:32" x14ac:dyDescent="0.35">
      <c r="B203" s="412">
        <v>12</v>
      </c>
      <c r="C203" s="413" t="s">
        <v>542</v>
      </c>
      <c r="D203" s="413"/>
      <c r="E203" s="415"/>
      <c r="F203" s="415">
        <f>F113*'2.Hao hut &amp; % chai '!H144</f>
        <v>0</v>
      </c>
      <c r="G203" s="415">
        <f>G113*'2.Hao hut &amp; % chai '!I144</f>
        <v>0</v>
      </c>
      <c r="H203" s="415">
        <f>H113*'2.Hao hut &amp; % chai '!J144</f>
        <v>0</v>
      </c>
      <c r="I203" s="415">
        <f>I113*'2.Hao hut &amp; % chai '!K144</f>
        <v>0</v>
      </c>
      <c r="J203" s="415">
        <f>J113*'2.Hao hut &amp; % chai '!L144</f>
        <v>0</v>
      </c>
      <c r="K203" s="415">
        <f>K113*'2.Hao hut &amp; % chai '!M144</f>
        <v>0</v>
      </c>
      <c r="L203" s="415">
        <f>L113*'2.Hao hut &amp; % chai '!N144</f>
        <v>0</v>
      </c>
      <c r="M203" s="415">
        <f>M113*'2.Hao hut &amp; % chai '!O144</f>
        <v>0</v>
      </c>
      <c r="N203" s="415">
        <f>N113*'2.Hao hut &amp; % chai '!P144</f>
        <v>0</v>
      </c>
      <c r="O203" s="415">
        <f>O113*'2.Hao hut &amp; % chai '!Q144</f>
        <v>0</v>
      </c>
      <c r="P203" s="415">
        <f>P113*'2.Hao hut &amp; % chai '!R144</f>
        <v>0</v>
      </c>
      <c r="Q203" s="415">
        <f>Q113*'2.Hao hut &amp; % chai '!S144</f>
        <v>0</v>
      </c>
      <c r="R203" s="414">
        <f t="shared" si="79"/>
        <v>0</v>
      </c>
      <c r="T203" s="415"/>
      <c r="U203" s="415"/>
      <c r="V203" s="415"/>
      <c r="W203" s="415"/>
      <c r="X203" s="415"/>
      <c r="Y203" s="415"/>
      <c r="Z203" s="415"/>
      <c r="AA203" s="415"/>
      <c r="AB203" s="415"/>
      <c r="AC203" s="415"/>
      <c r="AD203" s="415"/>
      <c r="AE203" s="415"/>
      <c r="AF203" s="414">
        <f t="shared" si="80"/>
        <v>0</v>
      </c>
    </row>
    <row r="204" spans="2:32" x14ac:dyDescent="0.35">
      <c r="B204" s="412">
        <v>13</v>
      </c>
      <c r="C204" s="413" t="s">
        <v>543</v>
      </c>
      <c r="D204" s="413"/>
      <c r="E204" s="415"/>
      <c r="F204" s="431">
        <f>F114*'2.Hao hut &amp; % chai '!H145</f>
        <v>0</v>
      </c>
      <c r="G204" s="431">
        <f>G114*'2.Hao hut &amp; % chai '!I145</f>
        <v>0</v>
      </c>
      <c r="H204" s="431">
        <f>H114*'2.Hao hut &amp; % chai '!J145</f>
        <v>0</v>
      </c>
      <c r="I204" s="431">
        <f>I114*'2.Hao hut &amp; % chai '!K145</f>
        <v>0</v>
      </c>
      <c r="J204" s="431">
        <f>J114*'2.Hao hut &amp; % chai '!L145</f>
        <v>0</v>
      </c>
      <c r="K204" s="431">
        <f>K114*'2.Hao hut &amp; % chai '!M145</f>
        <v>0</v>
      </c>
      <c r="L204" s="431">
        <f>L114*'2.Hao hut &amp; % chai '!N145</f>
        <v>0</v>
      </c>
      <c r="M204" s="431">
        <f>M114*'2.Hao hut &amp; % chai '!O145</f>
        <v>0</v>
      </c>
      <c r="N204" s="431">
        <f>N114*'2.Hao hut &amp; % chai '!P145</f>
        <v>0</v>
      </c>
      <c r="O204" s="431">
        <f>O114*'2.Hao hut &amp; % chai '!Q145</f>
        <v>0</v>
      </c>
      <c r="P204" s="431">
        <f>P114*'2.Hao hut &amp; % chai '!R145</f>
        <v>0</v>
      </c>
      <c r="Q204" s="431">
        <f>Q114*'2.Hao hut &amp; % chai '!S145</f>
        <v>0</v>
      </c>
      <c r="R204" s="432">
        <f t="shared" si="79"/>
        <v>0</v>
      </c>
      <c r="T204" s="431"/>
      <c r="U204" s="431"/>
      <c r="V204" s="431"/>
      <c r="W204" s="431"/>
      <c r="X204" s="431"/>
      <c r="Y204" s="431"/>
      <c r="Z204" s="431"/>
      <c r="AA204" s="431"/>
      <c r="AB204" s="431"/>
      <c r="AC204" s="431"/>
      <c r="AD204" s="431"/>
      <c r="AE204" s="431"/>
      <c r="AF204" s="432">
        <f t="shared" si="80"/>
        <v>0</v>
      </c>
    </row>
    <row r="205" spans="2:32" x14ac:dyDescent="0.35">
      <c r="B205" s="412">
        <v>14</v>
      </c>
      <c r="C205" s="413" t="s">
        <v>544</v>
      </c>
      <c r="D205" s="413"/>
      <c r="E205" s="415"/>
      <c r="F205" s="415">
        <f>F115*'2.Hao hut &amp; % chai '!H146</f>
        <v>0</v>
      </c>
      <c r="G205" s="415">
        <f>G115*'2.Hao hut &amp; % chai '!I146</f>
        <v>0</v>
      </c>
      <c r="H205" s="415">
        <f>H115*'2.Hao hut &amp; % chai '!J146</f>
        <v>0</v>
      </c>
      <c r="I205" s="415">
        <f>I115*'2.Hao hut &amp; % chai '!K146</f>
        <v>0</v>
      </c>
      <c r="J205" s="415">
        <f>J115*'2.Hao hut &amp; % chai '!L146</f>
        <v>0</v>
      </c>
      <c r="K205" s="415">
        <f>K115*'2.Hao hut &amp; % chai '!M146</f>
        <v>0</v>
      </c>
      <c r="L205" s="415">
        <f>L115*'2.Hao hut &amp; % chai '!N146</f>
        <v>0</v>
      </c>
      <c r="M205" s="415">
        <f>M115*'2.Hao hut &amp; % chai '!O146</f>
        <v>0</v>
      </c>
      <c r="N205" s="415">
        <f>N115*'2.Hao hut &amp; % chai '!P146</f>
        <v>0</v>
      </c>
      <c r="O205" s="415">
        <f>O115*'2.Hao hut &amp; % chai '!Q146</f>
        <v>0</v>
      </c>
      <c r="P205" s="415">
        <f>P115*'2.Hao hut &amp; % chai '!R146</f>
        <v>0</v>
      </c>
      <c r="Q205" s="415">
        <f>Q115*'2.Hao hut &amp; % chai '!S146</f>
        <v>0</v>
      </c>
      <c r="R205" s="414">
        <f t="shared" si="79"/>
        <v>0</v>
      </c>
      <c r="T205" s="415"/>
      <c r="U205" s="415"/>
      <c r="V205" s="415"/>
      <c r="W205" s="415"/>
      <c r="X205" s="415"/>
      <c r="Y205" s="415"/>
      <c r="Z205" s="415"/>
      <c r="AA205" s="415"/>
      <c r="AB205" s="415"/>
      <c r="AC205" s="415"/>
      <c r="AD205" s="415"/>
      <c r="AE205" s="415"/>
      <c r="AF205" s="414">
        <f t="shared" si="80"/>
        <v>0</v>
      </c>
    </row>
    <row r="206" spans="2:32" x14ac:dyDescent="0.35">
      <c r="B206" s="416">
        <v>15</v>
      </c>
      <c r="C206" s="417" t="s">
        <v>175</v>
      </c>
      <c r="D206" s="417"/>
      <c r="E206" s="419"/>
      <c r="F206" s="419">
        <f>F116*'2.Hao hut &amp; % chai '!H147</f>
        <v>0</v>
      </c>
      <c r="G206" s="419">
        <f>G116*'2.Hao hut &amp; % chai '!I147</f>
        <v>0</v>
      </c>
      <c r="H206" s="419">
        <f>H116*'2.Hao hut &amp; % chai '!J147</f>
        <v>0</v>
      </c>
      <c r="I206" s="419">
        <f>I116*'2.Hao hut &amp; % chai '!K147</f>
        <v>0</v>
      </c>
      <c r="J206" s="419">
        <f>J116*'2.Hao hut &amp; % chai '!L147</f>
        <v>0</v>
      </c>
      <c r="K206" s="419">
        <f>K116*'2.Hao hut &amp; % chai '!M147</f>
        <v>0</v>
      </c>
      <c r="L206" s="419">
        <f>L116*'2.Hao hut &amp; % chai '!N147</f>
        <v>0</v>
      </c>
      <c r="M206" s="419">
        <f>M116*'2.Hao hut &amp; % chai '!O147</f>
        <v>0</v>
      </c>
      <c r="N206" s="419">
        <f>N116*'2.Hao hut &amp; % chai '!P147</f>
        <v>0</v>
      </c>
      <c r="O206" s="419">
        <f>O116*'2.Hao hut &amp; % chai '!Q147</f>
        <v>0</v>
      </c>
      <c r="P206" s="419">
        <f>P116*'2.Hao hut &amp; % chai '!R147</f>
        <v>0</v>
      </c>
      <c r="Q206" s="419">
        <f>Q116*'2.Hao hut &amp; % chai '!S147</f>
        <v>0</v>
      </c>
      <c r="R206" s="418">
        <f t="shared" si="79"/>
        <v>0</v>
      </c>
      <c r="T206" s="419"/>
      <c r="U206" s="419"/>
      <c r="V206" s="419"/>
      <c r="W206" s="419"/>
      <c r="X206" s="419"/>
      <c r="Y206" s="419"/>
      <c r="Z206" s="419"/>
      <c r="AA206" s="419"/>
      <c r="AB206" s="419"/>
      <c r="AC206" s="419"/>
      <c r="AD206" s="419"/>
      <c r="AE206" s="419"/>
      <c r="AF206" s="418">
        <f t="shared" si="80"/>
        <v>0</v>
      </c>
    </row>
    <row r="207" spans="2:32" x14ac:dyDescent="0.35">
      <c r="B207" s="163"/>
      <c r="C207" s="164" t="s">
        <v>480</v>
      </c>
      <c r="D207" s="164"/>
      <c r="E207" s="165">
        <f>SUM(E192:E205)</f>
        <v>0</v>
      </c>
      <c r="F207" s="166">
        <f>SUM(F192:F206)</f>
        <v>26100</v>
      </c>
      <c r="G207" s="166">
        <f t="shared" ref="G207:P207" si="81">SUM(G192:G206)</f>
        <v>20300</v>
      </c>
      <c r="H207" s="166">
        <f t="shared" si="81"/>
        <v>29000</v>
      </c>
      <c r="I207" s="166">
        <f t="shared" si="81"/>
        <v>31900</v>
      </c>
      <c r="J207" s="166">
        <f t="shared" si="81"/>
        <v>31954.999999999996</v>
      </c>
      <c r="K207" s="166">
        <f t="shared" si="81"/>
        <v>67155</v>
      </c>
      <c r="L207" s="166">
        <f t="shared" si="81"/>
        <v>67155</v>
      </c>
      <c r="M207" s="166">
        <f t="shared" si="81"/>
        <v>67155</v>
      </c>
      <c r="N207" s="166">
        <f t="shared" si="81"/>
        <v>67155</v>
      </c>
      <c r="O207" s="166">
        <f t="shared" si="81"/>
        <v>67155</v>
      </c>
      <c r="P207" s="166">
        <f t="shared" si="81"/>
        <v>67155</v>
      </c>
      <c r="Q207" s="166">
        <f>SUM(Q192:Q206)</f>
        <v>67155</v>
      </c>
      <c r="R207" s="166">
        <f>SUM(R192:R206)</f>
        <v>609340</v>
      </c>
      <c r="T207" s="166">
        <f>SUM(T192:T206)</f>
        <v>0</v>
      </c>
      <c r="U207" s="166">
        <f t="shared" ref="U207:AD207" si="82">SUM(U192:U206)</f>
        <v>0</v>
      </c>
      <c r="V207" s="166">
        <f t="shared" si="82"/>
        <v>0</v>
      </c>
      <c r="W207" s="166">
        <f t="shared" si="82"/>
        <v>0</v>
      </c>
      <c r="X207" s="166">
        <f t="shared" si="82"/>
        <v>0</v>
      </c>
      <c r="Y207" s="166">
        <f t="shared" si="82"/>
        <v>0</v>
      </c>
      <c r="Z207" s="166">
        <f t="shared" si="82"/>
        <v>0</v>
      </c>
      <c r="AA207" s="166">
        <f t="shared" si="82"/>
        <v>0</v>
      </c>
      <c r="AB207" s="166">
        <f t="shared" si="82"/>
        <v>0</v>
      </c>
      <c r="AC207" s="166">
        <f t="shared" si="82"/>
        <v>0</v>
      </c>
      <c r="AD207" s="166">
        <f t="shared" si="82"/>
        <v>0</v>
      </c>
      <c r="AE207" s="166">
        <f>SUM(AE192:AE206)</f>
        <v>0</v>
      </c>
      <c r="AF207" s="166">
        <f>SUM(AF192:AF206)</f>
        <v>0</v>
      </c>
    </row>
    <row r="209" spans="2:32" x14ac:dyDescent="0.35">
      <c r="B209" s="11" t="s">
        <v>676</v>
      </c>
    </row>
    <row r="210" spans="2:32" ht="26" x14ac:dyDescent="0.35">
      <c r="B210" s="187" t="s">
        <v>36</v>
      </c>
      <c r="C210" s="187" t="s">
        <v>677</v>
      </c>
      <c r="D210" s="187" t="s">
        <v>257</v>
      </c>
      <c r="E210" s="171" t="s">
        <v>148</v>
      </c>
      <c r="F210" s="171" t="s">
        <v>149</v>
      </c>
      <c r="G210" s="171" t="s">
        <v>150</v>
      </c>
      <c r="H210" s="171" t="s">
        <v>151</v>
      </c>
      <c r="I210" s="171" t="s">
        <v>152</v>
      </c>
      <c r="J210" s="171" t="s">
        <v>153</v>
      </c>
      <c r="K210" s="171" t="s">
        <v>154</v>
      </c>
      <c r="L210" s="171" t="s">
        <v>155</v>
      </c>
      <c r="M210" s="171" t="s">
        <v>156</v>
      </c>
      <c r="N210" s="171" t="s">
        <v>157</v>
      </c>
      <c r="O210" s="171" t="s">
        <v>158</v>
      </c>
      <c r="P210" s="171" t="s">
        <v>159</v>
      </c>
      <c r="Q210" s="171" t="s">
        <v>160</v>
      </c>
      <c r="R210" s="171" t="s">
        <v>2147</v>
      </c>
      <c r="T210" s="714" t="s">
        <v>149</v>
      </c>
      <c r="U210" s="714" t="s">
        <v>150</v>
      </c>
      <c r="V210" s="714" t="s">
        <v>151</v>
      </c>
      <c r="W210" s="714" t="s">
        <v>152</v>
      </c>
      <c r="X210" s="714" t="s">
        <v>153</v>
      </c>
      <c r="Y210" s="714" t="s">
        <v>154</v>
      </c>
      <c r="Z210" s="714" t="s">
        <v>155</v>
      </c>
      <c r="AA210" s="714" t="s">
        <v>156</v>
      </c>
      <c r="AB210" s="714" t="s">
        <v>157</v>
      </c>
      <c r="AC210" s="714" t="s">
        <v>158</v>
      </c>
      <c r="AD210" s="714" t="s">
        <v>159</v>
      </c>
      <c r="AE210" s="714" t="s">
        <v>160</v>
      </c>
      <c r="AF210" s="714" t="s">
        <v>148</v>
      </c>
    </row>
    <row r="211" spans="2:32" x14ac:dyDescent="0.35">
      <c r="B211" s="362">
        <v>1</v>
      </c>
      <c r="C211" s="1351" t="str">
        <f>C170</f>
        <v>CHAI B0 - Xá tròn</v>
      </c>
      <c r="D211" s="378"/>
      <c r="E211" s="435"/>
      <c r="F211" s="436">
        <f>F$174</f>
        <v>44550</v>
      </c>
      <c r="G211" s="436">
        <f t="shared" ref="G211:R211" si="83">G$174</f>
        <v>34650</v>
      </c>
      <c r="H211" s="436">
        <f t="shared" si="83"/>
        <v>49500</v>
      </c>
      <c r="I211" s="436">
        <f t="shared" si="83"/>
        <v>54450</v>
      </c>
      <c r="J211" s="436">
        <f t="shared" si="83"/>
        <v>48400</v>
      </c>
      <c r="K211" s="1355">
        <f t="shared" si="83"/>
        <v>42350</v>
      </c>
      <c r="L211" s="436">
        <f t="shared" si="83"/>
        <v>42350</v>
      </c>
      <c r="M211" s="436">
        <f t="shared" si="83"/>
        <v>42350</v>
      </c>
      <c r="N211" s="436">
        <f t="shared" si="83"/>
        <v>42350</v>
      </c>
      <c r="O211" s="436">
        <f t="shared" si="83"/>
        <v>42350</v>
      </c>
      <c r="P211" s="436">
        <f t="shared" si="83"/>
        <v>42350</v>
      </c>
      <c r="Q211" s="436">
        <f t="shared" si="83"/>
        <v>42350</v>
      </c>
      <c r="R211" s="437">
        <f t="shared" si="83"/>
        <v>528000</v>
      </c>
      <c r="T211" s="436"/>
      <c r="U211" s="436"/>
      <c r="V211" s="436"/>
      <c r="W211" s="436"/>
      <c r="X211" s="436"/>
      <c r="Y211" s="436"/>
      <c r="Z211" s="436"/>
      <c r="AA211" s="436"/>
      <c r="AB211" s="436"/>
      <c r="AC211" s="436"/>
      <c r="AD211" s="436"/>
      <c r="AE211" s="436"/>
      <c r="AF211" s="437">
        <f t="shared" ref="AF211" si="84">AF$174</f>
        <v>0</v>
      </c>
    </row>
    <row r="212" spans="2:32" x14ac:dyDescent="0.35">
      <c r="B212" s="367">
        <v>2</v>
      </c>
      <c r="C212" s="1352" t="str">
        <f>C177</f>
        <v>CHAI B0 - Ép kiện</v>
      </c>
      <c r="D212" s="438"/>
      <c r="E212" s="439"/>
      <c r="F212" s="440">
        <f>F$181</f>
        <v>58500</v>
      </c>
      <c r="G212" s="440">
        <f t="shared" ref="G212:R212" si="85">G$181</f>
        <v>45500</v>
      </c>
      <c r="H212" s="440">
        <f t="shared" si="85"/>
        <v>65000</v>
      </c>
      <c r="I212" s="440">
        <f t="shared" si="85"/>
        <v>71500</v>
      </c>
      <c r="J212" s="440">
        <f t="shared" si="85"/>
        <v>78649.999999999985</v>
      </c>
      <c r="K212" s="1356">
        <f t="shared" si="85"/>
        <v>85800</v>
      </c>
      <c r="L212" s="440">
        <f t="shared" si="85"/>
        <v>85800</v>
      </c>
      <c r="M212" s="440">
        <f t="shared" si="85"/>
        <v>85800</v>
      </c>
      <c r="N212" s="440">
        <f t="shared" si="85"/>
        <v>85800</v>
      </c>
      <c r="O212" s="440">
        <f t="shared" si="85"/>
        <v>85800</v>
      </c>
      <c r="P212" s="440">
        <f t="shared" si="85"/>
        <v>85800</v>
      </c>
      <c r="Q212" s="440">
        <f t="shared" si="85"/>
        <v>85800</v>
      </c>
      <c r="R212" s="441">
        <f t="shared" si="85"/>
        <v>919750</v>
      </c>
      <c r="T212" s="440"/>
      <c r="U212" s="440"/>
      <c r="V212" s="440"/>
      <c r="W212" s="440"/>
      <c r="X212" s="440"/>
      <c r="Y212" s="440"/>
      <c r="Z212" s="440"/>
      <c r="AA212" s="440"/>
      <c r="AB212" s="440"/>
      <c r="AC212" s="440"/>
      <c r="AD212" s="440"/>
      <c r="AE212" s="440"/>
      <c r="AF212" s="441">
        <f t="shared" ref="AF212" si="86">AF$181</f>
        <v>0</v>
      </c>
    </row>
    <row r="213" spans="2:32" x14ac:dyDescent="0.35">
      <c r="B213" s="367">
        <v>3</v>
      </c>
      <c r="C213" s="1352" t="str">
        <f>C184</f>
        <v>CHAI B1.4 (XÔ TUYỂN)</v>
      </c>
      <c r="D213" s="438"/>
      <c r="E213" s="439"/>
      <c r="F213" s="440">
        <f>F$188</f>
        <v>1575</v>
      </c>
      <c r="G213" s="440">
        <f t="shared" ref="G213:R213" si="87">G$188</f>
        <v>1225</v>
      </c>
      <c r="H213" s="440">
        <f t="shared" si="87"/>
        <v>1750</v>
      </c>
      <c r="I213" s="440">
        <f t="shared" si="87"/>
        <v>1925</v>
      </c>
      <c r="J213" s="440">
        <f t="shared" si="87"/>
        <v>1925</v>
      </c>
      <c r="K213" s="1356">
        <f t="shared" si="87"/>
        <v>1925</v>
      </c>
      <c r="L213" s="440">
        <f t="shared" si="87"/>
        <v>1925</v>
      </c>
      <c r="M213" s="440">
        <f t="shared" si="87"/>
        <v>1925</v>
      </c>
      <c r="N213" s="440">
        <f t="shared" si="87"/>
        <v>1925</v>
      </c>
      <c r="O213" s="440">
        <f t="shared" si="87"/>
        <v>1925</v>
      </c>
      <c r="P213" s="440">
        <f t="shared" si="87"/>
        <v>1925</v>
      </c>
      <c r="Q213" s="440">
        <f t="shared" si="87"/>
        <v>1925</v>
      </c>
      <c r="R213" s="441">
        <f t="shared" si="87"/>
        <v>21875</v>
      </c>
      <c r="T213" s="440"/>
      <c r="U213" s="440"/>
      <c r="V213" s="440"/>
      <c r="W213" s="440"/>
      <c r="X213" s="440"/>
      <c r="Y213" s="440"/>
      <c r="Z213" s="440"/>
      <c r="AA213" s="440"/>
      <c r="AB213" s="440"/>
      <c r="AC213" s="440"/>
      <c r="AD213" s="440"/>
      <c r="AE213" s="440"/>
      <c r="AF213" s="441">
        <f t="shared" ref="AF213" si="88">AF$188</f>
        <v>0</v>
      </c>
    </row>
    <row r="214" spans="2:32" x14ac:dyDescent="0.35">
      <c r="B214" s="372">
        <v>4</v>
      </c>
      <c r="C214" s="1353" t="s">
        <v>678</v>
      </c>
      <c r="D214" s="380"/>
      <c r="E214" s="442"/>
      <c r="F214" s="443">
        <f>F$207</f>
        <v>26100</v>
      </c>
      <c r="G214" s="443">
        <f t="shared" ref="G214:R214" si="89">G$207</f>
        <v>20300</v>
      </c>
      <c r="H214" s="443">
        <f t="shared" si="89"/>
        <v>29000</v>
      </c>
      <c r="I214" s="443">
        <f t="shared" si="89"/>
        <v>31900</v>
      </c>
      <c r="J214" s="443">
        <f t="shared" si="89"/>
        <v>31954.999999999996</v>
      </c>
      <c r="K214" s="1357">
        <f t="shared" si="89"/>
        <v>67155</v>
      </c>
      <c r="L214" s="443">
        <f t="shared" si="89"/>
        <v>67155</v>
      </c>
      <c r="M214" s="443">
        <f t="shared" si="89"/>
        <v>67155</v>
      </c>
      <c r="N214" s="443">
        <f t="shared" si="89"/>
        <v>67155</v>
      </c>
      <c r="O214" s="443">
        <f t="shared" si="89"/>
        <v>67155</v>
      </c>
      <c r="P214" s="443">
        <f t="shared" si="89"/>
        <v>67155</v>
      </c>
      <c r="Q214" s="443">
        <f t="shared" si="89"/>
        <v>67155</v>
      </c>
      <c r="R214" s="444">
        <f t="shared" si="89"/>
        <v>609340</v>
      </c>
      <c r="T214" s="443"/>
      <c r="U214" s="443"/>
      <c r="V214" s="443"/>
      <c r="W214" s="443"/>
      <c r="X214" s="443"/>
      <c r="Y214" s="443"/>
      <c r="Z214" s="443"/>
      <c r="AA214" s="443"/>
      <c r="AB214" s="443"/>
      <c r="AC214" s="443"/>
      <c r="AD214" s="443"/>
      <c r="AE214" s="443"/>
      <c r="AF214" s="444">
        <f t="shared" ref="AF214" si="90">AF$207</f>
        <v>0</v>
      </c>
    </row>
    <row r="215" spans="2:32" x14ac:dyDescent="0.35">
      <c r="B215" s="163"/>
      <c r="C215" s="164" t="s">
        <v>480</v>
      </c>
      <c r="D215" s="164"/>
      <c r="E215" s="165">
        <f>SUM(E200:E213)</f>
        <v>0</v>
      </c>
      <c r="F215" s="166">
        <f>SUM(F211:F214)</f>
        <v>130725</v>
      </c>
      <c r="G215" s="166">
        <f t="shared" ref="G215:Q215" si="91">SUM(G211:G214)</f>
        <v>101675</v>
      </c>
      <c r="H215" s="166">
        <f t="shared" si="91"/>
        <v>145250</v>
      </c>
      <c r="I215" s="166">
        <f t="shared" si="91"/>
        <v>159775</v>
      </c>
      <c r="J215" s="166">
        <f t="shared" si="91"/>
        <v>160929.99999999997</v>
      </c>
      <c r="K215" s="166">
        <f t="shared" si="91"/>
        <v>197230</v>
      </c>
      <c r="L215" s="166">
        <f t="shared" si="91"/>
        <v>197230</v>
      </c>
      <c r="M215" s="166">
        <f t="shared" si="91"/>
        <v>197230</v>
      </c>
      <c r="N215" s="166">
        <f t="shared" si="91"/>
        <v>197230</v>
      </c>
      <c r="O215" s="166">
        <f t="shared" si="91"/>
        <v>197230</v>
      </c>
      <c r="P215" s="166">
        <f t="shared" si="91"/>
        <v>197230</v>
      </c>
      <c r="Q215" s="166">
        <f t="shared" si="91"/>
        <v>197230</v>
      </c>
      <c r="R215" s="166">
        <f>SUM(R211:R214)</f>
        <v>2078965</v>
      </c>
      <c r="T215" s="166">
        <f>SUM(T211:T214)</f>
        <v>0</v>
      </c>
      <c r="U215" s="166">
        <f t="shared" ref="U215:AE215" si="92">SUM(U211:U214)</f>
        <v>0</v>
      </c>
      <c r="V215" s="166">
        <f t="shared" si="92"/>
        <v>0</v>
      </c>
      <c r="W215" s="166">
        <f t="shared" si="92"/>
        <v>0</v>
      </c>
      <c r="X215" s="166">
        <f t="shared" si="92"/>
        <v>0</v>
      </c>
      <c r="Y215" s="166">
        <f t="shared" si="92"/>
        <v>0</v>
      </c>
      <c r="Z215" s="166">
        <f t="shared" si="92"/>
        <v>0</v>
      </c>
      <c r="AA215" s="166">
        <f t="shared" si="92"/>
        <v>0</v>
      </c>
      <c r="AB215" s="166">
        <f t="shared" si="92"/>
        <v>0</v>
      </c>
      <c r="AC215" s="166">
        <f t="shared" si="92"/>
        <v>0</v>
      </c>
      <c r="AD215" s="166">
        <f t="shared" si="92"/>
        <v>0</v>
      </c>
      <c r="AE215" s="166">
        <f t="shared" si="92"/>
        <v>0</v>
      </c>
      <c r="AF215" s="166">
        <f>SUM(AF211:AF214)</f>
        <v>0</v>
      </c>
    </row>
    <row r="217" spans="2:32" x14ac:dyDescent="0.35">
      <c r="C217" s="213" t="s">
        <v>679</v>
      </c>
      <c r="D217" s="11"/>
    </row>
    <row r="218" spans="2:32" ht="26" x14ac:dyDescent="0.35">
      <c r="B218" s="187" t="s">
        <v>36</v>
      </c>
      <c r="C218" s="187" t="s">
        <v>677</v>
      </c>
      <c r="D218" s="187" t="s">
        <v>257</v>
      </c>
      <c r="E218" s="171" t="s">
        <v>148</v>
      </c>
      <c r="F218" s="171" t="s">
        <v>149</v>
      </c>
      <c r="G218" s="171" t="s">
        <v>150</v>
      </c>
      <c r="H218" s="171" t="s">
        <v>151</v>
      </c>
      <c r="I218" s="171" t="s">
        <v>152</v>
      </c>
      <c r="J218" s="171" t="s">
        <v>153</v>
      </c>
      <c r="K218" s="171" t="s">
        <v>154</v>
      </c>
      <c r="L218" s="171" t="s">
        <v>155</v>
      </c>
      <c r="M218" s="171" t="s">
        <v>156</v>
      </c>
      <c r="N218" s="171" t="s">
        <v>157</v>
      </c>
      <c r="O218" s="171" t="s">
        <v>158</v>
      </c>
      <c r="P218" s="171" t="s">
        <v>159</v>
      </c>
      <c r="Q218" s="171" t="s">
        <v>160</v>
      </c>
      <c r="R218" s="171" t="s">
        <v>2147</v>
      </c>
      <c r="T218" s="714" t="s">
        <v>149</v>
      </c>
      <c r="U218" s="714" t="s">
        <v>150</v>
      </c>
      <c r="V218" s="714" t="s">
        <v>151</v>
      </c>
      <c r="W218" s="714" t="s">
        <v>152</v>
      </c>
      <c r="X218" s="714" t="s">
        <v>153</v>
      </c>
      <c r="Y218" s="714" t="s">
        <v>154</v>
      </c>
      <c r="Z218" s="714" t="s">
        <v>155</v>
      </c>
      <c r="AA218" s="714" t="s">
        <v>156</v>
      </c>
      <c r="AB218" s="714" t="s">
        <v>157</v>
      </c>
      <c r="AC218" s="714" t="s">
        <v>158</v>
      </c>
      <c r="AD218" s="714" t="s">
        <v>159</v>
      </c>
      <c r="AE218" s="714" t="s">
        <v>160</v>
      </c>
      <c r="AF218" s="714" t="s">
        <v>148</v>
      </c>
    </row>
    <row r="219" spans="2:32" x14ac:dyDescent="0.35">
      <c r="B219" s="362">
        <v>1</v>
      </c>
      <c r="C219" s="378" t="s">
        <v>680</v>
      </c>
      <c r="D219" s="378" t="s">
        <v>564</v>
      </c>
      <c r="E219" s="378"/>
      <c r="F219" s="476">
        <f>(F97+F136)*'1.NVL Chai'!H$34</f>
        <v>7796602125</v>
      </c>
      <c r="G219" s="476">
        <f>(G97+G136)*'1.NVL Chai'!I$34</f>
        <v>6064023875</v>
      </c>
      <c r="H219" s="476">
        <f>(H97+H136)*'1.NVL Chai'!J$34</f>
        <v>8662891250</v>
      </c>
      <c r="I219" s="476">
        <f>(I97+I136)*'1.NVL Chai'!K$34</f>
        <v>9529180375</v>
      </c>
      <c r="J219" s="476">
        <f>(J97+J136)*'1.NVL Chai'!L$34</f>
        <v>9517474450</v>
      </c>
      <c r="K219" s="476">
        <f>(K97+K136)*'1.NVL Chai'!M$34</f>
        <v>3569192275</v>
      </c>
      <c r="L219" s="476">
        <f>(L97+L136)*'1.NVL Chai'!N$34</f>
        <v>3569192275</v>
      </c>
      <c r="M219" s="476">
        <f>(M97+M136)*'1.NVL Chai'!O$34</f>
        <v>3569192275</v>
      </c>
      <c r="N219" s="476">
        <f>(N97+N136)*'1.NVL Chai'!P$34</f>
        <v>3569192275</v>
      </c>
      <c r="O219" s="476">
        <f>(O97+O136)*'1.NVL Chai'!Q$34</f>
        <v>3569192275</v>
      </c>
      <c r="P219" s="476">
        <f>(P97+P136)*'1.NVL Chai'!R$34</f>
        <v>3569192275</v>
      </c>
      <c r="Q219" s="476">
        <f>(Q97+Q136)*'1.NVL Chai'!S$34</f>
        <v>3569192275</v>
      </c>
      <c r="R219" s="394">
        <f>SUM(F219:Q219)</f>
        <v>66554518000</v>
      </c>
      <c r="T219" s="476">
        <f>(T97+T136)*'1.NVL Chai'!V$34</f>
        <v>0</v>
      </c>
      <c r="U219" s="476">
        <f>(U97+U136)*'1.NVL Chai'!W$34</f>
        <v>0</v>
      </c>
      <c r="V219" s="476">
        <f>(V97+V136)*'1.NVL Chai'!X$34</f>
        <v>0</v>
      </c>
      <c r="W219" s="476">
        <f>(W97+W136)*'1.NVL Chai'!Y$34</f>
        <v>0</v>
      </c>
      <c r="X219" s="476">
        <f>(X97+X136)*'1.NVL Chai'!Z$34</f>
        <v>0</v>
      </c>
      <c r="Y219" s="476">
        <f>(Y97+Y136)*'1.NVL Chai'!AA$34</f>
        <v>0</v>
      </c>
      <c r="Z219" s="476">
        <f>(Z97+Z136)*'1.NVL Chai'!AB$34</f>
        <v>0</v>
      </c>
      <c r="AA219" s="476">
        <f>(AA97+AA136)*'1.NVL Chai'!AC$34</f>
        <v>0</v>
      </c>
      <c r="AB219" s="476">
        <f>(AB97+AB136)*'1.NVL Chai'!AD$34</f>
        <v>0</v>
      </c>
      <c r="AC219" s="476">
        <f>(AC97+AC136)*'1.NVL Chai'!AE$34</f>
        <v>0</v>
      </c>
      <c r="AD219" s="476">
        <f>(AD97+AD136)*'1.NVL Chai'!AF$34</f>
        <v>0</v>
      </c>
      <c r="AE219" s="476">
        <f>(AE97+AE136)*'1.NVL Chai'!AG$34</f>
        <v>0</v>
      </c>
      <c r="AF219" s="394">
        <f>SUM(T219:AE219)</f>
        <v>0</v>
      </c>
    </row>
    <row r="220" spans="2:32" x14ac:dyDescent="0.35">
      <c r="B220" s="367">
        <v>2</v>
      </c>
      <c r="C220" s="438" t="s">
        <v>549</v>
      </c>
      <c r="D220" s="378" t="s">
        <v>564</v>
      </c>
      <c r="E220" s="438"/>
      <c r="F220" s="477">
        <f>F215*'1.NVL Chai'!H34</f>
        <v>1324897875</v>
      </c>
      <c r="G220" s="477">
        <f>G215*'1.NVL Chai'!I34</f>
        <v>1030476125</v>
      </c>
      <c r="H220" s="477">
        <f>H215*'1.NVL Chai'!J34</f>
        <v>1472108750</v>
      </c>
      <c r="I220" s="477">
        <f>I215*'1.NVL Chai'!K34</f>
        <v>1619319625</v>
      </c>
      <c r="J220" s="477">
        <f>J215*'1.NVL Chai'!L34</f>
        <v>1631025549.9999998</v>
      </c>
      <c r="K220" s="477">
        <f>K215*'1.NVL Chai'!M34</f>
        <v>1998926050</v>
      </c>
      <c r="L220" s="477">
        <f>L215*'1.NVL Chai'!N34</f>
        <v>1998926050</v>
      </c>
      <c r="M220" s="477">
        <f>M215*'1.NVL Chai'!O34</f>
        <v>1998926050</v>
      </c>
      <c r="N220" s="477">
        <f>N215*'1.NVL Chai'!P34</f>
        <v>1998926050</v>
      </c>
      <c r="O220" s="477">
        <f>O215*'1.NVL Chai'!Q34</f>
        <v>1998926050</v>
      </c>
      <c r="P220" s="477">
        <f>P215*'1.NVL Chai'!R34</f>
        <v>1998926050</v>
      </c>
      <c r="Q220" s="477">
        <f>Q215*'1.NVL Chai'!S34</f>
        <v>1998926050</v>
      </c>
      <c r="R220" s="445">
        <f>SUM(F220:Q220)</f>
        <v>21070310275</v>
      </c>
      <c r="T220" s="477">
        <f>T215*'1.NVL Chai'!V34</f>
        <v>0</v>
      </c>
      <c r="U220" s="477">
        <f>U215*'1.NVL Chai'!W34</f>
        <v>0</v>
      </c>
      <c r="V220" s="477">
        <f>V215*'1.NVL Chai'!X34</f>
        <v>0</v>
      </c>
      <c r="W220" s="477">
        <f>W215*'1.NVL Chai'!Y34</f>
        <v>0</v>
      </c>
      <c r="X220" s="477">
        <f>X215*'1.NVL Chai'!Z34</f>
        <v>0</v>
      </c>
      <c r="Y220" s="477">
        <f>Y215*'1.NVL Chai'!AA34</f>
        <v>0</v>
      </c>
      <c r="Z220" s="477">
        <f>Z215*'1.NVL Chai'!AB34</f>
        <v>0</v>
      </c>
      <c r="AA220" s="477">
        <f>AA215*'1.NVL Chai'!AC34</f>
        <v>0</v>
      </c>
      <c r="AB220" s="477">
        <f>AB215*'1.NVL Chai'!AD34</f>
        <v>0</v>
      </c>
      <c r="AC220" s="477">
        <f>AC215*'1.NVL Chai'!AE34</f>
        <v>0</v>
      </c>
      <c r="AD220" s="477">
        <f>AD215*'1.NVL Chai'!AF34</f>
        <v>0</v>
      </c>
      <c r="AE220" s="477">
        <f>AE215*'1.NVL Chai'!AG34</f>
        <v>0</v>
      </c>
      <c r="AF220" s="445">
        <f>SUM(T220:AE220)</f>
        <v>0</v>
      </c>
    </row>
    <row r="221" spans="2:32" x14ac:dyDescent="0.35">
      <c r="B221" s="367" t="s">
        <v>681</v>
      </c>
      <c r="C221" s="439" t="s">
        <v>682</v>
      </c>
      <c r="D221" s="378" t="s">
        <v>564</v>
      </c>
      <c r="E221" s="438"/>
      <c r="F221" s="445">
        <f t="shared" ref="F221:Q221" si="93">SUM(F219:F220)</f>
        <v>9121500000</v>
      </c>
      <c r="G221" s="445">
        <f t="shared" si="93"/>
        <v>7094500000</v>
      </c>
      <c r="H221" s="445">
        <f t="shared" si="93"/>
        <v>10135000000</v>
      </c>
      <c r="I221" s="445">
        <f t="shared" si="93"/>
        <v>11148500000</v>
      </c>
      <c r="J221" s="445">
        <f t="shared" si="93"/>
        <v>11148500000</v>
      </c>
      <c r="K221" s="445">
        <f t="shared" si="93"/>
        <v>5568118325</v>
      </c>
      <c r="L221" s="445">
        <f t="shared" si="93"/>
        <v>5568118325</v>
      </c>
      <c r="M221" s="445">
        <f t="shared" si="93"/>
        <v>5568118325</v>
      </c>
      <c r="N221" s="445">
        <f t="shared" si="93"/>
        <v>5568118325</v>
      </c>
      <c r="O221" s="445">
        <f t="shared" si="93"/>
        <v>5568118325</v>
      </c>
      <c r="P221" s="445">
        <f t="shared" si="93"/>
        <v>5568118325</v>
      </c>
      <c r="Q221" s="445">
        <f t="shared" si="93"/>
        <v>5568118325</v>
      </c>
      <c r="R221" s="445">
        <f>SUM(R219:R220)</f>
        <v>87624828275</v>
      </c>
      <c r="T221" s="445">
        <f t="shared" ref="T221:AE221" si="94">SUM(T219:T220)</f>
        <v>0</v>
      </c>
      <c r="U221" s="445">
        <f t="shared" si="94"/>
        <v>0</v>
      </c>
      <c r="V221" s="445">
        <f t="shared" si="94"/>
        <v>0</v>
      </c>
      <c r="W221" s="445">
        <f t="shared" si="94"/>
        <v>0</v>
      </c>
      <c r="X221" s="445">
        <f t="shared" si="94"/>
        <v>0</v>
      </c>
      <c r="Y221" s="445">
        <f t="shared" si="94"/>
        <v>0</v>
      </c>
      <c r="Z221" s="445">
        <f t="shared" si="94"/>
        <v>0</v>
      </c>
      <c r="AA221" s="445">
        <f t="shared" si="94"/>
        <v>0</v>
      </c>
      <c r="AB221" s="445">
        <f t="shared" si="94"/>
        <v>0</v>
      </c>
      <c r="AC221" s="445">
        <f t="shared" si="94"/>
        <v>0</v>
      </c>
      <c r="AD221" s="445">
        <f t="shared" si="94"/>
        <v>0</v>
      </c>
      <c r="AE221" s="445">
        <f t="shared" si="94"/>
        <v>0</v>
      </c>
      <c r="AF221" s="445">
        <f>SUM(AF219:AF220)</f>
        <v>0</v>
      </c>
    </row>
    <row r="222" spans="2:32" x14ac:dyDescent="0.35">
      <c r="B222" s="367">
        <v>4</v>
      </c>
      <c r="C222" s="439" t="s">
        <v>683</v>
      </c>
      <c r="D222" s="378" t="s">
        <v>564</v>
      </c>
      <c r="E222" s="438"/>
      <c r="F222" s="445">
        <f>'1.NVL Chai'!H42</f>
        <v>9121500000</v>
      </c>
      <c r="G222" s="445">
        <f>'1.NVL Chai'!I42</f>
        <v>7094500000</v>
      </c>
      <c r="H222" s="445">
        <f>'1.NVL Chai'!J42</f>
        <v>10135000000</v>
      </c>
      <c r="I222" s="445">
        <f>'1.NVL Chai'!K42</f>
        <v>11148500000</v>
      </c>
      <c r="J222" s="445">
        <f>'1.NVL Chai'!L42</f>
        <v>11148500000</v>
      </c>
      <c r="K222" s="445">
        <f>'1.NVL Chai'!M42</f>
        <v>11148500000</v>
      </c>
      <c r="L222" s="445">
        <f>'1.NVL Chai'!N42</f>
        <v>11148500000</v>
      </c>
      <c r="M222" s="445">
        <f>'1.NVL Chai'!O42</f>
        <v>11148500000</v>
      </c>
      <c r="N222" s="445">
        <f>'1.NVL Chai'!P42</f>
        <v>11148500000</v>
      </c>
      <c r="O222" s="445">
        <f>'1.NVL Chai'!Q42</f>
        <v>11148500000</v>
      </c>
      <c r="P222" s="445">
        <f>'1.NVL Chai'!R42</f>
        <v>11148500000</v>
      </c>
      <c r="Q222" s="445">
        <f>'1.NVL Chai'!S42</f>
        <v>11148500000</v>
      </c>
      <c r="R222" s="445">
        <f>'1.NVL Chai'!T42</f>
        <v>126687500000</v>
      </c>
      <c r="T222" s="445">
        <f>'1.NVL Chai'!V42</f>
        <v>0</v>
      </c>
      <c r="U222" s="445">
        <f>'1.NVL Chai'!W42</f>
        <v>0</v>
      </c>
      <c r="V222" s="445">
        <f>'1.NVL Chai'!X42</f>
        <v>0</v>
      </c>
      <c r="W222" s="445">
        <f>'1.NVL Chai'!Y42</f>
        <v>0</v>
      </c>
      <c r="X222" s="445">
        <f>'1.NVL Chai'!Z42</f>
        <v>0</v>
      </c>
      <c r="Y222" s="445">
        <f>'1.NVL Chai'!AA42</f>
        <v>0</v>
      </c>
      <c r="Z222" s="445">
        <f>'1.NVL Chai'!AB42</f>
        <v>0</v>
      </c>
      <c r="AA222" s="445">
        <f>'1.NVL Chai'!AC42</f>
        <v>0</v>
      </c>
      <c r="AB222" s="445">
        <f>'1.NVL Chai'!AD42</f>
        <v>0</v>
      </c>
      <c r="AC222" s="445">
        <f>'1.NVL Chai'!AE42</f>
        <v>0</v>
      </c>
      <c r="AD222" s="445">
        <f>'1.NVL Chai'!AF42</f>
        <v>0</v>
      </c>
      <c r="AE222" s="445">
        <f>'1.NVL Chai'!AG42</f>
        <v>0</v>
      </c>
      <c r="AF222" s="445">
        <f>'1.NVL Chai'!AH42</f>
        <v>0</v>
      </c>
    </row>
    <row r="223" spans="2:32" x14ac:dyDescent="0.35">
      <c r="B223" s="367" t="s">
        <v>684</v>
      </c>
      <c r="C223" s="439" t="s">
        <v>685</v>
      </c>
      <c r="D223" s="378" t="s">
        <v>564</v>
      </c>
      <c r="E223" s="438"/>
      <c r="F223" s="446">
        <f>F222-F221</f>
        <v>0</v>
      </c>
      <c r="G223" s="446">
        <f>G222-G221</f>
        <v>0</v>
      </c>
      <c r="H223" s="446">
        <f t="shared" ref="H223:Q223" si="95">H222-H221</f>
        <v>0</v>
      </c>
      <c r="I223" s="446">
        <f t="shared" si="95"/>
        <v>0</v>
      </c>
      <c r="J223" s="446">
        <f t="shared" si="95"/>
        <v>0</v>
      </c>
      <c r="K223" s="446">
        <f t="shared" si="95"/>
        <v>5580381675</v>
      </c>
      <c r="L223" s="446">
        <f t="shared" si="95"/>
        <v>5580381675</v>
      </c>
      <c r="M223" s="446">
        <f t="shared" si="95"/>
        <v>5580381675</v>
      </c>
      <c r="N223" s="446">
        <f t="shared" si="95"/>
        <v>5580381675</v>
      </c>
      <c r="O223" s="446">
        <f t="shared" si="95"/>
        <v>5580381675</v>
      </c>
      <c r="P223" s="446">
        <f t="shared" si="95"/>
        <v>5580381675</v>
      </c>
      <c r="Q223" s="446">
        <f t="shared" si="95"/>
        <v>5580381675</v>
      </c>
      <c r="R223" s="446">
        <f>R222-R221</f>
        <v>39062671725</v>
      </c>
      <c r="T223" s="446">
        <f>T222-T221</f>
        <v>0</v>
      </c>
      <c r="U223" s="446">
        <f>U222-U221</f>
        <v>0</v>
      </c>
      <c r="V223" s="446">
        <f t="shared" ref="V223:AE223" si="96">V222-V221</f>
        <v>0</v>
      </c>
      <c r="W223" s="446">
        <f t="shared" si="96"/>
        <v>0</v>
      </c>
      <c r="X223" s="446">
        <f t="shared" si="96"/>
        <v>0</v>
      </c>
      <c r="Y223" s="446">
        <f t="shared" si="96"/>
        <v>0</v>
      </c>
      <c r="Z223" s="446">
        <f t="shared" si="96"/>
        <v>0</v>
      </c>
      <c r="AA223" s="446">
        <f t="shared" si="96"/>
        <v>0</v>
      </c>
      <c r="AB223" s="446">
        <f t="shared" si="96"/>
        <v>0</v>
      </c>
      <c r="AC223" s="446">
        <f t="shared" si="96"/>
        <v>0</v>
      </c>
      <c r="AD223" s="446">
        <f t="shared" si="96"/>
        <v>0</v>
      </c>
      <c r="AE223" s="446">
        <f t="shared" si="96"/>
        <v>0</v>
      </c>
      <c r="AF223" s="446">
        <f>AF222-AF221</f>
        <v>0</v>
      </c>
    </row>
    <row r="224" spans="2:32" x14ac:dyDescent="0.35">
      <c r="B224" s="367">
        <v>6</v>
      </c>
      <c r="C224" s="438" t="s">
        <v>686</v>
      </c>
      <c r="D224" s="378" t="s">
        <v>564</v>
      </c>
      <c r="E224" s="438"/>
      <c r="F224" s="447">
        <f>'4.Doanh thu'!F60</f>
        <v>7846267500</v>
      </c>
      <c r="G224" s="447">
        <f>'4.Doanh thu'!G60</f>
        <v>6102652500</v>
      </c>
      <c r="H224" s="447">
        <f>'4.Doanh thu'!H60</f>
        <v>8718075000</v>
      </c>
      <c r="I224" s="447">
        <f>'4.Doanh thu'!I60</f>
        <v>9589882500</v>
      </c>
      <c r="J224" s="447">
        <f>'4.Doanh thu'!J60</f>
        <v>9565132500</v>
      </c>
      <c r="K224" s="447">
        <f>'4.Doanh thu'!K60</f>
        <v>754132500</v>
      </c>
      <c r="L224" s="447">
        <f>'4.Doanh thu'!L60</f>
        <v>754132500</v>
      </c>
      <c r="M224" s="447">
        <f>'4.Doanh thu'!M60</f>
        <v>754132500</v>
      </c>
      <c r="N224" s="447">
        <f>'4.Doanh thu'!N60</f>
        <v>754132500</v>
      </c>
      <c r="O224" s="447">
        <f>'4.Doanh thu'!O60</f>
        <v>754132500</v>
      </c>
      <c r="P224" s="447">
        <f>'4.Doanh thu'!P60</f>
        <v>754132500</v>
      </c>
      <c r="Q224" s="447">
        <f>'4.Doanh thu'!Q60</f>
        <v>754132500</v>
      </c>
      <c r="R224" s="445">
        <f>'4.Doanh thu'!R60</f>
        <v>47100937500</v>
      </c>
      <c r="T224" s="447">
        <f>'4.Doanh thu'!T60</f>
        <v>1877320344</v>
      </c>
      <c r="U224" s="447">
        <f>'4.Doanh thu'!U60</f>
        <v>6536495328</v>
      </c>
      <c r="V224" s="447">
        <f>'4.Doanh thu'!V60</f>
        <v>14483896306</v>
      </c>
      <c r="W224" s="447">
        <f>'4.Doanh thu'!W60</f>
        <v>12027076405</v>
      </c>
      <c r="X224" s="447">
        <f>'4.Doanh thu'!X60</f>
        <v>14830555437</v>
      </c>
      <c r="Y224" s="447">
        <f>'4.Doanh thu'!Y60</f>
        <v>17615726167</v>
      </c>
      <c r="Z224" s="447">
        <f>'4.Doanh thu'!Z60</f>
        <v>19354907734</v>
      </c>
      <c r="AA224" s="447">
        <f>'4.Doanh thu'!AA60</f>
        <v>17560185740</v>
      </c>
      <c r="AB224" s="447">
        <f>'4.Doanh thu'!AB60</f>
        <v>13594466926</v>
      </c>
      <c r="AC224" s="447">
        <f>'4.Doanh thu'!AC60</f>
        <v>8347040000</v>
      </c>
      <c r="AD224" s="447">
        <f>'4.Doanh thu'!AD60</f>
        <v>8347040000</v>
      </c>
      <c r="AE224" s="447">
        <f>'4.Doanh thu'!AE60</f>
        <v>8347040000</v>
      </c>
      <c r="AF224" s="445">
        <f>'4.Doanh thu'!AF60</f>
        <v>142921750387</v>
      </c>
    </row>
    <row r="225" spans="2:32" x14ac:dyDescent="0.35">
      <c r="B225" s="367">
        <v>7</v>
      </c>
      <c r="C225" s="438" t="s">
        <v>687</v>
      </c>
      <c r="D225" s="378" t="s">
        <v>564</v>
      </c>
      <c r="E225" s="438"/>
      <c r="F225" s="447">
        <f>'4.Doanh thu'!F138</f>
        <v>3569175000</v>
      </c>
      <c r="G225" s="447">
        <f>'4.Doanh thu'!G138</f>
        <v>2776025000</v>
      </c>
      <c r="H225" s="447">
        <f>'4.Doanh thu'!H138</f>
        <v>3965750000</v>
      </c>
      <c r="I225" s="447">
        <f>'4.Doanh thu'!I138</f>
        <v>4362325000</v>
      </c>
      <c r="J225" s="447">
        <f>'4.Doanh thu'!J138</f>
        <v>4369846249.999999</v>
      </c>
      <c r="K225" s="447">
        <f>'4.Doanh thu'!K138</f>
        <v>4377367500</v>
      </c>
      <c r="L225" s="447">
        <f>'4.Doanh thu'!L138</f>
        <v>4377367500</v>
      </c>
      <c r="M225" s="447">
        <f>'4.Doanh thu'!M138</f>
        <v>4377367500</v>
      </c>
      <c r="N225" s="447">
        <f>'4.Doanh thu'!N138</f>
        <v>4377367500</v>
      </c>
      <c r="O225" s="447">
        <f>'4.Doanh thu'!O138</f>
        <v>4377367500</v>
      </c>
      <c r="P225" s="447">
        <f>'4.Doanh thu'!P138</f>
        <v>4377367500</v>
      </c>
      <c r="Q225" s="447">
        <f>'4.Doanh thu'!Q138</f>
        <v>4377367500</v>
      </c>
      <c r="R225" s="445">
        <f>'4.Doanh thu'!R138</f>
        <v>49684693750</v>
      </c>
      <c r="T225" s="447">
        <f>'4.Doanh thu'!T138</f>
        <v>3471802198</v>
      </c>
      <c r="U225" s="447">
        <f>'4.Doanh thu'!U138</f>
        <v>154468000</v>
      </c>
      <c r="V225" s="447">
        <f>'4.Doanh thu'!V138</f>
        <v>1758766986</v>
      </c>
      <c r="W225" s="447">
        <f>'4.Doanh thu'!W138</f>
        <v>2745395200</v>
      </c>
      <c r="X225" s="447">
        <f>'4.Doanh thu'!X138</f>
        <v>2751511500</v>
      </c>
      <c r="Y225" s="447">
        <f>'4.Doanh thu'!Y138</f>
        <v>1527402500</v>
      </c>
      <c r="Z225" s="447">
        <f>'4.Doanh thu'!Z138</f>
        <v>2439234980</v>
      </c>
      <c r="AA225" s="447">
        <f>'4.Doanh thu'!AA138</f>
        <v>3312041620</v>
      </c>
      <c r="AB225" s="447">
        <f>'4.Doanh thu'!AB138</f>
        <v>3047040720</v>
      </c>
      <c r="AC225" s="447">
        <f>'4.Doanh thu'!AC138</f>
        <v>1748736000</v>
      </c>
      <c r="AD225" s="447">
        <f>'4.Doanh thu'!AD138</f>
        <v>1748736000</v>
      </c>
      <c r="AE225" s="447">
        <f>'4.Doanh thu'!AE138</f>
        <v>1748736000</v>
      </c>
      <c r="AF225" s="445">
        <f>'4.Doanh thu'!AF138</f>
        <v>26453871704</v>
      </c>
    </row>
    <row r="226" spans="2:32" x14ac:dyDescent="0.35">
      <c r="B226" s="367" t="s">
        <v>688</v>
      </c>
      <c r="C226" s="439" t="s">
        <v>689</v>
      </c>
      <c r="D226" s="378" t="s">
        <v>564</v>
      </c>
      <c r="E226" s="438"/>
      <c r="F226" s="445">
        <f>F224+F225</f>
        <v>11415442500</v>
      </c>
      <c r="G226" s="445">
        <f t="shared" ref="G226:R226" si="97">G224+G225</f>
        <v>8878677500</v>
      </c>
      <c r="H226" s="445">
        <f t="shared" si="97"/>
        <v>12683825000</v>
      </c>
      <c r="I226" s="445">
        <f t="shared" si="97"/>
        <v>13952207500</v>
      </c>
      <c r="J226" s="445">
        <f t="shared" si="97"/>
        <v>13934978750</v>
      </c>
      <c r="K226" s="445">
        <f t="shared" si="97"/>
        <v>5131500000</v>
      </c>
      <c r="L226" s="445">
        <f t="shared" si="97"/>
        <v>5131500000</v>
      </c>
      <c r="M226" s="445">
        <f t="shared" si="97"/>
        <v>5131500000</v>
      </c>
      <c r="N226" s="445">
        <f t="shared" si="97"/>
        <v>5131500000</v>
      </c>
      <c r="O226" s="445">
        <f t="shared" si="97"/>
        <v>5131500000</v>
      </c>
      <c r="P226" s="445">
        <f t="shared" si="97"/>
        <v>5131500000</v>
      </c>
      <c r="Q226" s="445">
        <f t="shared" si="97"/>
        <v>5131500000</v>
      </c>
      <c r="R226" s="445">
        <f t="shared" si="97"/>
        <v>96785631250</v>
      </c>
      <c r="T226" s="445">
        <f>T224+T225</f>
        <v>5349122542</v>
      </c>
      <c r="U226" s="445">
        <f t="shared" ref="U226:AF226" si="98">U224+U225</f>
        <v>6690963328</v>
      </c>
      <c r="V226" s="445">
        <f t="shared" si="98"/>
        <v>16242663292</v>
      </c>
      <c r="W226" s="445">
        <f t="shared" si="98"/>
        <v>14772471605</v>
      </c>
      <c r="X226" s="445">
        <f t="shared" si="98"/>
        <v>17582066937</v>
      </c>
      <c r="Y226" s="445">
        <f t="shared" si="98"/>
        <v>19143128667</v>
      </c>
      <c r="Z226" s="445">
        <f t="shared" si="98"/>
        <v>21794142714</v>
      </c>
      <c r="AA226" s="445">
        <f t="shared" si="98"/>
        <v>20872227360</v>
      </c>
      <c r="AB226" s="445">
        <f t="shared" si="98"/>
        <v>16641507646</v>
      </c>
      <c r="AC226" s="445">
        <f t="shared" si="98"/>
        <v>10095776000</v>
      </c>
      <c r="AD226" s="445">
        <f t="shared" si="98"/>
        <v>10095776000</v>
      </c>
      <c r="AE226" s="445">
        <f t="shared" si="98"/>
        <v>10095776000</v>
      </c>
      <c r="AF226" s="445">
        <f t="shared" si="98"/>
        <v>169375622091</v>
      </c>
    </row>
    <row r="227" spans="2:32" x14ac:dyDescent="0.35">
      <c r="B227" s="367" t="s">
        <v>690</v>
      </c>
      <c r="C227" s="439" t="s">
        <v>691</v>
      </c>
      <c r="D227" s="378" t="s">
        <v>564</v>
      </c>
      <c r="E227" s="438"/>
      <c r="F227" s="447">
        <f>F226-F221</f>
        <v>2293942500</v>
      </c>
      <c r="G227" s="447">
        <f t="shared" ref="G227:R227" si="99">G226-G221</f>
        <v>1784177500</v>
      </c>
      <c r="H227" s="447">
        <f t="shared" si="99"/>
        <v>2548825000</v>
      </c>
      <c r="I227" s="447">
        <f t="shared" si="99"/>
        <v>2803707500</v>
      </c>
      <c r="J227" s="447">
        <f t="shared" si="99"/>
        <v>2786478750</v>
      </c>
      <c r="K227" s="447">
        <f t="shared" si="99"/>
        <v>-436618325</v>
      </c>
      <c r="L227" s="447">
        <f t="shared" si="99"/>
        <v>-436618325</v>
      </c>
      <c r="M227" s="447">
        <f t="shared" si="99"/>
        <v>-436618325</v>
      </c>
      <c r="N227" s="447">
        <f t="shared" si="99"/>
        <v>-436618325</v>
      </c>
      <c r="O227" s="447">
        <f t="shared" si="99"/>
        <v>-436618325</v>
      </c>
      <c r="P227" s="447">
        <f t="shared" si="99"/>
        <v>-436618325</v>
      </c>
      <c r="Q227" s="447">
        <f t="shared" si="99"/>
        <v>-436618325</v>
      </c>
      <c r="R227" s="445">
        <f t="shared" si="99"/>
        <v>9160802975</v>
      </c>
      <c r="T227" s="447">
        <f>T226-T221</f>
        <v>5349122542</v>
      </c>
      <c r="U227" s="447">
        <f t="shared" ref="U227:AF227" si="100">U226-U221</f>
        <v>6690963328</v>
      </c>
      <c r="V227" s="447">
        <f t="shared" si="100"/>
        <v>16242663292</v>
      </c>
      <c r="W227" s="447">
        <f t="shared" si="100"/>
        <v>14772471605</v>
      </c>
      <c r="X227" s="447">
        <f t="shared" si="100"/>
        <v>17582066937</v>
      </c>
      <c r="Y227" s="447">
        <f t="shared" si="100"/>
        <v>19143128667</v>
      </c>
      <c r="Z227" s="447">
        <f t="shared" si="100"/>
        <v>21794142714</v>
      </c>
      <c r="AA227" s="447">
        <f t="shared" si="100"/>
        <v>20872227360</v>
      </c>
      <c r="AB227" s="447">
        <f t="shared" si="100"/>
        <v>16641507646</v>
      </c>
      <c r="AC227" s="447">
        <f t="shared" si="100"/>
        <v>10095776000</v>
      </c>
      <c r="AD227" s="447">
        <f t="shared" si="100"/>
        <v>10095776000</v>
      </c>
      <c r="AE227" s="447">
        <f t="shared" si="100"/>
        <v>10095776000</v>
      </c>
      <c r="AF227" s="445">
        <f t="shared" si="100"/>
        <v>169375622091</v>
      </c>
    </row>
    <row r="228" spans="2:32" x14ac:dyDescent="0.35">
      <c r="B228" s="367">
        <v>10</v>
      </c>
      <c r="C228" s="439" t="s">
        <v>692</v>
      </c>
      <c r="D228" s="378" t="s">
        <v>531</v>
      </c>
      <c r="E228" s="438"/>
      <c r="F228" s="415">
        <f>'4.Doanh thu'!F$80+'4.Doanh thu'!F$22</f>
        <v>769275</v>
      </c>
      <c r="G228" s="415">
        <f>'4.Doanh thu'!G$80+'4.Doanh thu'!G$22</f>
        <v>598325</v>
      </c>
      <c r="H228" s="415">
        <f>'4.Doanh thu'!H$80+'4.Doanh thu'!H$22</f>
        <v>854750</v>
      </c>
      <c r="I228" s="415">
        <f>'4.Doanh thu'!I$80+'4.Doanh thu'!I$22</f>
        <v>940225</v>
      </c>
      <c r="J228" s="415">
        <f>'4.Doanh thu'!J$80+'4.Doanh thu'!J$22</f>
        <v>939070</v>
      </c>
      <c r="K228" s="415">
        <f>'4.Doanh thu'!K$80+'4.Doanh thu'!K$22</f>
        <v>352165</v>
      </c>
      <c r="L228" s="415">
        <f>'4.Doanh thu'!L$80+'4.Doanh thu'!L$22</f>
        <v>352165</v>
      </c>
      <c r="M228" s="415">
        <f>'4.Doanh thu'!M$80+'4.Doanh thu'!M$22</f>
        <v>352165</v>
      </c>
      <c r="N228" s="415">
        <f>'4.Doanh thu'!N$80+'4.Doanh thu'!N$22</f>
        <v>352165</v>
      </c>
      <c r="O228" s="415">
        <f>'4.Doanh thu'!O$80+'4.Doanh thu'!O$22</f>
        <v>352165</v>
      </c>
      <c r="P228" s="415">
        <f>'4.Doanh thu'!P$80+'4.Doanh thu'!P$22</f>
        <v>352165</v>
      </c>
      <c r="Q228" s="415">
        <f>'4.Doanh thu'!Q$80+'4.Doanh thu'!Q$22</f>
        <v>352165</v>
      </c>
      <c r="R228" s="414">
        <f>'4.Doanh thu'!R$80+'4.Doanh thu'!R$22</f>
        <v>6566800</v>
      </c>
      <c r="T228" s="415">
        <f>'4.Doanh thu'!T$80+'4.Doanh thu'!T$22</f>
        <v>296908</v>
      </c>
      <c r="U228" s="415">
        <f>'4.Doanh thu'!U$80+'4.Doanh thu'!U$22</f>
        <v>363752</v>
      </c>
      <c r="V228" s="415">
        <f>'4.Doanh thu'!V$80+'4.Doanh thu'!V$22</f>
        <v>887750</v>
      </c>
      <c r="W228" s="415">
        <f>'4.Doanh thu'!W$80+'4.Doanh thu'!W$22</f>
        <v>800712</v>
      </c>
      <c r="X228" s="415">
        <f>'4.Doanh thu'!X$80+'4.Doanh thu'!X$22</f>
        <v>911632</v>
      </c>
      <c r="Y228" s="415">
        <f>'4.Doanh thu'!Y$80+'4.Doanh thu'!Y$22</f>
        <v>1005231</v>
      </c>
      <c r="Z228" s="415">
        <f>'4.Doanh thu'!Z$80+'4.Doanh thu'!Z$22</f>
        <v>1120090</v>
      </c>
      <c r="AA228" s="415">
        <f>'4.Doanh thu'!AA$80+'4.Doanh thu'!AA$22</f>
        <v>1080389</v>
      </c>
      <c r="AB228" s="415">
        <f>'4.Doanh thu'!AB$80+'4.Doanh thu'!AB$22</f>
        <v>994697</v>
      </c>
      <c r="AC228" s="415">
        <f>'4.Doanh thu'!AC$80+'4.Doanh thu'!AC$22</f>
        <v>679584</v>
      </c>
      <c r="AD228" s="415">
        <f>'4.Doanh thu'!AD$80+'4.Doanh thu'!AD$22</f>
        <v>679584</v>
      </c>
      <c r="AE228" s="415">
        <f>'4.Doanh thu'!AE$80+'4.Doanh thu'!AE$22</f>
        <v>679584</v>
      </c>
      <c r="AF228" s="414">
        <f>'4.Doanh thu'!AF$80+'4.Doanh thu'!AF$22</f>
        <v>9499913</v>
      </c>
    </row>
    <row r="229" spans="2:32" x14ac:dyDescent="0.35">
      <c r="B229" s="367" t="s">
        <v>693</v>
      </c>
      <c r="C229" s="442" t="s">
        <v>694</v>
      </c>
      <c r="D229" s="378" t="s">
        <v>695</v>
      </c>
      <c r="E229" s="380"/>
      <c r="F229" s="381">
        <f>F227/F228</f>
        <v>2981.9537876572099</v>
      </c>
      <c r="G229" s="381">
        <f t="shared" ref="G229:R229" si="101">G227/G228</f>
        <v>2981.9537876572099</v>
      </c>
      <c r="H229" s="381">
        <f t="shared" si="101"/>
        <v>2981.9537876572099</v>
      </c>
      <c r="I229" s="381">
        <f t="shared" si="101"/>
        <v>2981.9537876572099</v>
      </c>
      <c r="J229" s="381">
        <f t="shared" si="101"/>
        <v>2967.2748037952442</v>
      </c>
      <c r="K229" s="1342">
        <f t="shared" si="101"/>
        <v>-1239.8118069654849</v>
      </c>
      <c r="L229" s="1342">
        <f t="shared" si="101"/>
        <v>-1239.8118069654849</v>
      </c>
      <c r="M229" s="1342">
        <f t="shared" si="101"/>
        <v>-1239.8118069654849</v>
      </c>
      <c r="N229" s="1342">
        <f t="shared" si="101"/>
        <v>-1239.8118069654849</v>
      </c>
      <c r="O229" s="1342">
        <f t="shared" si="101"/>
        <v>-1239.8118069654849</v>
      </c>
      <c r="P229" s="1342">
        <f t="shared" si="101"/>
        <v>-1239.8118069654849</v>
      </c>
      <c r="Q229" s="1342">
        <f t="shared" si="101"/>
        <v>-1239.8118069654849</v>
      </c>
      <c r="R229" s="448">
        <f t="shared" si="101"/>
        <v>1395.0178130900895</v>
      </c>
      <c r="T229" s="381">
        <f>T227/T228</f>
        <v>18016.094352459349</v>
      </c>
      <c r="U229" s="381">
        <f t="shared" ref="U229:AF229" si="102">U227/U228</f>
        <v>18394.299764674834</v>
      </c>
      <c r="V229" s="381">
        <f t="shared" si="102"/>
        <v>18296.438515347789</v>
      </c>
      <c r="W229" s="381">
        <f t="shared" si="102"/>
        <v>18449.169745176794</v>
      </c>
      <c r="X229" s="381">
        <f t="shared" si="102"/>
        <v>19286.36438497113</v>
      </c>
      <c r="Y229" s="381">
        <f t="shared" si="102"/>
        <v>19043.512055438005</v>
      </c>
      <c r="Z229" s="381">
        <f t="shared" si="102"/>
        <v>19457.492446142722</v>
      </c>
      <c r="AA229" s="381">
        <f t="shared" si="102"/>
        <v>19319.177962752306</v>
      </c>
      <c r="AB229" s="381">
        <f t="shared" si="102"/>
        <v>16730.228045324355</v>
      </c>
      <c r="AC229" s="381">
        <f t="shared" si="102"/>
        <v>14855.817676696332</v>
      </c>
      <c r="AD229" s="381">
        <f t="shared" si="102"/>
        <v>14855.817676696332</v>
      </c>
      <c r="AE229" s="381">
        <f t="shared" si="102"/>
        <v>14855.817676696332</v>
      </c>
      <c r="AF229" s="448">
        <f t="shared" si="102"/>
        <v>17829.176129402447</v>
      </c>
    </row>
    <row r="230" spans="2:32" x14ac:dyDescent="0.35">
      <c r="F230" s="1343">
        <f t="shared" ref="F230:Q230" si="103">F220/F219</f>
        <v>0.16993272886809008</v>
      </c>
      <c r="G230" s="1343">
        <f t="shared" si="103"/>
        <v>0.16993272886809008</v>
      </c>
      <c r="H230" s="1343">
        <f t="shared" si="103"/>
        <v>0.16993272886809008</v>
      </c>
      <c r="I230" s="1343">
        <f t="shared" si="103"/>
        <v>0.16993272886809008</v>
      </c>
      <c r="J230" s="1343">
        <f t="shared" si="103"/>
        <v>0.17137167623286867</v>
      </c>
      <c r="K230" s="1343">
        <f t="shared" si="103"/>
        <v>0.56004997657348121</v>
      </c>
      <c r="L230" s="1343">
        <f t="shared" si="103"/>
        <v>0.56004997657348121</v>
      </c>
      <c r="M230" s="1343">
        <f t="shared" si="103"/>
        <v>0.56004997657348121</v>
      </c>
      <c r="N230" s="1343">
        <f t="shared" si="103"/>
        <v>0.56004997657348121</v>
      </c>
      <c r="O230" s="1343">
        <f t="shared" si="103"/>
        <v>0.56004997657348121</v>
      </c>
      <c r="P230" s="1343">
        <f t="shared" si="103"/>
        <v>0.56004997657348121</v>
      </c>
      <c r="Q230" s="1343">
        <f t="shared" si="103"/>
        <v>0.56004997657348121</v>
      </c>
      <c r="R230" s="1343">
        <f>R220/R219</f>
        <v>0.31658722665529632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U170"/>
  <sheetViews>
    <sheetView topLeftCell="A153" zoomScale="70" zoomScaleNormal="70" workbookViewId="0">
      <selection activeCell="J166" sqref="J166"/>
    </sheetView>
  </sheetViews>
  <sheetFormatPr defaultRowHeight="14.5" x14ac:dyDescent="0.35"/>
  <cols>
    <col min="1" max="1" width="2.1796875" customWidth="1"/>
    <col min="3" max="3" width="22.26953125" customWidth="1"/>
    <col min="18" max="18" width="10.1796875" bestFit="1" customWidth="1"/>
    <col min="41" max="41" width="18.36328125" customWidth="1"/>
    <col min="42" max="42" width="31.7265625" bestFit="1" customWidth="1"/>
  </cols>
  <sheetData>
    <row r="1" spans="2:39" ht="15.5" x14ac:dyDescent="0.35">
      <c r="B1" s="261"/>
    </row>
    <row r="2" spans="2:39" x14ac:dyDescent="0.35">
      <c r="T2" s="801"/>
      <c r="U2" s="801"/>
      <c r="V2" s="801"/>
      <c r="W2" s="801"/>
      <c r="X2" s="801"/>
      <c r="Y2" s="801"/>
      <c r="Z2" s="801"/>
      <c r="AA2" s="801"/>
      <c r="AB2" s="801"/>
    </row>
    <row r="3" spans="2:39" x14ac:dyDescent="0.35">
      <c r="B3" s="64" t="s">
        <v>521</v>
      </c>
      <c r="T3" s="802"/>
      <c r="U3" s="802"/>
      <c r="V3" s="802"/>
      <c r="W3" s="802"/>
      <c r="X3" s="802"/>
      <c r="Y3" s="802"/>
      <c r="Z3" s="802"/>
      <c r="AA3" s="802"/>
      <c r="AB3" s="802"/>
    </row>
    <row r="4" spans="2:39" x14ac:dyDescent="0.35">
      <c r="B4" s="63" t="s">
        <v>522</v>
      </c>
      <c r="T4" s="801"/>
      <c r="U4" s="801"/>
      <c r="V4" s="801"/>
      <c r="W4" s="801"/>
      <c r="X4" s="801"/>
      <c r="Y4" s="801"/>
      <c r="Z4" s="801"/>
      <c r="AA4" s="801"/>
      <c r="AB4" s="801"/>
      <c r="AC4" s="801"/>
      <c r="AD4" s="801"/>
      <c r="AE4" s="801"/>
    </row>
    <row r="5" spans="2:39" x14ac:dyDescent="0.35">
      <c r="B5" s="4" t="s">
        <v>523</v>
      </c>
      <c r="T5" s="5">
        <v>1</v>
      </c>
      <c r="U5" s="5">
        <v>2</v>
      </c>
      <c r="V5" s="5">
        <v>3</v>
      </c>
      <c r="W5" s="5">
        <v>4</v>
      </c>
      <c r="X5" s="5">
        <v>5</v>
      </c>
      <c r="Y5" s="5">
        <v>6</v>
      </c>
      <c r="Z5" s="5">
        <v>7</v>
      </c>
      <c r="AA5" s="5">
        <v>8</v>
      </c>
      <c r="AB5" s="5">
        <v>9</v>
      </c>
      <c r="AC5" s="5">
        <v>10</v>
      </c>
      <c r="AD5" s="5">
        <v>11</v>
      </c>
      <c r="AE5" s="5">
        <v>12</v>
      </c>
    </row>
    <row r="6" spans="2:39" ht="26" x14ac:dyDescent="0.35">
      <c r="B6" s="187" t="s">
        <v>36</v>
      </c>
      <c r="C6" s="187" t="s">
        <v>524</v>
      </c>
      <c r="D6" s="187" t="s">
        <v>257</v>
      </c>
      <c r="E6" s="116" t="s">
        <v>525</v>
      </c>
      <c r="F6" s="116" t="s">
        <v>149</v>
      </c>
      <c r="G6" s="116" t="s">
        <v>150</v>
      </c>
      <c r="H6" s="116" t="s">
        <v>151</v>
      </c>
      <c r="I6" s="116" t="s">
        <v>152</v>
      </c>
      <c r="J6" s="116" t="s">
        <v>153</v>
      </c>
      <c r="K6" s="116" t="s">
        <v>154</v>
      </c>
      <c r="L6" s="116" t="s">
        <v>155</v>
      </c>
      <c r="M6" s="116" t="s">
        <v>156</v>
      </c>
      <c r="N6" s="116" t="s">
        <v>157</v>
      </c>
      <c r="O6" s="116" t="s">
        <v>158</v>
      </c>
      <c r="P6" s="116" t="s">
        <v>159</v>
      </c>
      <c r="Q6" s="116" t="s">
        <v>160</v>
      </c>
      <c r="R6" s="116" t="s">
        <v>2147</v>
      </c>
      <c r="S6" s="10"/>
      <c r="T6" s="714" t="s">
        <v>149</v>
      </c>
      <c r="U6" s="714" t="s">
        <v>150</v>
      </c>
      <c r="V6" s="714" t="s">
        <v>151</v>
      </c>
      <c r="W6" s="714" t="s">
        <v>152</v>
      </c>
      <c r="X6" s="714" t="s">
        <v>153</v>
      </c>
      <c r="Y6" s="714" t="s">
        <v>154</v>
      </c>
      <c r="Z6" s="714" t="s">
        <v>155</v>
      </c>
      <c r="AA6" s="714" t="s">
        <v>156</v>
      </c>
      <c r="AB6" s="714" t="s">
        <v>157</v>
      </c>
      <c r="AC6" s="714" t="s">
        <v>158</v>
      </c>
      <c r="AD6" s="714" t="s">
        <v>159</v>
      </c>
      <c r="AE6" s="714" t="s">
        <v>160</v>
      </c>
      <c r="AF6" s="714" t="s">
        <v>148</v>
      </c>
      <c r="AG6" s="10"/>
      <c r="AH6" s="714" t="s">
        <v>526</v>
      </c>
      <c r="AI6" s="10"/>
      <c r="AJ6" s="714" t="s">
        <v>527</v>
      </c>
      <c r="AK6" s="10"/>
      <c r="AL6" s="721" t="s">
        <v>528</v>
      </c>
      <c r="AM6" s="722" t="s">
        <v>529</v>
      </c>
    </row>
    <row r="7" spans="2:39" s="1306" customFormat="1" x14ac:dyDescent="0.35">
      <c r="B7" s="1300">
        <v>1</v>
      </c>
      <c r="C7" s="1301" t="s">
        <v>530</v>
      </c>
      <c r="D7" s="1302" t="s">
        <v>531</v>
      </c>
      <c r="E7" s="1304"/>
      <c r="F7" s="1304">
        <f>'3.Thanh pham'!F82</f>
        <v>481950</v>
      </c>
      <c r="G7" s="1304">
        <f>'3.Thanh pham'!G82</f>
        <v>374850</v>
      </c>
      <c r="H7" s="1304">
        <f>'3.Thanh pham'!H82</f>
        <v>535500</v>
      </c>
      <c r="I7" s="1304">
        <f>'3.Thanh pham'!I82</f>
        <v>589050</v>
      </c>
      <c r="J7" s="1304">
        <f>'3.Thanh pham'!J82</f>
        <v>587400</v>
      </c>
      <c r="K7" s="1304">
        <f>'3.Thanh pham'!K82</f>
        <v>0</v>
      </c>
      <c r="L7" s="1304">
        <f>'3.Thanh pham'!L82</f>
        <v>0</v>
      </c>
      <c r="M7" s="1304">
        <f>'3.Thanh pham'!M82</f>
        <v>0</v>
      </c>
      <c r="N7" s="1304">
        <f>'3.Thanh pham'!N82</f>
        <v>0</v>
      </c>
      <c r="O7" s="1304">
        <f>'3.Thanh pham'!O82</f>
        <v>0</v>
      </c>
      <c r="P7" s="1304">
        <f>'3.Thanh pham'!P82</f>
        <v>0</v>
      </c>
      <c r="Q7" s="1304">
        <f>'3.Thanh pham'!Q82</f>
        <v>0</v>
      </c>
      <c r="R7" s="1305">
        <f>SUM(F7:Q7)</f>
        <v>2568750</v>
      </c>
      <c r="S7" s="1384">
        <f>R7/$R$22</f>
        <v>0.77914691943127967</v>
      </c>
      <c r="T7" s="1304">
        <v>95215</v>
      </c>
      <c r="U7" s="1304">
        <v>258158</v>
      </c>
      <c r="V7" s="1304">
        <v>538935</v>
      </c>
      <c r="W7" s="1304">
        <v>507551</v>
      </c>
      <c r="X7" s="1304">
        <v>557652</v>
      </c>
      <c r="Y7" s="1304">
        <v>233713</v>
      </c>
      <c r="Z7" s="1304"/>
      <c r="AA7" s="1304"/>
      <c r="AB7" s="1304"/>
      <c r="AC7" s="1304"/>
      <c r="AD7" s="1304"/>
      <c r="AE7" s="1304"/>
      <c r="AF7" s="1305">
        <f>SUM(T7:AE7)</f>
        <v>2191224</v>
      </c>
      <c r="AG7" s="1335">
        <f>AF7/$AF$22</f>
        <v>0.27106045675512319</v>
      </c>
      <c r="AH7" s="1305"/>
      <c r="AJ7" s="1305"/>
      <c r="AL7" s="1415">
        <f>IFERROR(R7-AF7,0)</f>
        <v>377526</v>
      </c>
      <c r="AM7" s="1416">
        <f>IFERROR((R7/AF7)-1,0)</f>
        <v>0.17229000777647552</v>
      </c>
    </row>
    <row r="8" spans="2:39" ht="25" x14ac:dyDescent="0.35">
      <c r="B8" s="128">
        <v>2</v>
      </c>
      <c r="C8" s="129" t="s">
        <v>532</v>
      </c>
      <c r="D8" s="130" t="s">
        <v>531</v>
      </c>
      <c r="E8" s="925"/>
      <c r="F8" s="925">
        <f>'3.Thanh pham'!F83</f>
        <v>0</v>
      </c>
      <c r="G8" s="925">
        <f>'3.Thanh pham'!G83</f>
        <v>0</v>
      </c>
      <c r="H8" s="925">
        <f>'3.Thanh pham'!H83</f>
        <v>0</v>
      </c>
      <c r="I8" s="925">
        <f>'3.Thanh pham'!I83</f>
        <v>0</v>
      </c>
      <c r="J8" s="925">
        <f>'3.Thanh pham'!J83</f>
        <v>0</v>
      </c>
      <c r="K8" s="925">
        <f>'3.Thanh pham'!K83</f>
        <v>0</v>
      </c>
      <c r="L8" s="925">
        <f>'3.Thanh pham'!L83</f>
        <v>0</v>
      </c>
      <c r="M8" s="925">
        <f>'3.Thanh pham'!M83</f>
        <v>0</v>
      </c>
      <c r="N8" s="925">
        <f>'3.Thanh pham'!N83</f>
        <v>0</v>
      </c>
      <c r="O8" s="925">
        <f>'3.Thanh pham'!O83</f>
        <v>0</v>
      </c>
      <c r="P8" s="925">
        <f>'3.Thanh pham'!P83</f>
        <v>0</v>
      </c>
      <c r="Q8" s="925">
        <f>'3.Thanh pham'!Q83</f>
        <v>0</v>
      </c>
      <c r="R8" s="158">
        <f t="shared" ref="R8:R21" si="0">SUM(F8:Q8)</f>
        <v>0</v>
      </c>
      <c r="S8" s="1299">
        <f t="shared" ref="S8:S22" si="1">R8/$R$22</f>
        <v>0</v>
      </c>
      <c r="T8" s="925"/>
      <c r="U8" s="925"/>
      <c r="V8" s="925"/>
      <c r="W8" s="925"/>
      <c r="X8" s="925"/>
      <c r="Y8" s="925">
        <v>482670</v>
      </c>
      <c r="Z8" s="925">
        <v>900335</v>
      </c>
      <c r="AA8" s="925">
        <v>847972</v>
      </c>
      <c r="AB8" s="925">
        <v>780422</v>
      </c>
      <c r="AC8" s="925">
        <v>532000</v>
      </c>
      <c r="AD8" s="925">
        <v>532000</v>
      </c>
      <c r="AE8" s="925">
        <v>532000</v>
      </c>
      <c r="AF8" s="158">
        <f t="shared" ref="AF8:AF21" si="2">SUM(T8:AE8)</f>
        <v>4607399</v>
      </c>
      <c r="AG8" s="1299">
        <f t="shared" ref="AG8:AG22" si="3">AF8/$AF$22</f>
        <v>0.56994797309316525</v>
      </c>
      <c r="AH8" s="158"/>
      <c r="AJ8" s="158"/>
      <c r="AL8" s="925">
        <f t="shared" ref="AL8:AL22" si="4">IFERROR(R8-AF8,0)</f>
        <v>-4607399</v>
      </c>
      <c r="AM8" s="926">
        <f t="shared" ref="AM8:AM22" si="5">IFERROR((R8/AF8)-1,0)</f>
        <v>-1</v>
      </c>
    </row>
    <row r="9" spans="2:39" x14ac:dyDescent="0.35">
      <c r="B9" s="128">
        <v>3</v>
      </c>
      <c r="C9" s="129" t="s">
        <v>533</v>
      </c>
      <c r="D9" s="130" t="s">
        <v>531</v>
      </c>
      <c r="E9" s="925"/>
      <c r="F9" s="925">
        <f>'3.Thanh pham'!F84</f>
        <v>0</v>
      </c>
      <c r="G9" s="925">
        <f>'3.Thanh pham'!G84</f>
        <v>0</v>
      </c>
      <c r="H9" s="925">
        <f>'3.Thanh pham'!H84</f>
        <v>0</v>
      </c>
      <c r="I9" s="925">
        <f>'3.Thanh pham'!I84</f>
        <v>0</v>
      </c>
      <c r="J9" s="925">
        <f>'3.Thanh pham'!J84</f>
        <v>0</v>
      </c>
      <c r="K9" s="925">
        <f>'3.Thanh pham'!K84</f>
        <v>0</v>
      </c>
      <c r="L9" s="925">
        <f>'3.Thanh pham'!L84</f>
        <v>0</v>
      </c>
      <c r="M9" s="925">
        <f>'3.Thanh pham'!M84</f>
        <v>0</v>
      </c>
      <c r="N9" s="925">
        <f>'3.Thanh pham'!N84</f>
        <v>0</v>
      </c>
      <c r="O9" s="925">
        <f>'3.Thanh pham'!O84</f>
        <v>0</v>
      </c>
      <c r="P9" s="925">
        <f>'3.Thanh pham'!P84</f>
        <v>0</v>
      </c>
      <c r="Q9" s="925">
        <f>'3.Thanh pham'!Q84</f>
        <v>0</v>
      </c>
      <c r="R9" s="158">
        <f t="shared" si="0"/>
        <v>0</v>
      </c>
      <c r="S9" s="1299">
        <f t="shared" si="1"/>
        <v>0</v>
      </c>
      <c r="T9" s="925"/>
      <c r="U9" s="925"/>
      <c r="V9" s="925"/>
      <c r="W9" s="925"/>
      <c r="X9" s="925">
        <v>80328</v>
      </c>
      <c r="Y9" s="925">
        <v>49992</v>
      </c>
      <c r="Z9" s="925"/>
      <c r="AA9" s="925"/>
      <c r="AB9" s="925"/>
      <c r="AC9" s="925"/>
      <c r="AD9" s="925"/>
      <c r="AE9" s="925"/>
      <c r="AF9" s="158">
        <f t="shared" si="2"/>
        <v>130320</v>
      </c>
      <c r="AG9" s="1299">
        <f t="shared" si="3"/>
        <v>1.6120943693719882E-2</v>
      </c>
      <c r="AH9" s="158"/>
      <c r="AJ9" s="158"/>
      <c r="AL9" s="925">
        <f t="shared" si="4"/>
        <v>-130320</v>
      </c>
      <c r="AM9" s="926">
        <f t="shared" si="5"/>
        <v>-1</v>
      </c>
    </row>
    <row r="10" spans="2:39" x14ac:dyDescent="0.35">
      <c r="B10" s="128">
        <v>4</v>
      </c>
      <c r="C10" s="129" t="s">
        <v>534</v>
      </c>
      <c r="D10" s="130" t="s">
        <v>531</v>
      </c>
      <c r="E10" s="925"/>
      <c r="F10" s="925">
        <f>'3.Thanh pham'!F85</f>
        <v>0</v>
      </c>
      <c r="G10" s="925">
        <f>'3.Thanh pham'!G85</f>
        <v>0</v>
      </c>
      <c r="H10" s="925">
        <f>'3.Thanh pham'!H85</f>
        <v>0</v>
      </c>
      <c r="I10" s="925">
        <f>'3.Thanh pham'!I85</f>
        <v>0</v>
      </c>
      <c r="J10" s="925">
        <f>'3.Thanh pham'!J85</f>
        <v>0</v>
      </c>
      <c r="K10" s="925">
        <f>'3.Thanh pham'!K85</f>
        <v>0</v>
      </c>
      <c r="L10" s="925">
        <f>'3.Thanh pham'!L85</f>
        <v>0</v>
      </c>
      <c r="M10" s="925">
        <f>'3.Thanh pham'!M85</f>
        <v>0</v>
      </c>
      <c r="N10" s="925">
        <f>'3.Thanh pham'!N85</f>
        <v>0</v>
      </c>
      <c r="O10" s="925">
        <f>'3.Thanh pham'!O85</f>
        <v>0</v>
      </c>
      <c r="P10" s="925">
        <f>'3.Thanh pham'!P85</f>
        <v>0</v>
      </c>
      <c r="Q10" s="925">
        <f>'3.Thanh pham'!Q85</f>
        <v>0</v>
      </c>
      <c r="R10" s="158">
        <f t="shared" si="0"/>
        <v>0</v>
      </c>
      <c r="S10" s="1299">
        <f t="shared" si="1"/>
        <v>0</v>
      </c>
      <c r="T10" s="925"/>
      <c r="U10" s="925"/>
      <c r="V10" s="925"/>
      <c r="W10" s="925"/>
      <c r="X10" s="925"/>
      <c r="Y10" s="925"/>
      <c r="Z10" s="925"/>
      <c r="AA10" s="925"/>
      <c r="AB10" s="925"/>
      <c r="AC10" s="925"/>
      <c r="AD10" s="925"/>
      <c r="AE10" s="925"/>
      <c r="AF10" s="158">
        <f t="shared" si="2"/>
        <v>0</v>
      </c>
      <c r="AG10" s="1299">
        <f t="shared" si="3"/>
        <v>0</v>
      </c>
      <c r="AH10" s="158"/>
      <c r="AJ10" s="158"/>
      <c r="AL10" s="925">
        <f t="shared" si="4"/>
        <v>0</v>
      </c>
      <c r="AM10" s="926">
        <f t="shared" si="5"/>
        <v>0</v>
      </c>
    </row>
    <row r="11" spans="2:39" s="1306" customFormat="1" x14ac:dyDescent="0.35">
      <c r="B11" s="1300">
        <v>5</v>
      </c>
      <c r="C11" s="1301" t="s">
        <v>535</v>
      </c>
      <c r="D11" s="1302" t="s">
        <v>531</v>
      </c>
      <c r="E11" s="1304"/>
      <c r="F11" s="1304">
        <f>'3.Thanh pham'!F86</f>
        <v>17100</v>
      </c>
      <c r="G11" s="1304">
        <f>'3.Thanh pham'!G86</f>
        <v>13300</v>
      </c>
      <c r="H11" s="1304">
        <f>'3.Thanh pham'!H86</f>
        <v>19000</v>
      </c>
      <c r="I11" s="1304">
        <f>'3.Thanh pham'!I86</f>
        <v>20900</v>
      </c>
      <c r="J11" s="1304">
        <f>'3.Thanh pham'!J86</f>
        <v>20900</v>
      </c>
      <c r="K11" s="1304">
        <f>'3.Thanh pham'!K86</f>
        <v>20900</v>
      </c>
      <c r="L11" s="1304">
        <f>'3.Thanh pham'!L86</f>
        <v>20900</v>
      </c>
      <c r="M11" s="1304">
        <f>'3.Thanh pham'!M86</f>
        <v>20900</v>
      </c>
      <c r="N11" s="1304">
        <f>'3.Thanh pham'!N86</f>
        <v>20900</v>
      </c>
      <c r="O11" s="1304">
        <f>'3.Thanh pham'!O86</f>
        <v>20900</v>
      </c>
      <c r="P11" s="1304">
        <f>'3.Thanh pham'!P86</f>
        <v>20900</v>
      </c>
      <c r="Q11" s="1304">
        <f>'3.Thanh pham'!Q86</f>
        <v>20900</v>
      </c>
      <c r="R11" s="1305">
        <f t="shared" si="0"/>
        <v>237500</v>
      </c>
      <c r="S11" s="1384">
        <f t="shared" si="1"/>
        <v>7.2037914691943122E-2</v>
      </c>
      <c r="T11" s="1304">
        <v>5203</v>
      </c>
      <c r="U11" s="1304">
        <v>5344</v>
      </c>
      <c r="V11" s="1304">
        <v>11596</v>
      </c>
      <c r="W11" s="1304">
        <v>7094</v>
      </c>
      <c r="X11" s="1304">
        <v>8782</v>
      </c>
      <c r="Y11" s="1304">
        <v>8738</v>
      </c>
      <c r="Z11" s="1304">
        <v>18437</v>
      </c>
      <c r="AA11" s="1304"/>
      <c r="AB11" s="1304"/>
      <c r="AC11" s="1304"/>
      <c r="AD11" s="1304"/>
      <c r="AE11" s="1304"/>
      <c r="AF11" s="1305">
        <f t="shared" si="2"/>
        <v>65194</v>
      </c>
      <c r="AG11" s="1384">
        <f t="shared" si="3"/>
        <v>8.0646777407026859E-3</v>
      </c>
      <c r="AH11" s="1305"/>
      <c r="AJ11" s="1305"/>
      <c r="AL11" s="1304">
        <f t="shared" si="4"/>
        <v>172306</v>
      </c>
      <c r="AM11" s="1417">
        <f t="shared" si="5"/>
        <v>2.6429732797496701</v>
      </c>
    </row>
    <row r="12" spans="2:39" x14ac:dyDescent="0.35">
      <c r="B12" s="128">
        <v>6</v>
      </c>
      <c r="C12" s="129" t="s">
        <v>536</v>
      </c>
      <c r="D12" s="130" t="s">
        <v>531</v>
      </c>
      <c r="E12" s="925"/>
      <c r="F12" s="925">
        <f>'3.Thanh pham'!F87</f>
        <v>0</v>
      </c>
      <c r="G12" s="925">
        <f>'3.Thanh pham'!G87</f>
        <v>0</v>
      </c>
      <c r="H12" s="925">
        <f>'3.Thanh pham'!H87</f>
        <v>0</v>
      </c>
      <c r="I12" s="925">
        <f>'3.Thanh pham'!I87</f>
        <v>0</v>
      </c>
      <c r="J12" s="925">
        <f>'3.Thanh pham'!J87</f>
        <v>0</v>
      </c>
      <c r="K12" s="925">
        <f>'3.Thanh pham'!K87</f>
        <v>0</v>
      </c>
      <c r="L12" s="925">
        <f>'3.Thanh pham'!L87</f>
        <v>0</v>
      </c>
      <c r="M12" s="925">
        <f>'3.Thanh pham'!M87</f>
        <v>0</v>
      </c>
      <c r="N12" s="925">
        <f>'3.Thanh pham'!N87</f>
        <v>0</v>
      </c>
      <c r="O12" s="925">
        <f>'3.Thanh pham'!O87</f>
        <v>0</v>
      </c>
      <c r="P12" s="925">
        <f>'3.Thanh pham'!P87</f>
        <v>0</v>
      </c>
      <c r="Q12" s="925">
        <f>'3.Thanh pham'!Q87</f>
        <v>0</v>
      </c>
      <c r="R12" s="158">
        <f t="shared" si="0"/>
        <v>0</v>
      </c>
      <c r="S12" s="1299">
        <f t="shared" si="1"/>
        <v>0</v>
      </c>
      <c r="T12" s="925"/>
      <c r="U12" s="925"/>
      <c r="V12" s="925"/>
      <c r="W12" s="925"/>
      <c r="X12" s="925"/>
      <c r="Y12" s="925"/>
      <c r="Z12" s="925"/>
      <c r="AA12" s="925"/>
      <c r="AB12" s="925"/>
      <c r="AC12" s="925"/>
      <c r="AD12" s="925"/>
      <c r="AE12" s="925"/>
      <c r="AF12" s="158">
        <f t="shared" si="2"/>
        <v>0</v>
      </c>
      <c r="AG12" s="1299">
        <f t="shared" si="3"/>
        <v>0</v>
      </c>
      <c r="AH12" s="158"/>
      <c r="AJ12" s="158"/>
      <c r="AL12" s="925">
        <f t="shared" si="4"/>
        <v>0</v>
      </c>
      <c r="AM12" s="926">
        <f t="shared" si="5"/>
        <v>0</v>
      </c>
    </row>
    <row r="13" spans="2:39" s="1306" customFormat="1" x14ac:dyDescent="0.35">
      <c r="B13" s="1300">
        <v>7</v>
      </c>
      <c r="C13" s="1301" t="s">
        <v>537</v>
      </c>
      <c r="D13" s="1302" t="s">
        <v>531</v>
      </c>
      <c r="E13" s="1304"/>
      <c r="F13" s="1304">
        <f>'3.Thanh pham'!F88</f>
        <v>12600</v>
      </c>
      <c r="G13" s="1304">
        <f>'3.Thanh pham'!G88</f>
        <v>9800</v>
      </c>
      <c r="H13" s="1304">
        <f>'3.Thanh pham'!H88</f>
        <v>14000</v>
      </c>
      <c r="I13" s="1304">
        <f>'3.Thanh pham'!I88</f>
        <v>15400</v>
      </c>
      <c r="J13" s="1304">
        <f>'3.Thanh pham'!J88</f>
        <v>14850</v>
      </c>
      <c r="K13" s="1304">
        <f>'3.Thanh pham'!K88</f>
        <v>14300</v>
      </c>
      <c r="L13" s="1304">
        <f>'3.Thanh pham'!L88</f>
        <v>14300</v>
      </c>
      <c r="M13" s="1304">
        <f>'3.Thanh pham'!M88</f>
        <v>14300</v>
      </c>
      <c r="N13" s="1304">
        <f>'3.Thanh pham'!N88</f>
        <v>14300</v>
      </c>
      <c r="O13" s="1304">
        <f>'3.Thanh pham'!O88</f>
        <v>14300</v>
      </c>
      <c r="P13" s="1304">
        <f>'3.Thanh pham'!P88</f>
        <v>14300</v>
      </c>
      <c r="Q13" s="1304">
        <f>'3.Thanh pham'!Q88</f>
        <v>14300</v>
      </c>
      <c r="R13" s="1305">
        <f t="shared" si="0"/>
        <v>166750</v>
      </c>
      <c r="S13" s="1384">
        <f t="shared" si="1"/>
        <v>5.0578199052132698E-2</v>
      </c>
      <c r="T13" s="1304">
        <v>2549</v>
      </c>
      <c r="U13" s="1304">
        <v>5479</v>
      </c>
      <c r="V13" s="1304">
        <v>7960</v>
      </c>
      <c r="W13" s="1304">
        <v>8266</v>
      </c>
      <c r="X13" s="1304">
        <v>12120</v>
      </c>
      <c r="Y13" s="1304">
        <v>12690</v>
      </c>
      <c r="Z13" s="1304">
        <v>18437</v>
      </c>
      <c r="AA13" s="1304">
        <v>16543</v>
      </c>
      <c r="AB13" s="1304">
        <v>17306</v>
      </c>
      <c r="AC13" s="1304">
        <v>14800</v>
      </c>
      <c r="AD13" s="1304">
        <v>14800</v>
      </c>
      <c r="AE13" s="1304">
        <v>14800</v>
      </c>
      <c r="AF13" s="1305">
        <f t="shared" si="2"/>
        <v>145750</v>
      </c>
      <c r="AG13" s="1384">
        <f t="shared" si="3"/>
        <v>1.8029677281765445E-2</v>
      </c>
      <c r="AH13" s="1305"/>
      <c r="AJ13" s="1305"/>
      <c r="AL13" s="1304">
        <f t="shared" si="4"/>
        <v>21000</v>
      </c>
      <c r="AM13" s="1417">
        <f t="shared" si="5"/>
        <v>0.14408233276157811</v>
      </c>
    </row>
    <row r="14" spans="2:39" s="1306" customFormat="1" x14ac:dyDescent="0.35">
      <c r="B14" s="1300">
        <v>8</v>
      </c>
      <c r="C14" s="1301" t="s">
        <v>538</v>
      </c>
      <c r="D14" s="1302" t="s">
        <v>531</v>
      </c>
      <c r="E14" s="1304"/>
      <c r="F14" s="1304">
        <f>'3.Thanh pham'!F89</f>
        <v>13050</v>
      </c>
      <c r="G14" s="1304">
        <f>'3.Thanh pham'!G89</f>
        <v>10150</v>
      </c>
      <c r="H14" s="1304">
        <f>'3.Thanh pham'!H89</f>
        <v>14500</v>
      </c>
      <c r="I14" s="1304">
        <f>'3.Thanh pham'!I89</f>
        <v>15950</v>
      </c>
      <c r="J14" s="1304">
        <f>'3.Thanh pham'!J89</f>
        <v>16500</v>
      </c>
      <c r="K14" s="1304">
        <f>'3.Thanh pham'!K89</f>
        <v>17050</v>
      </c>
      <c r="L14" s="1304">
        <f>'3.Thanh pham'!L89</f>
        <v>17050</v>
      </c>
      <c r="M14" s="1304">
        <f>'3.Thanh pham'!M89</f>
        <v>17050</v>
      </c>
      <c r="N14" s="1304">
        <f>'3.Thanh pham'!N89</f>
        <v>17050</v>
      </c>
      <c r="O14" s="1304">
        <f>'3.Thanh pham'!O89</f>
        <v>17050</v>
      </c>
      <c r="P14" s="1304">
        <f>'3.Thanh pham'!P89</f>
        <v>17050</v>
      </c>
      <c r="Q14" s="1304">
        <f>'3.Thanh pham'!Q89</f>
        <v>17050</v>
      </c>
      <c r="R14" s="1305">
        <f t="shared" si="0"/>
        <v>189500</v>
      </c>
      <c r="S14" s="1384">
        <f t="shared" si="1"/>
        <v>5.7478672985781992E-2</v>
      </c>
      <c r="T14" s="1304">
        <v>3705</v>
      </c>
      <c r="U14" s="1304">
        <v>4465</v>
      </c>
      <c r="V14" s="1304">
        <v>6777</v>
      </c>
      <c r="W14" s="1304">
        <v>7726</v>
      </c>
      <c r="X14" s="1304">
        <v>7663</v>
      </c>
      <c r="Y14" s="1304">
        <v>10724</v>
      </c>
      <c r="Z14" s="1304">
        <v>22576</v>
      </c>
      <c r="AA14" s="1304">
        <v>18134</v>
      </c>
      <c r="AB14" s="1304">
        <v>16133</v>
      </c>
      <c r="AC14" s="1304">
        <v>13200</v>
      </c>
      <c r="AD14" s="1304">
        <v>13200</v>
      </c>
      <c r="AE14" s="1304">
        <v>13200</v>
      </c>
      <c r="AF14" s="1305">
        <f t="shared" si="2"/>
        <v>137503</v>
      </c>
      <c r="AG14" s="1384">
        <f t="shared" si="3"/>
        <v>1.7009500619379721E-2</v>
      </c>
      <c r="AH14" s="1305"/>
      <c r="AJ14" s="1305"/>
      <c r="AL14" s="1304">
        <f t="shared" si="4"/>
        <v>51997</v>
      </c>
      <c r="AM14" s="1417">
        <f t="shared" si="5"/>
        <v>0.37815174941637641</v>
      </c>
    </row>
    <row r="15" spans="2:39" x14ac:dyDescent="0.35">
      <c r="B15" s="128">
        <v>9</v>
      </c>
      <c r="C15" s="129" t="s">
        <v>539</v>
      </c>
      <c r="D15" s="130" t="s">
        <v>531</v>
      </c>
      <c r="E15" s="925"/>
      <c r="F15" s="925">
        <f>'3.Thanh pham'!F90</f>
        <v>0</v>
      </c>
      <c r="G15" s="925">
        <f>'3.Thanh pham'!G90</f>
        <v>0</v>
      </c>
      <c r="H15" s="925">
        <f>'3.Thanh pham'!H90</f>
        <v>0</v>
      </c>
      <c r="I15" s="925">
        <f>'3.Thanh pham'!I90</f>
        <v>0</v>
      </c>
      <c r="J15" s="925">
        <f>'3.Thanh pham'!J90</f>
        <v>0</v>
      </c>
      <c r="K15" s="925">
        <f>'3.Thanh pham'!K90</f>
        <v>0</v>
      </c>
      <c r="L15" s="925">
        <f>'3.Thanh pham'!L90</f>
        <v>0</v>
      </c>
      <c r="M15" s="925">
        <f>'3.Thanh pham'!M90</f>
        <v>0</v>
      </c>
      <c r="N15" s="925">
        <f>'3.Thanh pham'!N90</f>
        <v>0</v>
      </c>
      <c r="O15" s="925">
        <f>'3.Thanh pham'!O90</f>
        <v>0</v>
      </c>
      <c r="P15" s="925">
        <f>'3.Thanh pham'!P90</f>
        <v>0</v>
      </c>
      <c r="Q15" s="925">
        <f>'3.Thanh pham'!Q90</f>
        <v>0</v>
      </c>
      <c r="R15" s="158">
        <f t="shared" si="0"/>
        <v>0</v>
      </c>
      <c r="S15" s="1299">
        <f t="shared" si="1"/>
        <v>0</v>
      </c>
      <c r="T15" s="925"/>
      <c r="U15" s="925"/>
      <c r="V15" s="925"/>
      <c r="W15" s="925"/>
      <c r="X15" s="925"/>
      <c r="Y15" s="925"/>
      <c r="Z15" s="925"/>
      <c r="AA15" s="925"/>
      <c r="AB15" s="925"/>
      <c r="AC15" s="925">
        <v>0</v>
      </c>
      <c r="AD15" s="925">
        <v>0</v>
      </c>
      <c r="AE15" s="925">
        <v>0</v>
      </c>
      <c r="AF15" s="158">
        <f t="shared" si="2"/>
        <v>0</v>
      </c>
      <c r="AG15" s="1299">
        <f t="shared" si="3"/>
        <v>0</v>
      </c>
      <c r="AH15" s="158"/>
      <c r="AJ15" s="158"/>
      <c r="AL15" s="925">
        <f t="shared" si="4"/>
        <v>0</v>
      </c>
      <c r="AM15" s="926">
        <f t="shared" si="5"/>
        <v>0</v>
      </c>
    </row>
    <row r="16" spans="2:39" x14ac:dyDescent="0.35">
      <c r="B16" s="128">
        <v>10</v>
      </c>
      <c r="C16" s="129" t="s">
        <v>540</v>
      </c>
      <c r="D16" s="130" t="s">
        <v>531</v>
      </c>
      <c r="E16" s="925"/>
      <c r="F16" s="925">
        <f>'3.Thanh pham'!F91</f>
        <v>0</v>
      </c>
      <c r="G16" s="925">
        <f>'3.Thanh pham'!G91</f>
        <v>0</v>
      </c>
      <c r="H16" s="925">
        <f>'3.Thanh pham'!H91</f>
        <v>0</v>
      </c>
      <c r="I16" s="925">
        <f>'3.Thanh pham'!I91</f>
        <v>0</v>
      </c>
      <c r="J16" s="925">
        <f>'3.Thanh pham'!J91</f>
        <v>0</v>
      </c>
      <c r="K16" s="925">
        <f>'3.Thanh pham'!K91</f>
        <v>0</v>
      </c>
      <c r="L16" s="925">
        <f>'3.Thanh pham'!L91</f>
        <v>0</v>
      </c>
      <c r="M16" s="925">
        <f>'3.Thanh pham'!M91</f>
        <v>0</v>
      </c>
      <c r="N16" s="925">
        <f>'3.Thanh pham'!N91</f>
        <v>0</v>
      </c>
      <c r="O16" s="925">
        <f>'3.Thanh pham'!O91</f>
        <v>0</v>
      </c>
      <c r="P16" s="925">
        <f>'3.Thanh pham'!P91</f>
        <v>0</v>
      </c>
      <c r="Q16" s="925">
        <f>'3.Thanh pham'!Q91</f>
        <v>0</v>
      </c>
      <c r="R16" s="158">
        <f t="shared" ref="R16:R17" si="6">SUM(F16:Q16)</f>
        <v>0</v>
      </c>
      <c r="S16" s="1299">
        <f t="shared" si="1"/>
        <v>0</v>
      </c>
      <c r="T16" s="925"/>
      <c r="U16" s="925">
        <v>81842</v>
      </c>
      <c r="V16" s="925">
        <v>200774</v>
      </c>
      <c r="W16" s="925">
        <v>77058</v>
      </c>
      <c r="X16" s="925">
        <v>77833</v>
      </c>
      <c r="Y16" s="925">
        <v>103518</v>
      </c>
      <c r="Z16" s="925">
        <v>31459</v>
      </c>
      <c r="AA16" s="925">
        <v>21348</v>
      </c>
      <c r="AB16" s="925"/>
      <c r="AC16" s="925">
        <v>0</v>
      </c>
      <c r="AD16" s="925">
        <v>0</v>
      </c>
      <c r="AE16" s="925">
        <v>0</v>
      </c>
      <c r="AF16" s="158">
        <f t="shared" si="2"/>
        <v>593832</v>
      </c>
      <c r="AG16" s="1299">
        <f t="shared" si="3"/>
        <v>7.3458657424256182E-2</v>
      </c>
      <c r="AH16" s="158"/>
      <c r="AJ16" s="158"/>
      <c r="AL16" s="925">
        <f t="shared" si="4"/>
        <v>-593832</v>
      </c>
      <c r="AM16" s="926">
        <f t="shared" si="5"/>
        <v>-1</v>
      </c>
    </row>
    <row r="17" spans="2:47" x14ac:dyDescent="0.35">
      <c r="B17" s="128">
        <v>11</v>
      </c>
      <c r="C17" s="129" t="s">
        <v>541</v>
      </c>
      <c r="D17" s="130" t="s">
        <v>531</v>
      </c>
      <c r="E17" s="925"/>
      <c r="F17" s="925">
        <f>'3.Thanh pham'!F92</f>
        <v>0</v>
      </c>
      <c r="G17" s="925">
        <f>'3.Thanh pham'!G92</f>
        <v>0</v>
      </c>
      <c r="H17" s="925">
        <f>'3.Thanh pham'!H92</f>
        <v>0</v>
      </c>
      <c r="I17" s="925">
        <f>'3.Thanh pham'!I92</f>
        <v>0</v>
      </c>
      <c r="J17" s="925">
        <f>'3.Thanh pham'!J92</f>
        <v>0</v>
      </c>
      <c r="K17" s="925">
        <f>'3.Thanh pham'!K92</f>
        <v>0</v>
      </c>
      <c r="L17" s="925">
        <f>'3.Thanh pham'!L92</f>
        <v>0</v>
      </c>
      <c r="M17" s="925">
        <f>'3.Thanh pham'!M92</f>
        <v>0</v>
      </c>
      <c r="N17" s="925">
        <f>'3.Thanh pham'!N92</f>
        <v>0</v>
      </c>
      <c r="O17" s="925">
        <f>'3.Thanh pham'!O92</f>
        <v>0</v>
      </c>
      <c r="P17" s="925">
        <f>'3.Thanh pham'!P92</f>
        <v>0</v>
      </c>
      <c r="Q17" s="925">
        <f>'3.Thanh pham'!Q92</f>
        <v>0</v>
      </c>
      <c r="R17" s="158">
        <f t="shared" si="6"/>
        <v>0</v>
      </c>
      <c r="S17" s="1299">
        <f t="shared" si="1"/>
        <v>0</v>
      </c>
      <c r="T17" s="925"/>
      <c r="U17" s="925"/>
      <c r="V17" s="925"/>
      <c r="W17" s="925">
        <v>461</v>
      </c>
      <c r="X17" s="925">
        <v>215</v>
      </c>
      <c r="Y17" s="925"/>
      <c r="Z17" s="925">
        <v>299</v>
      </c>
      <c r="AA17" s="925"/>
      <c r="AB17" s="925">
        <v>3363</v>
      </c>
      <c r="AC17" s="925"/>
      <c r="AD17" s="925"/>
      <c r="AE17" s="925"/>
      <c r="AF17" s="158">
        <f t="shared" si="2"/>
        <v>4338</v>
      </c>
      <c r="AG17" s="1299">
        <f t="shared" si="3"/>
        <v>5.3662257323017844E-4</v>
      </c>
      <c r="AH17" s="158"/>
      <c r="AJ17" s="158"/>
      <c r="AL17" s="925">
        <f t="shared" si="4"/>
        <v>-4338</v>
      </c>
      <c r="AM17" s="926">
        <f t="shared" si="5"/>
        <v>-1</v>
      </c>
    </row>
    <row r="18" spans="2:47" x14ac:dyDescent="0.35">
      <c r="B18" s="128">
        <v>12</v>
      </c>
      <c r="C18" s="129" t="s">
        <v>542</v>
      </c>
      <c r="D18" s="130" t="s">
        <v>531</v>
      </c>
      <c r="E18" s="925"/>
      <c r="F18" s="925">
        <f>'3.Thanh pham'!F93</f>
        <v>0</v>
      </c>
      <c r="G18" s="925">
        <f>'3.Thanh pham'!G93</f>
        <v>0</v>
      </c>
      <c r="H18" s="925">
        <f>'3.Thanh pham'!H93</f>
        <v>0</v>
      </c>
      <c r="I18" s="925">
        <f>'3.Thanh pham'!I93</f>
        <v>0</v>
      </c>
      <c r="J18" s="925">
        <f>'3.Thanh pham'!J93</f>
        <v>0</v>
      </c>
      <c r="K18" s="925">
        <f>'3.Thanh pham'!K93</f>
        <v>0</v>
      </c>
      <c r="L18" s="925">
        <f>'3.Thanh pham'!L93</f>
        <v>0</v>
      </c>
      <c r="M18" s="925">
        <f>'3.Thanh pham'!M93</f>
        <v>0</v>
      </c>
      <c r="N18" s="925">
        <f>'3.Thanh pham'!N93</f>
        <v>0</v>
      </c>
      <c r="O18" s="925">
        <f>'3.Thanh pham'!O93</f>
        <v>0</v>
      </c>
      <c r="P18" s="925">
        <f>'3.Thanh pham'!P93</f>
        <v>0</v>
      </c>
      <c r="Q18" s="925">
        <f>'3.Thanh pham'!Q93</f>
        <v>0</v>
      </c>
      <c r="R18" s="158">
        <f t="shared" si="0"/>
        <v>0</v>
      </c>
      <c r="S18" s="1299">
        <f t="shared" si="1"/>
        <v>0</v>
      </c>
      <c r="T18" s="925"/>
      <c r="U18" s="925"/>
      <c r="V18" s="925"/>
      <c r="W18" s="925">
        <v>955</v>
      </c>
      <c r="X18" s="925"/>
      <c r="Y18" s="925"/>
      <c r="Z18" s="925">
        <v>5008</v>
      </c>
      <c r="AA18" s="925">
        <v>5111</v>
      </c>
      <c r="AB18" s="925">
        <v>2684</v>
      </c>
      <c r="AC18" s="925"/>
      <c r="AD18" s="925"/>
      <c r="AE18" s="925"/>
      <c r="AF18" s="158">
        <f t="shared" si="2"/>
        <v>13758</v>
      </c>
      <c r="AG18" s="1299">
        <f t="shared" si="3"/>
        <v>1.7019025731905934E-3</v>
      </c>
      <c r="AH18" s="158"/>
      <c r="AJ18" s="158"/>
      <c r="AL18" s="925">
        <f t="shared" si="4"/>
        <v>-13758</v>
      </c>
      <c r="AM18" s="926">
        <f t="shared" si="5"/>
        <v>-1</v>
      </c>
    </row>
    <row r="19" spans="2:47" x14ac:dyDescent="0.35">
      <c r="B19" s="128">
        <v>13</v>
      </c>
      <c r="C19" s="927" t="s">
        <v>543</v>
      </c>
      <c r="D19" s="130" t="s">
        <v>531</v>
      </c>
      <c r="E19" s="925"/>
      <c r="F19" s="925">
        <f>'3.Thanh pham'!F94</f>
        <v>0</v>
      </c>
      <c r="G19" s="925">
        <f>'3.Thanh pham'!G94</f>
        <v>0</v>
      </c>
      <c r="H19" s="925">
        <f>'3.Thanh pham'!H94</f>
        <v>0</v>
      </c>
      <c r="I19" s="925">
        <f>'3.Thanh pham'!I94</f>
        <v>0</v>
      </c>
      <c r="J19" s="925">
        <f>'3.Thanh pham'!J94</f>
        <v>0</v>
      </c>
      <c r="K19" s="925">
        <f>'3.Thanh pham'!K94</f>
        <v>0</v>
      </c>
      <c r="L19" s="925">
        <f>'3.Thanh pham'!L94</f>
        <v>0</v>
      </c>
      <c r="M19" s="925">
        <f>'3.Thanh pham'!M94</f>
        <v>0</v>
      </c>
      <c r="N19" s="925">
        <f>'3.Thanh pham'!N94</f>
        <v>0</v>
      </c>
      <c r="O19" s="925">
        <f>'3.Thanh pham'!O94</f>
        <v>0</v>
      </c>
      <c r="P19" s="925">
        <f>'3.Thanh pham'!P94</f>
        <v>0</v>
      </c>
      <c r="Q19" s="925">
        <f>'3.Thanh pham'!Q94</f>
        <v>0</v>
      </c>
      <c r="R19" s="158">
        <f t="shared" si="0"/>
        <v>0</v>
      </c>
      <c r="S19" s="1299">
        <f t="shared" si="1"/>
        <v>0</v>
      </c>
      <c r="T19" s="925"/>
      <c r="U19" s="925"/>
      <c r="V19" s="925"/>
      <c r="W19" s="925"/>
      <c r="X19" s="925">
        <v>5230</v>
      </c>
      <c r="Y19" s="925"/>
      <c r="Z19" s="925"/>
      <c r="AA19" s="925"/>
      <c r="AB19" s="925">
        <v>7608</v>
      </c>
      <c r="AC19" s="925"/>
      <c r="AD19" s="925"/>
      <c r="AE19" s="925"/>
      <c r="AF19" s="158">
        <f t="shared" si="2"/>
        <v>12838</v>
      </c>
      <c r="AG19" s="1299">
        <f t="shared" si="3"/>
        <v>1.5880960339163279E-3</v>
      </c>
      <c r="AH19" s="158"/>
      <c r="AJ19" s="158"/>
      <c r="AL19" s="925">
        <f t="shared" si="4"/>
        <v>-12838</v>
      </c>
      <c r="AM19" s="926">
        <f t="shared" si="5"/>
        <v>-1</v>
      </c>
    </row>
    <row r="20" spans="2:47" s="1306" customFormat="1" x14ac:dyDescent="0.35">
      <c r="B20" s="1300">
        <v>14</v>
      </c>
      <c r="C20" s="1301" t="s">
        <v>544</v>
      </c>
      <c r="D20" s="1302" t="s">
        <v>531</v>
      </c>
      <c r="E20" s="1304"/>
      <c r="F20" s="1304">
        <f>'3.Thanh pham'!F95</f>
        <v>9675</v>
      </c>
      <c r="G20" s="1304">
        <f>'3.Thanh pham'!G95</f>
        <v>7525</v>
      </c>
      <c r="H20" s="1304">
        <f>'3.Thanh pham'!H95</f>
        <v>10750</v>
      </c>
      <c r="I20" s="1304">
        <f>'3.Thanh pham'!I95</f>
        <v>11825</v>
      </c>
      <c r="J20" s="1304">
        <f>'3.Thanh pham'!J95</f>
        <v>11825</v>
      </c>
      <c r="K20" s="1304">
        <f>'3.Thanh pham'!K95</f>
        <v>11825</v>
      </c>
      <c r="L20" s="1304">
        <f>'3.Thanh pham'!L95</f>
        <v>11825</v>
      </c>
      <c r="M20" s="1304">
        <f>'3.Thanh pham'!M95</f>
        <v>11825</v>
      </c>
      <c r="N20" s="1304">
        <f>'3.Thanh pham'!N95</f>
        <v>11825</v>
      </c>
      <c r="O20" s="1304">
        <f>'3.Thanh pham'!O95</f>
        <v>11825</v>
      </c>
      <c r="P20" s="1304">
        <f>'3.Thanh pham'!P95</f>
        <v>11825</v>
      </c>
      <c r="Q20" s="1304">
        <f>'3.Thanh pham'!Q95</f>
        <v>11825</v>
      </c>
      <c r="R20" s="1305">
        <f t="shared" ref="R20" si="7">SUM(F20:Q20)</f>
        <v>134375</v>
      </c>
      <c r="S20" s="1384">
        <f t="shared" si="1"/>
        <v>4.0758293838862557E-2</v>
      </c>
      <c r="T20" s="1304"/>
      <c r="U20" s="1304"/>
      <c r="V20" s="1304">
        <v>31930</v>
      </c>
      <c r="W20" s="1304">
        <v>30806</v>
      </c>
      <c r="X20" s="1304">
        <v>18818</v>
      </c>
      <c r="Y20" s="1304">
        <v>25900</v>
      </c>
      <c r="Z20" s="1304">
        <v>2980</v>
      </c>
      <c r="AA20" s="1304">
        <v>8367</v>
      </c>
      <c r="AB20" s="1304"/>
      <c r="AC20" s="1304">
        <v>13600</v>
      </c>
      <c r="AD20" s="1304">
        <v>13600</v>
      </c>
      <c r="AE20" s="1304">
        <v>13600</v>
      </c>
      <c r="AF20" s="1305">
        <f t="shared" si="2"/>
        <v>159601</v>
      </c>
      <c r="AG20" s="1384">
        <f t="shared" si="3"/>
        <v>1.9743084211643547E-2</v>
      </c>
      <c r="AH20" s="1305"/>
      <c r="AJ20" s="1305"/>
      <c r="AL20" s="1304">
        <f t="shared" si="4"/>
        <v>-25226</v>
      </c>
      <c r="AM20" s="1417">
        <f t="shared" si="5"/>
        <v>-0.15805665378036482</v>
      </c>
    </row>
    <row r="21" spans="2:47" x14ac:dyDescent="0.35">
      <c r="B21" s="128">
        <v>15</v>
      </c>
      <c r="C21" s="129" t="s">
        <v>175</v>
      </c>
      <c r="D21" s="130" t="s">
        <v>531</v>
      </c>
      <c r="E21" s="925"/>
      <c r="F21" s="925">
        <f>'3.Thanh pham'!F96</f>
        <v>0</v>
      </c>
      <c r="G21" s="925">
        <f>'3.Thanh pham'!G96</f>
        <v>0</v>
      </c>
      <c r="H21" s="925">
        <f>'3.Thanh pham'!H96</f>
        <v>0</v>
      </c>
      <c r="I21" s="925">
        <f>'3.Thanh pham'!I96</f>
        <v>0</v>
      </c>
      <c r="J21" s="925">
        <f>'3.Thanh pham'!J96</f>
        <v>0</v>
      </c>
      <c r="K21" s="925">
        <f>'3.Thanh pham'!K96</f>
        <v>0</v>
      </c>
      <c r="L21" s="925">
        <f>'3.Thanh pham'!L96</f>
        <v>0</v>
      </c>
      <c r="M21" s="925">
        <f>'3.Thanh pham'!M96</f>
        <v>0</v>
      </c>
      <c r="N21" s="925">
        <f>'3.Thanh pham'!N96</f>
        <v>0</v>
      </c>
      <c r="O21" s="925">
        <f>'3.Thanh pham'!O96</f>
        <v>0</v>
      </c>
      <c r="P21" s="925">
        <f>'3.Thanh pham'!P96</f>
        <v>0</v>
      </c>
      <c r="Q21" s="925">
        <f>'3.Thanh pham'!Q96</f>
        <v>0</v>
      </c>
      <c r="R21" s="158">
        <f t="shared" si="0"/>
        <v>0</v>
      </c>
      <c r="S21" s="1299">
        <f t="shared" si="1"/>
        <v>0</v>
      </c>
      <c r="T21" s="925"/>
      <c r="U21" s="925"/>
      <c r="V21" s="925"/>
      <c r="W21" s="925">
        <v>22137</v>
      </c>
      <c r="X21" s="925"/>
      <c r="Y21" s="925"/>
      <c r="Z21" s="925"/>
      <c r="AA21" s="925"/>
      <c r="AB21" s="925"/>
      <c r="AC21" s="925"/>
      <c r="AD21" s="925"/>
      <c r="AE21" s="925"/>
      <c r="AF21" s="158">
        <f t="shared" si="2"/>
        <v>22137</v>
      </c>
      <c r="AG21" s="1299">
        <f t="shared" si="3"/>
        <v>2.7384079999069754E-3</v>
      </c>
      <c r="AH21" s="158"/>
      <c r="AJ21" s="158"/>
      <c r="AL21" s="925">
        <f t="shared" si="4"/>
        <v>-22137</v>
      </c>
      <c r="AM21" s="926">
        <f t="shared" si="5"/>
        <v>-1</v>
      </c>
    </row>
    <row r="22" spans="2:47" x14ac:dyDescent="0.35">
      <c r="B22" s="163"/>
      <c r="C22" s="164" t="s">
        <v>480</v>
      </c>
      <c r="D22" s="928"/>
      <c r="E22" s="166">
        <f>SUM(E7:E21)</f>
        <v>0</v>
      </c>
      <c r="F22" s="166">
        <f>SUM(F7:F21)</f>
        <v>534375</v>
      </c>
      <c r="G22" s="166">
        <f t="shared" ref="G22:Q22" si="8">SUM(G7:G21)</f>
        <v>415625</v>
      </c>
      <c r="H22" s="166">
        <f t="shared" si="8"/>
        <v>593750</v>
      </c>
      <c r="I22" s="166">
        <f t="shared" si="8"/>
        <v>653125</v>
      </c>
      <c r="J22" s="166">
        <f t="shared" si="8"/>
        <v>651475</v>
      </c>
      <c r="K22" s="166">
        <f t="shared" si="8"/>
        <v>64075</v>
      </c>
      <c r="L22" s="166">
        <f t="shared" si="8"/>
        <v>64075</v>
      </c>
      <c r="M22" s="166">
        <f t="shared" si="8"/>
        <v>64075</v>
      </c>
      <c r="N22" s="166">
        <f t="shared" si="8"/>
        <v>64075</v>
      </c>
      <c r="O22" s="166">
        <f t="shared" si="8"/>
        <v>64075</v>
      </c>
      <c r="P22" s="166">
        <f t="shared" si="8"/>
        <v>64075</v>
      </c>
      <c r="Q22" s="166">
        <f t="shared" si="8"/>
        <v>64075</v>
      </c>
      <c r="R22" s="166">
        <f>SUM(F22:Q22)</f>
        <v>3296875</v>
      </c>
      <c r="S22" s="1299">
        <f t="shared" si="1"/>
        <v>1</v>
      </c>
      <c r="T22" s="166">
        <f>SUM(T7:T21)</f>
        <v>106672</v>
      </c>
      <c r="U22" s="166">
        <f t="shared" ref="U22:AE22" si="9">SUM(U7:U21)</f>
        <v>355288</v>
      </c>
      <c r="V22" s="166">
        <f t="shared" si="9"/>
        <v>797972</v>
      </c>
      <c r="W22" s="166">
        <f t="shared" si="9"/>
        <v>662054</v>
      </c>
      <c r="X22" s="166">
        <f t="shared" si="9"/>
        <v>768641</v>
      </c>
      <c r="Y22" s="166">
        <f t="shared" si="9"/>
        <v>927945</v>
      </c>
      <c r="Z22" s="166">
        <f t="shared" si="9"/>
        <v>999531</v>
      </c>
      <c r="AA22" s="166">
        <f t="shared" si="9"/>
        <v>917475</v>
      </c>
      <c r="AB22" s="166">
        <f t="shared" si="9"/>
        <v>827516</v>
      </c>
      <c r="AC22" s="166">
        <f t="shared" si="9"/>
        <v>573600</v>
      </c>
      <c r="AD22" s="166">
        <f t="shared" si="9"/>
        <v>573600</v>
      </c>
      <c r="AE22" s="166">
        <f t="shared" si="9"/>
        <v>573600</v>
      </c>
      <c r="AF22" s="166">
        <f>SUM(T22:AE22)</f>
        <v>8083894</v>
      </c>
      <c r="AG22" s="1299">
        <f t="shared" si="3"/>
        <v>1</v>
      </c>
      <c r="AH22" s="166">
        <f>SUM(V22:AG22)</f>
        <v>15705829</v>
      </c>
      <c r="AJ22" s="166">
        <f>SUM(X22:AI22)</f>
        <v>29951632</v>
      </c>
      <c r="AL22" s="166">
        <f t="shared" si="4"/>
        <v>-4787019</v>
      </c>
      <c r="AM22" s="929">
        <f t="shared" si="5"/>
        <v>-0.59216746285886479</v>
      </c>
    </row>
    <row r="23" spans="2:47" x14ac:dyDescent="0.35">
      <c r="K23" s="16"/>
      <c r="L23" s="16"/>
      <c r="M23" s="16"/>
      <c r="N23" s="16"/>
      <c r="O23" s="16"/>
      <c r="P23" s="16"/>
      <c r="Q23" s="16"/>
      <c r="R23" s="16"/>
      <c r="Y23" s="16"/>
      <c r="Z23" s="16"/>
      <c r="AA23" s="16"/>
      <c r="AB23" s="16"/>
      <c r="AC23" s="16"/>
      <c r="AD23" s="16"/>
      <c r="AE23" s="16"/>
      <c r="AF23" s="16"/>
      <c r="AH23" s="16"/>
      <c r="AJ23" s="16"/>
      <c r="AL23" s="16"/>
      <c r="AM23" s="16"/>
    </row>
    <row r="24" spans="2:47" x14ac:dyDescent="0.35">
      <c r="B24" s="4" t="s">
        <v>545</v>
      </c>
    </row>
    <row r="25" spans="2:47" ht="78" x14ac:dyDescent="0.35">
      <c r="B25" s="187" t="s">
        <v>36</v>
      </c>
      <c r="C25" s="187" t="s">
        <v>524</v>
      </c>
      <c r="D25" s="187" t="s">
        <v>257</v>
      </c>
      <c r="E25" s="116" t="s">
        <v>525</v>
      </c>
      <c r="F25" s="116" t="s">
        <v>149</v>
      </c>
      <c r="G25" s="116" t="s">
        <v>150</v>
      </c>
      <c r="H25" s="116" t="s">
        <v>151</v>
      </c>
      <c r="I25" s="116" t="s">
        <v>152</v>
      </c>
      <c r="J25" s="116" t="s">
        <v>153</v>
      </c>
      <c r="K25" s="116" t="s">
        <v>154</v>
      </c>
      <c r="L25" s="116" t="s">
        <v>155</v>
      </c>
      <c r="M25" s="116" t="s">
        <v>156</v>
      </c>
      <c r="N25" s="116" t="s">
        <v>157</v>
      </c>
      <c r="O25" s="116" t="s">
        <v>158</v>
      </c>
      <c r="P25" s="116" t="s">
        <v>159</v>
      </c>
      <c r="Q25" s="116" t="s">
        <v>160</v>
      </c>
      <c r="R25" s="116" t="s">
        <v>2147</v>
      </c>
      <c r="S25" s="10"/>
      <c r="T25" s="714" t="s">
        <v>149</v>
      </c>
      <c r="U25" s="714" t="s">
        <v>150</v>
      </c>
      <c r="V25" s="714" t="s">
        <v>151</v>
      </c>
      <c r="W25" s="714" t="s">
        <v>152</v>
      </c>
      <c r="X25" s="714" t="s">
        <v>153</v>
      </c>
      <c r="Y25" s="714" t="s">
        <v>154</v>
      </c>
      <c r="Z25" s="714" t="s">
        <v>155</v>
      </c>
      <c r="AA25" s="714" t="s">
        <v>156</v>
      </c>
      <c r="AB25" s="714" t="s">
        <v>157</v>
      </c>
      <c r="AC25" s="714" t="s">
        <v>158</v>
      </c>
      <c r="AD25" s="714" t="s">
        <v>159</v>
      </c>
      <c r="AE25" s="714" t="s">
        <v>160</v>
      </c>
      <c r="AF25" s="714" t="s">
        <v>148</v>
      </c>
      <c r="AG25" s="10"/>
      <c r="AH25" s="714" t="s">
        <v>526</v>
      </c>
      <c r="AI25" s="10"/>
      <c r="AJ25" s="714" t="s">
        <v>527</v>
      </c>
      <c r="AK25" s="10"/>
      <c r="AL25" s="721" t="s">
        <v>528</v>
      </c>
      <c r="AM25" s="722" t="s">
        <v>529</v>
      </c>
      <c r="AO25" s="520" t="s">
        <v>546</v>
      </c>
      <c r="AP25" s="520" t="s">
        <v>547</v>
      </c>
      <c r="AQ25" s="1292" t="s">
        <v>548</v>
      </c>
      <c r="AR25" s="520" t="s">
        <v>549</v>
      </c>
      <c r="AS25" s="520"/>
      <c r="AT25" s="1292" t="s">
        <v>550</v>
      </c>
      <c r="AU25" s="1292" t="s">
        <v>551</v>
      </c>
    </row>
    <row r="26" spans="2:47" s="1306" customFormat="1" ht="15.5" x14ac:dyDescent="0.35">
      <c r="B26" s="1406">
        <v>1</v>
      </c>
      <c r="C26" s="1407" t="s">
        <v>530</v>
      </c>
      <c r="D26" s="1408" t="s">
        <v>552</v>
      </c>
      <c r="E26" s="1409"/>
      <c r="F26" s="1297">
        <f>$AU$27</f>
        <v>15000</v>
      </c>
      <c r="G26" s="1297">
        <f t="shared" ref="G26:Q26" si="10">$AU$27</f>
        <v>15000</v>
      </c>
      <c r="H26" s="1297">
        <f t="shared" si="10"/>
        <v>15000</v>
      </c>
      <c r="I26" s="1297">
        <f t="shared" si="10"/>
        <v>15000</v>
      </c>
      <c r="J26" s="1297">
        <f t="shared" si="10"/>
        <v>15000</v>
      </c>
      <c r="K26" s="1297">
        <f t="shared" si="10"/>
        <v>15000</v>
      </c>
      <c r="L26" s="1297">
        <f t="shared" si="10"/>
        <v>15000</v>
      </c>
      <c r="M26" s="1297">
        <f t="shared" si="10"/>
        <v>15000</v>
      </c>
      <c r="N26" s="1297">
        <f t="shared" si="10"/>
        <v>15000</v>
      </c>
      <c r="O26" s="1297">
        <f t="shared" si="10"/>
        <v>15000</v>
      </c>
      <c r="P26" s="1297">
        <f t="shared" si="10"/>
        <v>15000</v>
      </c>
      <c r="Q26" s="1297">
        <f t="shared" si="10"/>
        <v>15000</v>
      </c>
      <c r="R26" s="1297">
        <f>AVERAGE(F26:Q26)</f>
        <v>15000</v>
      </c>
      <c r="T26" s="1297">
        <f>IFERROR(T45/T7,0)</f>
        <v>17866.084209420784</v>
      </c>
      <c r="U26" s="1297">
        <f t="shared" ref="U26:AF26" si="11">IFERROR(U45/U7,0)</f>
        <v>18501.009738222328</v>
      </c>
      <c r="V26" s="1297">
        <f t="shared" si="11"/>
        <v>18423.972998599089</v>
      </c>
      <c r="W26" s="1297">
        <f t="shared" si="11"/>
        <v>19181.215052280462</v>
      </c>
      <c r="X26" s="1297">
        <f t="shared" si="11"/>
        <v>19067.206797429222</v>
      </c>
      <c r="Y26" s="1297">
        <f t="shared" si="11"/>
        <v>19078.716545506668</v>
      </c>
      <c r="Z26" s="1297">
        <f t="shared" si="11"/>
        <v>0</v>
      </c>
      <c r="AA26" s="1297">
        <f t="shared" si="11"/>
        <v>0</v>
      </c>
      <c r="AB26" s="1297">
        <f t="shared" si="11"/>
        <v>0</v>
      </c>
      <c r="AC26" s="1297">
        <f t="shared" si="11"/>
        <v>0</v>
      </c>
      <c r="AD26" s="1297">
        <f t="shared" si="11"/>
        <v>0</v>
      </c>
      <c r="AE26" s="1297">
        <f t="shared" si="11"/>
        <v>0</v>
      </c>
      <c r="AF26" s="1297">
        <f t="shared" si="11"/>
        <v>18817.739187778156</v>
      </c>
      <c r="AH26" s="1297"/>
      <c r="AJ26" s="1297"/>
      <c r="AL26" s="1304">
        <f t="shared" ref="AL26:AL41" si="12">IFERROR(R26-AF26,0)</f>
        <v>-3817.7391877781556</v>
      </c>
      <c r="AM26" s="1309">
        <f t="shared" ref="AM26:AM41" si="13">IFERROR((R26/AF26)-1,0)</f>
        <v>-0.20287980132372763</v>
      </c>
      <c r="AO26" s="1413"/>
      <c r="AP26" s="1413"/>
      <c r="AQ26" s="1414"/>
      <c r="AR26" s="1413" t="s">
        <v>525</v>
      </c>
      <c r="AS26" s="1413" t="s">
        <v>553</v>
      </c>
      <c r="AT26" s="1414"/>
      <c r="AU26" s="1414"/>
    </row>
    <row r="27" spans="2:47" ht="25" x14ac:dyDescent="0.35">
      <c r="B27" s="930">
        <v>2</v>
      </c>
      <c r="C27" s="931" t="s">
        <v>532</v>
      </c>
      <c r="D27" s="932" t="s">
        <v>552</v>
      </c>
      <c r="E27" s="521"/>
      <c r="F27" s="933">
        <f t="shared" ref="F27:Q31" si="14">$AU$27</f>
        <v>15000</v>
      </c>
      <c r="G27" s="933">
        <f t="shared" si="14"/>
        <v>15000</v>
      </c>
      <c r="H27" s="933">
        <f t="shared" si="14"/>
        <v>15000</v>
      </c>
      <c r="I27" s="933">
        <f t="shared" si="14"/>
        <v>15000</v>
      </c>
      <c r="J27" s="933">
        <f t="shared" si="14"/>
        <v>15000</v>
      </c>
      <c r="K27" s="933">
        <f t="shared" si="14"/>
        <v>15000</v>
      </c>
      <c r="L27" s="933">
        <f t="shared" si="14"/>
        <v>15000</v>
      </c>
      <c r="M27" s="933">
        <f t="shared" si="14"/>
        <v>15000</v>
      </c>
      <c r="N27" s="933">
        <f t="shared" si="14"/>
        <v>15000</v>
      </c>
      <c r="O27" s="933">
        <f t="shared" si="14"/>
        <v>15000</v>
      </c>
      <c r="P27" s="933">
        <f t="shared" si="14"/>
        <v>15000</v>
      </c>
      <c r="Q27" s="933">
        <f t="shared" si="14"/>
        <v>15000</v>
      </c>
      <c r="R27" s="1297">
        <f t="shared" ref="R27:R41" si="15">AVERAGE(F27:Q27)</f>
        <v>15000</v>
      </c>
      <c r="T27" s="933">
        <f t="shared" ref="T27:T40" si="16">IFERROR(T46/T8,0)</f>
        <v>0</v>
      </c>
      <c r="U27" s="933">
        <f t="shared" ref="U27:AF27" si="17">IFERROR(U46/U8,0)</f>
        <v>0</v>
      </c>
      <c r="V27" s="933">
        <f t="shared" si="17"/>
        <v>0</v>
      </c>
      <c r="W27" s="933">
        <f t="shared" si="17"/>
        <v>0</v>
      </c>
      <c r="X27" s="933">
        <f t="shared" si="17"/>
        <v>0</v>
      </c>
      <c r="Y27" s="933">
        <f t="shared" si="17"/>
        <v>19180.665237118526</v>
      </c>
      <c r="Z27" s="933">
        <f t="shared" si="17"/>
        <v>19335.797189934856</v>
      </c>
      <c r="AA27" s="933">
        <f t="shared" si="17"/>
        <v>19225.390402041576</v>
      </c>
      <c r="AB27" s="933">
        <f t="shared" si="17"/>
        <v>16638.92593494289</v>
      </c>
      <c r="AC27" s="933">
        <f t="shared" si="17"/>
        <v>14900</v>
      </c>
      <c r="AD27" s="933">
        <f t="shared" si="17"/>
        <v>14900</v>
      </c>
      <c r="AE27" s="933">
        <f t="shared" si="17"/>
        <v>14900</v>
      </c>
      <c r="AF27" s="933">
        <f t="shared" si="17"/>
        <v>17305.860260637292</v>
      </c>
      <c r="AH27" s="933"/>
      <c r="AJ27" s="933"/>
      <c r="AL27" s="925">
        <f t="shared" si="12"/>
        <v>-2305.8602606372915</v>
      </c>
      <c r="AM27" s="791">
        <f t="shared" si="13"/>
        <v>-0.13324158556174415</v>
      </c>
      <c r="AO27" s="522" t="s">
        <v>554</v>
      </c>
      <c r="AP27" s="522" t="s">
        <v>555</v>
      </c>
      <c r="AQ27" s="523">
        <f>'1.NVL Chai'!H25</f>
        <v>10000</v>
      </c>
      <c r="AR27" s="1296">
        <v>0.11</v>
      </c>
      <c r="AS27" s="525">
        <f>AQ27*AR27</f>
        <v>1100</v>
      </c>
      <c r="AT27" s="523">
        <f>3500+500</f>
        <v>4000</v>
      </c>
      <c r="AU27" s="1401">
        <v>15000</v>
      </c>
    </row>
    <row r="28" spans="2:47" ht="15.5" x14ac:dyDescent="0.35">
      <c r="B28" s="930">
        <v>3</v>
      </c>
      <c r="C28" s="931" t="s">
        <v>533</v>
      </c>
      <c r="D28" s="932" t="s">
        <v>552</v>
      </c>
      <c r="E28" s="521"/>
      <c r="F28" s="933">
        <f t="shared" si="14"/>
        <v>15000</v>
      </c>
      <c r="G28" s="933">
        <f t="shared" si="14"/>
        <v>15000</v>
      </c>
      <c r="H28" s="933">
        <f t="shared" si="14"/>
        <v>15000</v>
      </c>
      <c r="I28" s="933">
        <f t="shared" si="14"/>
        <v>15000</v>
      </c>
      <c r="J28" s="933">
        <f t="shared" si="14"/>
        <v>15000</v>
      </c>
      <c r="K28" s="933">
        <f t="shared" si="14"/>
        <v>15000</v>
      </c>
      <c r="L28" s="933">
        <f t="shared" si="14"/>
        <v>15000</v>
      </c>
      <c r="M28" s="933">
        <f t="shared" si="14"/>
        <v>15000</v>
      </c>
      <c r="N28" s="933">
        <f t="shared" si="14"/>
        <v>15000</v>
      </c>
      <c r="O28" s="933">
        <f t="shared" si="14"/>
        <v>15000</v>
      </c>
      <c r="P28" s="933">
        <f t="shared" si="14"/>
        <v>15000</v>
      </c>
      <c r="Q28" s="933">
        <f t="shared" si="14"/>
        <v>15000</v>
      </c>
      <c r="R28" s="1297">
        <f t="shared" si="15"/>
        <v>15000</v>
      </c>
      <c r="T28" s="933">
        <f t="shared" si="16"/>
        <v>0</v>
      </c>
      <c r="U28" s="933">
        <f t="shared" ref="U28:AF28" si="18">IFERROR(U47/U9,0)</f>
        <v>0</v>
      </c>
      <c r="V28" s="933">
        <f t="shared" si="18"/>
        <v>0</v>
      </c>
      <c r="W28" s="933">
        <f t="shared" si="18"/>
        <v>0</v>
      </c>
      <c r="X28" s="933">
        <f t="shared" si="18"/>
        <v>18529.06894233642</v>
      </c>
      <c r="Y28" s="933">
        <f t="shared" si="18"/>
        <v>19016.20109217475</v>
      </c>
      <c r="Z28" s="933">
        <f t="shared" si="18"/>
        <v>0</v>
      </c>
      <c r="AA28" s="933">
        <f t="shared" si="18"/>
        <v>0</v>
      </c>
      <c r="AB28" s="933">
        <f t="shared" si="18"/>
        <v>0</v>
      </c>
      <c r="AC28" s="933">
        <f t="shared" si="18"/>
        <v>0</v>
      </c>
      <c r="AD28" s="933">
        <f t="shared" si="18"/>
        <v>0</v>
      </c>
      <c r="AE28" s="933">
        <f t="shared" si="18"/>
        <v>0</v>
      </c>
      <c r="AF28" s="933">
        <f t="shared" si="18"/>
        <v>18715.9375</v>
      </c>
      <c r="AH28" s="933"/>
      <c r="AJ28" s="933"/>
      <c r="AL28" s="925">
        <f t="shared" si="12"/>
        <v>-3715.9375</v>
      </c>
      <c r="AM28" s="791">
        <f t="shared" si="13"/>
        <v>-0.1985440216393114</v>
      </c>
      <c r="AO28" s="522" t="s">
        <v>556</v>
      </c>
      <c r="AP28" s="522" t="s">
        <v>557</v>
      </c>
      <c r="AQ28" s="526">
        <f>$AQ$27</f>
        <v>10000</v>
      </c>
      <c r="AR28" s="1296">
        <v>0.11</v>
      </c>
      <c r="AS28" s="525">
        <f t="shared" ref="AS28:AS30" si="19">AQ28*AR28</f>
        <v>1100</v>
      </c>
      <c r="AT28" s="523">
        <f>500+500</f>
        <v>1000</v>
      </c>
      <c r="AU28" s="1401">
        <v>12000</v>
      </c>
    </row>
    <row r="29" spans="2:47" ht="15.5" x14ac:dyDescent="0.35">
      <c r="B29" s="930">
        <v>4</v>
      </c>
      <c r="C29" s="931" t="s">
        <v>534</v>
      </c>
      <c r="D29" s="932" t="s">
        <v>552</v>
      </c>
      <c r="E29" s="521"/>
      <c r="F29" s="933">
        <f t="shared" si="14"/>
        <v>15000</v>
      </c>
      <c r="G29" s="933">
        <f t="shared" si="14"/>
        <v>15000</v>
      </c>
      <c r="H29" s="933">
        <f t="shared" si="14"/>
        <v>15000</v>
      </c>
      <c r="I29" s="933">
        <f t="shared" si="14"/>
        <v>15000</v>
      </c>
      <c r="J29" s="933">
        <f t="shared" si="14"/>
        <v>15000</v>
      </c>
      <c r="K29" s="933">
        <f t="shared" si="14"/>
        <v>15000</v>
      </c>
      <c r="L29" s="933">
        <f t="shared" si="14"/>
        <v>15000</v>
      </c>
      <c r="M29" s="933">
        <f t="shared" si="14"/>
        <v>15000</v>
      </c>
      <c r="N29" s="933">
        <f t="shared" si="14"/>
        <v>15000</v>
      </c>
      <c r="O29" s="933">
        <f t="shared" si="14"/>
        <v>15000</v>
      </c>
      <c r="P29" s="933">
        <f t="shared" si="14"/>
        <v>15000</v>
      </c>
      <c r="Q29" s="933">
        <f t="shared" si="14"/>
        <v>15000</v>
      </c>
      <c r="R29" s="1297">
        <f t="shared" si="15"/>
        <v>15000</v>
      </c>
      <c r="T29" s="933">
        <f t="shared" si="16"/>
        <v>0</v>
      </c>
      <c r="U29" s="933">
        <f t="shared" ref="U29:AF29" si="20">IFERROR(U48/U10,0)</f>
        <v>0</v>
      </c>
      <c r="V29" s="933">
        <f t="shared" si="20"/>
        <v>0</v>
      </c>
      <c r="W29" s="933">
        <f t="shared" si="20"/>
        <v>0</v>
      </c>
      <c r="X29" s="933">
        <f t="shared" si="20"/>
        <v>0</v>
      </c>
      <c r="Y29" s="933">
        <f t="shared" si="20"/>
        <v>0</v>
      </c>
      <c r="Z29" s="933">
        <f t="shared" si="20"/>
        <v>0</v>
      </c>
      <c r="AA29" s="933">
        <f t="shared" si="20"/>
        <v>0</v>
      </c>
      <c r="AB29" s="933">
        <f t="shared" si="20"/>
        <v>0</v>
      </c>
      <c r="AC29" s="933">
        <f t="shared" si="20"/>
        <v>0</v>
      </c>
      <c r="AD29" s="933">
        <f t="shared" si="20"/>
        <v>0</v>
      </c>
      <c r="AE29" s="933">
        <f t="shared" si="20"/>
        <v>0</v>
      </c>
      <c r="AF29" s="933">
        <f t="shared" si="20"/>
        <v>0</v>
      </c>
      <c r="AH29" s="933"/>
      <c r="AJ29" s="933"/>
      <c r="AL29" s="925">
        <f t="shared" si="12"/>
        <v>15000</v>
      </c>
      <c r="AM29" s="791">
        <f t="shared" si="13"/>
        <v>0</v>
      </c>
      <c r="AO29" s="522" t="s">
        <v>558</v>
      </c>
      <c r="AP29" s="522" t="s">
        <v>559</v>
      </c>
      <c r="AQ29" s="526">
        <f t="shared" ref="AQ29:AQ30" si="21">$AQ$27</f>
        <v>10000</v>
      </c>
      <c r="AR29" s="1296">
        <v>0.11</v>
      </c>
      <c r="AS29" s="525">
        <f t="shared" si="19"/>
        <v>1100</v>
      </c>
      <c r="AT29" s="523">
        <f>2000+500</f>
        <v>2500</v>
      </c>
      <c r="AU29" s="1401">
        <v>13500</v>
      </c>
    </row>
    <row r="30" spans="2:47" s="1306" customFormat="1" ht="15.5" x14ac:dyDescent="0.35">
      <c r="B30" s="1406">
        <v>5</v>
      </c>
      <c r="C30" s="1407" t="s">
        <v>535</v>
      </c>
      <c r="D30" s="1408" t="s">
        <v>552</v>
      </c>
      <c r="E30" s="1409"/>
      <c r="F30" s="1297">
        <f>$AU$29</f>
        <v>13500</v>
      </c>
      <c r="G30" s="1297">
        <f t="shared" ref="G30:Q30" si="22">$AU$29</f>
        <v>13500</v>
      </c>
      <c r="H30" s="1297">
        <f t="shared" si="22"/>
        <v>13500</v>
      </c>
      <c r="I30" s="1297">
        <f t="shared" si="22"/>
        <v>13500</v>
      </c>
      <c r="J30" s="1297">
        <f t="shared" si="22"/>
        <v>13500</v>
      </c>
      <c r="K30" s="1297">
        <f t="shared" si="22"/>
        <v>13500</v>
      </c>
      <c r="L30" s="1297">
        <f t="shared" si="22"/>
        <v>13500</v>
      </c>
      <c r="M30" s="1297">
        <f t="shared" si="22"/>
        <v>13500</v>
      </c>
      <c r="N30" s="1297">
        <f t="shared" si="22"/>
        <v>13500</v>
      </c>
      <c r="O30" s="1297">
        <f t="shared" si="22"/>
        <v>13500</v>
      </c>
      <c r="P30" s="1297">
        <f t="shared" si="22"/>
        <v>13500</v>
      </c>
      <c r="Q30" s="1297">
        <f t="shared" si="22"/>
        <v>13500</v>
      </c>
      <c r="R30" s="1297">
        <f t="shared" si="15"/>
        <v>13500</v>
      </c>
      <c r="T30" s="1297">
        <f t="shared" si="16"/>
        <v>15739.155871612531</v>
      </c>
      <c r="U30" s="1297">
        <f t="shared" ref="U30:AF30" si="23">IFERROR(U49/U11,0)</f>
        <v>17522</v>
      </c>
      <c r="V30" s="1297">
        <f t="shared" si="23"/>
        <v>17637.022421524664</v>
      </c>
      <c r="W30" s="1297">
        <f t="shared" si="23"/>
        <v>18745.520862700872</v>
      </c>
      <c r="X30" s="1297">
        <f t="shared" si="23"/>
        <v>18633.722386700068</v>
      </c>
      <c r="Y30" s="1297">
        <f t="shared" si="23"/>
        <v>18892.798695353627</v>
      </c>
      <c r="Z30" s="1297">
        <f t="shared" si="23"/>
        <v>5861.3239681076093</v>
      </c>
      <c r="AA30" s="1297">
        <f t="shared" si="23"/>
        <v>0</v>
      </c>
      <c r="AB30" s="1297">
        <f t="shared" si="23"/>
        <v>0</v>
      </c>
      <c r="AC30" s="1297">
        <f t="shared" si="23"/>
        <v>0</v>
      </c>
      <c r="AD30" s="1297">
        <f t="shared" si="23"/>
        <v>0</v>
      </c>
      <c r="AE30" s="1297">
        <f t="shared" si="23"/>
        <v>0</v>
      </c>
      <c r="AF30" s="1297">
        <f t="shared" si="23"/>
        <v>14569.130410773998</v>
      </c>
      <c r="AH30" s="1297"/>
      <c r="AJ30" s="1297"/>
      <c r="AL30" s="1304">
        <f t="shared" si="12"/>
        <v>-1069.1304107739979</v>
      </c>
      <c r="AM30" s="1309">
        <f t="shared" si="13"/>
        <v>-7.3383268639243382E-2</v>
      </c>
      <c r="AO30" s="1410" t="s">
        <v>560</v>
      </c>
      <c r="AP30" s="1410" t="s">
        <v>561</v>
      </c>
      <c r="AQ30" s="523">
        <f t="shared" si="21"/>
        <v>10000</v>
      </c>
      <c r="AR30" s="1411">
        <v>0.11</v>
      </c>
      <c r="AS30" s="1412">
        <f t="shared" si="19"/>
        <v>1100</v>
      </c>
      <c r="AT30" s="523">
        <v>-4000</v>
      </c>
      <c r="AU30" s="1401">
        <v>8100</v>
      </c>
    </row>
    <row r="31" spans="2:47" ht="15.5" x14ac:dyDescent="0.35">
      <c r="B31" s="930">
        <v>6</v>
      </c>
      <c r="C31" s="931" t="s">
        <v>536</v>
      </c>
      <c r="D31" s="932" t="s">
        <v>552</v>
      </c>
      <c r="E31" s="521"/>
      <c r="F31" s="933">
        <f t="shared" si="14"/>
        <v>15000</v>
      </c>
      <c r="G31" s="933">
        <f t="shared" si="14"/>
        <v>15000</v>
      </c>
      <c r="H31" s="933">
        <f t="shared" si="14"/>
        <v>15000</v>
      </c>
      <c r="I31" s="933">
        <f t="shared" si="14"/>
        <v>15000</v>
      </c>
      <c r="J31" s="933">
        <f t="shared" si="14"/>
        <v>15000</v>
      </c>
      <c r="K31" s="933">
        <f t="shared" si="14"/>
        <v>15000</v>
      </c>
      <c r="L31" s="933">
        <f t="shared" si="14"/>
        <v>15000</v>
      </c>
      <c r="M31" s="933">
        <f t="shared" si="14"/>
        <v>15000</v>
      </c>
      <c r="N31" s="933">
        <f t="shared" si="14"/>
        <v>15000</v>
      </c>
      <c r="O31" s="933">
        <f t="shared" si="14"/>
        <v>15000</v>
      </c>
      <c r="P31" s="933">
        <f t="shared" si="14"/>
        <v>15000</v>
      </c>
      <c r="Q31" s="933">
        <f t="shared" si="14"/>
        <v>15000</v>
      </c>
      <c r="R31" s="933">
        <f t="shared" si="15"/>
        <v>15000</v>
      </c>
      <c r="T31" s="933">
        <f t="shared" si="16"/>
        <v>0</v>
      </c>
      <c r="U31" s="933">
        <f t="shared" ref="U31:AF31" si="24">IFERROR(U50/U12,0)</f>
        <v>0</v>
      </c>
      <c r="V31" s="933">
        <f t="shared" si="24"/>
        <v>0</v>
      </c>
      <c r="W31" s="933">
        <f t="shared" si="24"/>
        <v>0</v>
      </c>
      <c r="X31" s="933">
        <f t="shared" si="24"/>
        <v>0</v>
      </c>
      <c r="Y31" s="933">
        <f t="shared" si="24"/>
        <v>0</v>
      </c>
      <c r="Z31" s="933">
        <f t="shared" si="24"/>
        <v>0</v>
      </c>
      <c r="AA31" s="933">
        <f t="shared" si="24"/>
        <v>0</v>
      </c>
      <c r="AB31" s="933">
        <f t="shared" si="24"/>
        <v>0</v>
      </c>
      <c r="AC31" s="933">
        <f t="shared" si="24"/>
        <v>0</v>
      </c>
      <c r="AD31" s="933">
        <f t="shared" si="24"/>
        <v>0</v>
      </c>
      <c r="AE31" s="933">
        <f t="shared" si="24"/>
        <v>0</v>
      </c>
      <c r="AF31" s="933">
        <f t="shared" si="24"/>
        <v>0</v>
      </c>
      <c r="AH31" s="933"/>
      <c r="AJ31" s="933"/>
      <c r="AL31" s="925">
        <f t="shared" si="12"/>
        <v>15000</v>
      </c>
      <c r="AM31" s="791">
        <f t="shared" si="13"/>
        <v>0</v>
      </c>
    </row>
    <row r="32" spans="2:47" s="1306" customFormat="1" ht="15.5" x14ac:dyDescent="0.35">
      <c r="B32" s="1406">
        <v>7</v>
      </c>
      <c r="C32" s="1407" t="s">
        <v>537</v>
      </c>
      <c r="D32" s="1408" t="s">
        <v>552</v>
      </c>
      <c r="E32" s="1409"/>
      <c r="F32" s="1297">
        <f>$AU$28</f>
        <v>12000</v>
      </c>
      <c r="G32" s="1297">
        <f t="shared" ref="G32:Q33" si="25">$AU$28</f>
        <v>12000</v>
      </c>
      <c r="H32" s="1297">
        <f t="shared" si="25"/>
        <v>12000</v>
      </c>
      <c r="I32" s="1297">
        <f t="shared" si="25"/>
        <v>12000</v>
      </c>
      <c r="J32" s="1297">
        <f t="shared" si="25"/>
        <v>12000</v>
      </c>
      <c r="K32" s="1297">
        <f t="shared" si="25"/>
        <v>12000</v>
      </c>
      <c r="L32" s="1297">
        <f t="shared" si="25"/>
        <v>12000</v>
      </c>
      <c r="M32" s="1297">
        <f t="shared" si="25"/>
        <v>12000</v>
      </c>
      <c r="N32" s="1297">
        <f t="shared" si="25"/>
        <v>12000</v>
      </c>
      <c r="O32" s="1297">
        <f t="shared" si="25"/>
        <v>12000</v>
      </c>
      <c r="P32" s="1297">
        <f t="shared" si="25"/>
        <v>12000</v>
      </c>
      <c r="Q32" s="1297">
        <f t="shared" si="25"/>
        <v>12000</v>
      </c>
      <c r="R32" s="1297">
        <f t="shared" si="15"/>
        <v>12000</v>
      </c>
      <c r="T32" s="1297">
        <f t="shared" si="16"/>
        <v>14300</v>
      </c>
      <c r="U32" s="1297">
        <f t="shared" ref="U32:AF32" si="26">IFERROR(U51/U13,0)</f>
        <v>17522</v>
      </c>
      <c r="V32" s="1297">
        <f t="shared" si="26"/>
        <v>17637.432160804019</v>
      </c>
      <c r="W32" s="1297">
        <f t="shared" si="26"/>
        <v>18713.885192354221</v>
      </c>
      <c r="X32" s="1297">
        <f t="shared" si="26"/>
        <v>18576.481023102311</v>
      </c>
      <c r="Y32" s="1297">
        <f t="shared" si="26"/>
        <v>18944.70843183609</v>
      </c>
      <c r="Z32" s="1297">
        <f t="shared" si="26"/>
        <v>19310.690133969736</v>
      </c>
      <c r="AA32" s="1297">
        <f t="shared" si="26"/>
        <v>19323.388139998791</v>
      </c>
      <c r="AB32" s="1297">
        <f t="shared" si="26"/>
        <v>15219.855541430717</v>
      </c>
      <c r="AC32" s="1297">
        <f t="shared" si="26"/>
        <v>11900</v>
      </c>
      <c r="AD32" s="1297">
        <f t="shared" si="26"/>
        <v>11900</v>
      </c>
      <c r="AE32" s="1297">
        <f t="shared" si="26"/>
        <v>11900</v>
      </c>
      <c r="AF32" s="1297">
        <f t="shared" si="26"/>
        <v>16195.84766380789</v>
      </c>
      <c r="AH32" s="1297"/>
      <c r="AJ32" s="1297"/>
      <c r="AL32" s="1304">
        <f t="shared" si="12"/>
        <v>-4195.8476638078901</v>
      </c>
      <c r="AM32" s="1309">
        <f t="shared" si="13"/>
        <v>-0.25906934610061538</v>
      </c>
    </row>
    <row r="33" spans="2:40" s="1306" customFormat="1" ht="15.5" x14ac:dyDescent="0.35">
      <c r="B33" s="1406">
        <v>8</v>
      </c>
      <c r="C33" s="1407" t="s">
        <v>538</v>
      </c>
      <c r="D33" s="1408" t="s">
        <v>552</v>
      </c>
      <c r="E33" s="1409"/>
      <c r="F33" s="1297">
        <f>$AU$28</f>
        <v>12000</v>
      </c>
      <c r="G33" s="1297">
        <f t="shared" si="25"/>
        <v>12000</v>
      </c>
      <c r="H33" s="1297">
        <f t="shared" si="25"/>
        <v>12000</v>
      </c>
      <c r="I33" s="1297">
        <f t="shared" si="25"/>
        <v>12000</v>
      </c>
      <c r="J33" s="1297">
        <f t="shared" si="25"/>
        <v>12000</v>
      </c>
      <c r="K33" s="1297">
        <f t="shared" si="25"/>
        <v>12000</v>
      </c>
      <c r="L33" s="1297">
        <f t="shared" si="25"/>
        <v>12000</v>
      </c>
      <c r="M33" s="1297">
        <f t="shared" si="25"/>
        <v>12000</v>
      </c>
      <c r="N33" s="1297">
        <f t="shared" si="25"/>
        <v>12000</v>
      </c>
      <c r="O33" s="1297">
        <f t="shared" si="25"/>
        <v>12000</v>
      </c>
      <c r="P33" s="1297">
        <f t="shared" si="25"/>
        <v>12000</v>
      </c>
      <c r="Q33" s="1297">
        <f t="shared" si="25"/>
        <v>12000</v>
      </c>
      <c r="R33" s="1297">
        <f t="shared" si="15"/>
        <v>12000</v>
      </c>
      <c r="T33" s="1297">
        <f t="shared" si="16"/>
        <v>15616.628340080972</v>
      </c>
      <c r="U33" s="1297">
        <f t="shared" ref="U33:AF33" si="27">IFERROR(U52/U14,0)</f>
        <v>17522</v>
      </c>
      <c r="V33" s="1297">
        <f t="shared" si="27"/>
        <v>17649.541389995575</v>
      </c>
      <c r="W33" s="1297">
        <f t="shared" si="27"/>
        <v>18455.821252912243</v>
      </c>
      <c r="X33" s="1297">
        <f t="shared" si="27"/>
        <v>18603.148244812735</v>
      </c>
      <c r="Y33" s="1297">
        <f t="shared" si="27"/>
        <v>18874.17241700858</v>
      </c>
      <c r="Z33" s="1297">
        <f t="shared" si="27"/>
        <v>19288.229580085044</v>
      </c>
      <c r="AA33" s="1297">
        <f t="shared" si="27"/>
        <v>18665.068379838976</v>
      </c>
      <c r="AB33" s="1297">
        <f t="shared" si="27"/>
        <v>15127.766069546891</v>
      </c>
      <c r="AC33" s="1297">
        <f t="shared" si="27"/>
        <v>11900</v>
      </c>
      <c r="AD33" s="1297">
        <f t="shared" si="27"/>
        <v>11900</v>
      </c>
      <c r="AE33" s="1297">
        <f t="shared" si="27"/>
        <v>11900</v>
      </c>
      <c r="AF33" s="1297">
        <f t="shared" si="27"/>
        <v>16235.850679621535</v>
      </c>
      <c r="AH33" s="1297"/>
      <c r="AJ33" s="1297"/>
      <c r="AL33" s="1304">
        <f t="shared" si="12"/>
        <v>-4235.8506796215352</v>
      </c>
      <c r="AM33" s="1309">
        <f t="shared" si="13"/>
        <v>-0.26089490247272185</v>
      </c>
    </row>
    <row r="34" spans="2:40" ht="15.5" x14ac:dyDescent="0.35">
      <c r="B34" s="930">
        <v>9</v>
      </c>
      <c r="C34" s="931" t="s">
        <v>539</v>
      </c>
      <c r="D34" s="932" t="s">
        <v>552</v>
      </c>
      <c r="E34" s="521"/>
      <c r="F34" s="933">
        <f>$AU$29</f>
        <v>13500</v>
      </c>
      <c r="G34" s="933">
        <f t="shared" ref="G34:Q34" si="28">$AU$29</f>
        <v>13500</v>
      </c>
      <c r="H34" s="933">
        <f t="shared" si="28"/>
        <v>13500</v>
      </c>
      <c r="I34" s="933">
        <f t="shared" si="28"/>
        <v>13500</v>
      </c>
      <c r="J34" s="933">
        <f t="shared" si="28"/>
        <v>13500</v>
      </c>
      <c r="K34" s="933">
        <f t="shared" si="28"/>
        <v>13500</v>
      </c>
      <c r="L34" s="933">
        <f t="shared" si="28"/>
        <v>13500</v>
      </c>
      <c r="M34" s="933">
        <f t="shared" si="28"/>
        <v>13500</v>
      </c>
      <c r="N34" s="933">
        <f t="shared" si="28"/>
        <v>13500</v>
      </c>
      <c r="O34" s="933">
        <f t="shared" si="28"/>
        <v>13500</v>
      </c>
      <c r="P34" s="933">
        <f t="shared" si="28"/>
        <v>13500</v>
      </c>
      <c r="Q34" s="933">
        <f t="shared" si="28"/>
        <v>13500</v>
      </c>
      <c r="R34" s="933">
        <f t="shared" si="15"/>
        <v>13500</v>
      </c>
      <c r="T34" s="933">
        <f t="shared" si="16"/>
        <v>0</v>
      </c>
      <c r="U34" s="933">
        <f t="shared" ref="U34:AF34" si="29">IFERROR(U53/U15,0)</f>
        <v>0</v>
      </c>
      <c r="V34" s="933">
        <f t="shared" si="29"/>
        <v>0</v>
      </c>
      <c r="W34" s="933">
        <f t="shared" si="29"/>
        <v>0</v>
      </c>
      <c r="X34" s="933">
        <f t="shared" si="29"/>
        <v>0</v>
      </c>
      <c r="Y34" s="933">
        <f t="shared" si="29"/>
        <v>0</v>
      </c>
      <c r="Z34" s="933">
        <f t="shared" si="29"/>
        <v>0</v>
      </c>
      <c r="AA34" s="933">
        <f t="shared" si="29"/>
        <v>0</v>
      </c>
      <c r="AB34" s="933">
        <f t="shared" si="29"/>
        <v>0</v>
      </c>
      <c r="AC34" s="933">
        <f t="shared" si="29"/>
        <v>0</v>
      </c>
      <c r="AD34" s="933">
        <f t="shared" si="29"/>
        <v>0</v>
      </c>
      <c r="AE34" s="933">
        <f t="shared" si="29"/>
        <v>0</v>
      </c>
      <c r="AF34" s="933">
        <f t="shared" si="29"/>
        <v>0</v>
      </c>
      <c r="AH34" s="933"/>
      <c r="AJ34" s="933"/>
      <c r="AL34" s="925">
        <f t="shared" si="12"/>
        <v>13500</v>
      </c>
      <c r="AM34" s="791">
        <f t="shared" si="13"/>
        <v>0</v>
      </c>
    </row>
    <row r="35" spans="2:40" ht="15.5" x14ac:dyDescent="0.35">
      <c r="B35" s="1406">
        <v>10</v>
      </c>
      <c r="C35" s="1407" t="s">
        <v>540</v>
      </c>
      <c r="D35" s="1408" t="s">
        <v>552</v>
      </c>
      <c r="E35" s="1409"/>
      <c r="F35" s="933">
        <f t="shared" ref="F35:Q35" si="30">$AU$29</f>
        <v>13500</v>
      </c>
      <c r="G35" s="933">
        <f t="shared" si="30"/>
        <v>13500</v>
      </c>
      <c r="H35" s="933">
        <f t="shared" si="30"/>
        <v>13500</v>
      </c>
      <c r="I35" s="933">
        <f t="shared" si="30"/>
        <v>13500</v>
      </c>
      <c r="J35" s="933">
        <f t="shared" si="30"/>
        <v>13500</v>
      </c>
      <c r="K35" s="933">
        <f t="shared" si="30"/>
        <v>13500</v>
      </c>
      <c r="L35" s="933">
        <f t="shared" si="30"/>
        <v>13500</v>
      </c>
      <c r="M35" s="933">
        <f t="shared" si="30"/>
        <v>13500</v>
      </c>
      <c r="N35" s="933">
        <f t="shared" si="30"/>
        <v>13500</v>
      </c>
      <c r="O35" s="933">
        <f t="shared" si="30"/>
        <v>13500</v>
      </c>
      <c r="P35" s="933">
        <f t="shared" si="30"/>
        <v>13500</v>
      </c>
      <c r="Q35" s="933">
        <f t="shared" si="30"/>
        <v>13500</v>
      </c>
      <c r="R35" s="933">
        <f t="shared" si="15"/>
        <v>13500</v>
      </c>
      <c r="T35" s="933">
        <f t="shared" si="16"/>
        <v>0</v>
      </c>
      <c r="U35" s="933">
        <f t="shared" ref="U35:AF35" si="31">IFERROR(U54/U16,0)</f>
        <v>18235.567557000075</v>
      </c>
      <c r="V35" s="933">
        <f t="shared" si="31"/>
        <v>0</v>
      </c>
      <c r="W35" s="933">
        <f t="shared" si="31"/>
        <v>19425.511692491371</v>
      </c>
      <c r="X35" s="933">
        <f t="shared" si="31"/>
        <v>19460</v>
      </c>
      <c r="Y35" s="933">
        <f t="shared" si="31"/>
        <v>19193.272957360074</v>
      </c>
      <c r="Z35" s="933">
        <f t="shared" si="31"/>
        <v>19363.428335293556</v>
      </c>
      <c r="AA35" s="933">
        <f t="shared" si="31"/>
        <v>19479.381206670416</v>
      </c>
      <c r="AB35" s="933">
        <f t="shared" si="31"/>
        <v>0</v>
      </c>
      <c r="AC35" s="933">
        <f t="shared" si="31"/>
        <v>0</v>
      </c>
      <c r="AD35" s="933">
        <f t="shared" si="31"/>
        <v>0</v>
      </c>
      <c r="AE35" s="933">
        <f t="shared" si="31"/>
        <v>0</v>
      </c>
      <c r="AF35" s="933">
        <f t="shared" si="31"/>
        <v>12656.451205054629</v>
      </c>
      <c r="AH35" s="933"/>
      <c r="AJ35" s="933"/>
      <c r="AL35" s="925">
        <f t="shared" si="12"/>
        <v>843.5487949453709</v>
      </c>
      <c r="AM35" s="791">
        <f t="shared" si="13"/>
        <v>6.6649709407363922E-2</v>
      </c>
    </row>
    <row r="36" spans="2:40" ht="15.5" x14ac:dyDescent="0.35">
      <c r="B36" s="930">
        <v>11</v>
      </c>
      <c r="C36" s="931" t="s">
        <v>541</v>
      </c>
      <c r="D36" s="932" t="s">
        <v>552</v>
      </c>
      <c r="E36" s="521"/>
      <c r="F36" s="933">
        <f t="shared" ref="F36:Q37" si="32">$AU$28</f>
        <v>12000</v>
      </c>
      <c r="G36" s="933">
        <f t="shared" si="32"/>
        <v>12000</v>
      </c>
      <c r="H36" s="933">
        <f t="shared" si="32"/>
        <v>12000</v>
      </c>
      <c r="I36" s="933">
        <f t="shared" si="32"/>
        <v>12000</v>
      </c>
      <c r="J36" s="933">
        <f t="shared" si="32"/>
        <v>12000</v>
      </c>
      <c r="K36" s="933">
        <f t="shared" si="32"/>
        <v>12000</v>
      </c>
      <c r="L36" s="933">
        <f t="shared" si="32"/>
        <v>12000</v>
      </c>
      <c r="M36" s="933">
        <f t="shared" si="32"/>
        <v>12000</v>
      </c>
      <c r="N36" s="933">
        <f t="shared" si="32"/>
        <v>12000</v>
      </c>
      <c r="O36" s="933">
        <f t="shared" si="32"/>
        <v>12000</v>
      </c>
      <c r="P36" s="933">
        <f t="shared" si="32"/>
        <v>12000</v>
      </c>
      <c r="Q36" s="933">
        <f t="shared" si="32"/>
        <v>12000</v>
      </c>
      <c r="R36" s="933">
        <f t="shared" si="15"/>
        <v>12000</v>
      </c>
      <c r="T36" s="933">
        <f t="shared" si="16"/>
        <v>0</v>
      </c>
      <c r="U36" s="933">
        <f t="shared" ref="U36:AF36" si="33">IFERROR(U55/U17,0)</f>
        <v>0</v>
      </c>
      <c r="V36" s="933">
        <f t="shared" si="33"/>
        <v>0</v>
      </c>
      <c r="W36" s="933">
        <f t="shared" si="33"/>
        <v>8000</v>
      </c>
      <c r="X36" s="933">
        <f t="shared" si="33"/>
        <v>8000</v>
      </c>
      <c r="Y36" s="933">
        <f t="shared" si="33"/>
        <v>0</v>
      </c>
      <c r="Z36" s="933">
        <f t="shared" si="33"/>
        <v>0</v>
      </c>
      <c r="AA36" s="933">
        <f t="shared" si="33"/>
        <v>0</v>
      </c>
      <c r="AB36" s="933">
        <f t="shared" si="33"/>
        <v>8000</v>
      </c>
      <c r="AC36" s="933">
        <f t="shared" si="33"/>
        <v>0</v>
      </c>
      <c r="AD36" s="933">
        <f t="shared" si="33"/>
        <v>0</v>
      </c>
      <c r="AE36" s="933">
        <f t="shared" si="33"/>
        <v>0</v>
      </c>
      <c r="AF36" s="933">
        <f t="shared" si="33"/>
        <v>7448.5938220378057</v>
      </c>
      <c r="AH36" s="933"/>
      <c r="AJ36" s="933"/>
      <c r="AL36" s="925">
        <f t="shared" si="12"/>
        <v>4551.4061779621943</v>
      </c>
      <c r="AM36" s="791">
        <f t="shared" si="13"/>
        <v>0.61104233721218115</v>
      </c>
    </row>
    <row r="37" spans="2:40" ht="15.5" x14ac:dyDescent="0.35">
      <c r="B37" s="930">
        <v>12</v>
      </c>
      <c r="C37" s="931" t="s">
        <v>542</v>
      </c>
      <c r="D37" s="932" t="s">
        <v>552</v>
      </c>
      <c r="E37" s="521"/>
      <c r="F37" s="933">
        <f t="shared" si="32"/>
        <v>12000</v>
      </c>
      <c r="G37" s="933">
        <f t="shared" si="32"/>
        <v>12000</v>
      </c>
      <c r="H37" s="933">
        <f t="shared" si="32"/>
        <v>12000</v>
      </c>
      <c r="I37" s="933">
        <f t="shared" si="32"/>
        <v>12000</v>
      </c>
      <c r="J37" s="933">
        <f t="shared" si="32"/>
        <v>12000</v>
      </c>
      <c r="K37" s="933">
        <f t="shared" si="32"/>
        <v>12000</v>
      </c>
      <c r="L37" s="933">
        <f t="shared" si="32"/>
        <v>12000</v>
      </c>
      <c r="M37" s="933">
        <f t="shared" si="32"/>
        <v>12000</v>
      </c>
      <c r="N37" s="933">
        <f t="shared" si="32"/>
        <v>12000</v>
      </c>
      <c r="O37" s="933">
        <f t="shared" si="32"/>
        <v>12000</v>
      </c>
      <c r="P37" s="933">
        <f t="shared" si="32"/>
        <v>12000</v>
      </c>
      <c r="Q37" s="933">
        <f t="shared" si="32"/>
        <v>12000</v>
      </c>
      <c r="R37" s="933">
        <f t="shared" si="15"/>
        <v>12000</v>
      </c>
      <c r="T37" s="933">
        <f t="shared" si="16"/>
        <v>0</v>
      </c>
      <c r="U37" s="933">
        <f t="shared" ref="U37:AF37" si="34">IFERROR(U56/U18,0)</f>
        <v>0</v>
      </c>
      <c r="V37" s="933">
        <f t="shared" si="34"/>
        <v>0</v>
      </c>
      <c r="W37" s="933">
        <f t="shared" si="34"/>
        <v>8000</v>
      </c>
      <c r="X37" s="933">
        <f t="shared" si="34"/>
        <v>0</v>
      </c>
      <c r="Y37" s="933">
        <f t="shared" si="34"/>
        <v>0</v>
      </c>
      <c r="Z37" s="933">
        <f t="shared" si="34"/>
        <v>477.63578274760386</v>
      </c>
      <c r="AA37" s="933">
        <f t="shared" si="34"/>
        <v>0</v>
      </c>
      <c r="AB37" s="933">
        <f t="shared" si="34"/>
        <v>0</v>
      </c>
      <c r="AC37" s="933">
        <f t="shared" si="34"/>
        <v>0</v>
      </c>
      <c r="AD37" s="933">
        <f t="shared" si="34"/>
        <v>0</v>
      </c>
      <c r="AE37" s="933">
        <f t="shared" si="34"/>
        <v>0</v>
      </c>
      <c r="AF37" s="933">
        <f t="shared" si="34"/>
        <v>729.17575228957696</v>
      </c>
      <c r="AH37" s="933"/>
      <c r="AJ37" s="933"/>
      <c r="AL37" s="925">
        <f t="shared" si="12"/>
        <v>11270.824247710423</v>
      </c>
      <c r="AM37" s="791">
        <f t="shared" si="13"/>
        <v>15.456937799043061</v>
      </c>
    </row>
    <row r="38" spans="2:40" ht="15.5" x14ac:dyDescent="0.35">
      <c r="B38" s="930">
        <v>13</v>
      </c>
      <c r="C38" s="934" t="s">
        <v>543</v>
      </c>
      <c r="D38" s="932" t="s">
        <v>552</v>
      </c>
      <c r="E38" s="521"/>
      <c r="F38" s="933">
        <f>$AU$30</f>
        <v>8100</v>
      </c>
      <c r="G38" s="933">
        <f t="shared" ref="G38:Q38" si="35">$AU$30</f>
        <v>8100</v>
      </c>
      <c r="H38" s="933">
        <f t="shared" si="35"/>
        <v>8100</v>
      </c>
      <c r="I38" s="933">
        <f t="shared" si="35"/>
        <v>8100</v>
      </c>
      <c r="J38" s="933">
        <f t="shared" si="35"/>
        <v>8100</v>
      </c>
      <c r="K38" s="933">
        <f t="shared" si="35"/>
        <v>8100</v>
      </c>
      <c r="L38" s="933">
        <f t="shared" si="35"/>
        <v>8100</v>
      </c>
      <c r="M38" s="933">
        <f t="shared" si="35"/>
        <v>8100</v>
      </c>
      <c r="N38" s="933">
        <f t="shared" si="35"/>
        <v>8100</v>
      </c>
      <c r="O38" s="933">
        <f t="shared" si="35"/>
        <v>8100</v>
      </c>
      <c r="P38" s="933">
        <f t="shared" si="35"/>
        <v>8100</v>
      </c>
      <c r="Q38" s="933">
        <f t="shared" si="35"/>
        <v>8100</v>
      </c>
      <c r="R38" s="933">
        <f t="shared" si="15"/>
        <v>8100</v>
      </c>
      <c r="T38" s="933">
        <f t="shared" si="16"/>
        <v>0</v>
      </c>
      <c r="U38" s="933">
        <f t="shared" ref="U38:AF38" si="36">IFERROR(U57/U19,0)</f>
        <v>0</v>
      </c>
      <c r="V38" s="933">
        <f t="shared" si="36"/>
        <v>0</v>
      </c>
      <c r="W38" s="933">
        <f t="shared" si="36"/>
        <v>0</v>
      </c>
      <c r="X38" s="933">
        <f t="shared" si="36"/>
        <v>10000</v>
      </c>
      <c r="Y38" s="933">
        <f t="shared" si="36"/>
        <v>0</v>
      </c>
      <c r="Z38" s="933">
        <f t="shared" si="36"/>
        <v>0</v>
      </c>
      <c r="AA38" s="933">
        <f t="shared" si="36"/>
        <v>0</v>
      </c>
      <c r="AB38" s="933">
        <f t="shared" si="36"/>
        <v>2822.2923238696108</v>
      </c>
      <c r="AC38" s="933">
        <f t="shared" si="36"/>
        <v>0</v>
      </c>
      <c r="AD38" s="933">
        <f t="shared" si="36"/>
        <v>0</v>
      </c>
      <c r="AE38" s="933">
        <f t="shared" si="36"/>
        <v>0</v>
      </c>
      <c r="AF38" s="933">
        <f t="shared" si="36"/>
        <v>12052.033026951238</v>
      </c>
      <c r="AH38" s="933"/>
      <c r="AJ38" s="933"/>
      <c r="AL38" s="925">
        <f t="shared" si="12"/>
        <v>-3952.0330269512378</v>
      </c>
      <c r="AM38" s="791">
        <f t="shared" si="13"/>
        <v>-0.32791422145239257</v>
      </c>
    </row>
    <row r="39" spans="2:40" s="1306" customFormat="1" ht="15.5" x14ac:dyDescent="0.35">
      <c r="B39" s="1406">
        <v>14</v>
      </c>
      <c r="C39" s="1407" t="s">
        <v>544</v>
      </c>
      <c r="D39" s="1408" t="s">
        <v>552</v>
      </c>
      <c r="E39" s="1409"/>
      <c r="F39" s="1297">
        <f t="shared" ref="F39:Q40" si="37">$AU$30</f>
        <v>8100</v>
      </c>
      <c r="G39" s="1297">
        <f t="shared" si="37"/>
        <v>8100</v>
      </c>
      <c r="H39" s="1297">
        <f t="shared" si="37"/>
        <v>8100</v>
      </c>
      <c r="I39" s="1297">
        <f t="shared" si="37"/>
        <v>8100</v>
      </c>
      <c r="J39" s="1297">
        <f t="shared" si="37"/>
        <v>8100</v>
      </c>
      <c r="K39" s="1297">
        <f t="shared" si="37"/>
        <v>8100</v>
      </c>
      <c r="L39" s="1297">
        <f t="shared" si="37"/>
        <v>8100</v>
      </c>
      <c r="M39" s="1297">
        <f t="shared" si="37"/>
        <v>8100</v>
      </c>
      <c r="N39" s="1297">
        <f t="shared" si="37"/>
        <v>8100</v>
      </c>
      <c r="O39" s="1297">
        <f t="shared" si="37"/>
        <v>8100</v>
      </c>
      <c r="P39" s="1297">
        <f t="shared" si="37"/>
        <v>8100</v>
      </c>
      <c r="Q39" s="1297">
        <f t="shared" si="37"/>
        <v>8100</v>
      </c>
      <c r="R39" s="1297">
        <f t="shared" si="15"/>
        <v>8100</v>
      </c>
      <c r="T39" s="1297">
        <f t="shared" si="16"/>
        <v>0</v>
      </c>
      <c r="U39" s="1297">
        <f t="shared" ref="U39:AF39" si="38">IFERROR(U58/U20,0)</f>
        <v>0</v>
      </c>
      <c r="V39" s="1297">
        <f t="shared" si="38"/>
        <v>10000</v>
      </c>
      <c r="W39" s="1297">
        <f t="shared" si="38"/>
        <v>10000</v>
      </c>
      <c r="X39" s="1297">
        <f t="shared" si="38"/>
        <v>10000</v>
      </c>
      <c r="Y39" s="1297">
        <f t="shared" si="38"/>
        <v>10000</v>
      </c>
      <c r="Z39" s="1297">
        <f t="shared" si="38"/>
        <v>10000</v>
      </c>
      <c r="AA39" s="1297">
        <f t="shared" si="38"/>
        <v>10000</v>
      </c>
      <c r="AB39" s="1297">
        <f t="shared" si="38"/>
        <v>0</v>
      </c>
      <c r="AC39" s="1297">
        <f t="shared" si="38"/>
        <v>6400</v>
      </c>
      <c r="AD39" s="1297">
        <f t="shared" si="38"/>
        <v>6400</v>
      </c>
      <c r="AE39" s="1297">
        <f t="shared" si="38"/>
        <v>6400</v>
      </c>
      <c r="AF39" s="1297">
        <f t="shared" si="38"/>
        <v>9413.3871341658269</v>
      </c>
      <c r="AH39" s="1297"/>
      <c r="AJ39" s="1297"/>
      <c r="AL39" s="1304">
        <f t="shared" si="12"/>
        <v>-1313.3871341658269</v>
      </c>
      <c r="AM39" s="1309">
        <f t="shared" si="13"/>
        <v>-0.13952333155394159</v>
      </c>
    </row>
    <row r="40" spans="2:40" ht="15.5" x14ac:dyDescent="0.35">
      <c r="B40" s="930">
        <v>15</v>
      </c>
      <c r="C40" s="931" t="s">
        <v>175</v>
      </c>
      <c r="D40" s="932" t="s">
        <v>552</v>
      </c>
      <c r="E40" s="521"/>
      <c r="F40" s="933">
        <f t="shared" si="37"/>
        <v>8100</v>
      </c>
      <c r="G40" s="933">
        <f t="shared" si="37"/>
        <v>8100</v>
      </c>
      <c r="H40" s="933">
        <f t="shared" si="37"/>
        <v>8100</v>
      </c>
      <c r="I40" s="933">
        <f t="shared" si="37"/>
        <v>8100</v>
      </c>
      <c r="J40" s="933">
        <f t="shared" si="37"/>
        <v>8100</v>
      </c>
      <c r="K40" s="933">
        <f t="shared" si="37"/>
        <v>8100</v>
      </c>
      <c r="L40" s="933">
        <f t="shared" si="37"/>
        <v>8100</v>
      </c>
      <c r="M40" s="933">
        <f t="shared" si="37"/>
        <v>8100</v>
      </c>
      <c r="N40" s="933">
        <f t="shared" si="37"/>
        <v>8100</v>
      </c>
      <c r="O40" s="933">
        <f t="shared" si="37"/>
        <v>8100</v>
      </c>
      <c r="P40" s="933">
        <f t="shared" si="37"/>
        <v>8100</v>
      </c>
      <c r="Q40" s="933">
        <f t="shared" si="37"/>
        <v>8100</v>
      </c>
      <c r="R40" s="933">
        <f t="shared" si="15"/>
        <v>8100</v>
      </c>
      <c r="T40" s="933">
        <f t="shared" si="16"/>
        <v>0</v>
      </c>
      <c r="U40" s="933">
        <f t="shared" ref="U40:AF40" si="39">IFERROR(U59/U21,0)</f>
        <v>0</v>
      </c>
      <c r="V40" s="933">
        <f t="shared" si="39"/>
        <v>0</v>
      </c>
      <c r="W40" s="933">
        <f t="shared" si="39"/>
        <v>2037</v>
      </c>
      <c r="X40" s="933">
        <f t="shared" si="39"/>
        <v>0</v>
      </c>
      <c r="Y40" s="933">
        <f t="shared" si="39"/>
        <v>0</v>
      </c>
      <c r="Z40" s="933">
        <f t="shared" si="39"/>
        <v>0</v>
      </c>
      <c r="AA40" s="933">
        <f>IFERROR(AA59/AA21,0)</f>
        <v>0</v>
      </c>
      <c r="AB40" s="933">
        <f t="shared" si="39"/>
        <v>0</v>
      </c>
      <c r="AC40" s="933">
        <f t="shared" si="39"/>
        <v>0</v>
      </c>
      <c r="AD40" s="933">
        <f t="shared" si="39"/>
        <v>0</v>
      </c>
      <c r="AE40" s="933">
        <f t="shared" si="39"/>
        <v>0</v>
      </c>
      <c r="AF40" s="933">
        <f t="shared" si="39"/>
        <v>44493.527668609117</v>
      </c>
      <c r="AH40" s="933"/>
      <c r="AJ40" s="933"/>
      <c r="AL40" s="925">
        <f t="shared" si="12"/>
        <v>-36393.527668609117</v>
      </c>
      <c r="AM40" s="791">
        <f t="shared" si="13"/>
        <v>-0.81795104986214262</v>
      </c>
    </row>
    <row r="41" spans="2:40" x14ac:dyDescent="0.35">
      <c r="B41" s="163"/>
      <c r="C41" s="164" t="s">
        <v>562</v>
      </c>
      <c r="D41" s="928"/>
      <c r="E41" s="166"/>
      <c r="F41" s="935">
        <f>F60/F22</f>
        <v>14683.073684210527</v>
      </c>
      <c r="G41" s="935">
        <f t="shared" ref="G41:Q41" si="40">G60/G22</f>
        <v>14683.073684210527</v>
      </c>
      <c r="H41" s="935">
        <f t="shared" si="40"/>
        <v>14683.073684210527</v>
      </c>
      <c r="I41" s="935">
        <f t="shared" si="40"/>
        <v>14683.073684210527</v>
      </c>
      <c r="J41" s="935">
        <f t="shared" si="40"/>
        <v>14682.271000422119</v>
      </c>
      <c r="K41" s="935">
        <f t="shared" si="40"/>
        <v>11769.527896995709</v>
      </c>
      <c r="L41" s="935">
        <f t="shared" si="40"/>
        <v>11769.527896995709</v>
      </c>
      <c r="M41" s="935">
        <f t="shared" si="40"/>
        <v>11769.527896995709</v>
      </c>
      <c r="N41" s="935">
        <f t="shared" si="40"/>
        <v>11769.527896995709</v>
      </c>
      <c r="O41" s="935">
        <f t="shared" si="40"/>
        <v>11769.527896995709</v>
      </c>
      <c r="P41" s="935">
        <f t="shared" si="40"/>
        <v>11769.527896995709</v>
      </c>
      <c r="Q41" s="935">
        <f t="shared" si="40"/>
        <v>11769.527896995709</v>
      </c>
      <c r="R41" s="935">
        <f t="shared" si="15"/>
        <v>12983.438418019519</v>
      </c>
      <c r="T41" s="935"/>
      <c r="U41" s="935"/>
      <c r="V41" s="935"/>
      <c r="W41" s="935"/>
      <c r="X41" s="935"/>
      <c r="Y41" s="935"/>
      <c r="Z41" s="935"/>
      <c r="AA41" s="935"/>
      <c r="AB41" s="935"/>
      <c r="AC41" s="935"/>
      <c r="AD41" s="935"/>
      <c r="AE41" s="935"/>
      <c r="AF41" s="166"/>
      <c r="AH41" s="166"/>
      <c r="AJ41" s="166"/>
      <c r="AL41" s="166">
        <f t="shared" si="12"/>
        <v>12983.438418019519</v>
      </c>
      <c r="AM41" s="929">
        <f t="shared" si="13"/>
        <v>0</v>
      </c>
    </row>
    <row r="42" spans="2:40" x14ac:dyDescent="0.35">
      <c r="B42" s="80"/>
      <c r="C42" s="81"/>
      <c r="D42" s="82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  <c r="AA42" s="83"/>
      <c r="AB42" s="83"/>
      <c r="AC42" s="83"/>
      <c r="AD42" s="83"/>
      <c r="AE42" s="83"/>
      <c r="AF42" s="83"/>
      <c r="AG42" s="83"/>
      <c r="AH42" s="83"/>
      <c r="AI42" s="83"/>
      <c r="AJ42" s="83"/>
      <c r="AK42" s="83"/>
      <c r="AL42" s="83"/>
      <c r="AM42" s="83"/>
      <c r="AN42" s="83"/>
    </row>
    <row r="43" spans="2:40" x14ac:dyDescent="0.35">
      <c r="B43" s="4" t="s">
        <v>563</v>
      </c>
      <c r="R43" s="89"/>
      <c r="AF43" s="89"/>
      <c r="AH43" s="89"/>
      <c r="AJ43" s="89"/>
      <c r="AL43" s="89"/>
      <c r="AM43" s="89"/>
    </row>
    <row r="44" spans="2:40" ht="26" x14ac:dyDescent="0.35">
      <c r="B44" s="187" t="s">
        <v>36</v>
      </c>
      <c r="C44" s="187" t="s">
        <v>524</v>
      </c>
      <c r="D44" s="187" t="s">
        <v>257</v>
      </c>
      <c r="E44" s="116" t="s">
        <v>525</v>
      </c>
      <c r="F44" s="116" t="s">
        <v>149</v>
      </c>
      <c r="G44" s="116" t="s">
        <v>150</v>
      </c>
      <c r="H44" s="116" t="s">
        <v>151</v>
      </c>
      <c r="I44" s="116" t="s">
        <v>152</v>
      </c>
      <c r="J44" s="116" t="s">
        <v>153</v>
      </c>
      <c r="K44" s="116" t="s">
        <v>154</v>
      </c>
      <c r="L44" s="116" t="s">
        <v>155</v>
      </c>
      <c r="M44" s="116" t="s">
        <v>156</v>
      </c>
      <c r="N44" s="116" t="s">
        <v>157</v>
      </c>
      <c r="O44" s="116" t="s">
        <v>158</v>
      </c>
      <c r="P44" s="116" t="s">
        <v>159</v>
      </c>
      <c r="Q44" s="116" t="s">
        <v>160</v>
      </c>
      <c r="R44" s="116" t="s">
        <v>2147</v>
      </c>
      <c r="S44" s="10"/>
      <c r="T44" s="714" t="s">
        <v>149</v>
      </c>
      <c r="U44" s="714" t="s">
        <v>150</v>
      </c>
      <c r="V44" s="714" t="s">
        <v>151</v>
      </c>
      <c r="W44" s="714" t="s">
        <v>152</v>
      </c>
      <c r="X44" s="714" t="s">
        <v>153</v>
      </c>
      <c r="Y44" s="714" t="s">
        <v>154</v>
      </c>
      <c r="Z44" s="714" t="s">
        <v>155</v>
      </c>
      <c r="AA44" s="714" t="s">
        <v>156</v>
      </c>
      <c r="AB44" s="714" t="s">
        <v>157</v>
      </c>
      <c r="AC44" s="714" t="s">
        <v>158</v>
      </c>
      <c r="AD44" s="714" t="s">
        <v>159</v>
      </c>
      <c r="AE44" s="714" t="s">
        <v>160</v>
      </c>
      <c r="AF44" s="714" t="s">
        <v>148</v>
      </c>
      <c r="AG44" s="10"/>
      <c r="AH44" s="714" t="s">
        <v>526</v>
      </c>
      <c r="AI44" s="10"/>
      <c r="AJ44" s="714" t="s">
        <v>527</v>
      </c>
      <c r="AK44" s="10"/>
      <c r="AL44" s="721" t="s">
        <v>528</v>
      </c>
      <c r="AM44" s="722" t="s">
        <v>529</v>
      </c>
    </row>
    <row r="45" spans="2:40" x14ac:dyDescent="0.35">
      <c r="B45" s="128">
        <v>1</v>
      </c>
      <c r="C45" s="129" t="s">
        <v>530</v>
      </c>
      <c r="D45" s="130" t="s">
        <v>564</v>
      </c>
      <c r="E45" s="159"/>
      <c r="F45" s="159">
        <f t="shared" ref="F45" si="41">F7*F26</f>
        <v>7229250000</v>
      </c>
      <c r="G45" s="159">
        <f>G7*G26</f>
        <v>5622750000</v>
      </c>
      <c r="H45" s="159">
        <f t="shared" ref="H45:K45" si="42">H7*H26</f>
        <v>8032500000</v>
      </c>
      <c r="I45" s="159">
        <f t="shared" si="42"/>
        <v>8835750000</v>
      </c>
      <c r="J45" s="159">
        <f t="shared" si="42"/>
        <v>8811000000</v>
      </c>
      <c r="K45" s="159">
        <f t="shared" si="42"/>
        <v>0</v>
      </c>
      <c r="L45" s="159">
        <f t="shared" ref="L45:Q45" si="43">L7*L26</f>
        <v>0</v>
      </c>
      <c r="M45" s="159">
        <f t="shared" ref="M45:M53" si="44">M7*M26</f>
        <v>0</v>
      </c>
      <c r="N45" s="159">
        <f t="shared" si="43"/>
        <v>0</v>
      </c>
      <c r="O45" s="159">
        <f t="shared" si="43"/>
        <v>0</v>
      </c>
      <c r="P45" s="159">
        <f t="shared" si="43"/>
        <v>0</v>
      </c>
      <c r="Q45" s="159">
        <f t="shared" si="43"/>
        <v>0</v>
      </c>
      <c r="R45" s="936">
        <f>SUM(F45:Q45)</f>
        <v>38531250000</v>
      </c>
      <c r="S45" s="1299">
        <f>R45/$R$60</f>
        <v>0.81805696542664352</v>
      </c>
      <c r="T45" s="159">
        <f>1694108524+7010684</f>
        <v>1701119208</v>
      </c>
      <c r="U45" s="159">
        <f>4688625112+87558560</f>
        <v>4776183672</v>
      </c>
      <c r="V45" s="159">
        <f>10039243858-109919970</f>
        <v>9929323888</v>
      </c>
      <c r="W45" s="159">
        <f>9740096000-4651119</f>
        <v>9735444881</v>
      </c>
      <c r="X45" s="159">
        <v>10632866005</v>
      </c>
      <c r="Y45" s="159">
        <v>4458944080</v>
      </c>
      <c r="Z45" s="159"/>
      <c r="AA45" s="159"/>
      <c r="AB45" s="159"/>
      <c r="AC45" s="159"/>
      <c r="AD45" s="159"/>
      <c r="AE45" s="159"/>
      <c r="AF45" s="936">
        <f>SUM(T45:AE45)</f>
        <v>41233881734</v>
      </c>
      <c r="AH45" s="936"/>
      <c r="AJ45" s="936"/>
      <c r="AL45" s="159">
        <f t="shared" ref="AL45:AL60" si="45">IFERROR(R45-AF45,0)</f>
        <v>-2702631734</v>
      </c>
      <c r="AM45" s="791">
        <f t="shared" ref="AM45:AM60" si="46">IFERROR((R45/AF45)-1,0)</f>
        <v>-6.554395609500685E-2</v>
      </c>
    </row>
    <row r="46" spans="2:40" ht="25" x14ac:dyDescent="0.35">
      <c r="B46" s="128">
        <v>2</v>
      </c>
      <c r="C46" s="129" t="s">
        <v>532</v>
      </c>
      <c r="D46" s="130" t="s">
        <v>564</v>
      </c>
      <c r="E46" s="159"/>
      <c r="F46" s="159">
        <f t="shared" ref="F46:K46" si="47">F8*F27</f>
        <v>0</v>
      </c>
      <c r="G46" s="159">
        <f t="shared" si="47"/>
        <v>0</v>
      </c>
      <c r="H46" s="159">
        <f t="shared" si="47"/>
        <v>0</v>
      </c>
      <c r="I46" s="159">
        <f t="shared" si="47"/>
        <v>0</v>
      </c>
      <c r="J46" s="159">
        <f t="shared" si="47"/>
        <v>0</v>
      </c>
      <c r="K46" s="159">
        <f t="shared" si="47"/>
        <v>0</v>
      </c>
      <c r="L46" s="159">
        <f t="shared" ref="L46:L53" si="48">L8*L27</f>
        <v>0</v>
      </c>
      <c r="M46" s="159">
        <f t="shared" si="44"/>
        <v>0</v>
      </c>
      <c r="N46" s="159">
        <f t="shared" ref="N46:Q53" si="49">N8*N27</f>
        <v>0</v>
      </c>
      <c r="O46" s="159">
        <f t="shared" si="49"/>
        <v>0</v>
      </c>
      <c r="P46" s="159">
        <f t="shared" si="49"/>
        <v>0</v>
      </c>
      <c r="Q46" s="159">
        <f t="shared" si="49"/>
        <v>0</v>
      </c>
      <c r="R46" s="936">
        <f t="shared" ref="R46:R59" si="50">SUM(F46:Q46)</f>
        <v>0</v>
      </c>
      <c r="S46" s="1299">
        <f t="shared" ref="S46:S60" si="51">R46/$R$60</f>
        <v>0</v>
      </c>
      <c r="T46" s="159"/>
      <c r="U46" s="159"/>
      <c r="V46" s="159"/>
      <c r="W46" s="159"/>
      <c r="X46" s="159"/>
      <c r="Y46" s="159">
        <v>9257931690</v>
      </c>
      <c r="Z46" s="159">
        <v>17408694963</v>
      </c>
      <c r="AA46" s="159">
        <f>16327675670-25082920</f>
        <v>16302592750</v>
      </c>
      <c r="AB46" s="159">
        <f>12966349000+19034856</f>
        <v>12985383856</v>
      </c>
      <c r="AC46" s="159">
        <v>7926800000</v>
      </c>
      <c r="AD46" s="159">
        <v>7926800000</v>
      </c>
      <c r="AE46" s="159">
        <v>7926800000</v>
      </c>
      <c r="AF46" s="936">
        <f t="shared" ref="AF46:AF52" si="52">SUM(T46:AE46)</f>
        <v>79735003259</v>
      </c>
      <c r="AH46" s="936"/>
      <c r="AJ46" s="936"/>
      <c r="AL46" s="159">
        <f t="shared" si="45"/>
        <v>-79735003259</v>
      </c>
      <c r="AM46" s="791">
        <f t="shared" si="46"/>
        <v>-1</v>
      </c>
    </row>
    <row r="47" spans="2:40" x14ac:dyDescent="0.35">
      <c r="B47" s="128">
        <v>3</v>
      </c>
      <c r="C47" s="129" t="s">
        <v>533</v>
      </c>
      <c r="D47" s="130" t="s">
        <v>564</v>
      </c>
      <c r="E47" s="159"/>
      <c r="F47" s="159">
        <f t="shared" ref="F47:J47" si="53">F9*F28</f>
        <v>0</v>
      </c>
      <c r="G47" s="159">
        <f t="shared" si="53"/>
        <v>0</v>
      </c>
      <c r="H47" s="159">
        <f t="shared" si="53"/>
        <v>0</v>
      </c>
      <c r="I47" s="159">
        <f t="shared" si="53"/>
        <v>0</v>
      </c>
      <c r="J47" s="159">
        <f t="shared" si="53"/>
        <v>0</v>
      </c>
      <c r="K47" s="159">
        <f>K9*K28</f>
        <v>0</v>
      </c>
      <c r="L47" s="159">
        <f t="shared" si="48"/>
        <v>0</v>
      </c>
      <c r="M47" s="159">
        <f t="shared" si="44"/>
        <v>0</v>
      </c>
      <c r="N47" s="159">
        <f t="shared" si="49"/>
        <v>0</v>
      </c>
      <c r="O47" s="159">
        <f t="shared" si="49"/>
        <v>0</v>
      </c>
      <c r="P47" s="159">
        <f t="shared" si="49"/>
        <v>0</v>
      </c>
      <c r="Q47" s="159">
        <f t="shared" si="49"/>
        <v>0</v>
      </c>
      <c r="R47" s="936">
        <f t="shared" si="50"/>
        <v>0</v>
      </c>
      <c r="S47" s="1299">
        <f t="shared" si="51"/>
        <v>0</v>
      </c>
      <c r="T47" s="159"/>
      <c r="U47" s="159"/>
      <c r="V47" s="159"/>
      <c r="W47" s="159"/>
      <c r="X47" s="159">
        <v>1488403050</v>
      </c>
      <c r="Y47" s="159">
        <v>950657925</v>
      </c>
      <c r="Z47" s="159"/>
      <c r="AA47" s="159"/>
      <c r="AB47" s="159"/>
      <c r="AC47" s="159"/>
      <c r="AD47" s="159"/>
      <c r="AE47" s="159"/>
      <c r="AF47" s="936">
        <f t="shared" si="52"/>
        <v>2439060975</v>
      </c>
      <c r="AH47" s="936"/>
      <c r="AJ47" s="936"/>
      <c r="AL47" s="159">
        <f t="shared" si="45"/>
        <v>-2439060975</v>
      </c>
      <c r="AM47" s="791">
        <f t="shared" si="46"/>
        <v>-1</v>
      </c>
    </row>
    <row r="48" spans="2:40" x14ac:dyDescent="0.35">
      <c r="B48" s="128">
        <v>4</v>
      </c>
      <c r="C48" s="129" t="s">
        <v>534</v>
      </c>
      <c r="D48" s="130" t="s">
        <v>564</v>
      </c>
      <c r="E48" s="159"/>
      <c r="F48" s="159">
        <f t="shared" ref="F48:K48" si="54">F10*F29</f>
        <v>0</v>
      </c>
      <c r="G48" s="159">
        <f t="shared" si="54"/>
        <v>0</v>
      </c>
      <c r="H48" s="159">
        <f t="shared" si="54"/>
        <v>0</v>
      </c>
      <c r="I48" s="159">
        <f t="shared" si="54"/>
        <v>0</v>
      </c>
      <c r="J48" s="159">
        <f t="shared" si="54"/>
        <v>0</v>
      </c>
      <c r="K48" s="159">
        <f t="shared" si="54"/>
        <v>0</v>
      </c>
      <c r="L48" s="159">
        <f t="shared" si="48"/>
        <v>0</v>
      </c>
      <c r="M48" s="159">
        <f t="shared" si="44"/>
        <v>0</v>
      </c>
      <c r="N48" s="159">
        <f t="shared" si="49"/>
        <v>0</v>
      </c>
      <c r="O48" s="159">
        <f t="shared" si="49"/>
        <v>0</v>
      </c>
      <c r="P48" s="159">
        <f t="shared" si="49"/>
        <v>0</v>
      </c>
      <c r="Q48" s="159">
        <f t="shared" si="49"/>
        <v>0</v>
      </c>
      <c r="R48" s="936">
        <f t="shared" si="50"/>
        <v>0</v>
      </c>
      <c r="S48" s="1299">
        <f t="shared" si="51"/>
        <v>0</v>
      </c>
      <c r="T48" s="159"/>
      <c r="U48" s="159"/>
      <c r="V48" s="159"/>
      <c r="W48" s="159"/>
      <c r="X48" s="159"/>
      <c r="Y48" s="159"/>
      <c r="Z48" s="159"/>
      <c r="AA48" s="159"/>
      <c r="AB48" s="159"/>
      <c r="AC48" s="159"/>
      <c r="AD48" s="159"/>
      <c r="AE48" s="159"/>
      <c r="AF48" s="936">
        <f t="shared" si="52"/>
        <v>0</v>
      </c>
      <c r="AH48" s="936"/>
      <c r="AJ48" s="936"/>
      <c r="AL48" s="159">
        <f t="shared" si="45"/>
        <v>0</v>
      </c>
      <c r="AM48" s="791">
        <f t="shared" si="46"/>
        <v>0</v>
      </c>
    </row>
    <row r="49" spans="2:39" x14ac:dyDescent="0.35">
      <c r="B49" s="128">
        <v>5</v>
      </c>
      <c r="C49" s="129" t="s">
        <v>535</v>
      </c>
      <c r="D49" s="130" t="s">
        <v>564</v>
      </c>
      <c r="E49" s="159"/>
      <c r="F49" s="159">
        <f t="shared" ref="F49:K49" si="55">F11*F30</f>
        <v>230850000</v>
      </c>
      <c r="G49" s="159">
        <f t="shared" si="55"/>
        <v>179550000</v>
      </c>
      <c r="H49" s="159">
        <f t="shared" si="55"/>
        <v>256500000</v>
      </c>
      <c r="I49" s="159">
        <f t="shared" si="55"/>
        <v>282150000</v>
      </c>
      <c r="J49" s="159">
        <f t="shared" si="55"/>
        <v>282150000</v>
      </c>
      <c r="K49" s="159">
        <f t="shared" si="55"/>
        <v>282150000</v>
      </c>
      <c r="L49" s="159">
        <f t="shared" si="48"/>
        <v>282150000</v>
      </c>
      <c r="M49" s="159">
        <f t="shared" si="44"/>
        <v>282150000</v>
      </c>
      <c r="N49" s="159">
        <f t="shared" si="49"/>
        <v>282150000</v>
      </c>
      <c r="O49" s="159">
        <f t="shared" si="49"/>
        <v>282150000</v>
      </c>
      <c r="P49" s="159">
        <f t="shared" si="49"/>
        <v>282150000</v>
      </c>
      <c r="Q49" s="159">
        <f t="shared" si="49"/>
        <v>282150000</v>
      </c>
      <c r="R49" s="936">
        <f t="shared" si="50"/>
        <v>3206250000</v>
      </c>
      <c r="S49" s="1299">
        <f t="shared" si="51"/>
        <v>6.8071893473457934E-2</v>
      </c>
      <c r="T49" s="159">
        <v>81890828</v>
      </c>
      <c r="U49" s="159">
        <v>93637568</v>
      </c>
      <c r="V49" s="159">
        <v>204518912</v>
      </c>
      <c r="W49" s="159">
        <v>132980725</v>
      </c>
      <c r="X49" s="159">
        <v>163641350</v>
      </c>
      <c r="Y49" s="159">
        <v>165085275</v>
      </c>
      <c r="Z49" s="159">
        <v>108065230</v>
      </c>
      <c r="AA49" s="159"/>
      <c r="AB49" s="159"/>
      <c r="AC49" s="159"/>
      <c r="AD49" s="159"/>
      <c r="AE49" s="159"/>
      <c r="AF49" s="936">
        <f t="shared" si="52"/>
        <v>949819888</v>
      </c>
      <c r="AH49" s="936"/>
      <c r="AJ49" s="936"/>
      <c r="AL49" s="159">
        <f t="shared" si="45"/>
        <v>2256430112</v>
      </c>
      <c r="AM49" s="791">
        <f t="shared" si="46"/>
        <v>2.3756399929162151</v>
      </c>
    </row>
    <row r="50" spans="2:39" x14ac:dyDescent="0.35">
      <c r="B50" s="128">
        <v>6</v>
      </c>
      <c r="C50" s="129" t="s">
        <v>536</v>
      </c>
      <c r="D50" s="130" t="s">
        <v>564</v>
      </c>
      <c r="E50" s="159"/>
      <c r="F50" s="159">
        <f t="shared" ref="F50:K50" si="56">F12*F31</f>
        <v>0</v>
      </c>
      <c r="G50" s="159">
        <f t="shared" si="56"/>
        <v>0</v>
      </c>
      <c r="H50" s="159">
        <f t="shared" si="56"/>
        <v>0</v>
      </c>
      <c r="I50" s="159">
        <f t="shared" si="56"/>
        <v>0</v>
      </c>
      <c r="J50" s="159">
        <f t="shared" si="56"/>
        <v>0</v>
      </c>
      <c r="K50" s="159">
        <f t="shared" si="56"/>
        <v>0</v>
      </c>
      <c r="L50" s="159">
        <f t="shared" si="48"/>
        <v>0</v>
      </c>
      <c r="M50" s="159">
        <f t="shared" si="44"/>
        <v>0</v>
      </c>
      <c r="N50" s="159">
        <f t="shared" si="49"/>
        <v>0</v>
      </c>
      <c r="O50" s="159">
        <f t="shared" si="49"/>
        <v>0</v>
      </c>
      <c r="P50" s="159">
        <f t="shared" si="49"/>
        <v>0</v>
      </c>
      <c r="Q50" s="159">
        <f t="shared" si="49"/>
        <v>0</v>
      </c>
      <c r="R50" s="936">
        <f t="shared" si="50"/>
        <v>0</v>
      </c>
      <c r="S50" s="1299">
        <f t="shared" si="51"/>
        <v>0</v>
      </c>
      <c r="T50" s="159"/>
      <c r="U50" s="159"/>
      <c r="V50" s="159"/>
      <c r="W50" s="159"/>
      <c r="X50" s="159"/>
      <c r="Y50" s="159"/>
      <c r="Z50" s="159"/>
      <c r="AA50" s="159"/>
      <c r="AB50" s="159"/>
      <c r="AC50" s="159"/>
      <c r="AD50" s="159"/>
      <c r="AE50" s="159"/>
      <c r="AF50" s="936">
        <f t="shared" si="52"/>
        <v>0</v>
      </c>
      <c r="AH50" s="936"/>
      <c r="AJ50" s="936"/>
      <c r="AL50" s="159">
        <f t="shared" si="45"/>
        <v>0</v>
      </c>
      <c r="AM50" s="791">
        <f t="shared" si="46"/>
        <v>0</v>
      </c>
    </row>
    <row r="51" spans="2:39" x14ac:dyDescent="0.35">
      <c r="B51" s="128">
        <v>7</v>
      </c>
      <c r="C51" s="129" t="s">
        <v>537</v>
      </c>
      <c r="D51" s="130" t="s">
        <v>564</v>
      </c>
      <c r="E51" s="159"/>
      <c r="F51" s="159">
        <f t="shared" ref="F51:K51" si="57">F13*F32</f>
        <v>151200000</v>
      </c>
      <c r="G51" s="159">
        <f t="shared" si="57"/>
        <v>117600000</v>
      </c>
      <c r="H51" s="159">
        <f t="shared" si="57"/>
        <v>168000000</v>
      </c>
      <c r="I51" s="159">
        <f t="shared" si="57"/>
        <v>184800000</v>
      </c>
      <c r="J51" s="159">
        <f t="shared" si="57"/>
        <v>178200000</v>
      </c>
      <c r="K51" s="159">
        <f t="shared" si="57"/>
        <v>171600000</v>
      </c>
      <c r="L51" s="159">
        <f t="shared" si="48"/>
        <v>171600000</v>
      </c>
      <c r="M51" s="159">
        <f t="shared" si="44"/>
        <v>171600000</v>
      </c>
      <c r="N51" s="159">
        <f t="shared" si="49"/>
        <v>171600000</v>
      </c>
      <c r="O51" s="159">
        <f t="shared" si="49"/>
        <v>171600000</v>
      </c>
      <c r="P51" s="159">
        <f t="shared" si="49"/>
        <v>171600000</v>
      </c>
      <c r="Q51" s="159">
        <f t="shared" si="49"/>
        <v>171600000</v>
      </c>
      <c r="R51" s="936">
        <f t="shared" si="50"/>
        <v>2001000000</v>
      </c>
      <c r="S51" s="1299">
        <f t="shared" si="51"/>
        <v>4.2483230827411872E-2</v>
      </c>
      <c r="T51" s="159">
        <v>36450700</v>
      </c>
      <c r="U51" s="159">
        <v>96003038</v>
      </c>
      <c r="V51" s="159">
        <v>140393960</v>
      </c>
      <c r="W51" s="159">
        <v>154688975</v>
      </c>
      <c r="X51" s="159">
        <v>225146950</v>
      </c>
      <c r="Y51" s="159">
        <v>240408350</v>
      </c>
      <c r="Z51" s="159">
        <v>356031194</v>
      </c>
      <c r="AA51" s="159">
        <v>319666810</v>
      </c>
      <c r="AB51" s="159">
        <v>263394820</v>
      </c>
      <c r="AC51" s="159">
        <v>176120000</v>
      </c>
      <c r="AD51" s="159">
        <v>176120000</v>
      </c>
      <c r="AE51" s="159">
        <v>176120000</v>
      </c>
      <c r="AF51" s="936">
        <f t="shared" si="52"/>
        <v>2360544797</v>
      </c>
      <c r="AH51" s="936"/>
      <c r="AJ51" s="936"/>
      <c r="AL51" s="159">
        <f t="shared" si="45"/>
        <v>-359544797</v>
      </c>
      <c r="AM51" s="791">
        <f t="shared" si="46"/>
        <v>-0.15231432907223075</v>
      </c>
    </row>
    <row r="52" spans="2:39" x14ac:dyDescent="0.35">
      <c r="B52" s="128">
        <v>8</v>
      </c>
      <c r="C52" s="129" t="s">
        <v>538</v>
      </c>
      <c r="D52" s="130" t="s">
        <v>564</v>
      </c>
      <c r="E52" s="159"/>
      <c r="F52" s="159">
        <f t="shared" ref="F52:K52" si="58">F14*F33</f>
        <v>156600000</v>
      </c>
      <c r="G52" s="159">
        <f t="shared" si="58"/>
        <v>121800000</v>
      </c>
      <c r="H52" s="159">
        <f t="shared" si="58"/>
        <v>174000000</v>
      </c>
      <c r="I52" s="159">
        <f t="shared" si="58"/>
        <v>191400000</v>
      </c>
      <c r="J52" s="159">
        <f t="shared" si="58"/>
        <v>198000000</v>
      </c>
      <c r="K52" s="159">
        <f t="shared" si="58"/>
        <v>204600000</v>
      </c>
      <c r="L52" s="159">
        <f t="shared" si="48"/>
        <v>204600000</v>
      </c>
      <c r="M52" s="159">
        <f t="shared" si="44"/>
        <v>204600000</v>
      </c>
      <c r="N52" s="159">
        <f t="shared" si="49"/>
        <v>204600000</v>
      </c>
      <c r="O52" s="159">
        <f t="shared" si="49"/>
        <v>204600000</v>
      </c>
      <c r="P52" s="159">
        <f t="shared" si="49"/>
        <v>204600000</v>
      </c>
      <c r="Q52" s="159">
        <f t="shared" si="49"/>
        <v>204600000</v>
      </c>
      <c r="R52" s="936">
        <f t="shared" si="50"/>
        <v>2274000000</v>
      </c>
      <c r="S52" s="1299">
        <f t="shared" si="51"/>
        <v>4.8279293803865371E-2</v>
      </c>
      <c r="T52" s="159">
        <v>57859608</v>
      </c>
      <c r="U52" s="159">
        <v>78235730</v>
      </c>
      <c r="V52" s="159">
        <v>119610942</v>
      </c>
      <c r="W52" s="159">
        <v>142589675</v>
      </c>
      <c r="X52" s="159">
        <v>142555925</v>
      </c>
      <c r="Y52" s="159">
        <v>202406625</v>
      </c>
      <c r="Z52" s="159">
        <v>435451071</v>
      </c>
      <c r="AA52" s="159">
        <v>338472350</v>
      </c>
      <c r="AB52" s="159">
        <v>244056250</v>
      </c>
      <c r="AC52" s="159">
        <v>157080000</v>
      </c>
      <c r="AD52" s="159">
        <v>157080000</v>
      </c>
      <c r="AE52" s="159">
        <v>157080000</v>
      </c>
      <c r="AF52" s="936">
        <f t="shared" si="52"/>
        <v>2232478176</v>
      </c>
      <c r="AH52" s="936"/>
      <c r="AJ52" s="936"/>
      <c r="AL52" s="159">
        <f t="shared" si="45"/>
        <v>41521824</v>
      </c>
      <c r="AM52" s="791">
        <f t="shared" si="46"/>
        <v>1.8598983159779925E-2</v>
      </c>
    </row>
    <row r="53" spans="2:39" x14ac:dyDescent="0.35">
      <c r="B53" s="128">
        <v>9</v>
      </c>
      <c r="C53" s="129" t="s">
        <v>539</v>
      </c>
      <c r="D53" s="130" t="s">
        <v>564</v>
      </c>
      <c r="E53" s="159"/>
      <c r="F53" s="159">
        <f t="shared" ref="F53:K53" si="59">F15*F34</f>
        <v>0</v>
      </c>
      <c r="G53" s="159">
        <f t="shared" si="59"/>
        <v>0</v>
      </c>
      <c r="H53" s="159">
        <f t="shared" si="59"/>
        <v>0</v>
      </c>
      <c r="I53" s="159">
        <f t="shared" si="59"/>
        <v>0</v>
      </c>
      <c r="J53" s="159">
        <f t="shared" si="59"/>
        <v>0</v>
      </c>
      <c r="K53" s="159">
        <f t="shared" si="59"/>
        <v>0</v>
      </c>
      <c r="L53" s="159">
        <f t="shared" si="48"/>
        <v>0</v>
      </c>
      <c r="M53" s="159">
        <f t="shared" si="44"/>
        <v>0</v>
      </c>
      <c r="N53" s="159">
        <f t="shared" si="49"/>
        <v>0</v>
      </c>
      <c r="O53" s="159">
        <f t="shared" si="49"/>
        <v>0</v>
      </c>
      <c r="P53" s="159">
        <f t="shared" si="49"/>
        <v>0</v>
      </c>
      <c r="Q53" s="159">
        <f t="shared" si="49"/>
        <v>0</v>
      </c>
      <c r="R53" s="936">
        <f>SUM(F53:Q53)</f>
        <v>0</v>
      </c>
      <c r="S53" s="1299">
        <f t="shared" si="51"/>
        <v>0</v>
      </c>
      <c r="T53" s="159"/>
      <c r="U53" s="159"/>
      <c r="V53" s="159">
        <v>3770748604</v>
      </c>
      <c r="W53" s="159"/>
      <c r="X53" s="159"/>
      <c r="Y53" s="159"/>
      <c r="Z53" s="159"/>
      <c r="AA53" s="159"/>
      <c r="AB53" s="159"/>
      <c r="AC53" s="159"/>
      <c r="AD53" s="159"/>
      <c r="AE53" s="159"/>
      <c r="AF53" s="936">
        <f>SUM(T53:AE53)</f>
        <v>3770748604</v>
      </c>
      <c r="AH53" s="936"/>
      <c r="AJ53" s="936"/>
      <c r="AL53" s="159">
        <f t="shared" si="45"/>
        <v>-3770748604</v>
      </c>
      <c r="AM53" s="791">
        <f t="shared" si="46"/>
        <v>-1</v>
      </c>
    </row>
    <row r="54" spans="2:39" x14ac:dyDescent="0.35">
      <c r="B54" s="128">
        <v>10</v>
      </c>
      <c r="C54" s="129" t="s">
        <v>540</v>
      </c>
      <c r="D54" s="130" t="s">
        <v>564</v>
      </c>
      <c r="E54" s="159"/>
      <c r="F54" s="159">
        <f t="shared" ref="F54:K54" si="60">F16*F35</f>
        <v>0</v>
      </c>
      <c r="G54" s="159">
        <f t="shared" si="60"/>
        <v>0</v>
      </c>
      <c r="H54" s="159">
        <f t="shared" si="60"/>
        <v>0</v>
      </c>
      <c r="I54" s="159">
        <f t="shared" si="60"/>
        <v>0</v>
      </c>
      <c r="J54" s="159">
        <f t="shared" si="60"/>
        <v>0</v>
      </c>
      <c r="K54" s="159">
        <f t="shared" si="60"/>
        <v>0</v>
      </c>
      <c r="L54" s="159">
        <f t="shared" ref="L54:Q54" si="61">L16*L35</f>
        <v>0</v>
      </c>
      <c r="M54" s="159">
        <f t="shared" si="61"/>
        <v>0</v>
      </c>
      <c r="N54" s="159">
        <f t="shared" si="61"/>
        <v>0</v>
      </c>
      <c r="O54" s="159">
        <f t="shared" si="61"/>
        <v>0</v>
      </c>
      <c r="P54" s="159">
        <f t="shared" si="61"/>
        <v>0</v>
      </c>
      <c r="Q54" s="159">
        <f t="shared" si="61"/>
        <v>0</v>
      </c>
      <c r="R54" s="936">
        <f t="shared" ref="R54" si="62">SUM(F54:Q54)</f>
        <v>0</v>
      </c>
      <c r="S54" s="1299">
        <f t="shared" si="51"/>
        <v>0</v>
      </c>
      <c r="T54" s="159"/>
      <c r="U54" s="159">
        <v>1492435320</v>
      </c>
      <c r="V54" s="159"/>
      <c r="W54" s="159">
        <v>1496891080</v>
      </c>
      <c r="X54" s="159">
        <v>1514630180</v>
      </c>
      <c r="Y54" s="159">
        <v>1986849230</v>
      </c>
      <c r="Z54" s="159">
        <v>609154092</v>
      </c>
      <c r="AA54" s="159">
        <v>415845830</v>
      </c>
      <c r="AB54" s="159"/>
      <c r="AC54" s="159"/>
      <c r="AD54" s="159"/>
      <c r="AE54" s="159"/>
      <c r="AF54" s="936">
        <f t="shared" ref="AF54:AF59" si="63">SUM(T54:AE54)</f>
        <v>7515805732</v>
      </c>
      <c r="AH54" s="936"/>
      <c r="AJ54" s="936"/>
      <c r="AL54" s="159">
        <f t="shared" si="45"/>
        <v>-7515805732</v>
      </c>
      <c r="AM54" s="791">
        <f t="shared" si="46"/>
        <v>-1</v>
      </c>
    </row>
    <row r="55" spans="2:39" x14ac:dyDescent="0.35">
      <c r="B55" s="128">
        <v>11</v>
      </c>
      <c r="C55" s="129" t="s">
        <v>541</v>
      </c>
      <c r="D55" s="130" t="s">
        <v>564</v>
      </c>
      <c r="E55" s="159"/>
      <c r="F55" s="159">
        <f t="shared" ref="F55:K55" si="64">F17*F36</f>
        <v>0</v>
      </c>
      <c r="G55" s="159">
        <f t="shared" si="64"/>
        <v>0</v>
      </c>
      <c r="H55" s="159">
        <f t="shared" si="64"/>
        <v>0</v>
      </c>
      <c r="I55" s="159">
        <f t="shared" si="64"/>
        <v>0</v>
      </c>
      <c r="J55" s="159">
        <f t="shared" si="64"/>
        <v>0</v>
      </c>
      <c r="K55" s="159">
        <f t="shared" si="64"/>
        <v>0</v>
      </c>
      <c r="L55" s="159">
        <f t="shared" ref="L55:Q55" si="65">L17*L36</f>
        <v>0</v>
      </c>
      <c r="M55" s="159">
        <f t="shared" si="65"/>
        <v>0</v>
      </c>
      <c r="N55" s="159">
        <f t="shared" si="65"/>
        <v>0</v>
      </c>
      <c r="O55" s="159">
        <f t="shared" si="65"/>
        <v>0</v>
      </c>
      <c r="P55" s="159">
        <f t="shared" si="65"/>
        <v>0</v>
      </c>
      <c r="Q55" s="159">
        <f t="shared" si="65"/>
        <v>0</v>
      </c>
      <c r="R55" s="936">
        <f t="shared" ref="R55" si="66">SUM(F55:Q55)</f>
        <v>0</v>
      </c>
      <c r="S55" s="1299">
        <f t="shared" si="51"/>
        <v>0</v>
      </c>
      <c r="T55" s="159"/>
      <c r="U55" s="159"/>
      <c r="V55" s="159"/>
      <c r="W55" s="159">
        <v>3688000</v>
      </c>
      <c r="X55" s="159">
        <v>1720000</v>
      </c>
      <c r="Y55" s="159"/>
      <c r="Z55" s="159"/>
      <c r="AA55" s="159"/>
      <c r="AB55" s="159">
        <v>26904000</v>
      </c>
      <c r="AC55" s="159"/>
      <c r="AD55" s="159"/>
      <c r="AE55" s="159"/>
      <c r="AF55" s="936">
        <f t="shared" si="63"/>
        <v>32312000</v>
      </c>
      <c r="AH55" s="936"/>
      <c r="AJ55" s="936"/>
      <c r="AL55" s="159">
        <f t="shared" si="45"/>
        <v>-32312000</v>
      </c>
      <c r="AM55" s="791">
        <f t="shared" si="46"/>
        <v>-1</v>
      </c>
    </row>
    <row r="56" spans="2:39" x14ac:dyDescent="0.35">
      <c r="B56" s="128">
        <v>12</v>
      </c>
      <c r="C56" s="129" t="s">
        <v>542</v>
      </c>
      <c r="D56" s="130" t="s">
        <v>564</v>
      </c>
      <c r="E56" s="159"/>
      <c r="F56" s="159">
        <f t="shared" ref="F56:K56" si="67">F18*F37</f>
        <v>0</v>
      </c>
      <c r="G56" s="159">
        <f t="shared" si="67"/>
        <v>0</v>
      </c>
      <c r="H56" s="159">
        <f t="shared" si="67"/>
        <v>0</v>
      </c>
      <c r="I56" s="159">
        <f t="shared" si="67"/>
        <v>0</v>
      </c>
      <c r="J56" s="159">
        <f t="shared" si="67"/>
        <v>0</v>
      </c>
      <c r="K56" s="159">
        <f t="shared" si="67"/>
        <v>0</v>
      </c>
      <c r="L56" s="159">
        <f t="shared" ref="L56:Q56" si="68">L18*L37</f>
        <v>0</v>
      </c>
      <c r="M56" s="159">
        <f t="shared" si="68"/>
        <v>0</v>
      </c>
      <c r="N56" s="159">
        <f t="shared" si="68"/>
        <v>0</v>
      </c>
      <c r="O56" s="159">
        <f t="shared" si="68"/>
        <v>0</v>
      </c>
      <c r="P56" s="159">
        <f t="shared" si="68"/>
        <v>0</v>
      </c>
      <c r="Q56" s="159">
        <f t="shared" si="68"/>
        <v>0</v>
      </c>
      <c r="R56" s="936">
        <f t="shared" si="50"/>
        <v>0</v>
      </c>
      <c r="S56" s="1299">
        <f t="shared" si="51"/>
        <v>0</v>
      </c>
      <c r="T56" s="159"/>
      <c r="U56" s="159"/>
      <c r="V56" s="159"/>
      <c r="W56" s="159">
        <v>7640000</v>
      </c>
      <c r="X56" s="159"/>
      <c r="Y56" s="159"/>
      <c r="Z56" s="159">
        <v>2392000</v>
      </c>
      <c r="AA56" s="159"/>
      <c r="AB56" s="159"/>
      <c r="AC56" s="159"/>
      <c r="AD56" s="159"/>
      <c r="AE56" s="159"/>
      <c r="AF56" s="936">
        <f t="shared" si="63"/>
        <v>10032000</v>
      </c>
      <c r="AH56" s="936"/>
      <c r="AJ56" s="936"/>
      <c r="AL56" s="159">
        <f t="shared" si="45"/>
        <v>-10032000</v>
      </c>
      <c r="AM56" s="791">
        <f t="shared" si="46"/>
        <v>-1</v>
      </c>
    </row>
    <row r="57" spans="2:39" x14ac:dyDescent="0.35">
      <c r="B57" s="128">
        <v>13</v>
      </c>
      <c r="C57" s="927" t="s">
        <v>543</v>
      </c>
      <c r="D57" s="130" t="s">
        <v>564</v>
      </c>
      <c r="E57" s="159"/>
      <c r="F57" s="159">
        <f t="shared" ref="F57:K57" si="69">F19*F38</f>
        <v>0</v>
      </c>
      <c r="G57" s="159">
        <f t="shared" si="69"/>
        <v>0</v>
      </c>
      <c r="H57" s="159">
        <f t="shared" si="69"/>
        <v>0</v>
      </c>
      <c r="I57" s="159">
        <f t="shared" si="69"/>
        <v>0</v>
      </c>
      <c r="J57" s="159">
        <f t="shared" si="69"/>
        <v>0</v>
      </c>
      <c r="K57" s="159">
        <f t="shared" si="69"/>
        <v>0</v>
      </c>
      <c r="L57" s="159">
        <f t="shared" ref="L57:Q59" si="70">L19*L38</f>
        <v>0</v>
      </c>
      <c r="M57" s="159">
        <f t="shared" si="70"/>
        <v>0</v>
      </c>
      <c r="N57" s="159">
        <f t="shared" si="70"/>
        <v>0</v>
      </c>
      <c r="O57" s="159">
        <f t="shared" si="70"/>
        <v>0</v>
      </c>
      <c r="P57" s="159">
        <f t="shared" si="70"/>
        <v>0</v>
      </c>
      <c r="Q57" s="159">
        <f t="shared" si="70"/>
        <v>0</v>
      </c>
      <c r="R57" s="936">
        <f t="shared" si="50"/>
        <v>0</v>
      </c>
      <c r="S57" s="1299">
        <f t="shared" si="51"/>
        <v>0</v>
      </c>
      <c r="T57" s="159"/>
      <c r="U57" s="159"/>
      <c r="V57" s="159"/>
      <c r="W57" s="159"/>
      <c r="X57" s="159">
        <v>52300000</v>
      </c>
      <c r="Y57" s="159"/>
      <c r="Z57" s="159">
        <v>40064000</v>
      </c>
      <c r="AA57" s="159">
        <v>40888000</v>
      </c>
      <c r="AB57" s="159">
        <v>21472000</v>
      </c>
      <c r="AC57" s="159"/>
      <c r="AD57" s="159"/>
      <c r="AE57" s="159"/>
      <c r="AF57" s="936">
        <f t="shared" si="63"/>
        <v>154724000</v>
      </c>
      <c r="AH57" s="936"/>
      <c r="AJ57" s="936"/>
      <c r="AL57" s="159">
        <f t="shared" si="45"/>
        <v>-154724000</v>
      </c>
      <c r="AM57" s="791">
        <f t="shared" si="46"/>
        <v>-1</v>
      </c>
    </row>
    <row r="58" spans="2:39" x14ac:dyDescent="0.35">
      <c r="B58" s="128">
        <v>14</v>
      </c>
      <c r="C58" s="129" t="s">
        <v>544</v>
      </c>
      <c r="D58" s="130" t="s">
        <v>564</v>
      </c>
      <c r="E58" s="159"/>
      <c r="F58" s="159">
        <f t="shared" ref="F58:K59" si="71">F20*F39</f>
        <v>78367500</v>
      </c>
      <c r="G58" s="159">
        <f t="shared" si="71"/>
        <v>60952500</v>
      </c>
      <c r="H58" s="159">
        <f t="shared" si="71"/>
        <v>87075000</v>
      </c>
      <c r="I58" s="159">
        <f t="shared" si="71"/>
        <v>95782500</v>
      </c>
      <c r="J58" s="159">
        <f t="shared" si="71"/>
        <v>95782500</v>
      </c>
      <c r="K58" s="159">
        <f t="shared" si="71"/>
        <v>95782500</v>
      </c>
      <c r="L58" s="159">
        <f t="shared" si="70"/>
        <v>95782500</v>
      </c>
      <c r="M58" s="159">
        <f t="shared" si="70"/>
        <v>95782500</v>
      </c>
      <c r="N58" s="159">
        <f t="shared" si="70"/>
        <v>95782500</v>
      </c>
      <c r="O58" s="159">
        <f t="shared" si="70"/>
        <v>95782500</v>
      </c>
      <c r="P58" s="159">
        <f t="shared" si="70"/>
        <v>95782500</v>
      </c>
      <c r="Q58" s="159">
        <f t="shared" si="70"/>
        <v>95782500</v>
      </c>
      <c r="R58" s="936">
        <f t="shared" ref="R58" si="72">SUM(F58:Q58)</f>
        <v>1088437500</v>
      </c>
      <c r="S58" s="1299">
        <f t="shared" si="51"/>
        <v>2.3108616468621244E-2</v>
      </c>
      <c r="T58" s="159"/>
      <c r="U58" s="159"/>
      <c r="V58" s="159">
        <v>319300000</v>
      </c>
      <c r="W58" s="159">
        <v>308060000</v>
      </c>
      <c r="X58" s="159">
        <v>188180000</v>
      </c>
      <c r="Y58" s="159">
        <v>259000000</v>
      </c>
      <c r="Z58" s="159">
        <v>29800000</v>
      </c>
      <c r="AA58" s="159">
        <v>83670000</v>
      </c>
      <c r="AB58" s="159">
        <v>53256000</v>
      </c>
      <c r="AC58" s="159">
        <v>87040000</v>
      </c>
      <c r="AD58" s="159">
        <v>87040000</v>
      </c>
      <c r="AE58" s="159">
        <v>87040000</v>
      </c>
      <c r="AF58" s="936">
        <f t="shared" si="63"/>
        <v>1502386000</v>
      </c>
      <c r="AH58" s="936"/>
      <c r="AJ58" s="936"/>
      <c r="AL58" s="159">
        <f t="shared" si="45"/>
        <v>-413948500</v>
      </c>
      <c r="AM58" s="791">
        <f t="shared" si="46"/>
        <v>-0.27552739442460195</v>
      </c>
    </row>
    <row r="59" spans="2:39" x14ac:dyDescent="0.35">
      <c r="B59" s="128">
        <v>15</v>
      </c>
      <c r="C59" s="129" t="s">
        <v>175</v>
      </c>
      <c r="D59" s="130" t="s">
        <v>564</v>
      </c>
      <c r="E59" s="159"/>
      <c r="F59" s="159">
        <f t="shared" si="71"/>
        <v>0</v>
      </c>
      <c r="G59" s="159">
        <f t="shared" si="71"/>
        <v>0</v>
      </c>
      <c r="H59" s="159">
        <f t="shared" si="71"/>
        <v>0</v>
      </c>
      <c r="I59" s="159">
        <f t="shared" si="71"/>
        <v>0</v>
      </c>
      <c r="J59" s="159">
        <f t="shared" si="71"/>
        <v>0</v>
      </c>
      <c r="K59" s="159">
        <f t="shared" si="71"/>
        <v>0</v>
      </c>
      <c r="L59" s="159">
        <f t="shared" si="70"/>
        <v>0</v>
      </c>
      <c r="M59" s="159">
        <f t="shared" si="70"/>
        <v>0</v>
      </c>
      <c r="N59" s="159">
        <f t="shared" si="70"/>
        <v>0</v>
      </c>
      <c r="O59" s="159">
        <f t="shared" si="70"/>
        <v>0</v>
      </c>
      <c r="P59" s="159">
        <f t="shared" si="70"/>
        <v>0</v>
      </c>
      <c r="Q59" s="159">
        <f t="shared" si="70"/>
        <v>0</v>
      </c>
      <c r="R59" s="936">
        <f t="shared" si="50"/>
        <v>0</v>
      </c>
      <c r="S59" s="1299">
        <f t="shared" si="51"/>
        <v>0</v>
      </c>
      <c r="T59" s="159"/>
      <c r="U59" s="159"/>
      <c r="V59" s="159"/>
      <c r="W59" s="159">
        <v>45093069</v>
      </c>
      <c r="X59" s="159">
        <v>421111977</v>
      </c>
      <c r="Y59" s="159">
        <v>94442992</v>
      </c>
      <c r="Z59" s="159">
        <v>365255184</v>
      </c>
      <c r="AA59" s="159">
        <v>59050000</v>
      </c>
      <c r="AB59" s="159"/>
      <c r="AC59" s="159"/>
      <c r="AD59" s="159"/>
      <c r="AE59" s="159"/>
      <c r="AF59" s="936">
        <f t="shared" si="63"/>
        <v>984953222</v>
      </c>
      <c r="AH59" s="936"/>
      <c r="AJ59" s="936"/>
      <c r="AL59" s="159">
        <f t="shared" si="45"/>
        <v>-984953222</v>
      </c>
      <c r="AM59" s="791">
        <f t="shared" si="46"/>
        <v>-1</v>
      </c>
    </row>
    <row r="60" spans="2:39" x14ac:dyDescent="0.35">
      <c r="B60" s="163"/>
      <c r="C60" s="164" t="s">
        <v>480</v>
      </c>
      <c r="D60" s="928"/>
      <c r="E60" s="937">
        <f t="shared" ref="E60:Q60" si="73">SUM(E45:E59)</f>
        <v>0</v>
      </c>
      <c r="F60" s="937">
        <f>SUM(F45:F59)</f>
        <v>7846267500</v>
      </c>
      <c r="G60" s="937">
        <f t="shared" si="73"/>
        <v>6102652500</v>
      </c>
      <c r="H60" s="937">
        <f t="shared" si="73"/>
        <v>8718075000</v>
      </c>
      <c r="I60" s="937">
        <f t="shared" si="73"/>
        <v>9589882500</v>
      </c>
      <c r="J60" s="937">
        <f t="shared" si="73"/>
        <v>9565132500</v>
      </c>
      <c r="K60" s="937">
        <f t="shared" si="73"/>
        <v>754132500</v>
      </c>
      <c r="L60" s="937">
        <f t="shared" si="73"/>
        <v>754132500</v>
      </c>
      <c r="M60" s="937">
        <f t="shared" si="73"/>
        <v>754132500</v>
      </c>
      <c r="N60" s="937">
        <f t="shared" si="73"/>
        <v>754132500</v>
      </c>
      <c r="O60" s="937">
        <f t="shared" si="73"/>
        <v>754132500</v>
      </c>
      <c r="P60" s="937">
        <f t="shared" si="73"/>
        <v>754132500</v>
      </c>
      <c r="Q60" s="937">
        <f t="shared" si="73"/>
        <v>754132500</v>
      </c>
      <c r="R60" s="937">
        <f>SUM(F60:Q60)</f>
        <v>47100937500</v>
      </c>
      <c r="S60" s="1299">
        <f t="shared" si="51"/>
        <v>1</v>
      </c>
      <c r="T60" s="937">
        <f>SUM(T45:T59)</f>
        <v>1877320344</v>
      </c>
      <c r="U60" s="937">
        <f t="shared" ref="U60:AE60" si="74">SUM(U45:U59)</f>
        <v>6536495328</v>
      </c>
      <c r="V60" s="937">
        <f>SUM(V45:V59)</f>
        <v>14483896306</v>
      </c>
      <c r="W60" s="937">
        <f>SUM(W45:W59)</f>
        <v>12027076405</v>
      </c>
      <c r="X60" s="937">
        <f t="shared" si="74"/>
        <v>14830555437</v>
      </c>
      <c r="Y60" s="937">
        <f t="shared" si="74"/>
        <v>17615726167</v>
      </c>
      <c r="Z60" s="937">
        <f t="shared" si="74"/>
        <v>19354907734</v>
      </c>
      <c r="AA60" s="937">
        <f t="shared" si="74"/>
        <v>17560185740</v>
      </c>
      <c r="AB60" s="937">
        <f t="shared" si="74"/>
        <v>13594466926</v>
      </c>
      <c r="AC60" s="937">
        <f t="shared" si="74"/>
        <v>8347040000</v>
      </c>
      <c r="AD60" s="937">
        <f t="shared" si="74"/>
        <v>8347040000</v>
      </c>
      <c r="AE60" s="937">
        <f t="shared" si="74"/>
        <v>8347040000</v>
      </c>
      <c r="AF60" s="937">
        <f>SUM(T60:AE60)</f>
        <v>142921750387</v>
      </c>
      <c r="AH60" s="937">
        <f>SUM(V60:AG60)</f>
        <v>277429685102</v>
      </c>
      <c r="AJ60" s="937">
        <f>SUM(X60:AI60)</f>
        <v>528348397493</v>
      </c>
      <c r="AL60" s="937">
        <f t="shared" si="45"/>
        <v>-95820812887</v>
      </c>
      <c r="AM60" s="929">
        <f t="shared" si="46"/>
        <v>-0.67044248078083823</v>
      </c>
    </row>
    <row r="61" spans="2:39" x14ac:dyDescent="0.35">
      <c r="R61" s="1262">
        <f>R62/R63</f>
        <v>15713.710809414724</v>
      </c>
    </row>
    <row r="62" spans="2:39" x14ac:dyDescent="0.35">
      <c r="B62" s="63" t="s">
        <v>565</v>
      </c>
      <c r="R62" s="822">
        <f>SUM(R138,R157)</f>
        <v>111946990000</v>
      </c>
    </row>
    <row r="63" spans="2:39" x14ac:dyDescent="0.35">
      <c r="B63" s="4" t="s">
        <v>2199</v>
      </c>
      <c r="R63" s="89">
        <f>SUM(R80,R99)</f>
        <v>7124160</v>
      </c>
      <c r="AF63" s="89"/>
      <c r="AH63" s="89"/>
      <c r="AJ63" s="89"/>
      <c r="AL63" s="89"/>
      <c r="AM63" s="89"/>
    </row>
    <row r="64" spans="2:39" ht="26" x14ac:dyDescent="0.35">
      <c r="B64" s="187" t="s">
        <v>36</v>
      </c>
      <c r="C64" s="187" t="s">
        <v>566</v>
      </c>
      <c r="D64" s="187" t="s">
        <v>257</v>
      </c>
      <c r="E64" s="116" t="s">
        <v>525</v>
      </c>
      <c r="F64" s="116" t="s">
        <v>149</v>
      </c>
      <c r="G64" s="116" t="s">
        <v>150</v>
      </c>
      <c r="H64" s="116" t="s">
        <v>151</v>
      </c>
      <c r="I64" s="116" t="s">
        <v>152</v>
      </c>
      <c r="J64" s="116" t="s">
        <v>153</v>
      </c>
      <c r="K64" s="116" t="s">
        <v>154</v>
      </c>
      <c r="L64" s="116" t="s">
        <v>155</v>
      </c>
      <c r="M64" s="116" t="s">
        <v>156</v>
      </c>
      <c r="N64" s="116" t="s">
        <v>157</v>
      </c>
      <c r="O64" s="116" t="s">
        <v>158</v>
      </c>
      <c r="P64" s="116" t="s">
        <v>159</v>
      </c>
      <c r="Q64" s="116" t="s">
        <v>160</v>
      </c>
      <c r="R64" s="116" t="s">
        <v>2147</v>
      </c>
      <c r="S64" s="10"/>
      <c r="T64" s="714" t="s">
        <v>149</v>
      </c>
      <c r="U64" s="714" t="s">
        <v>150</v>
      </c>
      <c r="V64" s="714" t="s">
        <v>151</v>
      </c>
      <c r="W64" s="714" t="s">
        <v>152</v>
      </c>
      <c r="X64" s="714" t="s">
        <v>153</v>
      </c>
      <c r="Y64" s="714" t="s">
        <v>154</v>
      </c>
      <c r="Z64" s="714" t="s">
        <v>155</v>
      </c>
      <c r="AA64" s="714" t="s">
        <v>156</v>
      </c>
      <c r="AB64" s="714" t="s">
        <v>157</v>
      </c>
      <c r="AC64" s="714" t="s">
        <v>158</v>
      </c>
      <c r="AD64" s="714" t="s">
        <v>159</v>
      </c>
      <c r="AE64" s="714" t="s">
        <v>160</v>
      </c>
      <c r="AF64" s="714" t="s">
        <v>148</v>
      </c>
      <c r="AG64" s="10"/>
      <c r="AH64" s="714" t="s">
        <v>526</v>
      </c>
      <c r="AI64" s="10"/>
      <c r="AJ64" s="714" t="s">
        <v>527</v>
      </c>
      <c r="AK64" s="10"/>
      <c r="AL64" s="721" t="s">
        <v>528</v>
      </c>
      <c r="AM64" s="722" t="s">
        <v>529</v>
      </c>
    </row>
    <row r="65" spans="2:39" x14ac:dyDescent="0.35">
      <c r="B65" s="128">
        <v>1</v>
      </c>
      <c r="C65" s="129" t="s">
        <v>567</v>
      </c>
      <c r="D65" s="130" t="s">
        <v>531</v>
      </c>
      <c r="E65" s="159"/>
      <c r="F65" s="925">
        <f>'3.Thanh pham'!F121</f>
        <v>0</v>
      </c>
      <c r="G65" s="925">
        <f>'3.Thanh pham'!G121</f>
        <v>0</v>
      </c>
      <c r="H65" s="925">
        <f>'3.Thanh pham'!H121</f>
        <v>0</v>
      </c>
      <c r="I65" s="925">
        <f>'3.Thanh pham'!I121</f>
        <v>0</v>
      </c>
      <c r="J65" s="925">
        <f>'3.Thanh pham'!J121</f>
        <v>0</v>
      </c>
      <c r="K65" s="925">
        <f>'3.Thanh pham'!K121</f>
        <v>0</v>
      </c>
      <c r="L65" s="925">
        <f>'3.Thanh pham'!L121</f>
        <v>0</v>
      </c>
      <c r="M65" s="925">
        <f>'3.Thanh pham'!M121</f>
        <v>0</v>
      </c>
      <c r="N65" s="925">
        <f>'3.Thanh pham'!N121</f>
        <v>0</v>
      </c>
      <c r="O65" s="925">
        <f>'3.Thanh pham'!O121</f>
        <v>0</v>
      </c>
      <c r="P65" s="925">
        <f>'3.Thanh pham'!P121</f>
        <v>0</v>
      </c>
      <c r="Q65" s="925">
        <f>'3.Thanh pham'!Q121</f>
        <v>0</v>
      </c>
      <c r="R65" s="158">
        <f>SUM(F65:Q65)</f>
        <v>0</v>
      </c>
      <c r="T65" s="925"/>
      <c r="U65" s="925"/>
      <c r="V65" s="925"/>
      <c r="W65" s="925">
        <v>13866</v>
      </c>
      <c r="X65" s="925"/>
      <c r="Y65" s="925"/>
      <c r="Z65" s="925"/>
      <c r="AA65" s="925"/>
      <c r="AB65" s="925"/>
      <c r="AC65" s="925"/>
      <c r="AD65" s="925"/>
      <c r="AE65" s="925"/>
      <c r="AF65" s="158"/>
      <c r="AH65" s="158"/>
      <c r="AJ65" s="158"/>
      <c r="AL65" s="159">
        <f t="shared" ref="AL65:AL79" si="75">IFERROR(R65-AF65,0)</f>
        <v>0</v>
      </c>
      <c r="AM65" s="791">
        <f t="shared" ref="AM65:AM79" si="76">IFERROR((R65/AF65)-1,0)</f>
        <v>0</v>
      </c>
    </row>
    <row r="66" spans="2:39" ht="25" x14ac:dyDescent="0.35">
      <c r="B66" s="128">
        <v>2</v>
      </c>
      <c r="C66" s="129" t="s">
        <v>568</v>
      </c>
      <c r="D66" s="130" t="s">
        <v>531</v>
      </c>
      <c r="E66" s="159"/>
      <c r="F66" s="925">
        <f>'3.Thanh pham'!F122</f>
        <v>0</v>
      </c>
      <c r="G66" s="925">
        <f>'3.Thanh pham'!G122</f>
        <v>0</v>
      </c>
      <c r="H66" s="925">
        <f>'3.Thanh pham'!H122</f>
        <v>0</v>
      </c>
      <c r="I66" s="925">
        <f>'3.Thanh pham'!I122</f>
        <v>0</v>
      </c>
      <c r="J66" s="925">
        <f>'3.Thanh pham'!J122</f>
        <v>0</v>
      </c>
      <c r="K66" s="925">
        <f>'3.Thanh pham'!K122</f>
        <v>0</v>
      </c>
      <c r="L66" s="925">
        <f>'3.Thanh pham'!L122</f>
        <v>0</v>
      </c>
      <c r="M66" s="925">
        <f>'3.Thanh pham'!M122</f>
        <v>0</v>
      </c>
      <c r="N66" s="925">
        <f>'3.Thanh pham'!N122</f>
        <v>0</v>
      </c>
      <c r="O66" s="925">
        <f>'3.Thanh pham'!O122</f>
        <v>0</v>
      </c>
      <c r="P66" s="925">
        <f>'3.Thanh pham'!P122</f>
        <v>0</v>
      </c>
      <c r="Q66" s="925">
        <f>'3.Thanh pham'!Q122</f>
        <v>0</v>
      </c>
      <c r="R66" s="158">
        <f t="shared" ref="R66:R80" si="77">SUM(F66:Q66)</f>
        <v>0</v>
      </c>
      <c r="T66" s="925"/>
      <c r="U66" s="925"/>
      <c r="V66" s="925"/>
      <c r="W66" s="925"/>
      <c r="X66" s="925"/>
      <c r="Y66" s="925"/>
      <c r="Z66" s="925"/>
      <c r="AA66" s="925"/>
      <c r="AB66" s="925"/>
      <c r="AC66" s="925"/>
      <c r="AD66" s="925"/>
      <c r="AE66" s="925"/>
      <c r="AF66" s="158"/>
      <c r="AH66" s="158"/>
      <c r="AJ66" s="158"/>
      <c r="AL66" s="159">
        <f t="shared" si="75"/>
        <v>0</v>
      </c>
      <c r="AM66" s="791">
        <f t="shared" si="76"/>
        <v>0</v>
      </c>
    </row>
    <row r="67" spans="2:39" x14ac:dyDescent="0.35">
      <c r="B67" s="128">
        <v>3</v>
      </c>
      <c r="C67" s="129" t="s">
        <v>569</v>
      </c>
      <c r="D67" s="130" t="s">
        <v>531</v>
      </c>
      <c r="E67" s="159"/>
      <c r="F67" s="925">
        <f>'3.Thanh pham'!F123</f>
        <v>0</v>
      </c>
      <c r="G67" s="925">
        <f>'3.Thanh pham'!G123</f>
        <v>0</v>
      </c>
      <c r="H67" s="925">
        <f>'3.Thanh pham'!H123</f>
        <v>0</v>
      </c>
      <c r="I67" s="925">
        <f>'3.Thanh pham'!I123</f>
        <v>0</v>
      </c>
      <c r="J67" s="925">
        <f>'3.Thanh pham'!J123</f>
        <v>0</v>
      </c>
      <c r="K67" s="925">
        <f>'3.Thanh pham'!K123</f>
        <v>0</v>
      </c>
      <c r="L67" s="925">
        <f>'3.Thanh pham'!L123</f>
        <v>0</v>
      </c>
      <c r="M67" s="925">
        <f>'3.Thanh pham'!M123</f>
        <v>0</v>
      </c>
      <c r="N67" s="925">
        <f>'3.Thanh pham'!N123</f>
        <v>0</v>
      </c>
      <c r="O67" s="925">
        <f>'3.Thanh pham'!O123</f>
        <v>0</v>
      </c>
      <c r="P67" s="925">
        <f>'3.Thanh pham'!P123</f>
        <v>0</v>
      </c>
      <c r="Q67" s="925">
        <f>'3.Thanh pham'!Q123</f>
        <v>0</v>
      </c>
      <c r="R67" s="158">
        <f t="shared" si="77"/>
        <v>0</v>
      </c>
      <c r="T67" s="925"/>
      <c r="U67" s="925"/>
      <c r="V67" s="925"/>
      <c r="W67" s="925"/>
      <c r="X67" s="925"/>
      <c r="Y67" s="925"/>
      <c r="Z67" s="925"/>
      <c r="AA67" s="925"/>
      <c r="AB67" s="925"/>
      <c r="AC67" s="925"/>
      <c r="AD67" s="925"/>
      <c r="AE67" s="925"/>
      <c r="AF67" s="158"/>
      <c r="AH67" s="158"/>
      <c r="AJ67" s="158"/>
      <c r="AL67" s="159">
        <f t="shared" si="75"/>
        <v>0</v>
      </c>
      <c r="AM67" s="791">
        <f t="shared" si="76"/>
        <v>0</v>
      </c>
    </row>
    <row r="68" spans="2:39" x14ac:dyDescent="0.35">
      <c r="B68" s="128">
        <v>4</v>
      </c>
      <c r="C68" s="129" t="s">
        <v>570</v>
      </c>
      <c r="D68" s="130" t="s">
        <v>531</v>
      </c>
      <c r="E68" s="159"/>
      <c r="F68" s="925">
        <f>'3.Thanh pham'!F124</f>
        <v>0</v>
      </c>
      <c r="G68" s="925">
        <f>'3.Thanh pham'!G124</f>
        <v>0</v>
      </c>
      <c r="H68" s="925">
        <f>'3.Thanh pham'!H124</f>
        <v>0</v>
      </c>
      <c r="I68" s="925">
        <f>'3.Thanh pham'!I124</f>
        <v>0</v>
      </c>
      <c r="J68" s="925">
        <f>'3.Thanh pham'!J124</f>
        <v>0</v>
      </c>
      <c r="K68" s="925">
        <f>'3.Thanh pham'!K124</f>
        <v>0</v>
      </c>
      <c r="L68" s="925">
        <f>'3.Thanh pham'!L124</f>
        <v>0</v>
      </c>
      <c r="M68" s="925">
        <f>'3.Thanh pham'!M124</f>
        <v>0</v>
      </c>
      <c r="N68" s="925">
        <f>'3.Thanh pham'!N124</f>
        <v>0</v>
      </c>
      <c r="O68" s="925">
        <f>'3.Thanh pham'!O124</f>
        <v>0</v>
      </c>
      <c r="P68" s="925">
        <f>'3.Thanh pham'!P124</f>
        <v>0</v>
      </c>
      <c r="Q68" s="925">
        <f>'3.Thanh pham'!Q124</f>
        <v>0</v>
      </c>
      <c r="R68" s="158">
        <f t="shared" si="77"/>
        <v>0</v>
      </c>
      <c r="T68" s="925"/>
      <c r="U68" s="925"/>
      <c r="V68" s="925"/>
      <c r="W68" s="925"/>
      <c r="X68" s="925"/>
      <c r="Y68" s="925"/>
      <c r="Z68" s="925"/>
      <c r="AA68" s="925"/>
      <c r="AB68" s="925"/>
      <c r="AC68" s="925"/>
      <c r="AD68" s="925"/>
      <c r="AE68" s="925"/>
      <c r="AF68" s="158"/>
      <c r="AH68" s="158"/>
      <c r="AJ68" s="158"/>
      <c r="AL68" s="159">
        <f t="shared" si="75"/>
        <v>0</v>
      </c>
      <c r="AM68" s="791">
        <f t="shared" si="76"/>
        <v>0</v>
      </c>
    </row>
    <row r="69" spans="2:39" x14ac:dyDescent="0.35">
      <c r="B69" s="128">
        <v>5</v>
      </c>
      <c r="C69" s="129" t="s">
        <v>571</v>
      </c>
      <c r="D69" s="130" t="s">
        <v>531</v>
      </c>
      <c r="E69" s="159"/>
      <c r="F69" s="925">
        <f>'3.Thanh pham'!F125</f>
        <v>0</v>
      </c>
      <c r="G69" s="925">
        <f>'3.Thanh pham'!G125</f>
        <v>0</v>
      </c>
      <c r="H69" s="925">
        <f>'3.Thanh pham'!H125</f>
        <v>0</v>
      </c>
      <c r="I69" s="925">
        <f>'3.Thanh pham'!I125</f>
        <v>0</v>
      </c>
      <c r="J69" s="925">
        <f>'3.Thanh pham'!J125</f>
        <v>0</v>
      </c>
      <c r="K69" s="925">
        <f>'3.Thanh pham'!K125</f>
        <v>0</v>
      </c>
      <c r="L69" s="925">
        <f>'3.Thanh pham'!L125</f>
        <v>0</v>
      </c>
      <c r="M69" s="925">
        <f>'3.Thanh pham'!M125</f>
        <v>0</v>
      </c>
      <c r="N69" s="925">
        <f>'3.Thanh pham'!N125</f>
        <v>0</v>
      </c>
      <c r="O69" s="925">
        <f>'3.Thanh pham'!O125</f>
        <v>0</v>
      </c>
      <c r="P69" s="925">
        <f>'3.Thanh pham'!P125</f>
        <v>0</v>
      </c>
      <c r="Q69" s="925">
        <f>'3.Thanh pham'!Q125</f>
        <v>0</v>
      </c>
      <c r="R69" s="158">
        <f t="shared" si="77"/>
        <v>0</v>
      </c>
      <c r="T69" s="925"/>
      <c r="U69" s="925"/>
      <c r="V69" s="925"/>
      <c r="W69" s="925"/>
      <c r="X69" s="925"/>
      <c r="Y69" s="925"/>
      <c r="Z69" s="925"/>
      <c r="AA69" s="925"/>
      <c r="AB69" s="925"/>
      <c r="AC69" s="925"/>
      <c r="AD69" s="925"/>
      <c r="AE69" s="925"/>
      <c r="AF69" s="158"/>
      <c r="AH69" s="158"/>
      <c r="AJ69" s="158"/>
      <c r="AL69" s="159">
        <f t="shared" si="75"/>
        <v>0</v>
      </c>
      <c r="AM69" s="791">
        <f t="shared" si="76"/>
        <v>0</v>
      </c>
    </row>
    <row r="70" spans="2:39" x14ac:dyDescent="0.35">
      <c r="B70" s="128">
        <v>6</v>
      </c>
      <c r="C70" s="129" t="s">
        <v>572</v>
      </c>
      <c r="D70" s="130" t="s">
        <v>531</v>
      </c>
      <c r="E70" s="159"/>
      <c r="F70" s="925">
        <f>'3.Thanh pham'!F126</f>
        <v>0</v>
      </c>
      <c r="G70" s="925">
        <f>'3.Thanh pham'!G126</f>
        <v>0</v>
      </c>
      <c r="H70" s="925">
        <f>'3.Thanh pham'!H126</f>
        <v>0</v>
      </c>
      <c r="I70" s="925">
        <f>'3.Thanh pham'!I126</f>
        <v>0</v>
      </c>
      <c r="J70" s="925">
        <f>'3.Thanh pham'!J126</f>
        <v>0</v>
      </c>
      <c r="K70" s="925">
        <f>'3.Thanh pham'!K126</f>
        <v>0</v>
      </c>
      <c r="L70" s="925">
        <f>'3.Thanh pham'!L126</f>
        <v>0</v>
      </c>
      <c r="M70" s="925">
        <f>'3.Thanh pham'!M126</f>
        <v>0</v>
      </c>
      <c r="N70" s="925">
        <f>'3.Thanh pham'!N126</f>
        <v>0</v>
      </c>
      <c r="O70" s="925">
        <f>'3.Thanh pham'!O126</f>
        <v>0</v>
      </c>
      <c r="P70" s="925">
        <f>'3.Thanh pham'!P126</f>
        <v>0</v>
      </c>
      <c r="Q70" s="925">
        <f>'3.Thanh pham'!Q126</f>
        <v>0</v>
      </c>
      <c r="R70" s="158">
        <f t="shared" si="77"/>
        <v>0</v>
      </c>
      <c r="T70" s="925"/>
      <c r="U70" s="925"/>
      <c r="V70" s="925"/>
      <c r="W70" s="925"/>
      <c r="X70" s="925"/>
      <c r="Y70" s="925"/>
      <c r="Z70" s="925"/>
      <c r="AA70" s="925"/>
      <c r="AB70" s="925"/>
      <c r="AC70" s="925"/>
      <c r="AD70" s="925"/>
      <c r="AE70" s="925"/>
      <c r="AF70" s="158"/>
      <c r="AH70" s="158"/>
      <c r="AJ70" s="158"/>
      <c r="AL70" s="159">
        <f t="shared" si="75"/>
        <v>0</v>
      </c>
      <c r="AM70" s="791">
        <f t="shared" si="76"/>
        <v>0</v>
      </c>
    </row>
    <row r="71" spans="2:39" x14ac:dyDescent="0.35">
      <c r="B71" s="128">
        <v>7</v>
      </c>
      <c r="C71" s="129" t="s">
        <v>573</v>
      </c>
      <c r="D71" s="130" t="s">
        <v>531</v>
      </c>
      <c r="E71" s="159"/>
      <c r="F71" s="925">
        <f>'3.Thanh pham'!F127</f>
        <v>0</v>
      </c>
      <c r="G71" s="925">
        <f>'3.Thanh pham'!G127</f>
        <v>0</v>
      </c>
      <c r="H71" s="925">
        <f>'3.Thanh pham'!H127</f>
        <v>0</v>
      </c>
      <c r="I71" s="925">
        <f>'3.Thanh pham'!I127</f>
        <v>0</v>
      </c>
      <c r="J71" s="925">
        <f>'3.Thanh pham'!J127</f>
        <v>0</v>
      </c>
      <c r="K71" s="925">
        <f>'3.Thanh pham'!K127</f>
        <v>0</v>
      </c>
      <c r="L71" s="925">
        <f>'3.Thanh pham'!L127</f>
        <v>0</v>
      </c>
      <c r="M71" s="925">
        <f>'3.Thanh pham'!M127</f>
        <v>0</v>
      </c>
      <c r="N71" s="925">
        <f>'3.Thanh pham'!N127</f>
        <v>0</v>
      </c>
      <c r="O71" s="925">
        <f>'3.Thanh pham'!O127</f>
        <v>0</v>
      </c>
      <c r="P71" s="925">
        <f>'3.Thanh pham'!P127</f>
        <v>0</v>
      </c>
      <c r="Q71" s="925">
        <f>'3.Thanh pham'!Q127</f>
        <v>0</v>
      </c>
      <c r="R71" s="158">
        <f t="shared" si="77"/>
        <v>0</v>
      </c>
      <c r="T71" s="925"/>
      <c r="U71" s="925"/>
      <c r="V71" s="925"/>
      <c r="W71" s="925"/>
      <c r="X71" s="925"/>
      <c r="Y71" s="925"/>
      <c r="Z71" s="925"/>
      <c r="AA71" s="925"/>
      <c r="AB71" s="925"/>
      <c r="AC71" s="925"/>
      <c r="AD71" s="925"/>
      <c r="AE71" s="925"/>
      <c r="AF71" s="158"/>
      <c r="AH71" s="158"/>
      <c r="AJ71" s="158"/>
      <c r="AL71" s="159">
        <f t="shared" si="75"/>
        <v>0</v>
      </c>
      <c r="AM71" s="791">
        <f t="shared" si="76"/>
        <v>0</v>
      </c>
    </row>
    <row r="72" spans="2:39" x14ac:dyDescent="0.35">
      <c r="B72" s="128">
        <v>8</v>
      </c>
      <c r="C72" s="129" t="s">
        <v>574</v>
      </c>
      <c r="D72" s="130" t="s">
        <v>531</v>
      </c>
      <c r="E72" s="159"/>
      <c r="F72" s="925">
        <f>'3.Thanh pham'!F128</f>
        <v>0</v>
      </c>
      <c r="G72" s="925">
        <f>'3.Thanh pham'!G128</f>
        <v>0</v>
      </c>
      <c r="H72" s="925">
        <f>'3.Thanh pham'!H128</f>
        <v>0</v>
      </c>
      <c r="I72" s="925">
        <f>'3.Thanh pham'!I128</f>
        <v>0</v>
      </c>
      <c r="J72" s="925">
        <f>'3.Thanh pham'!J128</f>
        <v>0</v>
      </c>
      <c r="K72" s="925">
        <f>'3.Thanh pham'!K128</f>
        <v>0</v>
      </c>
      <c r="L72" s="925">
        <f>'3.Thanh pham'!L128</f>
        <v>0</v>
      </c>
      <c r="M72" s="925">
        <f>'3.Thanh pham'!M128</f>
        <v>0</v>
      </c>
      <c r="N72" s="925">
        <f>'3.Thanh pham'!N128</f>
        <v>0</v>
      </c>
      <c r="O72" s="925">
        <f>'3.Thanh pham'!O128</f>
        <v>0</v>
      </c>
      <c r="P72" s="925">
        <f>'3.Thanh pham'!P128</f>
        <v>0</v>
      </c>
      <c r="Q72" s="925">
        <f>'3.Thanh pham'!Q128</f>
        <v>0</v>
      </c>
      <c r="R72" s="158">
        <f t="shared" si="77"/>
        <v>0</v>
      </c>
      <c r="T72" s="925"/>
      <c r="U72" s="925"/>
      <c r="V72" s="925"/>
      <c r="W72" s="925"/>
      <c r="X72" s="925"/>
      <c r="Y72" s="925"/>
      <c r="Z72" s="925"/>
      <c r="AA72" s="925"/>
      <c r="AB72" s="925"/>
      <c r="AC72" s="925"/>
      <c r="AD72" s="925"/>
      <c r="AE72" s="925"/>
      <c r="AF72" s="158"/>
      <c r="AH72" s="158"/>
      <c r="AJ72" s="158"/>
      <c r="AL72" s="159">
        <f t="shared" si="75"/>
        <v>0</v>
      </c>
      <c r="AM72" s="791">
        <f t="shared" si="76"/>
        <v>0</v>
      </c>
    </row>
    <row r="73" spans="2:39" x14ac:dyDescent="0.35">
      <c r="B73" s="128">
        <v>9</v>
      </c>
      <c r="C73" s="129" t="s">
        <v>575</v>
      </c>
      <c r="D73" s="130" t="s">
        <v>531</v>
      </c>
      <c r="E73" s="159"/>
      <c r="F73" s="925">
        <f>'3.Thanh pham'!F129</f>
        <v>0</v>
      </c>
      <c r="G73" s="925">
        <f>'3.Thanh pham'!G129</f>
        <v>0</v>
      </c>
      <c r="H73" s="925">
        <f>'3.Thanh pham'!H129</f>
        <v>0</v>
      </c>
      <c r="I73" s="925">
        <f>'3.Thanh pham'!I129</f>
        <v>0</v>
      </c>
      <c r="J73" s="925">
        <f>'3.Thanh pham'!J129</f>
        <v>0</v>
      </c>
      <c r="K73" s="925">
        <f>'3.Thanh pham'!K129</f>
        <v>0</v>
      </c>
      <c r="L73" s="925">
        <f>'3.Thanh pham'!L129</f>
        <v>0</v>
      </c>
      <c r="M73" s="925">
        <f>'3.Thanh pham'!M129</f>
        <v>0</v>
      </c>
      <c r="N73" s="925">
        <f>'3.Thanh pham'!N129</f>
        <v>0</v>
      </c>
      <c r="O73" s="925">
        <f>'3.Thanh pham'!O129</f>
        <v>0</v>
      </c>
      <c r="P73" s="925">
        <f>'3.Thanh pham'!P129</f>
        <v>0</v>
      </c>
      <c r="Q73" s="925">
        <f>'3.Thanh pham'!Q129</f>
        <v>0</v>
      </c>
      <c r="R73" s="158">
        <f t="shared" si="77"/>
        <v>0</v>
      </c>
      <c r="T73" s="925"/>
      <c r="U73" s="925"/>
      <c r="V73" s="925"/>
      <c r="W73" s="925"/>
      <c r="X73" s="925"/>
      <c r="Y73" s="925"/>
      <c r="Z73" s="925"/>
      <c r="AA73" s="925"/>
      <c r="AB73" s="925"/>
      <c r="AC73" s="925"/>
      <c r="AD73" s="925"/>
      <c r="AE73" s="925"/>
      <c r="AF73" s="158"/>
      <c r="AH73" s="158"/>
      <c r="AJ73" s="158"/>
      <c r="AL73" s="159">
        <f t="shared" si="75"/>
        <v>0</v>
      </c>
      <c r="AM73" s="791">
        <f t="shared" si="76"/>
        <v>0</v>
      </c>
    </row>
    <row r="74" spans="2:39" s="1306" customFormat="1" x14ac:dyDescent="0.35">
      <c r="B74" s="1300">
        <v>10</v>
      </c>
      <c r="C74" s="1301" t="s">
        <v>576</v>
      </c>
      <c r="D74" s="1302" t="s">
        <v>531</v>
      </c>
      <c r="E74" s="1303"/>
      <c r="F74" s="1304">
        <f>'3.Thanh pham'!F130</f>
        <v>221850</v>
      </c>
      <c r="G74" s="1304">
        <f>'3.Thanh pham'!G130</f>
        <v>172550</v>
      </c>
      <c r="H74" s="1304">
        <f>'3.Thanh pham'!H130</f>
        <v>246500</v>
      </c>
      <c r="I74" s="1304">
        <f>'3.Thanh pham'!I130</f>
        <v>271150</v>
      </c>
      <c r="J74" s="1304">
        <f>'3.Thanh pham'!J130</f>
        <v>271617.49999999994</v>
      </c>
      <c r="K74" s="1304">
        <f>'3.Thanh pham'!K130</f>
        <v>272085</v>
      </c>
      <c r="L74" s="1304">
        <f>'3.Thanh pham'!L130</f>
        <v>272085</v>
      </c>
      <c r="M74" s="1304">
        <f>'3.Thanh pham'!M130</f>
        <v>272085</v>
      </c>
      <c r="N74" s="1304">
        <f>'3.Thanh pham'!N130</f>
        <v>272085</v>
      </c>
      <c r="O74" s="1304">
        <f>'3.Thanh pham'!O130</f>
        <v>272085</v>
      </c>
      <c r="P74" s="1304">
        <f>'3.Thanh pham'!P130</f>
        <v>272085</v>
      </c>
      <c r="Q74" s="1304">
        <f>'3.Thanh pham'!Q130</f>
        <v>272085</v>
      </c>
      <c r="R74" s="1305">
        <f t="shared" si="77"/>
        <v>3088262.5</v>
      </c>
      <c r="T74" s="1304">
        <v>165830</v>
      </c>
      <c r="U74" s="1304"/>
      <c r="V74" s="1304">
        <v>84450</v>
      </c>
      <c r="W74" s="1304">
        <v>116084</v>
      </c>
      <c r="X74" s="1304">
        <v>125560</v>
      </c>
      <c r="Y74" s="1304">
        <v>72462</v>
      </c>
      <c r="Z74" s="1304">
        <v>112942</v>
      </c>
      <c r="AA74" s="1304">
        <v>143982</v>
      </c>
      <c r="AB74" s="1304">
        <v>145633</v>
      </c>
      <c r="AC74" s="1304">
        <v>99072</v>
      </c>
      <c r="AD74" s="1304">
        <v>99072</v>
      </c>
      <c r="AE74" s="1304">
        <v>99072</v>
      </c>
      <c r="AF74" s="1307">
        <f>SUM(T74:AE74)</f>
        <v>1264159</v>
      </c>
      <c r="AH74" s="1308"/>
      <c r="AJ74" s="1308"/>
      <c r="AL74" s="1303">
        <f t="shared" si="75"/>
        <v>1824103.5</v>
      </c>
      <c r="AM74" s="1309">
        <f t="shared" si="76"/>
        <v>1.4429383487361953</v>
      </c>
    </row>
    <row r="75" spans="2:39" x14ac:dyDescent="0.35">
      <c r="B75" s="128">
        <v>11</v>
      </c>
      <c r="C75" s="129" t="s">
        <v>577</v>
      </c>
      <c r="D75" s="130" t="s">
        <v>531</v>
      </c>
      <c r="E75" s="159"/>
      <c r="F75" s="925">
        <f>'3.Thanh pham'!F131</f>
        <v>0</v>
      </c>
      <c r="G75" s="925">
        <f>'3.Thanh pham'!G131</f>
        <v>0</v>
      </c>
      <c r="H75" s="925">
        <f>'3.Thanh pham'!H131</f>
        <v>0</v>
      </c>
      <c r="I75" s="925">
        <f>'3.Thanh pham'!I131</f>
        <v>0</v>
      </c>
      <c r="J75" s="925">
        <f>'3.Thanh pham'!J131</f>
        <v>0</v>
      </c>
      <c r="K75" s="925">
        <f>'3.Thanh pham'!K131</f>
        <v>0</v>
      </c>
      <c r="L75" s="925">
        <f>'3.Thanh pham'!L131</f>
        <v>0</v>
      </c>
      <c r="M75" s="925">
        <f>'3.Thanh pham'!M131</f>
        <v>0</v>
      </c>
      <c r="N75" s="925">
        <f>'3.Thanh pham'!N131</f>
        <v>0</v>
      </c>
      <c r="O75" s="925">
        <f>'3.Thanh pham'!O131</f>
        <v>0</v>
      </c>
      <c r="P75" s="925">
        <f>'3.Thanh pham'!P131</f>
        <v>0</v>
      </c>
      <c r="Q75" s="925">
        <f>'3.Thanh pham'!Q131</f>
        <v>0</v>
      </c>
      <c r="R75" s="158"/>
      <c r="T75" s="925"/>
      <c r="U75" s="925"/>
      <c r="V75" s="925"/>
      <c r="W75" s="925"/>
      <c r="X75" s="925"/>
      <c r="Y75" s="925"/>
      <c r="Z75" s="925"/>
      <c r="AA75" s="925"/>
      <c r="AB75" s="925"/>
      <c r="AC75" s="925"/>
      <c r="AD75" s="925"/>
      <c r="AE75" s="925"/>
      <c r="AF75" s="158"/>
      <c r="AH75" s="158"/>
      <c r="AJ75" s="158"/>
      <c r="AL75" s="159">
        <f t="shared" si="75"/>
        <v>0</v>
      </c>
      <c r="AM75" s="791">
        <f t="shared" si="76"/>
        <v>0</v>
      </c>
    </row>
    <row r="76" spans="2:39" x14ac:dyDescent="0.35">
      <c r="B76" s="128">
        <v>12</v>
      </c>
      <c r="C76" s="129" t="s">
        <v>578</v>
      </c>
      <c r="D76" s="130" t="s">
        <v>531</v>
      </c>
      <c r="E76" s="159"/>
      <c r="F76" s="925">
        <f>'3.Thanh pham'!F132</f>
        <v>0</v>
      </c>
      <c r="G76" s="925">
        <f>'3.Thanh pham'!G132</f>
        <v>0</v>
      </c>
      <c r="H76" s="925">
        <f>'3.Thanh pham'!H132</f>
        <v>0</v>
      </c>
      <c r="I76" s="925">
        <f>'3.Thanh pham'!I132</f>
        <v>0</v>
      </c>
      <c r="J76" s="925">
        <f>'3.Thanh pham'!J132</f>
        <v>0</v>
      </c>
      <c r="K76" s="925">
        <f>'3.Thanh pham'!K132</f>
        <v>0</v>
      </c>
      <c r="L76" s="925">
        <f>'3.Thanh pham'!L132</f>
        <v>0</v>
      </c>
      <c r="M76" s="925">
        <f>'3.Thanh pham'!M132</f>
        <v>0</v>
      </c>
      <c r="N76" s="925">
        <f>'3.Thanh pham'!N132</f>
        <v>0</v>
      </c>
      <c r="O76" s="925">
        <f>'3.Thanh pham'!O132</f>
        <v>0</v>
      </c>
      <c r="P76" s="925">
        <f>'3.Thanh pham'!P132</f>
        <v>0</v>
      </c>
      <c r="Q76" s="925">
        <f>'3.Thanh pham'!Q132</f>
        <v>0</v>
      </c>
      <c r="R76" s="158">
        <f t="shared" si="77"/>
        <v>0</v>
      </c>
      <c r="T76" s="925"/>
      <c r="U76" s="925"/>
      <c r="V76" s="925"/>
      <c r="W76" s="925"/>
      <c r="X76" s="925"/>
      <c r="Y76" s="925"/>
      <c r="Z76" s="925"/>
      <c r="AA76" s="925"/>
      <c r="AB76" s="925"/>
      <c r="AC76" s="925"/>
      <c r="AD76" s="925"/>
      <c r="AE76" s="925"/>
      <c r="AF76" s="158"/>
      <c r="AH76" s="158"/>
      <c r="AJ76" s="158"/>
      <c r="AL76" s="159">
        <f t="shared" si="75"/>
        <v>0</v>
      </c>
      <c r="AM76" s="791">
        <f t="shared" si="76"/>
        <v>0</v>
      </c>
    </row>
    <row r="77" spans="2:39" x14ac:dyDescent="0.35">
      <c r="B77" s="128">
        <v>13</v>
      </c>
      <c r="C77" s="927" t="s">
        <v>579</v>
      </c>
      <c r="D77" s="130" t="s">
        <v>531</v>
      </c>
      <c r="E77" s="159"/>
      <c r="F77" s="925">
        <f>'3.Thanh pham'!F133</f>
        <v>0</v>
      </c>
      <c r="G77" s="925">
        <f>'3.Thanh pham'!G133</f>
        <v>0</v>
      </c>
      <c r="H77" s="925">
        <f>'3.Thanh pham'!H133</f>
        <v>0</v>
      </c>
      <c r="I77" s="925">
        <f>'3.Thanh pham'!I133</f>
        <v>0</v>
      </c>
      <c r="J77" s="925">
        <f>'3.Thanh pham'!J133</f>
        <v>0</v>
      </c>
      <c r="K77" s="925">
        <f>'3.Thanh pham'!K133</f>
        <v>0</v>
      </c>
      <c r="L77" s="925">
        <f>'3.Thanh pham'!L133</f>
        <v>0</v>
      </c>
      <c r="M77" s="925">
        <f>'3.Thanh pham'!M133</f>
        <v>0</v>
      </c>
      <c r="N77" s="925">
        <f>'3.Thanh pham'!N133</f>
        <v>0</v>
      </c>
      <c r="O77" s="925">
        <f>'3.Thanh pham'!O133</f>
        <v>0</v>
      </c>
      <c r="P77" s="925">
        <f>'3.Thanh pham'!P133</f>
        <v>0</v>
      </c>
      <c r="Q77" s="925">
        <f>'3.Thanh pham'!Q133</f>
        <v>0</v>
      </c>
      <c r="R77" s="158">
        <f t="shared" si="77"/>
        <v>0</v>
      </c>
      <c r="T77" s="925"/>
      <c r="U77" s="925"/>
      <c r="V77" s="925"/>
      <c r="W77" s="925"/>
      <c r="X77" s="925"/>
      <c r="Y77" s="925"/>
      <c r="Z77" s="925"/>
      <c r="AA77" s="925"/>
      <c r="AB77" s="925"/>
      <c r="AC77" s="925"/>
      <c r="AD77" s="925"/>
      <c r="AE77" s="925"/>
      <c r="AF77" s="158"/>
      <c r="AH77" s="158"/>
      <c r="AJ77" s="158"/>
      <c r="AL77" s="159">
        <f t="shared" si="75"/>
        <v>0</v>
      </c>
      <c r="AM77" s="791">
        <f t="shared" si="76"/>
        <v>0</v>
      </c>
    </row>
    <row r="78" spans="2:39" x14ac:dyDescent="0.35">
      <c r="B78" s="128">
        <v>14</v>
      </c>
      <c r="C78" s="129" t="s">
        <v>580</v>
      </c>
      <c r="D78" s="130" t="s">
        <v>531</v>
      </c>
      <c r="E78" s="159"/>
      <c r="F78" s="925">
        <f>'3.Thanh pham'!F134</f>
        <v>13050</v>
      </c>
      <c r="G78" s="925">
        <f>'3.Thanh pham'!G134</f>
        <v>10150</v>
      </c>
      <c r="H78" s="925">
        <f>'3.Thanh pham'!H134</f>
        <v>14500</v>
      </c>
      <c r="I78" s="925">
        <f>'3.Thanh pham'!I134</f>
        <v>15950</v>
      </c>
      <c r="J78" s="925">
        <f>'3.Thanh pham'!J134</f>
        <v>15977.499999999998</v>
      </c>
      <c r="K78" s="925">
        <f>'3.Thanh pham'!K134</f>
        <v>16005</v>
      </c>
      <c r="L78" s="925">
        <f>'3.Thanh pham'!L134</f>
        <v>16005</v>
      </c>
      <c r="M78" s="925">
        <f>'3.Thanh pham'!M134</f>
        <v>16005</v>
      </c>
      <c r="N78" s="925">
        <f>'3.Thanh pham'!N134</f>
        <v>16005</v>
      </c>
      <c r="O78" s="925">
        <f>'3.Thanh pham'!O134</f>
        <v>16005</v>
      </c>
      <c r="P78" s="925">
        <f>'3.Thanh pham'!P134</f>
        <v>16005</v>
      </c>
      <c r="Q78" s="925">
        <f>'3.Thanh pham'!Q134</f>
        <v>16005</v>
      </c>
      <c r="R78" s="158">
        <f t="shared" ref="R78" si="78">SUM(F78:Q78)</f>
        <v>181662.5</v>
      </c>
      <c r="T78" s="925">
        <v>24406</v>
      </c>
      <c r="U78" s="925">
        <v>8464</v>
      </c>
      <c r="V78" s="925">
        <v>5328</v>
      </c>
      <c r="W78" s="925">
        <v>8708</v>
      </c>
      <c r="X78" s="925">
        <v>17431</v>
      </c>
      <c r="Y78" s="925">
        <v>4824</v>
      </c>
      <c r="Z78" s="925">
        <v>7617</v>
      </c>
      <c r="AA78" s="925">
        <v>18932</v>
      </c>
      <c r="AB78" s="925">
        <v>21548</v>
      </c>
      <c r="AC78" s="925">
        <v>6912</v>
      </c>
      <c r="AD78" s="925">
        <v>6912</v>
      </c>
      <c r="AE78" s="925">
        <v>6912</v>
      </c>
      <c r="AF78" s="936">
        <f>SUM(T78:AE78)</f>
        <v>137994</v>
      </c>
      <c r="AH78" s="158"/>
      <c r="AJ78" s="158"/>
      <c r="AL78" s="159">
        <f t="shared" si="75"/>
        <v>43668.5</v>
      </c>
      <c r="AM78" s="791">
        <f t="shared" si="76"/>
        <v>0.31645216458686609</v>
      </c>
    </row>
    <row r="79" spans="2:39" x14ac:dyDescent="0.35">
      <c r="B79" s="128">
        <v>15</v>
      </c>
      <c r="C79" s="129" t="s">
        <v>175</v>
      </c>
      <c r="D79" s="130" t="s">
        <v>531</v>
      </c>
      <c r="E79" s="159"/>
      <c r="F79" s="925">
        <f>'3.Thanh pham'!F135</f>
        <v>0</v>
      </c>
      <c r="G79" s="925">
        <f>'3.Thanh pham'!G135</f>
        <v>0</v>
      </c>
      <c r="H79" s="925">
        <f>'3.Thanh pham'!H135</f>
        <v>0</v>
      </c>
      <c r="I79" s="925">
        <f>'3.Thanh pham'!I135</f>
        <v>0</v>
      </c>
      <c r="J79" s="925">
        <f>'3.Thanh pham'!J135</f>
        <v>0</v>
      </c>
      <c r="K79" s="925">
        <f>'3.Thanh pham'!K135</f>
        <v>0</v>
      </c>
      <c r="L79" s="925">
        <f>'3.Thanh pham'!L135</f>
        <v>0</v>
      </c>
      <c r="M79" s="925">
        <f>'3.Thanh pham'!M135</f>
        <v>0</v>
      </c>
      <c r="N79" s="925">
        <f>'3.Thanh pham'!N135</f>
        <v>0</v>
      </c>
      <c r="O79" s="925">
        <f>'3.Thanh pham'!O135</f>
        <v>0</v>
      </c>
      <c r="P79" s="925">
        <f>'3.Thanh pham'!P135</f>
        <v>0</v>
      </c>
      <c r="Q79" s="925">
        <f>'3.Thanh pham'!Q135</f>
        <v>0</v>
      </c>
      <c r="R79" s="158">
        <f t="shared" si="77"/>
        <v>0</v>
      </c>
      <c r="T79" s="925"/>
      <c r="U79" s="925"/>
      <c r="V79" s="925"/>
      <c r="W79" s="925"/>
      <c r="X79" s="925"/>
      <c r="Y79" s="925"/>
      <c r="Z79" s="925"/>
      <c r="AA79" s="925"/>
      <c r="AB79" s="925"/>
      <c r="AC79" s="925"/>
      <c r="AD79" s="925"/>
      <c r="AE79" s="925"/>
      <c r="AF79" s="158"/>
      <c r="AH79" s="158"/>
      <c r="AJ79" s="158"/>
      <c r="AL79" s="159">
        <f t="shared" si="75"/>
        <v>0</v>
      </c>
      <c r="AM79" s="791">
        <f t="shared" si="76"/>
        <v>0</v>
      </c>
    </row>
    <row r="80" spans="2:39" x14ac:dyDescent="0.35">
      <c r="B80" s="163"/>
      <c r="C80" s="164" t="s">
        <v>480</v>
      </c>
      <c r="D80" s="928"/>
      <c r="E80" s="937">
        <f>SUM(E65:E79)</f>
        <v>0</v>
      </c>
      <c r="F80" s="166">
        <f>SUM(F65:F79)</f>
        <v>234900</v>
      </c>
      <c r="G80" s="166">
        <f t="shared" ref="G80:Q80" si="79">SUM(G65:G79)</f>
        <v>182700</v>
      </c>
      <c r="H80" s="166">
        <f t="shared" si="79"/>
        <v>261000</v>
      </c>
      <c r="I80" s="166">
        <f t="shared" si="79"/>
        <v>287100</v>
      </c>
      <c r="J80" s="166">
        <f t="shared" si="79"/>
        <v>287594.99999999994</v>
      </c>
      <c r="K80" s="166">
        <f t="shared" si="79"/>
        <v>288090</v>
      </c>
      <c r="L80" s="166">
        <f t="shared" si="79"/>
        <v>288090</v>
      </c>
      <c r="M80" s="166">
        <f t="shared" si="79"/>
        <v>288090</v>
      </c>
      <c r="N80" s="166">
        <f t="shared" si="79"/>
        <v>288090</v>
      </c>
      <c r="O80" s="166">
        <f t="shared" si="79"/>
        <v>288090</v>
      </c>
      <c r="P80" s="166">
        <f t="shared" si="79"/>
        <v>288090</v>
      </c>
      <c r="Q80" s="166">
        <f t="shared" si="79"/>
        <v>288090</v>
      </c>
      <c r="R80" s="166">
        <f t="shared" si="77"/>
        <v>3269925</v>
      </c>
      <c r="T80" s="166">
        <f>SUM(T65:T79)</f>
        <v>190236</v>
      </c>
      <c r="U80" s="166">
        <f t="shared" ref="U80:AE80" si="80">SUM(U65:U79)</f>
        <v>8464</v>
      </c>
      <c r="V80" s="166">
        <f t="shared" si="80"/>
        <v>89778</v>
      </c>
      <c r="W80" s="166">
        <f t="shared" si="80"/>
        <v>138658</v>
      </c>
      <c r="X80" s="166">
        <f t="shared" si="80"/>
        <v>142991</v>
      </c>
      <c r="Y80" s="166">
        <f t="shared" si="80"/>
        <v>77286</v>
      </c>
      <c r="Z80" s="166">
        <f t="shared" si="80"/>
        <v>120559</v>
      </c>
      <c r="AA80" s="166">
        <f t="shared" si="80"/>
        <v>162914</v>
      </c>
      <c r="AB80" s="166">
        <f t="shared" si="80"/>
        <v>167181</v>
      </c>
      <c r="AC80" s="166">
        <f t="shared" si="80"/>
        <v>105984</v>
      </c>
      <c r="AD80" s="166">
        <f t="shared" si="80"/>
        <v>105984</v>
      </c>
      <c r="AE80" s="166">
        <f t="shared" si="80"/>
        <v>105984</v>
      </c>
      <c r="AF80" s="166">
        <f t="shared" ref="AF80" si="81">SUM(T80:AE80)</f>
        <v>1416019</v>
      </c>
      <c r="AH80" s="166">
        <f t="shared" ref="AH80" si="82">SUM(V80:AG80)</f>
        <v>2633338</v>
      </c>
      <c r="AJ80" s="166">
        <f t="shared" ref="AJ80" si="83">SUM(X80:AI80)</f>
        <v>5038240</v>
      </c>
      <c r="AL80" s="166">
        <f t="shared" ref="AL80" si="84">IFERROR(R80-AF80,0)</f>
        <v>1853906</v>
      </c>
      <c r="AM80" s="929">
        <f t="shared" ref="AM80" si="85">IFERROR((R80/AF80)-1,0)</f>
        <v>1.3092380822573708</v>
      </c>
    </row>
    <row r="82" spans="2:39" x14ac:dyDescent="0.35">
      <c r="B82" s="1221" t="s">
        <v>2200</v>
      </c>
      <c r="K82" s="1054"/>
      <c r="L82" s="1054"/>
      <c r="M82" s="1054"/>
      <c r="N82" s="1054"/>
      <c r="O82" s="1054"/>
      <c r="P82" s="1054"/>
      <c r="Q82" s="1054"/>
      <c r="R82" s="89"/>
      <c r="AF82" s="89"/>
      <c r="AH82" s="89"/>
      <c r="AJ82" s="89"/>
      <c r="AL82" s="89"/>
      <c r="AM82" s="89"/>
    </row>
    <row r="83" spans="2:39" ht="26" x14ac:dyDescent="0.35">
      <c r="B83" s="187" t="s">
        <v>36</v>
      </c>
      <c r="C83" s="187" t="s">
        <v>566</v>
      </c>
      <c r="D83" s="187" t="s">
        <v>257</v>
      </c>
      <c r="E83" s="116" t="s">
        <v>525</v>
      </c>
      <c r="F83" s="116" t="s">
        <v>149</v>
      </c>
      <c r="G83" s="116" t="s">
        <v>150</v>
      </c>
      <c r="H83" s="116" t="s">
        <v>151</v>
      </c>
      <c r="I83" s="116" t="s">
        <v>152</v>
      </c>
      <c r="J83" s="116" t="s">
        <v>153</v>
      </c>
      <c r="K83" s="116" t="s">
        <v>154</v>
      </c>
      <c r="L83" s="116" t="s">
        <v>155</v>
      </c>
      <c r="M83" s="116" t="s">
        <v>156</v>
      </c>
      <c r="N83" s="116" t="s">
        <v>157</v>
      </c>
      <c r="O83" s="116" t="s">
        <v>158</v>
      </c>
      <c r="P83" s="116" t="s">
        <v>159</v>
      </c>
      <c r="Q83" s="116" t="s">
        <v>160</v>
      </c>
      <c r="R83" s="116" t="s">
        <v>2147</v>
      </c>
      <c r="S83" s="10"/>
      <c r="T83" s="714" t="s">
        <v>149</v>
      </c>
      <c r="U83" s="714" t="s">
        <v>150</v>
      </c>
      <c r="V83" s="714" t="s">
        <v>151</v>
      </c>
      <c r="W83" s="714" t="s">
        <v>152</v>
      </c>
      <c r="X83" s="714" t="s">
        <v>153</v>
      </c>
      <c r="Y83" s="714" t="s">
        <v>154</v>
      </c>
      <c r="Z83" s="714" t="s">
        <v>155</v>
      </c>
      <c r="AA83" s="714" t="s">
        <v>156</v>
      </c>
      <c r="AB83" s="714" t="s">
        <v>157</v>
      </c>
      <c r="AC83" s="714" t="s">
        <v>158</v>
      </c>
      <c r="AD83" s="714" t="s">
        <v>159</v>
      </c>
      <c r="AE83" s="714" t="s">
        <v>160</v>
      </c>
      <c r="AF83" s="714" t="s">
        <v>148</v>
      </c>
      <c r="AG83" s="10"/>
      <c r="AH83" s="714" t="s">
        <v>526</v>
      </c>
      <c r="AI83" s="10"/>
      <c r="AJ83" s="714" t="s">
        <v>527</v>
      </c>
      <c r="AK83" s="10"/>
      <c r="AL83" s="721" t="s">
        <v>528</v>
      </c>
      <c r="AM83" s="722" t="s">
        <v>529</v>
      </c>
    </row>
    <row r="84" spans="2:39" x14ac:dyDescent="0.35">
      <c r="B84" s="128">
        <v>1</v>
      </c>
      <c r="C84" s="129" t="s">
        <v>567</v>
      </c>
      <c r="D84" s="130" t="s">
        <v>531</v>
      </c>
      <c r="E84" s="159"/>
      <c r="F84" s="925">
        <f>'3.Thanh pham'!F140</f>
        <v>0</v>
      </c>
      <c r="G84" s="925">
        <f>'3.Thanh pham'!G140</f>
        <v>0</v>
      </c>
      <c r="H84" s="925">
        <f>'3.Thanh pham'!H140</f>
        <v>0</v>
      </c>
      <c r="I84" s="925">
        <f>'3.Thanh pham'!I140</f>
        <v>0</v>
      </c>
      <c r="J84" s="925">
        <f>'3.Thanh pham'!J140</f>
        <v>0</v>
      </c>
      <c r="K84" s="925">
        <f>'3.Thanh pham'!K140</f>
        <v>521317.5</v>
      </c>
      <c r="L84" s="925">
        <f>'3.Thanh pham'!L140</f>
        <v>521317.5</v>
      </c>
      <c r="M84" s="925">
        <f>'3.Thanh pham'!M140</f>
        <v>521317.5</v>
      </c>
      <c r="N84" s="925">
        <f>'3.Thanh pham'!N140</f>
        <v>521317.5</v>
      </c>
      <c r="O84" s="925">
        <f>'3.Thanh pham'!O140</f>
        <v>521317.5</v>
      </c>
      <c r="P84" s="925">
        <f>'3.Thanh pham'!P140</f>
        <v>521317.5</v>
      </c>
      <c r="Q84" s="925">
        <f>'3.Thanh pham'!Q140</f>
        <v>521317.5</v>
      </c>
      <c r="R84" s="158">
        <f>SUM(F84:Q84)</f>
        <v>3649222.5</v>
      </c>
      <c r="T84" s="925"/>
      <c r="U84" s="925"/>
      <c r="V84" s="925"/>
      <c r="W84" s="925">
        <v>13866</v>
      </c>
      <c r="X84" s="925"/>
      <c r="Y84" s="925"/>
      <c r="Z84" s="925"/>
      <c r="AA84" s="925"/>
      <c r="AB84" s="925"/>
      <c r="AC84" s="925"/>
      <c r="AD84" s="925"/>
      <c r="AE84" s="925"/>
      <c r="AF84" s="158"/>
      <c r="AH84" s="158"/>
      <c r="AJ84" s="158"/>
      <c r="AL84" s="159">
        <f t="shared" ref="AL84:AL99" si="86">IFERROR(R84-AF84,0)</f>
        <v>3649222.5</v>
      </c>
      <c r="AM84" s="791">
        <f t="shared" ref="AM84:AM99" si="87">IFERROR((R84/AF84)-1,0)</f>
        <v>0</v>
      </c>
    </row>
    <row r="85" spans="2:39" ht="25" x14ac:dyDescent="0.35">
      <c r="B85" s="128">
        <v>2</v>
      </c>
      <c r="C85" s="129" t="s">
        <v>568</v>
      </c>
      <c r="D85" s="130" t="s">
        <v>531</v>
      </c>
      <c r="E85" s="159"/>
      <c r="F85" s="925">
        <f>'3.Thanh pham'!F141</f>
        <v>0</v>
      </c>
      <c r="G85" s="925">
        <f>'3.Thanh pham'!G141</f>
        <v>0</v>
      </c>
      <c r="H85" s="925">
        <f>'3.Thanh pham'!H141</f>
        <v>0</v>
      </c>
      <c r="I85" s="925">
        <f>'3.Thanh pham'!I141</f>
        <v>0</v>
      </c>
      <c r="J85" s="925">
        <f>'3.Thanh pham'!J141</f>
        <v>0</v>
      </c>
      <c r="K85" s="925">
        <f>'3.Thanh pham'!K141</f>
        <v>0</v>
      </c>
      <c r="L85" s="925">
        <f>'3.Thanh pham'!L141</f>
        <v>0</v>
      </c>
      <c r="M85" s="925">
        <f>'3.Thanh pham'!M141</f>
        <v>0</v>
      </c>
      <c r="N85" s="925">
        <f>'3.Thanh pham'!N141</f>
        <v>0</v>
      </c>
      <c r="O85" s="925">
        <f>'3.Thanh pham'!O141</f>
        <v>0</v>
      </c>
      <c r="P85" s="925">
        <f>'3.Thanh pham'!P141</f>
        <v>0</v>
      </c>
      <c r="Q85" s="925">
        <f>'3.Thanh pham'!Q141</f>
        <v>0</v>
      </c>
      <c r="R85" s="158">
        <f t="shared" ref="R85:R93" si="88">SUM(F85:Q85)</f>
        <v>0</v>
      </c>
      <c r="T85" s="925"/>
      <c r="U85" s="925"/>
      <c r="V85" s="925"/>
      <c r="W85" s="925"/>
      <c r="X85" s="925"/>
      <c r="Y85" s="925"/>
      <c r="Z85" s="925"/>
      <c r="AA85" s="925"/>
      <c r="AB85" s="925"/>
      <c r="AC85" s="925"/>
      <c r="AD85" s="925"/>
      <c r="AE85" s="925"/>
      <c r="AF85" s="158"/>
      <c r="AH85" s="158"/>
      <c r="AJ85" s="158"/>
      <c r="AL85" s="159">
        <f t="shared" si="86"/>
        <v>0</v>
      </c>
      <c r="AM85" s="791">
        <f t="shared" si="87"/>
        <v>0</v>
      </c>
    </row>
    <row r="86" spans="2:39" x14ac:dyDescent="0.35">
      <c r="B86" s="128">
        <v>3</v>
      </c>
      <c r="C86" s="129" t="s">
        <v>569</v>
      </c>
      <c r="D86" s="130" t="s">
        <v>531</v>
      </c>
      <c r="E86" s="159"/>
      <c r="F86" s="925">
        <f>'3.Thanh pham'!F142</f>
        <v>0</v>
      </c>
      <c r="G86" s="925">
        <f>'3.Thanh pham'!G142</f>
        <v>0</v>
      </c>
      <c r="H86" s="925">
        <f>'3.Thanh pham'!H142</f>
        <v>0</v>
      </c>
      <c r="I86" s="925">
        <f>'3.Thanh pham'!I142</f>
        <v>0</v>
      </c>
      <c r="J86" s="925">
        <f>'3.Thanh pham'!J142</f>
        <v>0</v>
      </c>
      <c r="K86" s="925">
        <f>'3.Thanh pham'!K142</f>
        <v>0</v>
      </c>
      <c r="L86" s="925">
        <f>'3.Thanh pham'!L142</f>
        <v>0</v>
      </c>
      <c r="M86" s="925">
        <f>'3.Thanh pham'!M142</f>
        <v>0</v>
      </c>
      <c r="N86" s="925">
        <f>'3.Thanh pham'!N142</f>
        <v>0</v>
      </c>
      <c r="O86" s="925">
        <f>'3.Thanh pham'!O142</f>
        <v>0</v>
      </c>
      <c r="P86" s="925">
        <f>'3.Thanh pham'!P142</f>
        <v>0</v>
      </c>
      <c r="Q86" s="925">
        <f>'3.Thanh pham'!Q142</f>
        <v>0</v>
      </c>
      <c r="R86" s="158">
        <f t="shared" si="88"/>
        <v>0</v>
      </c>
      <c r="T86" s="925"/>
      <c r="U86" s="925"/>
      <c r="V86" s="925"/>
      <c r="W86" s="925"/>
      <c r="X86" s="925"/>
      <c r="Y86" s="925"/>
      <c r="Z86" s="925"/>
      <c r="AA86" s="925"/>
      <c r="AB86" s="925"/>
      <c r="AC86" s="925"/>
      <c r="AD86" s="925"/>
      <c r="AE86" s="925"/>
      <c r="AF86" s="158"/>
      <c r="AH86" s="158"/>
      <c r="AJ86" s="158"/>
      <c r="AL86" s="159">
        <f t="shared" si="86"/>
        <v>0</v>
      </c>
      <c r="AM86" s="791">
        <f t="shared" si="87"/>
        <v>0</v>
      </c>
    </row>
    <row r="87" spans="2:39" x14ac:dyDescent="0.35">
      <c r="B87" s="128">
        <v>4</v>
      </c>
      <c r="C87" s="129" t="s">
        <v>570</v>
      </c>
      <c r="D87" s="130" t="s">
        <v>531</v>
      </c>
      <c r="E87" s="159"/>
      <c r="F87" s="925">
        <f>'3.Thanh pham'!F143</f>
        <v>0</v>
      </c>
      <c r="G87" s="925">
        <f>'3.Thanh pham'!G143</f>
        <v>0</v>
      </c>
      <c r="H87" s="925">
        <f>'3.Thanh pham'!H143</f>
        <v>0</v>
      </c>
      <c r="I87" s="925">
        <f>'3.Thanh pham'!I143</f>
        <v>0</v>
      </c>
      <c r="J87" s="925">
        <f>'3.Thanh pham'!J143</f>
        <v>0</v>
      </c>
      <c r="K87" s="925">
        <f>'3.Thanh pham'!K143</f>
        <v>0</v>
      </c>
      <c r="L87" s="925">
        <f>'3.Thanh pham'!L143</f>
        <v>0</v>
      </c>
      <c r="M87" s="925">
        <f>'3.Thanh pham'!M143</f>
        <v>0</v>
      </c>
      <c r="N87" s="925">
        <f>'3.Thanh pham'!N143</f>
        <v>0</v>
      </c>
      <c r="O87" s="925">
        <f>'3.Thanh pham'!O143</f>
        <v>0</v>
      </c>
      <c r="P87" s="925">
        <f>'3.Thanh pham'!P143</f>
        <v>0</v>
      </c>
      <c r="Q87" s="925">
        <f>'3.Thanh pham'!Q143</f>
        <v>0</v>
      </c>
      <c r="R87" s="158">
        <f t="shared" si="88"/>
        <v>0</v>
      </c>
      <c r="T87" s="925"/>
      <c r="U87" s="925"/>
      <c r="V87" s="925"/>
      <c r="W87" s="925"/>
      <c r="X87" s="925"/>
      <c r="Y87" s="925"/>
      <c r="Z87" s="925"/>
      <c r="AA87" s="925"/>
      <c r="AB87" s="925"/>
      <c r="AC87" s="925"/>
      <c r="AD87" s="925"/>
      <c r="AE87" s="925"/>
      <c r="AF87" s="158"/>
      <c r="AH87" s="158"/>
      <c r="AJ87" s="158"/>
      <c r="AL87" s="159">
        <f t="shared" si="86"/>
        <v>0</v>
      </c>
      <c r="AM87" s="791">
        <f t="shared" si="87"/>
        <v>0</v>
      </c>
    </row>
    <row r="88" spans="2:39" x14ac:dyDescent="0.35">
      <c r="B88" s="128">
        <v>5</v>
      </c>
      <c r="C88" s="129" t="s">
        <v>571</v>
      </c>
      <c r="D88" s="130" t="s">
        <v>531</v>
      </c>
      <c r="E88" s="159"/>
      <c r="F88" s="925">
        <f>'3.Thanh pham'!F144</f>
        <v>0</v>
      </c>
      <c r="G88" s="925">
        <f>'3.Thanh pham'!G144</f>
        <v>0</v>
      </c>
      <c r="H88" s="925">
        <f>'3.Thanh pham'!H144</f>
        <v>0</v>
      </c>
      <c r="I88" s="925">
        <f>'3.Thanh pham'!I144</f>
        <v>0</v>
      </c>
      <c r="J88" s="925">
        <f>'3.Thanh pham'!J144</f>
        <v>0</v>
      </c>
      <c r="K88" s="925">
        <f>'3.Thanh pham'!K144</f>
        <v>0</v>
      </c>
      <c r="L88" s="925">
        <f>'3.Thanh pham'!L144</f>
        <v>0</v>
      </c>
      <c r="M88" s="925">
        <f>'3.Thanh pham'!M144</f>
        <v>0</v>
      </c>
      <c r="N88" s="925">
        <f>'3.Thanh pham'!N144</f>
        <v>0</v>
      </c>
      <c r="O88" s="925">
        <f>'3.Thanh pham'!O144</f>
        <v>0</v>
      </c>
      <c r="P88" s="925">
        <f>'3.Thanh pham'!P144</f>
        <v>0</v>
      </c>
      <c r="Q88" s="925">
        <f>'3.Thanh pham'!Q144</f>
        <v>0</v>
      </c>
      <c r="R88" s="158">
        <f t="shared" si="88"/>
        <v>0</v>
      </c>
      <c r="T88" s="925"/>
      <c r="U88" s="925"/>
      <c r="V88" s="925"/>
      <c r="W88" s="925"/>
      <c r="X88" s="925"/>
      <c r="Y88" s="925"/>
      <c r="Z88" s="925"/>
      <c r="AA88" s="925"/>
      <c r="AB88" s="925"/>
      <c r="AC88" s="925"/>
      <c r="AD88" s="925"/>
      <c r="AE88" s="925"/>
      <c r="AF88" s="158"/>
      <c r="AH88" s="158"/>
      <c r="AJ88" s="158"/>
      <c r="AL88" s="159">
        <f t="shared" si="86"/>
        <v>0</v>
      </c>
      <c r="AM88" s="791">
        <f t="shared" si="87"/>
        <v>0</v>
      </c>
    </row>
    <row r="89" spans="2:39" x14ac:dyDescent="0.35">
      <c r="B89" s="128">
        <v>6</v>
      </c>
      <c r="C89" s="129" t="s">
        <v>572</v>
      </c>
      <c r="D89" s="130" t="s">
        <v>531</v>
      </c>
      <c r="E89" s="159"/>
      <c r="F89" s="925">
        <f>'3.Thanh pham'!F145</f>
        <v>0</v>
      </c>
      <c r="G89" s="925">
        <f>'3.Thanh pham'!G145</f>
        <v>0</v>
      </c>
      <c r="H89" s="925">
        <f>'3.Thanh pham'!H145</f>
        <v>0</v>
      </c>
      <c r="I89" s="925">
        <f>'3.Thanh pham'!I145</f>
        <v>0</v>
      </c>
      <c r="J89" s="925">
        <f>'3.Thanh pham'!J145</f>
        <v>0</v>
      </c>
      <c r="K89" s="925">
        <f>'3.Thanh pham'!K145</f>
        <v>0</v>
      </c>
      <c r="L89" s="925">
        <f>'3.Thanh pham'!L145</f>
        <v>0</v>
      </c>
      <c r="M89" s="925">
        <f>'3.Thanh pham'!M145</f>
        <v>0</v>
      </c>
      <c r="N89" s="925">
        <f>'3.Thanh pham'!N145</f>
        <v>0</v>
      </c>
      <c r="O89" s="925">
        <f>'3.Thanh pham'!O145</f>
        <v>0</v>
      </c>
      <c r="P89" s="925">
        <f>'3.Thanh pham'!P145</f>
        <v>0</v>
      </c>
      <c r="Q89" s="925">
        <f>'3.Thanh pham'!Q145</f>
        <v>0</v>
      </c>
      <c r="R89" s="158">
        <f t="shared" si="88"/>
        <v>0</v>
      </c>
      <c r="T89" s="925"/>
      <c r="U89" s="925"/>
      <c r="V89" s="925"/>
      <c r="W89" s="925"/>
      <c r="X89" s="925"/>
      <c r="Y89" s="925"/>
      <c r="Z89" s="925"/>
      <c r="AA89" s="925"/>
      <c r="AB89" s="925"/>
      <c r="AC89" s="925"/>
      <c r="AD89" s="925"/>
      <c r="AE89" s="925"/>
      <c r="AF89" s="158"/>
      <c r="AH89" s="158"/>
      <c r="AJ89" s="158"/>
      <c r="AL89" s="159">
        <f t="shared" si="86"/>
        <v>0</v>
      </c>
      <c r="AM89" s="791">
        <f t="shared" si="87"/>
        <v>0</v>
      </c>
    </row>
    <row r="90" spans="2:39" x14ac:dyDescent="0.35">
      <c r="B90" s="128">
        <v>7</v>
      </c>
      <c r="C90" s="129" t="s">
        <v>573</v>
      </c>
      <c r="D90" s="130" t="s">
        <v>531</v>
      </c>
      <c r="E90" s="159"/>
      <c r="F90" s="925">
        <f>'3.Thanh pham'!F146</f>
        <v>0</v>
      </c>
      <c r="G90" s="925">
        <f>'3.Thanh pham'!G146</f>
        <v>0</v>
      </c>
      <c r="H90" s="925">
        <f>'3.Thanh pham'!H146</f>
        <v>0</v>
      </c>
      <c r="I90" s="925">
        <f>'3.Thanh pham'!I146</f>
        <v>0</v>
      </c>
      <c r="J90" s="925">
        <f>'3.Thanh pham'!J146</f>
        <v>0</v>
      </c>
      <c r="K90" s="925">
        <f>'3.Thanh pham'!K146</f>
        <v>0</v>
      </c>
      <c r="L90" s="925">
        <f>'3.Thanh pham'!L146</f>
        <v>0</v>
      </c>
      <c r="M90" s="925">
        <f>'3.Thanh pham'!M146</f>
        <v>0</v>
      </c>
      <c r="N90" s="925">
        <f>'3.Thanh pham'!N146</f>
        <v>0</v>
      </c>
      <c r="O90" s="925">
        <f>'3.Thanh pham'!O146</f>
        <v>0</v>
      </c>
      <c r="P90" s="925">
        <f>'3.Thanh pham'!P146</f>
        <v>0</v>
      </c>
      <c r="Q90" s="925">
        <f>'3.Thanh pham'!Q146</f>
        <v>0</v>
      </c>
      <c r="R90" s="158">
        <f t="shared" si="88"/>
        <v>0</v>
      </c>
      <c r="T90" s="925"/>
      <c r="U90" s="925"/>
      <c r="V90" s="925"/>
      <c r="W90" s="925"/>
      <c r="X90" s="925"/>
      <c r="Y90" s="925"/>
      <c r="Z90" s="925"/>
      <c r="AA90" s="925"/>
      <c r="AB90" s="925"/>
      <c r="AC90" s="925"/>
      <c r="AD90" s="925"/>
      <c r="AE90" s="925"/>
      <c r="AF90" s="158"/>
      <c r="AH90" s="158"/>
      <c r="AJ90" s="158"/>
      <c r="AL90" s="159">
        <f t="shared" si="86"/>
        <v>0</v>
      </c>
      <c r="AM90" s="791">
        <f t="shared" si="87"/>
        <v>0</v>
      </c>
    </row>
    <row r="91" spans="2:39" x14ac:dyDescent="0.35">
      <c r="B91" s="128">
        <v>8</v>
      </c>
      <c r="C91" s="129" t="s">
        <v>574</v>
      </c>
      <c r="D91" s="130" t="s">
        <v>531</v>
      </c>
      <c r="E91" s="159"/>
      <c r="F91" s="925">
        <f>'3.Thanh pham'!F147</f>
        <v>0</v>
      </c>
      <c r="G91" s="925">
        <f>'3.Thanh pham'!G147</f>
        <v>0</v>
      </c>
      <c r="H91" s="925">
        <f>'3.Thanh pham'!H147</f>
        <v>0</v>
      </c>
      <c r="I91" s="925">
        <f>'3.Thanh pham'!I147</f>
        <v>0</v>
      </c>
      <c r="J91" s="925">
        <f>'3.Thanh pham'!J147</f>
        <v>0</v>
      </c>
      <c r="K91" s="925">
        <f>'3.Thanh pham'!K147</f>
        <v>0</v>
      </c>
      <c r="L91" s="925">
        <f>'3.Thanh pham'!L147</f>
        <v>0</v>
      </c>
      <c r="M91" s="925">
        <f>'3.Thanh pham'!M147</f>
        <v>0</v>
      </c>
      <c r="N91" s="925">
        <f>'3.Thanh pham'!N147</f>
        <v>0</v>
      </c>
      <c r="O91" s="925">
        <f>'3.Thanh pham'!O147</f>
        <v>0</v>
      </c>
      <c r="P91" s="925">
        <f>'3.Thanh pham'!P147</f>
        <v>0</v>
      </c>
      <c r="Q91" s="925">
        <f>'3.Thanh pham'!Q147</f>
        <v>0</v>
      </c>
      <c r="R91" s="158">
        <f t="shared" si="88"/>
        <v>0</v>
      </c>
      <c r="T91" s="925"/>
      <c r="U91" s="925"/>
      <c r="V91" s="925"/>
      <c r="W91" s="925"/>
      <c r="X91" s="925"/>
      <c r="Y91" s="925"/>
      <c r="Z91" s="925"/>
      <c r="AA91" s="925"/>
      <c r="AB91" s="925"/>
      <c r="AC91" s="925"/>
      <c r="AD91" s="925"/>
      <c r="AE91" s="925"/>
      <c r="AF91" s="158"/>
      <c r="AH91" s="158"/>
      <c r="AJ91" s="158"/>
      <c r="AL91" s="159">
        <f t="shared" si="86"/>
        <v>0</v>
      </c>
      <c r="AM91" s="791">
        <f t="shared" si="87"/>
        <v>0</v>
      </c>
    </row>
    <row r="92" spans="2:39" x14ac:dyDescent="0.35">
      <c r="B92" s="128">
        <v>9</v>
      </c>
      <c r="C92" s="129" t="s">
        <v>575</v>
      </c>
      <c r="D92" s="130" t="s">
        <v>531</v>
      </c>
      <c r="E92" s="159"/>
      <c r="F92" s="925">
        <f>'3.Thanh pham'!F148</f>
        <v>0</v>
      </c>
      <c r="G92" s="925">
        <f>'3.Thanh pham'!G148</f>
        <v>0</v>
      </c>
      <c r="H92" s="925">
        <f>'3.Thanh pham'!H148</f>
        <v>0</v>
      </c>
      <c r="I92" s="925">
        <f>'3.Thanh pham'!I148</f>
        <v>0</v>
      </c>
      <c r="J92" s="925">
        <f>'3.Thanh pham'!J148</f>
        <v>0</v>
      </c>
      <c r="K92" s="925">
        <f>'3.Thanh pham'!K148</f>
        <v>0</v>
      </c>
      <c r="L92" s="925">
        <f>'3.Thanh pham'!L148</f>
        <v>0</v>
      </c>
      <c r="M92" s="925">
        <f>'3.Thanh pham'!M148</f>
        <v>0</v>
      </c>
      <c r="N92" s="925">
        <f>'3.Thanh pham'!N148</f>
        <v>0</v>
      </c>
      <c r="O92" s="925">
        <f>'3.Thanh pham'!O148</f>
        <v>0</v>
      </c>
      <c r="P92" s="925">
        <f>'3.Thanh pham'!P148</f>
        <v>0</v>
      </c>
      <c r="Q92" s="925">
        <f>'3.Thanh pham'!Q148</f>
        <v>0</v>
      </c>
      <c r="R92" s="158">
        <f t="shared" si="88"/>
        <v>0</v>
      </c>
      <c r="T92" s="925"/>
      <c r="U92" s="925"/>
      <c r="V92" s="925"/>
      <c r="W92" s="925"/>
      <c r="X92" s="925"/>
      <c r="Y92" s="925"/>
      <c r="Z92" s="925"/>
      <c r="AA92" s="925"/>
      <c r="AB92" s="925"/>
      <c r="AC92" s="925"/>
      <c r="AD92" s="925"/>
      <c r="AE92" s="925"/>
      <c r="AF92" s="158"/>
      <c r="AH92" s="158"/>
      <c r="AJ92" s="158"/>
      <c r="AL92" s="159">
        <f t="shared" si="86"/>
        <v>0</v>
      </c>
      <c r="AM92" s="791">
        <f t="shared" si="87"/>
        <v>0</v>
      </c>
    </row>
    <row r="93" spans="2:39" x14ac:dyDescent="0.35">
      <c r="B93" s="128">
        <v>10</v>
      </c>
      <c r="C93" s="129" t="s">
        <v>576</v>
      </c>
      <c r="D93" s="130" t="s">
        <v>531</v>
      </c>
      <c r="E93" s="159"/>
      <c r="F93" s="925">
        <f>'3.Thanh pham'!F149</f>
        <v>0</v>
      </c>
      <c r="G93" s="925">
        <f>'3.Thanh pham'!G149</f>
        <v>0</v>
      </c>
      <c r="H93" s="925">
        <f>'3.Thanh pham'!H149</f>
        <v>0</v>
      </c>
      <c r="I93" s="925">
        <f>'3.Thanh pham'!I149</f>
        <v>0</v>
      </c>
      <c r="J93" s="925">
        <f>'3.Thanh pham'!J149</f>
        <v>0</v>
      </c>
      <c r="K93" s="925">
        <f>'3.Thanh pham'!K149</f>
        <v>0</v>
      </c>
      <c r="L93" s="925">
        <f>'3.Thanh pham'!L149</f>
        <v>0</v>
      </c>
      <c r="M93" s="925">
        <f>'3.Thanh pham'!M149</f>
        <v>0</v>
      </c>
      <c r="N93" s="925">
        <f>'3.Thanh pham'!N149</f>
        <v>0</v>
      </c>
      <c r="O93" s="925">
        <f>'3.Thanh pham'!O149</f>
        <v>0</v>
      </c>
      <c r="P93" s="925">
        <f>'3.Thanh pham'!P149</f>
        <v>0</v>
      </c>
      <c r="Q93" s="925">
        <f>'3.Thanh pham'!Q149</f>
        <v>0</v>
      </c>
      <c r="R93" s="158">
        <f t="shared" si="88"/>
        <v>0</v>
      </c>
      <c r="T93" s="925">
        <v>165830</v>
      </c>
      <c r="U93" s="925"/>
      <c r="V93" s="925">
        <v>84450</v>
      </c>
      <c r="W93" s="925">
        <v>116084</v>
      </c>
      <c r="X93" s="925">
        <v>125560</v>
      </c>
      <c r="Y93" s="925">
        <v>72462</v>
      </c>
      <c r="Z93" s="925">
        <v>112942</v>
      </c>
      <c r="AA93" s="925">
        <v>143982</v>
      </c>
      <c r="AB93" s="925">
        <v>145633</v>
      </c>
      <c r="AC93" s="925">
        <v>99072</v>
      </c>
      <c r="AD93" s="925">
        <v>99072</v>
      </c>
      <c r="AE93" s="925">
        <v>99072</v>
      </c>
      <c r="AF93" s="936">
        <f>SUM(T93:AE93)</f>
        <v>1264159</v>
      </c>
      <c r="AH93" s="938"/>
      <c r="AJ93" s="938"/>
      <c r="AL93" s="159">
        <f t="shared" si="86"/>
        <v>-1264159</v>
      </c>
      <c r="AM93" s="791">
        <f t="shared" si="87"/>
        <v>-1</v>
      </c>
    </row>
    <row r="94" spans="2:39" x14ac:dyDescent="0.35">
      <c r="B94" s="128">
        <v>11</v>
      </c>
      <c r="C94" s="129" t="s">
        <v>577</v>
      </c>
      <c r="D94" s="130" t="s">
        <v>531</v>
      </c>
      <c r="E94" s="159"/>
      <c r="F94" s="925">
        <f>'3.Thanh pham'!F150</f>
        <v>0</v>
      </c>
      <c r="G94" s="925">
        <f>'3.Thanh pham'!G150</f>
        <v>0</v>
      </c>
      <c r="H94" s="925">
        <f>'3.Thanh pham'!H150</f>
        <v>0</v>
      </c>
      <c r="I94" s="925">
        <f>'3.Thanh pham'!I150</f>
        <v>0</v>
      </c>
      <c r="J94" s="925">
        <f>'3.Thanh pham'!J150</f>
        <v>0</v>
      </c>
      <c r="K94" s="925">
        <f>'3.Thanh pham'!K150</f>
        <v>0</v>
      </c>
      <c r="L94" s="925">
        <f>'3.Thanh pham'!L150</f>
        <v>0</v>
      </c>
      <c r="M94" s="925">
        <f>'3.Thanh pham'!M150</f>
        <v>0</v>
      </c>
      <c r="N94" s="925">
        <f>'3.Thanh pham'!N150</f>
        <v>0</v>
      </c>
      <c r="O94" s="925">
        <f>'3.Thanh pham'!O150</f>
        <v>0</v>
      </c>
      <c r="P94" s="925">
        <f>'3.Thanh pham'!P150</f>
        <v>0</v>
      </c>
      <c r="Q94" s="925">
        <f>'3.Thanh pham'!Q150</f>
        <v>0</v>
      </c>
      <c r="R94" s="158"/>
      <c r="T94" s="925"/>
      <c r="U94" s="925"/>
      <c r="V94" s="925"/>
      <c r="W94" s="925"/>
      <c r="X94" s="925"/>
      <c r="Y94" s="925"/>
      <c r="Z94" s="925"/>
      <c r="AA94" s="925"/>
      <c r="AB94" s="925"/>
      <c r="AC94" s="925"/>
      <c r="AD94" s="925"/>
      <c r="AE94" s="925"/>
      <c r="AF94" s="158"/>
      <c r="AH94" s="158"/>
      <c r="AJ94" s="158"/>
      <c r="AL94" s="159">
        <f t="shared" si="86"/>
        <v>0</v>
      </c>
      <c r="AM94" s="791">
        <f t="shared" si="87"/>
        <v>0</v>
      </c>
    </row>
    <row r="95" spans="2:39" x14ac:dyDescent="0.35">
      <c r="B95" s="128">
        <v>12</v>
      </c>
      <c r="C95" s="129" t="s">
        <v>578</v>
      </c>
      <c r="D95" s="130" t="s">
        <v>531</v>
      </c>
      <c r="E95" s="159"/>
      <c r="F95" s="925">
        <f>'3.Thanh pham'!F151</f>
        <v>0</v>
      </c>
      <c r="G95" s="925">
        <f>'3.Thanh pham'!G151</f>
        <v>0</v>
      </c>
      <c r="H95" s="925">
        <f>'3.Thanh pham'!H151</f>
        <v>0</v>
      </c>
      <c r="I95" s="925">
        <f>'3.Thanh pham'!I151</f>
        <v>0</v>
      </c>
      <c r="J95" s="925">
        <f>'3.Thanh pham'!J151</f>
        <v>0</v>
      </c>
      <c r="K95" s="925">
        <f>'3.Thanh pham'!K151</f>
        <v>0</v>
      </c>
      <c r="L95" s="925">
        <f>'3.Thanh pham'!L151</f>
        <v>0</v>
      </c>
      <c r="M95" s="925">
        <f>'3.Thanh pham'!M151</f>
        <v>0</v>
      </c>
      <c r="N95" s="925">
        <f>'3.Thanh pham'!N151</f>
        <v>0</v>
      </c>
      <c r="O95" s="925">
        <f>'3.Thanh pham'!O151</f>
        <v>0</v>
      </c>
      <c r="P95" s="925">
        <f>'3.Thanh pham'!P151</f>
        <v>0</v>
      </c>
      <c r="Q95" s="925">
        <f>'3.Thanh pham'!Q151</f>
        <v>0</v>
      </c>
      <c r="R95" s="158">
        <f t="shared" ref="R95:R96" si="89">SUM(F95:Q95)</f>
        <v>0</v>
      </c>
      <c r="T95" s="925"/>
      <c r="U95" s="925"/>
      <c r="V95" s="925"/>
      <c r="W95" s="925"/>
      <c r="X95" s="925"/>
      <c r="Y95" s="925"/>
      <c r="Z95" s="925"/>
      <c r="AA95" s="925"/>
      <c r="AB95" s="925"/>
      <c r="AC95" s="925"/>
      <c r="AD95" s="925"/>
      <c r="AE95" s="925"/>
      <c r="AF95" s="158"/>
      <c r="AH95" s="158"/>
      <c r="AJ95" s="158"/>
      <c r="AL95" s="159">
        <f t="shared" si="86"/>
        <v>0</v>
      </c>
      <c r="AM95" s="791">
        <f t="shared" si="87"/>
        <v>0</v>
      </c>
    </row>
    <row r="96" spans="2:39" x14ac:dyDescent="0.35">
      <c r="B96" s="128">
        <v>13</v>
      </c>
      <c r="C96" s="927" t="s">
        <v>579</v>
      </c>
      <c r="D96" s="130" t="s">
        <v>531</v>
      </c>
      <c r="E96" s="159"/>
      <c r="F96" s="925">
        <f>'3.Thanh pham'!F152</f>
        <v>0</v>
      </c>
      <c r="G96" s="925">
        <f>'3.Thanh pham'!G152</f>
        <v>0</v>
      </c>
      <c r="H96" s="925">
        <f>'3.Thanh pham'!H152</f>
        <v>0</v>
      </c>
      <c r="I96" s="925">
        <f>'3.Thanh pham'!I152</f>
        <v>0</v>
      </c>
      <c r="J96" s="925">
        <f>'3.Thanh pham'!J152</f>
        <v>0</v>
      </c>
      <c r="K96" s="925">
        <f>'3.Thanh pham'!K152</f>
        <v>0</v>
      </c>
      <c r="L96" s="925">
        <f>'3.Thanh pham'!L152</f>
        <v>0</v>
      </c>
      <c r="M96" s="925">
        <f>'3.Thanh pham'!M152</f>
        <v>0</v>
      </c>
      <c r="N96" s="925">
        <f>'3.Thanh pham'!N152</f>
        <v>0</v>
      </c>
      <c r="O96" s="925">
        <f>'3.Thanh pham'!O152</f>
        <v>0</v>
      </c>
      <c r="P96" s="925">
        <f>'3.Thanh pham'!P152</f>
        <v>0</v>
      </c>
      <c r="Q96" s="925">
        <f>'3.Thanh pham'!Q152</f>
        <v>0</v>
      </c>
      <c r="R96" s="158">
        <f t="shared" si="89"/>
        <v>0</v>
      </c>
      <c r="T96" s="925"/>
      <c r="U96" s="925"/>
      <c r="V96" s="925"/>
      <c r="W96" s="925"/>
      <c r="X96" s="925"/>
      <c r="Y96" s="925"/>
      <c r="Z96" s="925"/>
      <c r="AA96" s="925"/>
      <c r="AB96" s="925"/>
      <c r="AC96" s="925"/>
      <c r="AD96" s="925"/>
      <c r="AE96" s="925"/>
      <c r="AF96" s="158"/>
      <c r="AH96" s="158"/>
      <c r="AJ96" s="158"/>
      <c r="AL96" s="159">
        <f t="shared" si="86"/>
        <v>0</v>
      </c>
      <c r="AM96" s="791">
        <f t="shared" si="87"/>
        <v>0</v>
      </c>
    </row>
    <row r="97" spans="2:47" x14ac:dyDescent="0.35">
      <c r="B97" s="128">
        <v>14</v>
      </c>
      <c r="C97" s="129" t="s">
        <v>580</v>
      </c>
      <c r="D97" s="130" t="s">
        <v>531</v>
      </c>
      <c r="E97" s="159"/>
      <c r="F97" s="925">
        <f>'3.Thanh pham'!F153</f>
        <v>0</v>
      </c>
      <c r="G97" s="925">
        <f>'3.Thanh pham'!G153</f>
        <v>0</v>
      </c>
      <c r="H97" s="925">
        <f>'3.Thanh pham'!H153</f>
        <v>0</v>
      </c>
      <c r="I97" s="925">
        <f>'3.Thanh pham'!I153</f>
        <v>0</v>
      </c>
      <c r="J97" s="925">
        <f>'3.Thanh pham'!J153</f>
        <v>0</v>
      </c>
      <c r="K97" s="925">
        <f>'3.Thanh pham'!K153</f>
        <v>29287.5</v>
      </c>
      <c r="L97" s="925">
        <f>'3.Thanh pham'!L153</f>
        <v>29287.5</v>
      </c>
      <c r="M97" s="925">
        <f>'3.Thanh pham'!M153</f>
        <v>29287.5</v>
      </c>
      <c r="N97" s="925">
        <f>'3.Thanh pham'!N153</f>
        <v>29287.5</v>
      </c>
      <c r="O97" s="925">
        <f>'3.Thanh pham'!O153</f>
        <v>29287.5</v>
      </c>
      <c r="P97" s="925">
        <f>'3.Thanh pham'!P153</f>
        <v>29287.5</v>
      </c>
      <c r="Q97" s="925">
        <f>'3.Thanh pham'!Q153</f>
        <v>29287.5</v>
      </c>
      <c r="R97" s="158">
        <f t="shared" ref="R97" si="90">SUM(F97:Q97)</f>
        <v>205012.5</v>
      </c>
      <c r="T97" s="925">
        <v>24406</v>
      </c>
      <c r="U97" s="925">
        <v>8464</v>
      </c>
      <c r="V97" s="925">
        <v>5328</v>
      </c>
      <c r="W97" s="925">
        <v>8708</v>
      </c>
      <c r="X97" s="925">
        <v>17431</v>
      </c>
      <c r="Y97" s="925">
        <v>4824</v>
      </c>
      <c r="Z97" s="925">
        <v>7617</v>
      </c>
      <c r="AA97" s="925">
        <v>18932</v>
      </c>
      <c r="AB97" s="925">
        <v>21548</v>
      </c>
      <c r="AC97" s="925">
        <v>6912</v>
      </c>
      <c r="AD97" s="925">
        <v>6912</v>
      </c>
      <c r="AE97" s="925">
        <v>6912</v>
      </c>
      <c r="AF97" s="936">
        <f>SUM(T97:AE97)</f>
        <v>137994</v>
      </c>
      <c r="AH97" s="158"/>
      <c r="AJ97" s="158"/>
      <c r="AL97" s="159">
        <f t="shared" si="86"/>
        <v>67018.5</v>
      </c>
      <c r="AM97" s="791">
        <f t="shared" si="87"/>
        <v>0.48566242010522198</v>
      </c>
    </row>
    <row r="98" spans="2:47" x14ac:dyDescent="0.35">
      <c r="B98" s="128">
        <v>15</v>
      </c>
      <c r="C98" s="129" t="s">
        <v>175</v>
      </c>
      <c r="D98" s="130" t="s">
        <v>531</v>
      </c>
      <c r="E98" s="159"/>
      <c r="F98" s="925">
        <f>'3.Thanh pham'!F154</f>
        <v>0</v>
      </c>
      <c r="G98" s="925">
        <f>'3.Thanh pham'!G154</f>
        <v>0</v>
      </c>
      <c r="H98" s="925">
        <f>'3.Thanh pham'!H154</f>
        <v>0</v>
      </c>
      <c r="I98" s="925">
        <f>'3.Thanh pham'!I154</f>
        <v>0</v>
      </c>
      <c r="J98" s="925">
        <f>'3.Thanh pham'!J154</f>
        <v>0</v>
      </c>
      <c r="K98" s="925">
        <f>'3.Thanh pham'!K154</f>
        <v>0</v>
      </c>
      <c r="L98" s="925">
        <f>'3.Thanh pham'!L154</f>
        <v>0</v>
      </c>
      <c r="M98" s="925">
        <f>'3.Thanh pham'!M154</f>
        <v>0</v>
      </c>
      <c r="N98" s="925">
        <f>'3.Thanh pham'!N154</f>
        <v>0</v>
      </c>
      <c r="O98" s="925">
        <f>'3.Thanh pham'!O154</f>
        <v>0</v>
      </c>
      <c r="P98" s="925">
        <f>'3.Thanh pham'!P154</f>
        <v>0</v>
      </c>
      <c r="Q98" s="925">
        <f>'3.Thanh pham'!Q154</f>
        <v>0</v>
      </c>
      <c r="R98" s="158">
        <f t="shared" ref="R98:R99" si="91">SUM(F98:Q98)</f>
        <v>0</v>
      </c>
      <c r="T98" s="925"/>
      <c r="U98" s="925"/>
      <c r="V98" s="925"/>
      <c r="W98" s="925"/>
      <c r="X98" s="925"/>
      <c r="Y98" s="925"/>
      <c r="Z98" s="925"/>
      <c r="AA98" s="925"/>
      <c r="AB98" s="925"/>
      <c r="AC98" s="925"/>
      <c r="AD98" s="925"/>
      <c r="AE98" s="925"/>
      <c r="AF98" s="158"/>
      <c r="AH98" s="158"/>
      <c r="AJ98" s="158"/>
      <c r="AL98" s="159">
        <f t="shared" si="86"/>
        <v>0</v>
      </c>
      <c r="AM98" s="791">
        <f t="shared" si="87"/>
        <v>0</v>
      </c>
    </row>
    <row r="99" spans="2:47" x14ac:dyDescent="0.35">
      <c r="B99" s="163"/>
      <c r="C99" s="164" t="s">
        <v>480</v>
      </c>
      <c r="D99" s="928"/>
      <c r="E99" s="937">
        <f>SUM(E84:E98)</f>
        <v>0</v>
      </c>
      <c r="F99" s="166">
        <f>SUM(F84:F98)</f>
        <v>0</v>
      </c>
      <c r="G99" s="166">
        <f t="shared" ref="G99:Q99" si="92">SUM(G84:G98)</f>
        <v>0</v>
      </c>
      <c r="H99" s="166">
        <f t="shared" si="92"/>
        <v>0</v>
      </c>
      <c r="I99" s="166">
        <f t="shared" si="92"/>
        <v>0</v>
      </c>
      <c r="J99" s="166">
        <f t="shared" si="92"/>
        <v>0</v>
      </c>
      <c r="K99" s="166">
        <f t="shared" si="92"/>
        <v>550605</v>
      </c>
      <c r="L99" s="166">
        <f t="shared" si="92"/>
        <v>550605</v>
      </c>
      <c r="M99" s="166">
        <f t="shared" si="92"/>
        <v>550605</v>
      </c>
      <c r="N99" s="166">
        <f t="shared" si="92"/>
        <v>550605</v>
      </c>
      <c r="O99" s="166">
        <f t="shared" si="92"/>
        <v>550605</v>
      </c>
      <c r="P99" s="166">
        <f t="shared" si="92"/>
        <v>550605</v>
      </c>
      <c r="Q99" s="166">
        <f t="shared" si="92"/>
        <v>550605</v>
      </c>
      <c r="R99" s="166">
        <f t="shared" si="91"/>
        <v>3854235</v>
      </c>
      <c r="T99" s="166">
        <f>SUM(T84:T98)</f>
        <v>190236</v>
      </c>
      <c r="U99" s="166">
        <f t="shared" ref="U99:AE99" si="93">SUM(U84:U98)</f>
        <v>8464</v>
      </c>
      <c r="V99" s="166">
        <f t="shared" si="93"/>
        <v>89778</v>
      </c>
      <c r="W99" s="166">
        <f t="shared" si="93"/>
        <v>138658</v>
      </c>
      <c r="X99" s="166">
        <f t="shared" si="93"/>
        <v>142991</v>
      </c>
      <c r="Y99" s="166">
        <f t="shared" si="93"/>
        <v>77286</v>
      </c>
      <c r="Z99" s="166">
        <f t="shared" si="93"/>
        <v>120559</v>
      </c>
      <c r="AA99" s="166">
        <f t="shared" si="93"/>
        <v>162914</v>
      </c>
      <c r="AB99" s="166">
        <f t="shared" si="93"/>
        <v>167181</v>
      </c>
      <c r="AC99" s="166">
        <f t="shared" si="93"/>
        <v>105984</v>
      </c>
      <c r="AD99" s="166">
        <f t="shared" si="93"/>
        <v>105984</v>
      </c>
      <c r="AE99" s="166">
        <f t="shared" si="93"/>
        <v>105984</v>
      </c>
      <c r="AF99" s="166">
        <f t="shared" ref="AF99" si="94">SUM(T99:AE99)</f>
        <v>1416019</v>
      </c>
      <c r="AH99" s="166">
        <f t="shared" ref="AH99" si="95">SUM(V99:AG99)</f>
        <v>2633338</v>
      </c>
      <c r="AJ99" s="166">
        <f t="shared" ref="AJ99" si="96">SUM(X99:AI99)</f>
        <v>5038240</v>
      </c>
      <c r="AL99" s="166">
        <f t="shared" si="86"/>
        <v>2438216</v>
      </c>
      <c r="AM99" s="929">
        <f t="shared" si="87"/>
        <v>1.7218808504688141</v>
      </c>
    </row>
    <row r="101" spans="2:47" x14ac:dyDescent="0.35">
      <c r="B101" s="4" t="s">
        <v>581</v>
      </c>
      <c r="R101" s="89"/>
      <c r="AF101" s="89"/>
      <c r="AH101" s="89"/>
      <c r="AJ101" s="89"/>
      <c r="AL101" s="89"/>
      <c r="AM101" s="89"/>
    </row>
    <row r="102" spans="2:47" ht="78" x14ac:dyDescent="0.35">
      <c r="B102" s="187" t="s">
        <v>36</v>
      </c>
      <c r="C102" s="187" t="s">
        <v>566</v>
      </c>
      <c r="D102" s="187" t="s">
        <v>257</v>
      </c>
      <c r="E102" s="116" t="s">
        <v>525</v>
      </c>
      <c r="F102" s="116" t="s">
        <v>149</v>
      </c>
      <c r="G102" s="116" t="s">
        <v>150</v>
      </c>
      <c r="H102" s="116" t="s">
        <v>151</v>
      </c>
      <c r="I102" s="116" t="s">
        <v>152</v>
      </c>
      <c r="J102" s="116" t="s">
        <v>153</v>
      </c>
      <c r="K102" s="116" t="s">
        <v>154</v>
      </c>
      <c r="L102" s="116" t="s">
        <v>155</v>
      </c>
      <c r="M102" s="116" t="s">
        <v>156</v>
      </c>
      <c r="N102" s="116" t="s">
        <v>157</v>
      </c>
      <c r="O102" s="116" t="s">
        <v>158</v>
      </c>
      <c r="P102" s="116" t="s">
        <v>159</v>
      </c>
      <c r="Q102" s="116" t="s">
        <v>160</v>
      </c>
      <c r="R102" s="116" t="s">
        <v>2147</v>
      </c>
      <c r="S102" s="10"/>
      <c r="T102" s="714" t="s">
        <v>149</v>
      </c>
      <c r="U102" s="714" t="s">
        <v>150</v>
      </c>
      <c r="V102" s="714" t="s">
        <v>151</v>
      </c>
      <c r="W102" s="714" t="s">
        <v>152</v>
      </c>
      <c r="X102" s="714" t="s">
        <v>153</v>
      </c>
      <c r="Y102" s="714" t="s">
        <v>154</v>
      </c>
      <c r="Z102" s="714" t="s">
        <v>155</v>
      </c>
      <c r="AA102" s="714" t="s">
        <v>156</v>
      </c>
      <c r="AB102" s="714" t="s">
        <v>157</v>
      </c>
      <c r="AC102" s="714" t="s">
        <v>158</v>
      </c>
      <c r="AD102" s="714" t="s">
        <v>159</v>
      </c>
      <c r="AE102" s="714" t="s">
        <v>160</v>
      </c>
      <c r="AF102" s="714" t="s">
        <v>148</v>
      </c>
      <c r="AG102" s="10"/>
      <c r="AH102" s="714" t="s">
        <v>526</v>
      </c>
      <c r="AI102" s="10"/>
      <c r="AJ102" s="714" t="s">
        <v>527</v>
      </c>
      <c r="AK102" s="10"/>
      <c r="AL102" s="721" t="s">
        <v>528</v>
      </c>
      <c r="AM102" s="722" t="s">
        <v>529</v>
      </c>
      <c r="AO102" s="520" t="s">
        <v>582</v>
      </c>
      <c r="AP102" s="520" t="s">
        <v>583</v>
      </c>
      <c r="AQ102" s="1292" t="s">
        <v>584</v>
      </c>
      <c r="AR102" s="520" t="s">
        <v>549</v>
      </c>
      <c r="AS102" s="520"/>
      <c r="AT102" s="1292" t="s">
        <v>550</v>
      </c>
      <c r="AU102" s="1292" t="s">
        <v>551</v>
      </c>
    </row>
    <row r="103" spans="2:47" x14ac:dyDescent="0.35">
      <c r="B103" s="1300">
        <v>1</v>
      </c>
      <c r="C103" s="1301" t="s">
        <v>567</v>
      </c>
      <c r="D103" s="1302" t="s">
        <v>552</v>
      </c>
      <c r="E103" s="1312"/>
      <c r="F103" s="1312">
        <f t="shared" ref="F103:Q106" si="97">$AU$104</f>
        <v>16500</v>
      </c>
      <c r="G103" s="1312">
        <f t="shared" si="97"/>
        <v>16500</v>
      </c>
      <c r="H103" s="1312">
        <f t="shared" si="97"/>
        <v>16500</v>
      </c>
      <c r="I103" s="1312">
        <f t="shared" si="97"/>
        <v>16500</v>
      </c>
      <c r="J103" s="1312">
        <f t="shared" si="97"/>
        <v>16500</v>
      </c>
      <c r="K103" s="1314">
        <f t="shared" si="97"/>
        <v>16500</v>
      </c>
      <c r="L103" s="1314">
        <f t="shared" si="97"/>
        <v>16500</v>
      </c>
      <c r="M103" s="1314">
        <f t="shared" si="97"/>
        <v>16500</v>
      </c>
      <c r="N103" s="1314">
        <f t="shared" si="97"/>
        <v>16500</v>
      </c>
      <c r="O103" s="1314">
        <f t="shared" si="97"/>
        <v>16500</v>
      </c>
      <c r="P103" s="1314">
        <f t="shared" si="97"/>
        <v>16500</v>
      </c>
      <c r="Q103" s="1314">
        <f t="shared" si="97"/>
        <v>16500</v>
      </c>
      <c r="R103" s="1315">
        <f t="shared" ref="R103:R118" si="98">AVERAGE(F103:Q103)</f>
        <v>16500</v>
      </c>
      <c r="T103" s="939">
        <f t="shared" ref="T103:T118" si="99">IFERROR(T123/T65,0)</f>
        <v>0</v>
      </c>
      <c r="U103" s="939">
        <f t="shared" ref="U103:AF103" si="100">IFERROR(U123/U65,0)</f>
        <v>0</v>
      </c>
      <c r="V103" s="939">
        <f t="shared" si="100"/>
        <v>0</v>
      </c>
      <c r="W103" s="939">
        <f t="shared" si="100"/>
        <v>20000</v>
      </c>
      <c r="X103" s="939">
        <f t="shared" si="100"/>
        <v>0</v>
      </c>
      <c r="Y103" s="939">
        <f t="shared" si="100"/>
        <v>0</v>
      </c>
      <c r="Z103" s="939">
        <f t="shared" si="100"/>
        <v>0</v>
      </c>
      <c r="AA103" s="939">
        <f t="shared" si="100"/>
        <v>0</v>
      </c>
      <c r="AB103" s="939">
        <f t="shared" si="100"/>
        <v>0</v>
      </c>
      <c r="AC103" s="939">
        <f t="shared" si="100"/>
        <v>0</v>
      </c>
      <c r="AD103" s="939">
        <f t="shared" si="100"/>
        <v>0</v>
      </c>
      <c r="AE103" s="939">
        <f t="shared" si="100"/>
        <v>0</v>
      </c>
      <c r="AF103" s="939">
        <f t="shared" si="100"/>
        <v>0</v>
      </c>
      <c r="AH103" s="940"/>
      <c r="AJ103" s="940"/>
      <c r="AL103" s="159">
        <f t="shared" ref="AL103:AL118" si="101">IFERROR(R103-AF103,0)</f>
        <v>16500</v>
      </c>
      <c r="AM103" s="791">
        <f t="shared" ref="AM103:AM118" si="102">IFERROR((R103/AF103)-1,0)</f>
        <v>0</v>
      </c>
      <c r="AO103" s="520"/>
      <c r="AP103" s="520"/>
      <c r="AQ103" s="1292"/>
      <c r="AR103" s="520" t="s">
        <v>525</v>
      </c>
      <c r="AS103" s="520" t="s">
        <v>553</v>
      </c>
      <c r="AT103" s="1292"/>
      <c r="AU103" s="1292"/>
    </row>
    <row r="104" spans="2:47" ht="25" x14ac:dyDescent="0.35">
      <c r="B104" s="128">
        <v>2</v>
      </c>
      <c r="C104" s="129" t="s">
        <v>568</v>
      </c>
      <c r="D104" s="130" t="s">
        <v>552</v>
      </c>
      <c r="E104" s="939"/>
      <c r="F104" s="939">
        <f t="shared" si="97"/>
        <v>16500</v>
      </c>
      <c r="G104" s="939">
        <f t="shared" si="97"/>
        <v>16500</v>
      </c>
      <c r="H104" s="939">
        <f t="shared" si="97"/>
        <v>16500</v>
      </c>
      <c r="I104" s="939">
        <f t="shared" si="97"/>
        <v>16500</v>
      </c>
      <c r="J104" s="939">
        <f t="shared" si="97"/>
        <v>16500</v>
      </c>
      <c r="K104" s="939">
        <f t="shared" si="97"/>
        <v>16500</v>
      </c>
      <c r="L104" s="939">
        <f t="shared" si="97"/>
        <v>16500</v>
      </c>
      <c r="M104" s="939">
        <f t="shared" si="97"/>
        <v>16500</v>
      </c>
      <c r="N104" s="939">
        <f t="shared" si="97"/>
        <v>16500</v>
      </c>
      <c r="O104" s="939">
        <f t="shared" si="97"/>
        <v>16500</v>
      </c>
      <c r="P104" s="939">
        <f t="shared" si="97"/>
        <v>16500</v>
      </c>
      <c r="Q104" s="939">
        <f t="shared" si="97"/>
        <v>16500</v>
      </c>
      <c r="R104" s="933">
        <f t="shared" si="98"/>
        <v>16500</v>
      </c>
      <c r="T104" s="939">
        <f t="shared" si="99"/>
        <v>0</v>
      </c>
      <c r="U104" s="939">
        <f t="shared" ref="U104:AF104" si="103">IFERROR(U124/U66,0)</f>
        <v>0</v>
      </c>
      <c r="V104" s="939">
        <f t="shared" si="103"/>
        <v>0</v>
      </c>
      <c r="W104" s="939">
        <f t="shared" si="103"/>
        <v>0</v>
      </c>
      <c r="X104" s="939">
        <f t="shared" si="103"/>
        <v>0</v>
      </c>
      <c r="Y104" s="939">
        <f t="shared" si="103"/>
        <v>0</v>
      </c>
      <c r="Z104" s="939">
        <f t="shared" si="103"/>
        <v>0</v>
      </c>
      <c r="AA104" s="939">
        <f t="shared" si="103"/>
        <v>0</v>
      </c>
      <c r="AB104" s="939">
        <f t="shared" si="103"/>
        <v>0</v>
      </c>
      <c r="AC104" s="939">
        <f t="shared" si="103"/>
        <v>0</v>
      </c>
      <c r="AD104" s="939">
        <f t="shared" si="103"/>
        <v>0</v>
      </c>
      <c r="AE104" s="939">
        <f t="shared" si="103"/>
        <v>0</v>
      </c>
      <c r="AF104" s="939">
        <f t="shared" si="103"/>
        <v>0</v>
      </c>
      <c r="AH104" s="940"/>
      <c r="AJ104" s="940"/>
      <c r="AL104" s="159">
        <f t="shared" si="101"/>
        <v>16500</v>
      </c>
      <c r="AM104" s="791">
        <f t="shared" si="102"/>
        <v>0</v>
      </c>
      <c r="AO104" s="522" t="s">
        <v>554</v>
      </c>
      <c r="AP104" s="522" t="s">
        <v>555</v>
      </c>
      <c r="AQ104" s="523">
        <f>$AU27</f>
        <v>15000</v>
      </c>
      <c r="AR104" s="1402">
        <v>0.06</v>
      </c>
      <c r="AS104" s="525">
        <f>AQ104*AR104</f>
        <v>900</v>
      </c>
      <c r="AT104" s="523">
        <v>1500</v>
      </c>
      <c r="AU104" s="1401">
        <v>16500</v>
      </c>
    </row>
    <row r="105" spans="2:47" x14ac:dyDescent="0.35">
      <c r="B105" s="128">
        <v>3</v>
      </c>
      <c r="C105" s="129" t="s">
        <v>569</v>
      </c>
      <c r="D105" s="130" t="s">
        <v>552</v>
      </c>
      <c r="E105" s="939"/>
      <c r="F105" s="939">
        <f t="shared" si="97"/>
        <v>16500</v>
      </c>
      <c r="G105" s="939">
        <f t="shared" si="97"/>
        <v>16500</v>
      </c>
      <c r="H105" s="939">
        <f t="shared" si="97"/>
        <v>16500</v>
      </c>
      <c r="I105" s="939">
        <f t="shared" si="97"/>
        <v>16500</v>
      </c>
      <c r="J105" s="939">
        <f t="shared" si="97"/>
        <v>16500</v>
      </c>
      <c r="K105" s="939">
        <f t="shared" si="97"/>
        <v>16500</v>
      </c>
      <c r="L105" s="939">
        <f t="shared" si="97"/>
        <v>16500</v>
      </c>
      <c r="M105" s="939">
        <f t="shared" si="97"/>
        <v>16500</v>
      </c>
      <c r="N105" s="939">
        <f t="shared" si="97"/>
        <v>16500</v>
      </c>
      <c r="O105" s="939">
        <f t="shared" si="97"/>
        <v>16500</v>
      </c>
      <c r="P105" s="939">
        <f t="shared" si="97"/>
        <v>16500</v>
      </c>
      <c r="Q105" s="939">
        <f t="shared" si="97"/>
        <v>16500</v>
      </c>
      <c r="R105" s="933">
        <f t="shared" si="98"/>
        <v>16500</v>
      </c>
      <c r="T105" s="939">
        <f t="shared" si="99"/>
        <v>0</v>
      </c>
      <c r="U105" s="939">
        <f t="shared" ref="U105:AF105" si="104">IFERROR(U125/U67,0)</f>
        <v>0</v>
      </c>
      <c r="V105" s="939">
        <f t="shared" si="104"/>
        <v>0</v>
      </c>
      <c r="W105" s="939">
        <f t="shared" si="104"/>
        <v>0</v>
      </c>
      <c r="X105" s="939">
        <f t="shared" si="104"/>
        <v>0</v>
      </c>
      <c r="Y105" s="939">
        <f t="shared" si="104"/>
        <v>0</v>
      </c>
      <c r="Z105" s="939">
        <f t="shared" si="104"/>
        <v>0</v>
      </c>
      <c r="AA105" s="939">
        <f t="shared" si="104"/>
        <v>0</v>
      </c>
      <c r="AB105" s="939">
        <f t="shared" si="104"/>
        <v>0</v>
      </c>
      <c r="AC105" s="939">
        <f t="shared" si="104"/>
        <v>0</v>
      </c>
      <c r="AD105" s="939">
        <f t="shared" si="104"/>
        <v>0</v>
      </c>
      <c r="AE105" s="939">
        <f t="shared" si="104"/>
        <v>0</v>
      </c>
      <c r="AF105" s="939">
        <f t="shared" si="104"/>
        <v>0</v>
      </c>
      <c r="AH105" s="940"/>
      <c r="AJ105" s="940"/>
      <c r="AL105" s="159">
        <f t="shared" si="101"/>
        <v>16500</v>
      </c>
      <c r="AM105" s="791">
        <f t="shared" si="102"/>
        <v>0</v>
      </c>
      <c r="AO105" s="522" t="s">
        <v>556</v>
      </c>
      <c r="AP105" s="522" t="s">
        <v>557</v>
      </c>
      <c r="AQ105" s="523">
        <f>$AU28</f>
        <v>12000</v>
      </c>
      <c r="AR105" s="1402">
        <v>0.08</v>
      </c>
      <c r="AS105" s="525">
        <f>AQ105*AR105</f>
        <v>960</v>
      </c>
      <c r="AT105" s="523">
        <v>2000</v>
      </c>
      <c r="AU105" s="1401">
        <v>15500</v>
      </c>
    </row>
    <row r="106" spans="2:47" x14ac:dyDescent="0.35">
      <c r="B106" s="128">
        <v>4</v>
      </c>
      <c r="C106" s="129" t="s">
        <v>570</v>
      </c>
      <c r="D106" s="130" t="s">
        <v>552</v>
      </c>
      <c r="E106" s="939"/>
      <c r="F106" s="939">
        <f t="shared" si="97"/>
        <v>16500</v>
      </c>
      <c r="G106" s="939">
        <f t="shared" si="97"/>
        <v>16500</v>
      </c>
      <c r="H106" s="939">
        <f t="shared" si="97"/>
        <v>16500</v>
      </c>
      <c r="I106" s="939">
        <f t="shared" si="97"/>
        <v>16500</v>
      </c>
      <c r="J106" s="939">
        <f t="shared" si="97"/>
        <v>16500</v>
      </c>
      <c r="K106" s="939">
        <f t="shared" si="97"/>
        <v>16500</v>
      </c>
      <c r="L106" s="939">
        <f t="shared" si="97"/>
        <v>16500</v>
      </c>
      <c r="M106" s="939">
        <f t="shared" si="97"/>
        <v>16500</v>
      </c>
      <c r="N106" s="939">
        <f t="shared" si="97"/>
        <v>16500</v>
      </c>
      <c r="O106" s="939">
        <f t="shared" si="97"/>
        <v>16500</v>
      </c>
      <c r="P106" s="939">
        <f t="shared" si="97"/>
        <v>16500</v>
      </c>
      <c r="Q106" s="939">
        <f t="shared" si="97"/>
        <v>16500</v>
      </c>
      <c r="R106" s="933">
        <f t="shared" si="98"/>
        <v>16500</v>
      </c>
      <c r="T106" s="939">
        <f t="shared" si="99"/>
        <v>0</v>
      </c>
      <c r="U106" s="939">
        <f t="shared" ref="U106:AF106" si="105">IFERROR(U126/U68,0)</f>
        <v>0</v>
      </c>
      <c r="V106" s="939">
        <f t="shared" si="105"/>
        <v>0</v>
      </c>
      <c r="W106" s="939">
        <f t="shared" si="105"/>
        <v>0</v>
      </c>
      <c r="X106" s="939">
        <f t="shared" si="105"/>
        <v>0</v>
      </c>
      <c r="Y106" s="939">
        <f t="shared" si="105"/>
        <v>0</v>
      </c>
      <c r="Z106" s="939">
        <f t="shared" si="105"/>
        <v>0</v>
      </c>
      <c r="AA106" s="939">
        <f t="shared" si="105"/>
        <v>0</v>
      </c>
      <c r="AB106" s="939">
        <f t="shared" si="105"/>
        <v>0</v>
      </c>
      <c r="AC106" s="939">
        <f t="shared" si="105"/>
        <v>0</v>
      </c>
      <c r="AD106" s="939">
        <f t="shared" si="105"/>
        <v>0</v>
      </c>
      <c r="AE106" s="939">
        <f t="shared" si="105"/>
        <v>0</v>
      </c>
      <c r="AF106" s="939">
        <f t="shared" si="105"/>
        <v>0</v>
      </c>
      <c r="AH106" s="940"/>
      <c r="AJ106" s="940"/>
      <c r="AL106" s="159">
        <f t="shared" si="101"/>
        <v>16500</v>
      </c>
      <c r="AM106" s="791">
        <f t="shared" si="102"/>
        <v>0</v>
      </c>
      <c r="AO106" s="522" t="s">
        <v>558</v>
      </c>
      <c r="AP106" s="522" t="s">
        <v>559</v>
      </c>
      <c r="AQ106" s="523">
        <f>$AU29</f>
        <v>13500</v>
      </c>
      <c r="AR106" s="1403">
        <v>0.1</v>
      </c>
      <c r="AS106" s="525">
        <f>AQ106*AR106</f>
        <v>1350</v>
      </c>
      <c r="AT106" s="523">
        <v>1500</v>
      </c>
      <c r="AU106" s="1401">
        <v>15500</v>
      </c>
    </row>
    <row r="107" spans="2:47" x14ac:dyDescent="0.35">
      <c r="B107" s="1300">
        <v>5</v>
      </c>
      <c r="C107" s="1301" t="s">
        <v>571</v>
      </c>
      <c r="D107" s="1302" t="s">
        <v>552</v>
      </c>
      <c r="E107" s="1312"/>
      <c r="F107" s="1312">
        <f t="shared" ref="F107:Q107" si="106">$AU$105</f>
        <v>15500</v>
      </c>
      <c r="G107" s="1312">
        <f t="shared" si="106"/>
        <v>15500</v>
      </c>
      <c r="H107" s="1312">
        <f t="shared" si="106"/>
        <v>15500</v>
      </c>
      <c r="I107" s="1312">
        <f t="shared" si="106"/>
        <v>15500</v>
      </c>
      <c r="J107" s="1312">
        <f t="shared" si="106"/>
        <v>15500</v>
      </c>
      <c r="K107" s="1312">
        <f t="shared" si="106"/>
        <v>15500</v>
      </c>
      <c r="L107" s="1312">
        <f t="shared" si="106"/>
        <v>15500</v>
      </c>
      <c r="M107" s="1312">
        <f t="shared" si="106"/>
        <v>15500</v>
      </c>
      <c r="N107" s="1312">
        <f t="shared" si="106"/>
        <v>15500</v>
      </c>
      <c r="O107" s="1312">
        <f t="shared" si="106"/>
        <v>15500</v>
      </c>
      <c r="P107" s="1312">
        <f t="shared" si="106"/>
        <v>15500</v>
      </c>
      <c r="Q107" s="1312">
        <f t="shared" si="106"/>
        <v>15500</v>
      </c>
      <c r="R107" s="1297">
        <f t="shared" si="98"/>
        <v>15500</v>
      </c>
      <c r="T107" s="939">
        <f t="shared" si="99"/>
        <v>0</v>
      </c>
      <c r="U107" s="939">
        <f t="shared" ref="U107:AF107" si="107">IFERROR(U127/U69,0)</f>
        <v>0</v>
      </c>
      <c r="V107" s="939">
        <f t="shared" si="107"/>
        <v>0</v>
      </c>
      <c r="W107" s="939">
        <f t="shared" si="107"/>
        <v>0</v>
      </c>
      <c r="X107" s="939">
        <f t="shared" si="107"/>
        <v>0</v>
      </c>
      <c r="Y107" s="939">
        <f t="shared" si="107"/>
        <v>0</v>
      </c>
      <c r="Z107" s="939">
        <f t="shared" si="107"/>
        <v>0</v>
      </c>
      <c r="AA107" s="939">
        <f t="shared" si="107"/>
        <v>0</v>
      </c>
      <c r="AB107" s="939">
        <f t="shared" si="107"/>
        <v>0</v>
      </c>
      <c r="AC107" s="939">
        <f t="shared" si="107"/>
        <v>0</v>
      </c>
      <c r="AD107" s="939">
        <f t="shared" si="107"/>
        <v>0</v>
      </c>
      <c r="AE107" s="939">
        <f t="shared" si="107"/>
        <v>0</v>
      </c>
      <c r="AF107" s="939">
        <f t="shared" si="107"/>
        <v>0</v>
      </c>
      <c r="AH107" s="940"/>
      <c r="AJ107" s="940"/>
      <c r="AL107" s="159">
        <f t="shared" si="101"/>
        <v>15500</v>
      </c>
      <c r="AM107" s="791">
        <f t="shared" si="102"/>
        <v>0</v>
      </c>
      <c r="AO107" s="522" t="s">
        <v>560</v>
      </c>
      <c r="AP107" s="522" t="s">
        <v>561</v>
      </c>
      <c r="AQ107" s="523">
        <f>$AU30</f>
        <v>8100</v>
      </c>
      <c r="AR107" s="524"/>
      <c r="AS107" s="525">
        <f>AQ107*AR107</f>
        <v>0</v>
      </c>
      <c r="AT107" s="523">
        <v>2500</v>
      </c>
      <c r="AU107" s="1401">
        <v>10000</v>
      </c>
    </row>
    <row r="108" spans="2:47" x14ac:dyDescent="0.35">
      <c r="B108" s="128">
        <v>6</v>
      </c>
      <c r="C108" s="129" t="s">
        <v>572</v>
      </c>
      <c r="D108" s="130" t="s">
        <v>552</v>
      </c>
      <c r="E108" s="939"/>
      <c r="F108" s="939">
        <f t="shared" ref="F108:Q108" si="108">$AU$104</f>
        <v>16500</v>
      </c>
      <c r="G108" s="939">
        <f t="shared" si="108"/>
        <v>16500</v>
      </c>
      <c r="H108" s="939">
        <f t="shared" si="108"/>
        <v>16500</v>
      </c>
      <c r="I108" s="939">
        <f t="shared" si="108"/>
        <v>16500</v>
      </c>
      <c r="J108" s="939">
        <f t="shared" si="108"/>
        <v>16500</v>
      </c>
      <c r="K108" s="939">
        <f t="shared" si="108"/>
        <v>16500</v>
      </c>
      <c r="L108" s="939">
        <f t="shared" si="108"/>
        <v>16500</v>
      </c>
      <c r="M108" s="939">
        <f t="shared" si="108"/>
        <v>16500</v>
      </c>
      <c r="N108" s="939">
        <f t="shared" si="108"/>
        <v>16500</v>
      </c>
      <c r="O108" s="939">
        <f t="shared" si="108"/>
        <v>16500</v>
      </c>
      <c r="P108" s="939">
        <f t="shared" si="108"/>
        <v>16500</v>
      </c>
      <c r="Q108" s="939">
        <f t="shared" si="108"/>
        <v>16500</v>
      </c>
      <c r="R108" s="933">
        <f t="shared" si="98"/>
        <v>16500</v>
      </c>
      <c r="T108" s="939">
        <f t="shared" si="99"/>
        <v>0</v>
      </c>
      <c r="U108" s="939">
        <f t="shared" ref="U108:AF108" si="109">IFERROR(U128/U70,0)</f>
        <v>0</v>
      </c>
      <c r="V108" s="939">
        <f t="shared" si="109"/>
        <v>0</v>
      </c>
      <c r="W108" s="939">
        <f t="shared" si="109"/>
        <v>0</v>
      </c>
      <c r="X108" s="939">
        <f t="shared" si="109"/>
        <v>0</v>
      </c>
      <c r="Y108" s="939">
        <f t="shared" si="109"/>
        <v>0</v>
      </c>
      <c r="Z108" s="939">
        <f t="shared" si="109"/>
        <v>0</v>
      </c>
      <c r="AA108" s="939">
        <f t="shared" si="109"/>
        <v>0</v>
      </c>
      <c r="AB108" s="939">
        <f t="shared" si="109"/>
        <v>0</v>
      </c>
      <c r="AC108" s="939">
        <f t="shared" si="109"/>
        <v>0</v>
      </c>
      <c r="AD108" s="939">
        <f t="shared" si="109"/>
        <v>0</v>
      </c>
      <c r="AE108" s="939">
        <f t="shared" si="109"/>
        <v>0</v>
      </c>
      <c r="AF108" s="939">
        <f t="shared" si="109"/>
        <v>0</v>
      </c>
      <c r="AH108" s="940"/>
      <c r="AJ108" s="940"/>
      <c r="AL108" s="159">
        <f t="shared" si="101"/>
        <v>16500</v>
      </c>
      <c r="AM108" s="791">
        <f t="shared" si="102"/>
        <v>0</v>
      </c>
      <c r="AQ108" s="5">
        <v>11000</v>
      </c>
      <c r="AT108" s="5">
        <f>AQ108+6500</f>
        <v>17500</v>
      </c>
    </row>
    <row r="109" spans="2:47" x14ac:dyDescent="0.35">
      <c r="B109" s="1300">
        <v>7</v>
      </c>
      <c r="C109" s="1301" t="s">
        <v>573</v>
      </c>
      <c r="D109" s="1302" t="s">
        <v>552</v>
      </c>
      <c r="E109" s="1312"/>
      <c r="F109" s="1312">
        <f t="shared" ref="F109:Q110" si="110">$AU$105</f>
        <v>15500</v>
      </c>
      <c r="G109" s="1312">
        <f t="shared" si="110"/>
        <v>15500</v>
      </c>
      <c r="H109" s="1312">
        <f t="shared" si="110"/>
        <v>15500</v>
      </c>
      <c r="I109" s="1312">
        <f t="shared" si="110"/>
        <v>15500</v>
      </c>
      <c r="J109" s="1312">
        <f t="shared" si="110"/>
        <v>15500</v>
      </c>
      <c r="K109" s="1312">
        <f t="shared" si="110"/>
        <v>15500</v>
      </c>
      <c r="L109" s="1312">
        <f t="shared" si="110"/>
        <v>15500</v>
      </c>
      <c r="M109" s="1312">
        <f t="shared" si="110"/>
        <v>15500</v>
      </c>
      <c r="N109" s="1312">
        <f t="shared" si="110"/>
        <v>15500</v>
      </c>
      <c r="O109" s="1312">
        <f t="shared" si="110"/>
        <v>15500</v>
      </c>
      <c r="P109" s="1312">
        <f t="shared" si="110"/>
        <v>15500</v>
      </c>
      <c r="Q109" s="1312">
        <f t="shared" si="110"/>
        <v>15500</v>
      </c>
      <c r="R109" s="1297">
        <f t="shared" si="98"/>
        <v>15500</v>
      </c>
      <c r="T109" s="939">
        <f t="shared" si="99"/>
        <v>0</v>
      </c>
      <c r="U109" s="939">
        <f t="shared" ref="U109:AF109" si="111">IFERROR(U129/U71,0)</f>
        <v>0</v>
      </c>
      <c r="V109" s="939">
        <f t="shared" si="111"/>
        <v>0</v>
      </c>
      <c r="W109" s="939">
        <f t="shared" si="111"/>
        <v>0</v>
      </c>
      <c r="X109" s="939">
        <f t="shared" si="111"/>
        <v>0</v>
      </c>
      <c r="Y109" s="939">
        <f t="shared" si="111"/>
        <v>0</v>
      </c>
      <c r="Z109" s="939">
        <f t="shared" si="111"/>
        <v>0</v>
      </c>
      <c r="AA109" s="939">
        <f t="shared" si="111"/>
        <v>0</v>
      </c>
      <c r="AB109" s="939">
        <f t="shared" si="111"/>
        <v>0</v>
      </c>
      <c r="AC109" s="939">
        <f t="shared" si="111"/>
        <v>0</v>
      </c>
      <c r="AD109" s="939">
        <f t="shared" si="111"/>
        <v>0</v>
      </c>
      <c r="AE109" s="939">
        <f t="shared" si="111"/>
        <v>0</v>
      </c>
      <c r="AF109" s="939">
        <f t="shared" si="111"/>
        <v>0</v>
      </c>
      <c r="AH109" s="940"/>
      <c r="AJ109" s="940"/>
      <c r="AL109" s="159">
        <f t="shared" si="101"/>
        <v>15500</v>
      </c>
      <c r="AM109" s="791">
        <f t="shared" si="102"/>
        <v>0</v>
      </c>
    </row>
    <row r="110" spans="2:47" x14ac:dyDescent="0.35">
      <c r="B110" s="128">
        <v>8</v>
      </c>
      <c r="C110" s="129" t="s">
        <v>574</v>
      </c>
      <c r="D110" s="130" t="s">
        <v>552</v>
      </c>
      <c r="E110" s="939"/>
      <c r="F110" s="939">
        <f t="shared" si="110"/>
        <v>15500</v>
      </c>
      <c r="G110" s="939">
        <f t="shared" si="110"/>
        <v>15500</v>
      </c>
      <c r="H110" s="939">
        <f t="shared" si="110"/>
        <v>15500</v>
      </c>
      <c r="I110" s="939">
        <f t="shared" si="110"/>
        <v>15500</v>
      </c>
      <c r="J110" s="939">
        <f t="shared" si="110"/>
        <v>15500</v>
      </c>
      <c r="K110" s="939">
        <f t="shared" si="110"/>
        <v>15500</v>
      </c>
      <c r="L110" s="939">
        <f t="shared" si="110"/>
        <v>15500</v>
      </c>
      <c r="M110" s="939">
        <f t="shared" si="110"/>
        <v>15500</v>
      </c>
      <c r="N110" s="939">
        <f t="shared" si="110"/>
        <v>15500</v>
      </c>
      <c r="O110" s="939">
        <f t="shared" si="110"/>
        <v>15500</v>
      </c>
      <c r="P110" s="939">
        <f t="shared" si="110"/>
        <v>15500</v>
      </c>
      <c r="Q110" s="939">
        <f t="shared" si="110"/>
        <v>15500</v>
      </c>
      <c r="R110" s="933">
        <f t="shared" si="98"/>
        <v>15500</v>
      </c>
      <c r="T110" s="939">
        <f t="shared" si="99"/>
        <v>0</v>
      </c>
      <c r="U110" s="939">
        <f t="shared" ref="U110:AF110" si="112">IFERROR(U130/U72,0)</f>
        <v>0</v>
      </c>
      <c r="V110" s="939">
        <f t="shared" si="112"/>
        <v>0</v>
      </c>
      <c r="W110" s="939">
        <f t="shared" si="112"/>
        <v>0</v>
      </c>
      <c r="X110" s="939">
        <f t="shared" si="112"/>
        <v>0</v>
      </c>
      <c r="Y110" s="939">
        <f t="shared" si="112"/>
        <v>0</v>
      </c>
      <c r="Z110" s="939">
        <f t="shared" si="112"/>
        <v>0</v>
      </c>
      <c r="AA110" s="939">
        <f t="shared" si="112"/>
        <v>0</v>
      </c>
      <c r="AB110" s="939">
        <f t="shared" si="112"/>
        <v>0</v>
      </c>
      <c r="AC110" s="939">
        <f t="shared" si="112"/>
        <v>0</v>
      </c>
      <c r="AD110" s="939">
        <f t="shared" si="112"/>
        <v>0</v>
      </c>
      <c r="AE110" s="939">
        <f t="shared" si="112"/>
        <v>0</v>
      </c>
      <c r="AF110" s="939">
        <f t="shared" si="112"/>
        <v>0</v>
      </c>
      <c r="AH110" s="940"/>
      <c r="AJ110" s="940"/>
      <c r="AL110" s="159">
        <f t="shared" si="101"/>
        <v>15500</v>
      </c>
      <c r="AM110" s="791">
        <f t="shared" si="102"/>
        <v>0</v>
      </c>
    </row>
    <row r="111" spans="2:47" x14ac:dyDescent="0.35">
      <c r="B111" s="128">
        <v>9</v>
      </c>
      <c r="C111" s="129" t="s">
        <v>575</v>
      </c>
      <c r="D111" s="130" t="s">
        <v>552</v>
      </c>
      <c r="E111" s="939"/>
      <c r="F111" s="939">
        <f t="shared" ref="F111:Q112" si="113">$AU$106</f>
        <v>15500</v>
      </c>
      <c r="G111" s="939">
        <f t="shared" si="113"/>
        <v>15500</v>
      </c>
      <c r="H111" s="939">
        <f t="shared" si="113"/>
        <v>15500</v>
      </c>
      <c r="I111" s="939">
        <f t="shared" si="113"/>
        <v>15500</v>
      </c>
      <c r="J111" s="939">
        <f t="shared" si="113"/>
        <v>15500</v>
      </c>
      <c r="K111" s="939">
        <f t="shared" si="113"/>
        <v>15500</v>
      </c>
      <c r="L111" s="939">
        <f t="shared" si="113"/>
        <v>15500</v>
      </c>
      <c r="M111" s="939">
        <f t="shared" si="113"/>
        <v>15500</v>
      </c>
      <c r="N111" s="939">
        <f t="shared" si="113"/>
        <v>15500</v>
      </c>
      <c r="O111" s="939">
        <f t="shared" si="113"/>
        <v>15500</v>
      </c>
      <c r="P111" s="939">
        <f t="shared" si="113"/>
        <v>15500</v>
      </c>
      <c r="Q111" s="939">
        <f t="shared" si="113"/>
        <v>15500</v>
      </c>
      <c r="R111" s="933">
        <f t="shared" si="98"/>
        <v>15500</v>
      </c>
      <c r="T111" s="939">
        <f t="shared" si="99"/>
        <v>0</v>
      </c>
      <c r="U111" s="939">
        <f t="shared" ref="U111:AF111" si="114">IFERROR(U131/U73,0)</f>
        <v>0</v>
      </c>
      <c r="V111" s="939">
        <f t="shared" si="114"/>
        <v>0</v>
      </c>
      <c r="W111" s="939">
        <f t="shared" si="114"/>
        <v>0</v>
      </c>
      <c r="X111" s="939">
        <f t="shared" si="114"/>
        <v>0</v>
      </c>
      <c r="Y111" s="939">
        <f t="shared" si="114"/>
        <v>0</v>
      </c>
      <c r="Z111" s="939">
        <f t="shared" si="114"/>
        <v>0</v>
      </c>
      <c r="AA111" s="939">
        <f t="shared" si="114"/>
        <v>0</v>
      </c>
      <c r="AB111" s="939">
        <f t="shared" si="114"/>
        <v>0</v>
      </c>
      <c r="AC111" s="939">
        <f t="shared" si="114"/>
        <v>0</v>
      </c>
      <c r="AD111" s="939">
        <f t="shared" si="114"/>
        <v>0</v>
      </c>
      <c r="AE111" s="939">
        <f t="shared" si="114"/>
        <v>0</v>
      </c>
      <c r="AF111" s="939">
        <f t="shared" si="114"/>
        <v>0</v>
      </c>
      <c r="AH111" s="940"/>
      <c r="AJ111" s="940"/>
      <c r="AL111" s="159">
        <f t="shared" si="101"/>
        <v>15500</v>
      </c>
      <c r="AM111" s="791">
        <f t="shared" si="102"/>
        <v>0</v>
      </c>
    </row>
    <row r="112" spans="2:47" s="1306" customFormat="1" x14ac:dyDescent="0.35">
      <c r="B112" s="1300">
        <v>10</v>
      </c>
      <c r="C112" s="1301" t="s">
        <v>576</v>
      </c>
      <c r="D112" s="1302" t="s">
        <v>552</v>
      </c>
      <c r="E112" s="1312"/>
      <c r="F112" s="1314">
        <f t="shared" si="113"/>
        <v>15500</v>
      </c>
      <c r="G112" s="1314">
        <f t="shared" si="113"/>
        <v>15500</v>
      </c>
      <c r="H112" s="1314">
        <f t="shared" si="113"/>
        <v>15500</v>
      </c>
      <c r="I112" s="1314">
        <f t="shared" si="113"/>
        <v>15500</v>
      </c>
      <c r="J112" s="1314">
        <f t="shared" si="113"/>
        <v>15500</v>
      </c>
      <c r="K112" s="1314">
        <f t="shared" si="113"/>
        <v>15500</v>
      </c>
      <c r="L112" s="1314">
        <f t="shared" si="113"/>
        <v>15500</v>
      </c>
      <c r="M112" s="1314">
        <f t="shared" si="113"/>
        <v>15500</v>
      </c>
      <c r="N112" s="1314">
        <f t="shared" si="113"/>
        <v>15500</v>
      </c>
      <c r="O112" s="1314">
        <f t="shared" si="113"/>
        <v>15500</v>
      </c>
      <c r="P112" s="1314">
        <f t="shared" si="113"/>
        <v>15500</v>
      </c>
      <c r="Q112" s="1314">
        <f t="shared" si="113"/>
        <v>15500</v>
      </c>
      <c r="R112" s="1315">
        <f t="shared" si="98"/>
        <v>15500</v>
      </c>
      <c r="T112" s="1312">
        <f t="shared" si="99"/>
        <v>18250</v>
      </c>
      <c r="U112" s="1312">
        <f t="shared" ref="U112:AF112" si="115">IFERROR(U132/U74,0)</f>
        <v>0</v>
      </c>
      <c r="V112" s="1312">
        <f t="shared" si="115"/>
        <v>19674.730444049732</v>
      </c>
      <c r="W112" s="1312">
        <f t="shared" si="115"/>
        <v>19878.837738189588</v>
      </c>
      <c r="X112" s="1312">
        <f t="shared" si="115"/>
        <v>19162.806626314112</v>
      </c>
      <c r="Y112" s="1312">
        <f t="shared" si="115"/>
        <v>19780.091634235876</v>
      </c>
      <c r="Z112" s="1312">
        <f t="shared" si="115"/>
        <v>20231.893821607551</v>
      </c>
      <c r="AA112" s="1312">
        <f t="shared" si="115"/>
        <v>20330</v>
      </c>
      <c r="AB112" s="1312">
        <f t="shared" si="115"/>
        <v>18120.950471390413</v>
      </c>
      <c r="AC112" s="1312">
        <f t="shared" si="115"/>
        <v>16500</v>
      </c>
      <c r="AD112" s="1312">
        <f t="shared" si="115"/>
        <v>16500</v>
      </c>
      <c r="AE112" s="1312">
        <f t="shared" si="115"/>
        <v>16500</v>
      </c>
      <c r="AF112" s="1312">
        <f t="shared" si="115"/>
        <v>18660.775644519399</v>
      </c>
      <c r="AH112" s="1313"/>
      <c r="AJ112" s="1313"/>
      <c r="AL112" s="1303">
        <f t="shared" si="101"/>
        <v>-3160.7756445193991</v>
      </c>
      <c r="AM112" s="1309">
        <f t="shared" si="102"/>
        <v>-0.16938072161259321</v>
      </c>
    </row>
    <row r="113" spans="2:39" x14ac:dyDescent="0.35">
      <c r="B113" s="128">
        <v>11</v>
      </c>
      <c r="C113" s="129" t="s">
        <v>577</v>
      </c>
      <c r="D113" s="130" t="s">
        <v>552</v>
      </c>
      <c r="E113" s="939"/>
      <c r="F113" s="939">
        <f t="shared" ref="F113:Q114" si="116">$AU$105</f>
        <v>15500</v>
      </c>
      <c r="G113" s="939">
        <f t="shared" si="116"/>
        <v>15500</v>
      </c>
      <c r="H113" s="939">
        <f t="shared" si="116"/>
        <v>15500</v>
      </c>
      <c r="I113" s="939">
        <f t="shared" si="116"/>
        <v>15500</v>
      </c>
      <c r="J113" s="939">
        <f t="shared" si="116"/>
        <v>15500</v>
      </c>
      <c r="K113" s="939">
        <f t="shared" si="116"/>
        <v>15500</v>
      </c>
      <c r="L113" s="939">
        <f t="shared" si="116"/>
        <v>15500</v>
      </c>
      <c r="M113" s="939">
        <f t="shared" si="116"/>
        <v>15500</v>
      </c>
      <c r="N113" s="939">
        <f t="shared" si="116"/>
        <v>15500</v>
      </c>
      <c r="O113" s="939">
        <f t="shared" si="116"/>
        <v>15500</v>
      </c>
      <c r="P113" s="939">
        <f t="shared" si="116"/>
        <v>15500</v>
      </c>
      <c r="Q113" s="939">
        <f t="shared" si="116"/>
        <v>15500</v>
      </c>
      <c r="R113" s="933">
        <f t="shared" si="98"/>
        <v>15500</v>
      </c>
      <c r="T113" s="939">
        <f t="shared" si="99"/>
        <v>0</v>
      </c>
      <c r="U113" s="939">
        <f t="shared" ref="U113:AF113" si="117">IFERROR(U133/U75,0)</f>
        <v>0</v>
      </c>
      <c r="V113" s="939">
        <f t="shared" si="117"/>
        <v>0</v>
      </c>
      <c r="W113" s="939">
        <f t="shared" si="117"/>
        <v>0</v>
      </c>
      <c r="X113" s="939">
        <f t="shared" si="117"/>
        <v>0</v>
      </c>
      <c r="Y113" s="939">
        <f t="shared" si="117"/>
        <v>0</v>
      </c>
      <c r="Z113" s="939">
        <f t="shared" si="117"/>
        <v>0</v>
      </c>
      <c r="AA113" s="939">
        <f t="shared" si="117"/>
        <v>0</v>
      </c>
      <c r="AB113" s="939">
        <f t="shared" si="117"/>
        <v>0</v>
      </c>
      <c r="AC113" s="939">
        <f t="shared" si="117"/>
        <v>0</v>
      </c>
      <c r="AD113" s="939">
        <f t="shared" si="117"/>
        <v>0</v>
      </c>
      <c r="AE113" s="939">
        <f t="shared" si="117"/>
        <v>0</v>
      </c>
      <c r="AF113" s="939">
        <f t="shared" si="117"/>
        <v>0</v>
      </c>
      <c r="AH113" s="940"/>
      <c r="AJ113" s="940"/>
      <c r="AL113" s="159">
        <f t="shared" si="101"/>
        <v>15500</v>
      </c>
      <c r="AM113" s="791">
        <f t="shared" si="102"/>
        <v>0</v>
      </c>
    </row>
    <row r="114" spans="2:39" x14ac:dyDescent="0.35">
      <c r="B114" s="128">
        <v>12</v>
      </c>
      <c r="C114" s="129" t="s">
        <v>578</v>
      </c>
      <c r="D114" s="130" t="s">
        <v>552</v>
      </c>
      <c r="E114" s="939"/>
      <c r="F114" s="939">
        <f t="shared" si="116"/>
        <v>15500</v>
      </c>
      <c r="G114" s="939">
        <f t="shared" si="116"/>
        <v>15500</v>
      </c>
      <c r="H114" s="939">
        <f t="shared" si="116"/>
        <v>15500</v>
      </c>
      <c r="I114" s="939">
        <f t="shared" si="116"/>
        <v>15500</v>
      </c>
      <c r="J114" s="939">
        <f t="shared" si="116"/>
        <v>15500</v>
      </c>
      <c r="K114" s="939">
        <f t="shared" si="116"/>
        <v>15500</v>
      </c>
      <c r="L114" s="939">
        <f t="shared" si="116"/>
        <v>15500</v>
      </c>
      <c r="M114" s="939">
        <f t="shared" si="116"/>
        <v>15500</v>
      </c>
      <c r="N114" s="939">
        <f t="shared" si="116"/>
        <v>15500</v>
      </c>
      <c r="O114" s="939">
        <f t="shared" si="116"/>
        <v>15500</v>
      </c>
      <c r="P114" s="939">
        <f t="shared" si="116"/>
        <v>15500</v>
      </c>
      <c r="Q114" s="939">
        <f t="shared" si="116"/>
        <v>15500</v>
      </c>
      <c r="R114" s="933">
        <f t="shared" si="98"/>
        <v>15500</v>
      </c>
      <c r="T114" s="939">
        <f t="shared" si="99"/>
        <v>0</v>
      </c>
      <c r="U114" s="939">
        <f t="shared" ref="U114:AF114" si="118">IFERROR(U134/U76,0)</f>
        <v>0</v>
      </c>
      <c r="V114" s="939">
        <f t="shared" si="118"/>
        <v>0</v>
      </c>
      <c r="W114" s="939">
        <f t="shared" si="118"/>
        <v>0</v>
      </c>
      <c r="X114" s="939">
        <f t="shared" si="118"/>
        <v>0</v>
      </c>
      <c r="Y114" s="939">
        <f t="shared" si="118"/>
        <v>0</v>
      </c>
      <c r="Z114" s="939">
        <f t="shared" si="118"/>
        <v>0</v>
      </c>
      <c r="AA114" s="939">
        <f t="shared" si="118"/>
        <v>0</v>
      </c>
      <c r="AB114" s="939">
        <f t="shared" si="118"/>
        <v>0</v>
      </c>
      <c r="AC114" s="939">
        <f t="shared" si="118"/>
        <v>0</v>
      </c>
      <c r="AD114" s="939">
        <f t="shared" si="118"/>
        <v>0</v>
      </c>
      <c r="AE114" s="939">
        <f t="shared" si="118"/>
        <v>0</v>
      </c>
      <c r="AF114" s="939">
        <f t="shared" si="118"/>
        <v>0</v>
      </c>
      <c r="AH114" s="940"/>
      <c r="AJ114" s="940"/>
      <c r="AL114" s="159">
        <f t="shared" si="101"/>
        <v>15500</v>
      </c>
      <c r="AM114" s="791">
        <f t="shared" si="102"/>
        <v>0</v>
      </c>
    </row>
    <row r="115" spans="2:39" x14ac:dyDescent="0.35">
      <c r="B115" s="128">
        <v>13</v>
      </c>
      <c r="C115" s="927" t="s">
        <v>579</v>
      </c>
      <c r="D115" s="130" t="s">
        <v>552</v>
      </c>
      <c r="E115" s="939"/>
      <c r="F115" s="939">
        <f t="shared" ref="F115:Q118" si="119">$AU$107</f>
        <v>10000</v>
      </c>
      <c r="G115" s="939">
        <f t="shared" si="119"/>
        <v>10000</v>
      </c>
      <c r="H115" s="939">
        <f t="shared" si="119"/>
        <v>10000</v>
      </c>
      <c r="I115" s="939">
        <f t="shared" si="119"/>
        <v>10000</v>
      </c>
      <c r="J115" s="939">
        <f t="shared" si="119"/>
        <v>10000</v>
      </c>
      <c r="K115" s="939">
        <f t="shared" si="119"/>
        <v>10000</v>
      </c>
      <c r="L115" s="939">
        <f t="shared" si="119"/>
        <v>10000</v>
      </c>
      <c r="M115" s="939">
        <f t="shared" si="119"/>
        <v>10000</v>
      </c>
      <c r="N115" s="939">
        <f t="shared" si="119"/>
        <v>10000</v>
      </c>
      <c r="O115" s="939">
        <f t="shared" si="119"/>
        <v>10000</v>
      </c>
      <c r="P115" s="939">
        <f t="shared" si="119"/>
        <v>10000</v>
      </c>
      <c r="Q115" s="939">
        <f t="shared" si="119"/>
        <v>10000</v>
      </c>
      <c r="R115" s="933">
        <f t="shared" si="98"/>
        <v>10000</v>
      </c>
      <c r="T115" s="939">
        <f t="shared" si="99"/>
        <v>0</v>
      </c>
      <c r="U115" s="939">
        <f t="shared" ref="U115:AF115" si="120">IFERROR(U135/U77,0)</f>
        <v>0</v>
      </c>
      <c r="V115" s="939">
        <f t="shared" si="120"/>
        <v>0</v>
      </c>
      <c r="W115" s="939">
        <f t="shared" si="120"/>
        <v>0</v>
      </c>
      <c r="X115" s="939">
        <f t="shared" si="120"/>
        <v>0</v>
      </c>
      <c r="Y115" s="939">
        <f t="shared" si="120"/>
        <v>0</v>
      </c>
      <c r="Z115" s="939">
        <f t="shared" si="120"/>
        <v>0</v>
      </c>
      <c r="AA115" s="939">
        <f t="shared" si="120"/>
        <v>0</v>
      </c>
      <c r="AB115" s="939">
        <f t="shared" si="120"/>
        <v>0</v>
      </c>
      <c r="AC115" s="939">
        <f t="shared" si="120"/>
        <v>0</v>
      </c>
      <c r="AD115" s="939">
        <f t="shared" si="120"/>
        <v>0</v>
      </c>
      <c r="AE115" s="939">
        <f t="shared" si="120"/>
        <v>0</v>
      </c>
      <c r="AF115" s="939">
        <f t="shared" si="120"/>
        <v>0</v>
      </c>
      <c r="AH115" s="940"/>
      <c r="AJ115" s="940"/>
      <c r="AL115" s="159">
        <f t="shared" si="101"/>
        <v>10000</v>
      </c>
      <c r="AM115" s="791">
        <f t="shared" si="102"/>
        <v>0</v>
      </c>
    </row>
    <row r="116" spans="2:39" x14ac:dyDescent="0.35">
      <c r="B116" s="128">
        <v>14</v>
      </c>
      <c r="C116" s="129" t="s">
        <v>580</v>
      </c>
      <c r="D116" s="130" t="s">
        <v>552</v>
      </c>
      <c r="E116" s="939"/>
      <c r="F116" s="939">
        <f t="shared" si="119"/>
        <v>10000</v>
      </c>
      <c r="G116" s="939">
        <f t="shared" si="119"/>
        <v>10000</v>
      </c>
      <c r="H116" s="939">
        <f t="shared" si="119"/>
        <v>10000</v>
      </c>
      <c r="I116" s="939">
        <f t="shared" si="119"/>
        <v>10000</v>
      </c>
      <c r="J116" s="939">
        <f t="shared" si="119"/>
        <v>10000</v>
      </c>
      <c r="K116" s="939">
        <f t="shared" si="119"/>
        <v>10000</v>
      </c>
      <c r="L116" s="939">
        <f t="shared" si="119"/>
        <v>10000</v>
      </c>
      <c r="M116" s="939">
        <f t="shared" si="119"/>
        <v>10000</v>
      </c>
      <c r="N116" s="939">
        <f t="shared" si="119"/>
        <v>10000</v>
      </c>
      <c r="O116" s="939">
        <f t="shared" si="119"/>
        <v>10000</v>
      </c>
      <c r="P116" s="939">
        <f t="shared" si="119"/>
        <v>10000</v>
      </c>
      <c r="Q116" s="939">
        <f t="shared" si="119"/>
        <v>10000</v>
      </c>
      <c r="R116" s="933">
        <f t="shared" si="98"/>
        <v>10000</v>
      </c>
      <c r="T116" s="939">
        <f t="shared" si="99"/>
        <v>18249.803245103663</v>
      </c>
      <c r="U116" s="939">
        <f t="shared" ref="U116:AF116" si="121">IFERROR(U136/U78,0)</f>
        <v>18250</v>
      </c>
      <c r="V116" s="939">
        <f t="shared" si="121"/>
        <v>18250</v>
      </c>
      <c r="W116" s="939">
        <f t="shared" si="121"/>
        <v>18426.757005052827</v>
      </c>
      <c r="X116" s="939">
        <f t="shared" si="121"/>
        <v>19816.964029602434</v>
      </c>
      <c r="Y116" s="939">
        <f t="shared" si="121"/>
        <v>19506.115257048092</v>
      </c>
      <c r="Z116" s="939">
        <f t="shared" si="121"/>
        <v>20244.771957463567</v>
      </c>
      <c r="AA116" s="939">
        <f t="shared" si="121"/>
        <v>20330</v>
      </c>
      <c r="AB116" s="939">
        <f t="shared" si="121"/>
        <v>18935.972712084647</v>
      </c>
      <c r="AC116" s="939">
        <f t="shared" si="121"/>
        <v>16500</v>
      </c>
      <c r="AD116" s="939">
        <f t="shared" si="121"/>
        <v>16500</v>
      </c>
      <c r="AE116" s="939">
        <f t="shared" si="121"/>
        <v>16500</v>
      </c>
      <c r="AF116" s="939">
        <f t="shared" si="121"/>
        <v>18742.58464860791</v>
      </c>
      <c r="AH116" s="940"/>
      <c r="AJ116" s="940"/>
      <c r="AL116" s="159">
        <f t="shared" si="101"/>
        <v>-8742.5846486079099</v>
      </c>
      <c r="AM116" s="791">
        <f t="shared" si="102"/>
        <v>-0.46645565766497732</v>
      </c>
    </row>
    <row r="117" spans="2:39" x14ac:dyDescent="0.35">
      <c r="B117" s="128">
        <v>14</v>
      </c>
      <c r="C117" s="129" t="s">
        <v>580</v>
      </c>
      <c r="D117" s="130" t="s">
        <v>552</v>
      </c>
      <c r="E117" s="939"/>
      <c r="F117" s="939">
        <f t="shared" si="119"/>
        <v>10000</v>
      </c>
      <c r="G117" s="939">
        <f t="shared" si="119"/>
        <v>10000</v>
      </c>
      <c r="H117" s="939">
        <f t="shared" si="119"/>
        <v>10000</v>
      </c>
      <c r="I117" s="939">
        <f t="shared" si="119"/>
        <v>10000</v>
      </c>
      <c r="J117" s="939">
        <f t="shared" si="119"/>
        <v>10000</v>
      </c>
      <c r="K117" s="939">
        <f t="shared" si="119"/>
        <v>10000</v>
      </c>
      <c r="L117" s="939">
        <f t="shared" si="119"/>
        <v>10000</v>
      </c>
      <c r="M117" s="939">
        <f t="shared" si="119"/>
        <v>10000</v>
      </c>
      <c r="N117" s="939">
        <f t="shared" si="119"/>
        <v>10000</v>
      </c>
      <c r="O117" s="939">
        <f t="shared" si="119"/>
        <v>10000</v>
      </c>
      <c r="P117" s="939">
        <f t="shared" si="119"/>
        <v>10000</v>
      </c>
      <c r="Q117" s="939">
        <f t="shared" si="119"/>
        <v>10000</v>
      </c>
      <c r="R117" s="933">
        <f t="shared" si="98"/>
        <v>10000</v>
      </c>
      <c r="T117" s="939">
        <f t="shared" si="99"/>
        <v>0</v>
      </c>
      <c r="U117" s="939">
        <f t="shared" ref="U117:AF117" si="122">IFERROR(U137/U79,0)</f>
        <v>0</v>
      </c>
      <c r="V117" s="939">
        <f t="shared" si="122"/>
        <v>0</v>
      </c>
      <c r="W117" s="939">
        <f t="shared" si="122"/>
        <v>0</v>
      </c>
      <c r="X117" s="939">
        <f t="shared" si="122"/>
        <v>0</v>
      </c>
      <c r="Y117" s="939">
        <f t="shared" si="122"/>
        <v>0</v>
      </c>
      <c r="Z117" s="939">
        <f t="shared" si="122"/>
        <v>0</v>
      </c>
      <c r="AA117" s="939">
        <f t="shared" si="122"/>
        <v>0</v>
      </c>
      <c r="AB117" s="939">
        <f t="shared" si="122"/>
        <v>0</v>
      </c>
      <c r="AC117" s="939">
        <f t="shared" si="122"/>
        <v>0</v>
      </c>
      <c r="AD117" s="939">
        <f t="shared" si="122"/>
        <v>0</v>
      </c>
      <c r="AE117" s="939">
        <f t="shared" si="122"/>
        <v>0</v>
      </c>
      <c r="AF117" s="939">
        <f t="shared" si="122"/>
        <v>0</v>
      </c>
      <c r="AH117" s="940"/>
      <c r="AJ117" s="940"/>
      <c r="AL117" s="159">
        <f t="shared" si="101"/>
        <v>10000</v>
      </c>
      <c r="AM117" s="791">
        <f t="shared" si="102"/>
        <v>0</v>
      </c>
    </row>
    <row r="118" spans="2:39" x14ac:dyDescent="0.35">
      <c r="B118" s="128">
        <v>15</v>
      </c>
      <c r="C118" s="927" t="s">
        <v>175</v>
      </c>
      <c r="D118" s="130" t="s">
        <v>552</v>
      </c>
      <c r="E118" s="939"/>
      <c r="F118" s="939">
        <f t="shared" si="119"/>
        <v>10000</v>
      </c>
      <c r="G118" s="939">
        <f t="shared" si="119"/>
        <v>10000</v>
      </c>
      <c r="H118" s="939">
        <f t="shared" si="119"/>
        <v>10000</v>
      </c>
      <c r="I118" s="939">
        <f t="shared" si="119"/>
        <v>10000</v>
      </c>
      <c r="J118" s="939">
        <f t="shared" si="119"/>
        <v>10000</v>
      </c>
      <c r="K118" s="939">
        <f t="shared" si="119"/>
        <v>10000</v>
      </c>
      <c r="L118" s="939">
        <f t="shared" si="119"/>
        <v>10000</v>
      </c>
      <c r="M118" s="939">
        <f t="shared" si="119"/>
        <v>10000</v>
      </c>
      <c r="N118" s="939">
        <f t="shared" si="119"/>
        <v>10000</v>
      </c>
      <c r="O118" s="939">
        <f t="shared" si="119"/>
        <v>10000</v>
      </c>
      <c r="P118" s="939">
        <f t="shared" si="119"/>
        <v>10000</v>
      </c>
      <c r="Q118" s="939">
        <f t="shared" si="119"/>
        <v>10000</v>
      </c>
      <c r="R118" s="933">
        <f t="shared" si="98"/>
        <v>10000</v>
      </c>
      <c r="T118" s="939">
        <f t="shared" si="99"/>
        <v>18249.974757669421</v>
      </c>
      <c r="U118" s="939">
        <f t="shared" ref="U118:AF118" si="123">IFERROR(U138/U80,0)</f>
        <v>18250</v>
      </c>
      <c r="V118" s="939">
        <f t="shared" si="123"/>
        <v>19590.177838668715</v>
      </c>
      <c r="W118" s="939">
        <f t="shared" si="123"/>
        <v>19799.760561958199</v>
      </c>
      <c r="X118" s="939">
        <f t="shared" si="123"/>
        <v>19242.550230434084</v>
      </c>
      <c r="Y118" s="939">
        <f t="shared" si="123"/>
        <v>19762.990709831018</v>
      </c>
      <c r="Z118" s="939">
        <f t="shared" si="123"/>
        <v>20232.707471030782</v>
      </c>
      <c r="AA118" s="939">
        <f t="shared" si="123"/>
        <v>20330</v>
      </c>
      <c r="AB118" s="939">
        <f t="shared" si="123"/>
        <v>18225.998887433379</v>
      </c>
      <c r="AC118" s="939">
        <f t="shared" si="123"/>
        <v>16500</v>
      </c>
      <c r="AD118" s="939">
        <f t="shared" si="123"/>
        <v>16500</v>
      </c>
      <c r="AE118" s="939">
        <f t="shared" si="123"/>
        <v>16500</v>
      </c>
      <c r="AF118" s="939">
        <f t="shared" si="123"/>
        <v>18681.862110607271</v>
      </c>
      <c r="AH118" s="940"/>
      <c r="AJ118" s="940"/>
      <c r="AL118" s="159">
        <f t="shared" si="101"/>
        <v>-8681.8621106072715</v>
      </c>
      <c r="AM118" s="791">
        <f t="shared" si="102"/>
        <v>-0.46472145331154358</v>
      </c>
    </row>
    <row r="119" spans="2:39" x14ac:dyDescent="0.35">
      <c r="B119" s="163"/>
      <c r="C119" s="164" t="s">
        <v>562</v>
      </c>
      <c r="D119" s="928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T119" s="166"/>
      <c r="U119" s="166"/>
      <c r="V119" s="166"/>
      <c r="W119" s="166"/>
      <c r="X119" s="166"/>
      <c r="Y119" s="166"/>
      <c r="Z119" s="166"/>
      <c r="AA119" s="166"/>
      <c r="AB119" s="166"/>
      <c r="AC119" s="166"/>
      <c r="AD119" s="166"/>
      <c r="AE119" s="166"/>
      <c r="AF119" s="166"/>
      <c r="AH119" s="166"/>
      <c r="AJ119" s="166"/>
      <c r="AL119" s="166">
        <f t="shared" ref="AL119" si="124">IFERROR(R119-AF119,0)</f>
        <v>0</v>
      </c>
      <c r="AM119" s="929">
        <f t="shared" ref="AM119" si="125">IFERROR((R119/AF119)-1,0)</f>
        <v>0</v>
      </c>
    </row>
    <row r="121" spans="2:39" x14ac:dyDescent="0.35">
      <c r="B121" s="4" t="s">
        <v>585</v>
      </c>
      <c r="R121" s="89"/>
      <c r="AF121" s="89"/>
      <c r="AH121" s="89"/>
      <c r="AJ121" s="89"/>
      <c r="AL121" s="89"/>
      <c r="AM121" s="89"/>
    </row>
    <row r="122" spans="2:39" ht="26" x14ac:dyDescent="0.35">
      <c r="B122" s="187" t="s">
        <v>36</v>
      </c>
      <c r="C122" s="187" t="s">
        <v>566</v>
      </c>
      <c r="D122" s="187" t="s">
        <v>257</v>
      </c>
      <c r="E122" s="116" t="s">
        <v>525</v>
      </c>
      <c r="F122" s="116" t="s">
        <v>149</v>
      </c>
      <c r="G122" s="116" t="s">
        <v>150</v>
      </c>
      <c r="H122" s="116" t="s">
        <v>151</v>
      </c>
      <c r="I122" s="116" t="s">
        <v>152</v>
      </c>
      <c r="J122" s="116" t="s">
        <v>153</v>
      </c>
      <c r="K122" s="116" t="s">
        <v>154</v>
      </c>
      <c r="L122" s="116" t="s">
        <v>155</v>
      </c>
      <c r="M122" s="116" t="s">
        <v>156</v>
      </c>
      <c r="N122" s="116" t="s">
        <v>157</v>
      </c>
      <c r="O122" s="116" t="s">
        <v>158</v>
      </c>
      <c r="P122" s="116" t="s">
        <v>159</v>
      </c>
      <c r="Q122" s="116" t="s">
        <v>160</v>
      </c>
      <c r="R122" s="116" t="s">
        <v>2147</v>
      </c>
      <c r="S122" s="10"/>
      <c r="T122" s="714" t="s">
        <v>149</v>
      </c>
      <c r="U122" s="714" t="s">
        <v>150</v>
      </c>
      <c r="V122" s="714" t="s">
        <v>151</v>
      </c>
      <c r="W122" s="714" t="s">
        <v>152</v>
      </c>
      <c r="X122" s="714" t="s">
        <v>153</v>
      </c>
      <c r="Y122" s="714" t="s">
        <v>154</v>
      </c>
      <c r="Z122" s="714" t="s">
        <v>155</v>
      </c>
      <c r="AA122" s="714" t="s">
        <v>156</v>
      </c>
      <c r="AB122" s="714" t="s">
        <v>157</v>
      </c>
      <c r="AC122" s="714" t="s">
        <v>158</v>
      </c>
      <c r="AD122" s="714" t="s">
        <v>159</v>
      </c>
      <c r="AE122" s="714" t="s">
        <v>160</v>
      </c>
      <c r="AF122" s="714" t="s">
        <v>148</v>
      </c>
      <c r="AG122" s="10"/>
      <c r="AH122" s="714" t="s">
        <v>526</v>
      </c>
      <c r="AI122" s="10"/>
      <c r="AJ122" s="714" t="s">
        <v>527</v>
      </c>
      <c r="AK122" s="10"/>
      <c r="AL122" s="721" t="s">
        <v>528</v>
      </c>
      <c r="AM122" s="722" t="s">
        <v>529</v>
      </c>
    </row>
    <row r="123" spans="2:39" x14ac:dyDescent="0.35">
      <c r="B123" s="128">
        <v>1</v>
      </c>
      <c r="C123" s="129" t="s">
        <v>567</v>
      </c>
      <c r="D123" s="130" t="s">
        <v>564</v>
      </c>
      <c r="E123" s="159"/>
      <c r="F123" s="159">
        <f>F65*F103</f>
        <v>0</v>
      </c>
      <c r="G123" s="159">
        <f t="shared" ref="G123:Q123" si="126">G65*G103</f>
        <v>0</v>
      </c>
      <c r="H123" s="159">
        <f t="shared" si="126"/>
        <v>0</v>
      </c>
      <c r="I123" s="159">
        <f t="shared" si="126"/>
        <v>0</v>
      </c>
      <c r="J123" s="159">
        <f t="shared" si="126"/>
        <v>0</v>
      </c>
      <c r="K123" s="159">
        <f t="shared" si="126"/>
        <v>0</v>
      </c>
      <c r="L123" s="159">
        <f t="shared" si="126"/>
        <v>0</v>
      </c>
      <c r="M123" s="159">
        <f t="shared" si="126"/>
        <v>0</v>
      </c>
      <c r="N123" s="159">
        <f t="shared" si="126"/>
        <v>0</v>
      </c>
      <c r="O123" s="159">
        <f t="shared" si="126"/>
        <v>0</v>
      </c>
      <c r="P123" s="159">
        <f t="shared" si="126"/>
        <v>0</v>
      </c>
      <c r="Q123" s="159">
        <f t="shared" si="126"/>
        <v>0</v>
      </c>
      <c r="R123" s="936">
        <f>SUM(F123:Q123)</f>
        <v>0</v>
      </c>
      <c r="T123" s="159"/>
      <c r="U123" s="159"/>
      <c r="V123" s="159"/>
      <c r="W123" s="159">
        <v>277320000</v>
      </c>
      <c r="X123" s="159"/>
      <c r="Y123" s="159"/>
      <c r="Z123" s="159"/>
      <c r="AA123" s="159"/>
      <c r="AB123" s="159"/>
      <c r="AC123" s="159"/>
      <c r="AD123" s="159"/>
      <c r="AE123" s="159"/>
      <c r="AF123" s="936">
        <f>SUM(T123:AE123)</f>
        <v>277320000</v>
      </c>
      <c r="AH123" s="936"/>
      <c r="AJ123" s="936"/>
      <c r="AL123" s="159">
        <f t="shared" ref="AL123:AL138" si="127">IFERROR(R123-AF123,0)</f>
        <v>-277320000</v>
      </c>
      <c r="AM123" s="791">
        <f t="shared" ref="AM123:AM138" si="128">IFERROR((R123/AF123)-1,0)</f>
        <v>-1</v>
      </c>
    </row>
    <row r="124" spans="2:39" ht="25" x14ac:dyDescent="0.35">
      <c r="B124" s="128">
        <v>2</v>
      </c>
      <c r="C124" s="129" t="s">
        <v>568</v>
      </c>
      <c r="D124" s="130" t="s">
        <v>564</v>
      </c>
      <c r="E124" s="159"/>
      <c r="F124" s="159">
        <f t="shared" ref="F124:Q124" si="129">F66*F104</f>
        <v>0</v>
      </c>
      <c r="G124" s="159">
        <f t="shared" si="129"/>
        <v>0</v>
      </c>
      <c r="H124" s="159">
        <f t="shared" si="129"/>
        <v>0</v>
      </c>
      <c r="I124" s="159">
        <f t="shared" si="129"/>
        <v>0</v>
      </c>
      <c r="J124" s="159">
        <f t="shared" si="129"/>
        <v>0</v>
      </c>
      <c r="K124" s="159">
        <f t="shared" si="129"/>
        <v>0</v>
      </c>
      <c r="L124" s="159">
        <f t="shared" si="129"/>
        <v>0</v>
      </c>
      <c r="M124" s="159">
        <f t="shared" si="129"/>
        <v>0</v>
      </c>
      <c r="N124" s="159">
        <f t="shared" si="129"/>
        <v>0</v>
      </c>
      <c r="O124" s="159">
        <f t="shared" si="129"/>
        <v>0</v>
      </c>
      <c r="P124" s="159">
        <f t="shared" si="129"/>
        <v>0</v>
      </c>
      <c r="Q124" s="159">
        <f t="shared" si="129"/>
        <v>0</v>
      </c>
      <c r="R124" s="936">
        <f t="shared" ref="R124:R137" si="130">SUM(F124:Q124)</f>
        <v>0</v>
      </c>
      <c r="T124" s="159"/>
      <c r="U124" s="159"/>
      <c r="V124" s="159"/>
      <c r="W124" s="159"/>
      <c r="X124" s="159"/>
      <c r="Y124" s="159"/>
      <c r="Z124" s="159"/>
      <c r="AA124" s="159"/>
      <c r="AB124" s="159"/>
      <c r="AC124" s="159"/>
      <c r="AD124" s="159"/>
      <c r="AE124" s="159"/>
      <c r="AF124" s="936">
        <f t="shared" ref="AF124:AF137" si="131">SUM(T124:AE124)</f>
        <v>0</v>
      </c>
      <c r="AH124" s="936"/>
      <c r="AJ124" s="936"/>
      <c r="AL124" s="159">
        <f t="shared" si="127"/>
        <v>0</v>
      </c>
      <c r="AM124" s="791">
        <f t="shared" si="128"/>
        <v>0</v>
      </c>
    </row>
    <row r="125" spans="2:39" x14ac:dyDescent="0.35">
      <c r="B125" s="128">
        <v>3</v>
      </c>
      <c r="C125" s="129" t="s">
        <v>569</v>
      </c>
      <c r="D125" s="130" t="s">
        <v>564</v>
      </c>
      <c r="E125" s="159"/>
      <c r="F125" s="159">
        <f t="shared" ref="F125:Q125" si="132">F67*F105</f>
        <v>0</v>
      </c>
      <c r="G125" s="159">
        <f t="shared" si="132"/>
        <v>0</v>
      </c>
      <c r="H125" s="159">
        <f t="shared" si="132"/>
        <v>0</v>
      </c>
      <c r="I125" s="159">
        <f t="shared" si="132"/>
        <v>0</v>
      </c>
      <c r="J125" s="159">
        <f t="shared" si="132"/>
        <v>0</v>
      </c>
      <c r="K125" s="159">
        <f t="shared" si="132"/>
        <v>0</v>
      </c>
      <c r="L125" s="159">
        <f t="shared" si="132"/>
        <v>0</v>
      </c>
      <c r="M125" s="159">
        <f t="shared" si="132"/>
        <v>0</v>
      </c>
      <c r="N125" s="159">
        <f t="shared" si="132"/>
        <v>0</v>
      </c>
      <c r="O125" s="159">
        <f t="shared" si="132"/>
        <v>0</v>
      </c>
      <c r="P125" s="159">
        <f t="shared" si="132"/>
        <v>0</v>
      </c>
      <c r="Q125" s="159">
        <f t="shared" si="132"/>
        <v>0</v>
      </c>
      <c r="R125" s="936">
        <f t="shared" si="130"/>
        <v>0</v>
      </c>
      <c r="T125" s="159"/>
      <c r="U125" s="159"/>
      <c r="V125" s="159"/>
      <c r="W125" s="159"/>
      <c r="X125" s="159"/>
      <c r="Y125" s="159"/>
      <c r="Z125" s="159"/>
      <c r="AA125" s="159"/>
      <c r="AB125" s="159"/>
      <c r="AC125" s="159"/>
      <c r="AD125" s="159"/>
      <c r="AE125" s="159"/>
      <c r="AF125" s="936">
        <f t="shared" si="131"/>
        <v>0</v>
      </c>
      <c r="AH125" s="936"/>
      <c r="AJ125" s="936"/>
      <c r="AL125" s="159">
        <f t="shared" si="127"/>
        <v>0</v>
      </c>
      <c r="AM125" s="791">
        <f t="shared" si="128"/>
        <v>0</v>
      </c>
    </row>
    <row r="126" spans="2:39" x14ac:dyDescent="0.35">
      <c r="B126" s="128">
        <v>4</v>
      </c>
      <c r="C126" s="129" t="s">
        <v>570</v>
      </c>
      <c r="D126" s="130" t="s">
        <v>564</v>
      </c>
      <c r="E126" s="159"/>
      <c r="F126" s="159">
        <f t="shared" ref="F126:Q126" si="133">F68*F106</f>
        <v>0</v>
      </c>
      <c r="G126" s="159">
        <f t="shared" si="133"/>
        <v>0</v>
      </c>
      <c r="H126" s="159">
        <f t="shared" si="133"/>
        <v>0</v>
      </c>
      <c r="I126" s="159">
        <f t="shared" si="133"/>
        <v>0</v>
      </c>
      <c r="J126" s="159">
        <f t="shared" si="133"/>
        <v>0</v>
      </c>
      <c r="K126" s="159">
        <f t="shared" si="133"/>
        <v>0</v>
      </c>
      <c r="L126" s="159">
        <f t="shared" si="133"/>
        <v>0</v>
      </c>
      <c r="M126" s="159">
        <f t="shared" si="133"/>
        <v>0</v>
      </c>
      <c r="N126" s="159">
        <f t="shared" si="133"/>
        <v>0</v>
      </c>
      <c r="O126" s="159">
        <f t="shared" si="133"/>
        <v>0</v>
      </c>
      <c r="P126" s="159">
        <f t="shared" si="133"/>
        <v>0</v>
      </c>
      <c r="Q126" s="159">
        <f t="shared" si="133"/>
        <v>0</v>
      </c>
      <c r="R126" s="936">
        <f t="shared" si="130"/>
        <v>0</v>
      </c>
      <c r="T126" s="159"/>
      <c r="U126" s="159"/>
      <c r="V126" s="159"/>
      <c r="W126" s="159"/>
      <c r="X126" s="159"/>
      <c r="Y126" s="159"/>
      <c r="Z126" s="159"/>
      <c r="AA126" s="159"/>
      <c r="AB126" s="159"/>
      <c r="AC126" s="159"/>
      <c r="AD126" s="159"/>
      <c r="AE126" s="159"/>
      <c r="AF126" s="936">
        <f t="shared" si="131"/>
        <v>0</v>
      </c>
      <c r="AH126" s="936"/>
      <c r="AJ126" s="936"/>
      <c r="AL126" s="159">
        <f t="shared" si="127"/>
        <v>0</v>
      </c>
      <c r="AM126" s="791">
        <f t="shared" si="128"/>
        <v>0</v>
      </c>
    </row>
    <row r="127" spans="2:39" x14ac:dyDescent="0.35">
      <c r="B127" s="128">
        <v>5</v>
      </c>
      <c r="C127" s="129" t="s">
        <v>571</v>
      </c>
      <c r="D127" s="130" t="s">
        <v>564</v>
      </c>
      <c r="E127" s="159"/>
      <c r="F127" s="159">
        <f t="shared" ref="F127:Q127" si="134">F69*F107</f>
        <v>0</v>
      </c>
      <c r="G127" s="159">
        <f t="shared" si="134"/>
        <v>0</v>
      </c>
      <c r="H127" s="159">
        <f t="shared" si="134"/>
        <v>0</v>
      </c>
      <c r="I127" s="159">
        <f t="shared" si="134"/>
        <v>0</v>
      </c>
      <c r="J127" s="159">
        <f t="shared" si="134"/>
        <v>0</v>
      </c>
      <c r="K127" s="159">
        <f t="shared" si="134"/>
        <v>0</v>
      </c>
      <c r="L127" s="159">
        <f t="shared" si="134"/>
        <v>0</v>
      </c>
      <c r="M127" s="159">
        <f t="shared" si="134"/>
        <v>0</v>
      </c>
      <c r="N127" s="159">
        <f t="shared" si="134"/>
        <v>0</v>
      </c>
      <c r="O127" s="159">
        <f t="shared" si="134"/>
        <v>0</v>
      </c>
      <c r="P127" s="159">
        <f t="shared" si="134"/>
        <v>0</v>
      </c>
      <c r="Q127" s="159">
        <f t="shared" si="134"/>
        <v>0</v>
      </c>
      <c r="R127" s="936">
        <f t="shared" si="130"/>
        <v>0</v>
      </c>
      <c r="T127" s="159"/>
      <c r="U127" s="159"/>
      <c r="V127" s="159"/>
      <c r="W127" s="159"/>
      <c r="X127" s="159"/>
      <c r="Y127" s="159"/>
      <c r="Z127" s="159"/>
      <c r="AA127" s="159"/>
      <c r="AB127" s="159"/>
      <c r="AC127" s="159"/>
      <c r="AD127" s="159"/>
      <c r="AE127" s="159"/>
      <c r="AF127" s="936">
        <f t="shared" si="131"/>
        <v>0</v>
      </c>
      <c r="AH127" s="936"/>
      <c r="AJ127" s="936"/>
      <c r="AL127" s="159">
        <f t="shared" si="127"/>
        <v>0</v>
      </c>
      <c r="AM127" s="791">
        <f t="shared" si="128"/>
        <v>0</v>
      </c>
    </row>
    <row r="128" spans="2:39" x14ac:dyDescent="0.35">
      <c r="B128" s="128">
        <v>6</v>
      </c>
      <c r="C128" s="129" t="s">
        <v>572</v>
      </c>
      <c r="D128" s="130" t="s">
        <v>564</v>
      </c>
      <c r="E128" s="159"/>
      <c r="F128" s="159">
        <f t="shared" ref="F128:Q128" si="135">F70*F108</f>
        <v>0</v>
      </c>
      <c r="G128" s="159">
        <f t="shared" si="135"/>
        <v>0</v>
      </c>
      <c r="H128" s="159">
        <f t="shared" si="135"/>
        <v>0</v>
      </c>
      <c r="I128" s="159">
        <f t="shared" si="135"/>
        <v>0</v>
      </c>
      <c r="J128" s="159">
        <f t="shared" si="135"/>
        <v>0</v>
      </c>
      <c r="K128" s="159">
        <f t="shared" si="135"/>
        <v>0</v>
      </c>
      <c r="L128" s="159">
        <f t="shared" si="135"/>
        <v>0</v>
      </c>
      <c r="M128" s="159">
        <f t="shared" si="135"/>
        <v>0</v>
      </c>
      <c r="N128" s="159">
        <f t="shared" si="135"/>
        <v>0</v>
      </c>
      <c r="O128" s="159">
        <f t="shared" si="135"/>
        <v>0</v>
      </c>
      <c r="P128" s="159">
        <f t="shared" si="135"/>
        <v>0</v>
      </c>
      <c r="Q128" s="159">
        <f t="shared" si="135"/>
        <v>0</v>
      </c>
      <c r="R128" s="936">
        <f t="shared" si="130"/>
        <v>0</v>
      </c>
      <c r="T128" s="159"/>
      <c r="U128" s="159"/>
      <c r="V128" s="159"/>
      <c r="W128" s="159"/>
      <c r="X128" s="159"/>
      <c r="Y128" s="159"/>
      <c r="Z128" s="159"/>
      <c r="AA128" s="159"/>
      <c r="AB128" s="159"/>
      <c r="AC128" s="159"/>
      <c r="AD128" s="159"/>
      <c r="AE128" s="159"/>
      <c r="AF128" s="936">
        <f t="shared" si="131"/>
        <v>0</v>
      </c>
      <c r="AH128" s="936"/>
      <c r="AJ128" s="936"/>
      <c r="AL128" s="159">
        <f t="shared" si="127"/>
        <v>0</v>
      </c>
      <c r="AM128" s="791">
        <f t="shared" si="128"/>
        <v>0</v>
      </c>
    </row>
    <row r="129" spans="2:39" x14ac:dyDescent="0.35">
      <c r="B129" s="128">
        <v>7</v>
      </c>
      <c r="C129" s="129" t="s">
        <v>573</v>
      </c>
      <c r="D129" s="130" t="s">
        <v>564</v>
      </c>
      <c r="E129" s="159"/>
      <c r="F129" s="159">
        <f t="shared" ref="F129:Q129" si="136">F71*F109</f>
        <v>0</v>
      </c>
      <c r="G129" s="159">
        <f t="shared" si="136"/>
        <v>0</v>
      </c>
      <c r="H129" s="159">
        <f t="shared" si="136"/>
        <v>0</v>
      </c>
      <c r="I129" s="159">
        <f t="shared" si="136"/>
        <v>0</v>
      </c>
      <c r="J129" s="159">
        <f t="shared" si="136"/>
        <v>0</v>
      </c>
      <c r="K129" s="159">
        <f t="shared" si="136"/>
        <v>0</v>
      </c>
      <c r="L129" s="159">
        <f t="shared" si="136"/>
        <v>0</v>
      </c>
      <c r="M129" s="159">
        <f t="shared" si="136"/>
        <v>0</v>
      </c>
      <c r="N129" s="159">
        <f t="shared" si="136"/>
        <v>0</v>
      </c>
      <c r="O129" s="159">
        <f t="shared" si="136"/>
        <v>0</v>
      </c>
      <c r="P129" s="159">
        <f t="shared" si="136"/>
        <v>0</v>
      </c>
      <c r="Q129" s="159">
        <f t="shared" si="136"/>
        <v>0</v>
      </c>
      <c r="R129" s="936">
        <f t="shared" si="130"/>
        <v>0</v>
      </c>
      <c r="T129" s="159"/>
      <c r="U129" s="159"/>
      <c r="V129" s="159"/>
      <c r="W129" s="159"/>
      <c r="X129" s="159"/>
      <c r="Y129" s="159"/>
      <c r="Z129" s="159"/>
      <c r="AA129" s="159"/>
      <c r="AB129" s="159"/>
      <c r="AC129" s="159"/>
      <c r="AD129" s="159"/>
      <c r="AE129" s="159"/>
      <c r="AF129" s="936">
        <f t="shared" si="131"/>
        <v>0</v>
      </c>
      <c r="AH129" s="936"/>
      <c r="AJ129" s="936"/>
      <c r="AL129" s="159">
        <f t="shared" si="127"/>
        <v>0</v>
      </c>
      <c r="AM129" s="791">
        <f t="shared" si="128"/>
        <v>0</v>
      </c>
    </row>
    <row r="130" spans="2:39" x14ac:dyDescent="0.35">
      <c r="B130" s="128">
        <v>8</v>
      </c>
      <c r="C130" s="129" t="s">
        <v>574</v>
      </c>
      <c r="D130" s="130" t="s">
        <v>564</v>
      </c>
      <c r="E130" s="159"/>
      <c r="F130" s="159">
        <f t="shared" ref="F130:Q130" si="137">F72*F110</f>
        <v>0</v>
      </c>
      <c r="G130" s="159">
        <f t="shared" si="137"/>
        <v>0</v>
      </c>
      <c r="H130" s="159">
        <f t="shared" si="137"/>
        <v>0</v>
      </c>
      <c r="I130" s="159">
        <f t="shared" si="137"/>
        <v>0</v>
      </c>
      <c r="J130" s="159">
        <f t="shared" si="137"/>
        <v>0</v>
      </c>
      <c r="K130" s="159">
        <f t="shared" si="137"/>
        <v>0</v>
      </c>
      <c r="L130" s="159">
        <f t="shared" si="137"/>
        <v>0</v>
      </c>
      <c r="M130" s="159">
        <f t="shared" si="137"/>
        <v>0</v>
      </c>
      <c r="N130" s="159">
        <f t="shared" si="137"/>
        <v>0</v>
      </c>
      <c r="O130" s="159">
        <f t="shared" si="137"/>
        <v>0</v>
      </c>
      <c r="P130" s="159">
        <f t="shared" si="137"/>
        <v>0</v>
      </c>
      <c r="Q130" s="159">
        <f t="shared" si="137"/>
        <v>0</v>
      </c>
      <c r="R130" s="936">
        <f t="shared" si="130"/>
        <v>0</v>
      </c>
      <c r="T130" s="159"/>
      <c r="U130" s="159"/>
      <c r="V130" s="159"/>
      <c r="W130" s="159"/>
      <c r="X130" s="159"/>
      <c r="Y130" s="159"/>
      <c r="Z130" s="159"/>
      <c r="AA130" s="159"/>
      <c r="AB130" s="159"/>
      <c r="AC130" s="159"/>
      <c r="AD130" s="159"/>
      <c r="AE130" s="159"/>
      <c r="AF130" s="936">
        <f t="shared" si="131"/>
        <v>0</v>
      </c>
      <c r="AH130" s="936"/>
      <c r="AJ130" s="936"/>
      <c r="AL130" s="159">
        <f t="shared" si="127"/>
        <v>0</v>
      </c>
      <c r="AM130" s="791">
        <f t="shared" si="128"/>
        <v>0</v>
      </c>
    </row>
    <row r="131" spans="2:39" x14ac:dyDescent="0.35">
      <c r="B131" s="128">
        <v>9</v>
      </c>
      <c r="C131" s="129" t="s">
        <v>575</v>
      </c>
      <c r="D131" s="130" t="s">
        <v>564</v>
      </c>
      <c r="E131" s="159"/>
      <c r="F131" s="159">
        <f t="shared" ref="F131:Q131" si="138">F73*F111</f>
        <v>0</v>
      </c>
      <c r="G131" s="159">
        <f t="shared" si="138"/>
        <v>0</v>
      </c>
      <c r="H131" s="159">
        <f t="shared" si="138"/>
        <v>0</v>
      </c>
      <c r="I131" s="159">
        <f t="shared" si="138"/>
        <v>0</v>
      </c>
      <c r="J131" s="159">
        <f t="shared" si="138"/>
        <v>0</v>
      </c>
      <c r="K131" s="159">
        <f t="shared" si="138"/>
        <v>0</v>
      </c>
      <c r="L131" s="159">
        <f t="shared" si="138"/>
        <v>0</v>
      </c>
      <c r="M131" s="159">
        <f t="shared" si="138"/>
        <v>0</v>
      </c>
      <c r="N131" s="159">
        <f t="shared" si="138"/>
        <v>0</v>
      </c>
      <c r="O131" s="159">
        <f t="shared" si="138"/>
        <v>0</v>
      </c>
      <c r="P131" s="159">
        <f t="shared" si="138"/>
        <v>0</v>
      </c>
      <c r="Q131" s="159">
        <f t="shared" si="138"/>
        <v>0</v>
      </c>
      <c r="R131" s="936">
        <f t="shared" si="130"/>
        <v>0</v>
      </c>
      <c r="T131" s="159"/>
      <c r="U131" s="159"/>
      <c r="V131" s="159"/>
      <c r="W131" s="159"/>
      <c r="X131" s="159"/>
      <c r="Y131" s="159"/>
      <c r="Z131" s="159"/>
      <c r="AA131" s="159"/>
      <c r="AB131" s="159"/>
      <c r="AC131" s="159"/>
      <c r="AD131" s="159"/>
      <c r="AE131" s="159"/>
      <c r="AF131" s="936">
        <f t="shared" si="131"/>
        <v>0</v>
      </c>
      <c r="AH131" s="936"/>
      <c r="AJ131" s="936"/>
      <c r="AL131" s="159">
        <f t="shared" si="127"/>
        <v>0</v>
      </c>
      <c r="AM131" s="791">
        <f t="shared" si="128"/>
        <v>0</v>
      </c>
    </row>
    <row r="132" spans="2:39" x14ac:dyDescent="0.35">
      <c r="B132" s="128">
        <v>10</v>
      </c>
      <c r="C132" s="129" t="s">
        <v>576</v>
      </c>
      <c r="D132" s="130" t="s">
        <v>564</v>
      </c>
      <c r="E132" s="159"/>
      <c r="F132" s="159">
        <f t="shared" ref="F132:Q132" si="139">F74*F112</f>
        <v>3438675000</v>
      </c>
      <c r="G132" s="159">
        <f t="shared" si="139"/>
        <v>2674525000</v>
      </c>
      <c r="H132" s="159">
        <f t="shared" si="139"/>
        <v>3820750000</v>
      </c>
      <c r="I132" s="159">
        <f t="shared" si="139"/>
        <v>4202825000</v>
      </c>
      <c r="J132" s="159">
        <f t="shared" si="139"/>
        <v>4210071249.999999</v>
      </c>
      <c r="K132" s="159">
        <f t="shared" si="139"/>
        <v>4217317500</v>
      </c>
      <c r="L132" s="159">
        <f t="shared" si="139"/>
        <v>4217317500</v>
      </c>
      <c r="M132" s="159">
        <f t="shared" si="139"/>
        <v>4217317500</v>
      </c>
      <c r="N132" s="159">
        <f t="shared" si="139"/>
        <v>4217317500</v>
      </c>
      <c r="O132" s="159">
        <f t="shared" si="139"/>
        <v>4217317500</v>
      </c>
      <c r="P132" s="159">
        <f t="shared" si="139"/>
        <v>4217317500</v>
      </c>
      <c r="Q132" s="159">
        <f t="shared" si="139"/>
        <v>4217317500</v>
      </c>
      <c r="R132" s="936">
        <f t="shared" si="130"/>
        <v>47868068750</v>
      </c>
      <c r="T132" s="159">
        <v>3026397500</v>
      </c>
      <c r="U132" s="159"/>
      <c r="V132" s="159">
        <v>1661530986</v>
      </c>
      <c r="W132" s="159">
        <f>2308890000-1275000</f>
        <v>2307615000</v>
      </c>
      <c r="X132" s="159">
        <f>2444280000-38198000</f>
        <v>2406082000</v>
      </c>
      <c r="Y132" s="159">
        <f>1434845500-1540500</f>
        <v>1433305000</v>
      </c>
      <c r="Z132" s="159">
        <v>2285030552</v>
      </c>
      <c r="AA132" s="159">
        <v>2927154060</v>
      </c>
      <c r="AB132" s="159">
        <v>2639008380</v>
      </c>
      <c r="AC132" s="159">
        <v>1634688000</v>
      </c>
      <c r="AD132" s="159">
        <v>1634688000</v>
      </c>
      <c r="AE132" s="159">
        <v>1634688000</v>
      </c>
      <c r="AF132" s="936">
        <f t="shared" si="131"/>
        <v>23590187478</v>
      </c>
      <c r="AH132" s="936"/>
      <c r="AJ132" s="936"/>
      <c r="AL132" s="159">
        <f t="shared" si="127"/>
        <v>24277881272</v>
      </c>
      <c r="AM132" s="791">
        <f t="shared" si="128"/>
        <v>1.0291516883721816</v>
      </c>
    </row>
    <row r="133" spans="2:39" x14ac:dyDescent="0.35">
      <c r="B133" s="128">
        <v>11</v>
      </c>
      <c r="C133" s="129" t="s">
        <v>577</v>
      </c>
      <c r="D133" s="130" t="s">
        <v>564</v>
      </c>
      <c r="E133" s="159"/>
      <c r="F133" s="159">
        <f t="shared" ref="F133:Q133" si="140">F75*F113</f>
        <v>0</v>
      </c>
      <c r="G133" s="159">
        <f t="shared" si="140"/>
        <v>0</v>
      </c>
      <c r="H133" s="159">
        <f t="shared" si="140"/>
        <v>0</v>
      </c>
      <c r="I133" s="159">
        <f t="shared" si="140"/>
        <v>0</v>
      </c>
      <c r="J133" s="159">
        <f t="shared" si="140"/>
        <v>0</v>
      </c>
      <c r="K133" s="159">
        <f t="shared" si="140"/>
        <v>0</v>
      </c>
      <c r="L133" s="159">
        <f t="shared" si="140"/>
        <v>0</v>
      </c>
      <c r="M133" s="159">
        <f t="shared" si="140"/>
        <v>0</v>
      </c>
      <c r="N133" s="159">
        <f t="shared" si="140"/>
        <v>0</v>
      </c>
      <c r="O133" s="159">
        <f t="shared" si="140"/>
        <v>0</v>
      </c>
      <c r="P133" s="159">
        <f t="shared" si="140"/>
        <v>0</v>
      </c>
      <c r="Q133" s="159">
        <f t="shared" si="140"/>
        <v>0</v>
      </c>
      <c r="R133" s="936">
        <f t="shared" si="130"/>
        <v>0</v>
      </c>
      <c r="T133" s="159"/>
      <c r="U133" s="159"/>
      <c r="V133" s="159"/>
      <c r="W133" s="159"/>
      <c r="X133" s="159"/>
      <c r="Y133" s="159"/>
      <c r="Z133" s="159"/>
      <c r="AA133" s="159"/>
      <c r="AB133" s="159"/>
      <c r="AC133" s="159"/>
      <c r="AD133" s="159"/>
      <c r="AE133" s="159"/>
      <c r="AF133" s="936">
        <f t="shared" si="131"/>
        <v>0</v>
      </c>
      <c r="AH133" s="936"/>
      <c r="AJ133" s="936"/>
      <c r="AL133" s="159">
        <f t="shared" si="127"/>
        <v>0</v>
      </c>
      <c r="AM133" s="791">
        <f t="shared" si="128"/>
        <v>0</v>
      </c>
    </row>
    <row r="134" spans="2:39" x14ac:dyDescent="0.35">
      <c r="B134" s="128">
        <v>12</v>
      </c>
      <c r="C134" s="129" t="s">
        <v>578</v>
      </c>
      <c r="D134" s="130" t="s">
        <v>564</v>
      </c>
      <c r="E134" s="159"/>
      <c r="F134" s="159">
        <f t="shared" ref="F134:Q134" si="141">F76*F114</f>
        <v>0</v>
      </c>
      <c r="G134" s="159">
        <f t="shared" si="141"/>
        <v>0</v>
      </c>
      <c r="H134" s="159">
        <f t="shared" si="141"/>
        <v>0</v>
      </c>
      <c r="I134" s="159">
        <f t="shared" si="141"/>
        <v>0</v>
      </c>
      <c r="J134" s="159">
        <f t="shared" si="141"/>
        <v>0</v>
      </c>
      <c r="K134" s="159">
        <f t="shared" si="141"/>
        <v>0</v>
      </c>
      <c r="L134" s="159">
        <f t="shared" si="141"/>
        <v>0</v>
      </c>
      <c r="M134" s="159">
        <f t="shared" si="141"/>
        <v>0</v>
      </c>
      <c r="N134" s="159">
        <f t="shared" si="141"/>
        <v>0</v>
      </c>
      <c r="O134" s="159">
        <f t="shared" si="141"/>
        <v>0</v>
      </c>
      <c r="P134" s="159">
        <f t="shared" si="141"/>
        <v>0</v>
      </c>
      <c r="Q134" s="159">
        <f t="shared" si="141"/>
        <v>0</v>
      </c>
      <c r="R134" s="936">
        <f t="shared" si="130"/>
        <v>0</v>
      </c>
      <c r="T134" s="159"/>
      <c r="U134" s="159"/>
      <c r="V134" s="159"/>
      <c r="W134" s="159"/>
      <c r="X134" s="159"/>
      <c r="Y134" s="159"/>
      <c r="Z134" s="159"/>
      <c r="AA134" s="159"/>
      <c r="AB134" s="159"/>
      <c r="AC134" s="159"/>
      <c r="AD134" s="159"/>
      <c r="AE134" s="159"/>
      <c r="AF134" s="936">
        <f t="shared" si="131"/>
        <v>0</v>
      </c>
      <c r="AH134" s="936"/>
      <c r="AJ134" s="936"/>
      <c r="AL134" s="159">
        <f t="shared" si="127"/>
        <v>0</v>
      </c>
      <c r="AM134" s="791">
        <f t="shared" si="128"/>
        <v>0</v>
      </c>
    </row>
    <row r="135" spans="2:39" x14ac:dyDescent="0.35">
      <c r="B135" s="128">
        <v>13</v>
      </c>
      <c r="C135" s="927" t="s">
        <v>579</v>
      </c>
      <c r="D135" s="130" t="s">
        <v>564</v>
      </c>
      <c r="E135" s="159"/>
      <c r="F135" s="159">
        <f t="shared" ref="F135:Q135" si="142">F77*F115</f>
        <v>0</v>
      </c>
      <c r="G135" s="159">
        <f t="shared" si="142"/>
        <v>0</v>
      </c>
      <c r="H135" s="159">
        <f t="shared" si="142"/>
        <v>0</v>
      </c>
      <c r="I135" s="159">
        <f t="shared" si="142"/>
        <v>0</v>
      </c>
      <c r="J135" s="159">
        <f t="shared" si="142"/>
        <v>0</v>
      </c>
      <c r="K135" s="159">
        <f t="shared" si="142"/>
        <v>0</v>
      </c>
      <c r="L135" s="159">
        <f t="shared" si="142"/>
        <v>0</v>
      </c>
      <c r="M135" s="159">
        <f t="shared" si="142"/>
        <v>0</v>
      </c>
      <c r="N135" s="159">
        <f t="shared" si="142"/>
        <v>0</v>
      </c>
      <c r="O135" s="159">
        <f t="shared" si="142"/>
        <v>0</v>
      </c>
      <c r="P135" s="159">
        <f t="shared" si="142"/>
        <v>0</v>
      </c>
      <c r="Q135" s="159">
        <f t="shared" si="142"/>
        <v>0</v>
      </c>
      <c r="R135" s="936">
        <f t="shared" si="130"/>
        <v>0</v>
      </c>
      <c r="T135" s="159"/>
      <c r="U135" s="159"/>
      <c r="V135" s="159"/>
      <c r="W135" s="159"/>
      <c r="X135" s="159"/>
      <c r="Y135" s="159"/>
      <c r="Z135" s="159"/>
      <c r="AA135" s="159"/>
      <c r="AB135" s="159"/>
      <c r="AC135" s="159"/>
      <c r="AD135" s="159"/>
      <c r="AE135" s="159"/>
      <c r="AF135" s="936">
        <f t="shared" si="131"/>
        <v>0</v>
      </c>
      <c r="AH135" s="936"/>
      <c r="AJ135" s="936"/>
      <c r="AL135" s="159">
        <f t="shared" si="127"/>
        <v>0</v>
      </c>
      <c r="AM135" s="791">
        <f t="shared" si="128"/>
        <v>0</v>
      </c>
    </row>
    <row r="136" spans="2:39" x14ac:dyDescent="0.35">
      <c r="B136" s="128">
        <v>14</v>
      </c>
      <c r="C136" s="129" t="s">
        <v>580</v>
      </c>
      <c r="D136" s="130" t="s">
        <v>564</v>
      </c>
      <c r="E136" s="159"/>
      <c r="F136" s="159">
        <f>F78*F116</f>
        <v>130500000</v>
      </c>
      <c r="G136" s="159">
        <f t="shared" ref="G136:Q136" si="143">G78*G116</f>
        <v>101500000</v>
      </c>
      <c r="H136" s="159">
        <f t="shared" si="143"/>
        <v>145000000</v>
      </c>
      <c r="I136" s="159">
        <f t="shared" si="143"/>
        <v>159500000</v>
      </c>
      <c r="J136" s="159">
        <f t="shared" si="143"/>
        <v>159774999.99999997</v>
      </c>
      <c r="K136" s="159">
        <f t="shared" si="143"/>
        <v>160050000</v>
      </c>
      <c r="L136" s="159">
        <f t="shared" si="143"/>
        <v>160050000</v>
      </c>
      <c r="M136" s="159">
        <f t="shared" si="143"/>
        <v>160050000</v>
      </c>
      <c r="N136" s="159">
        <f t="shared" si="143"/>
        <v>160050000</v>
      </c>
      <c r="O136" s="159">
        <f t="shared" si="143"/>
        <v>160050000</v>
      </c>
      <c r="P136" s="159">
        <f t="shared" si="143"/>
        <v>160050000</v>
      </c>
      <c r="Q136" s="159">
        <f t="shared" si="143"/>
        <v>160050000</v>
      </c>
      <c r="R136" s="936">
        <f t="shared" si="130"/>
        <v>1816625000</v>
      </c>
      <c r="T136" s="159">
        <v>445404698</v>
      </c>
      <c r="U136" s="159">
        <v>154468000</v>
      </c>
      <c r="V136" s="159">
        <v>97236000</v>
      </c>
      <c r="W136" s="159">
        <v>160460200</v>
      </c>
      <c r="X136" s="159">
        <v>345429500</v>
      </c>
      <c r="Y136" s="159">
        <v>94097500</v>
      </c>
      <c r="Z136" s="159">
        <v>154204428</v>
      </c>
      <c r="AA136" s="159">
        <v>384887560</v>
      </c>
      <c r="AB136" s="159">
        <v>408032340</v>
      </c>
      <c r="AC136" s="159">
        <v>114048000</v>
      </c>
      <c r="AD136" s="159">
        <v>114048000</v>
      </c>
      <c r="AE136" s="159">
        <v>114048000</v>
      </c>
      <c r="AF136" s="936">
        <f t="shared" si="131"/>
        <v>2586364226</v>
      </c>
      <c r="AH136" s="936"/>
      <c r="AJ136" s="936"/>
      <c r="AL136" s="159">
        <f t="shared" si="127"/>
        <v>-769739226</v>
      </c>
      <c r="AM136" s="791">
        <f t="shared" si="128"/>
        <v>-0.29761439562998349</v>
      </c>
    </row>
    <row r="137" spans="2:39" x14ac:dyDescent="0.35">
      <c r="B137" s="128">
        <v>15</v>
      </c>
      <c r="C137" s="129" t="s">
        <v>175</v>
      </c>
      <c r="D137" s="130" t="s">
        <v>564</v>
      </c>
      <c r="E137" s="159"/>
      <c r="F137" s="159">
        <f t="shared" ref="F137:Q137" si="144">F79*F117</f>
        <v>0</v>
      </c>
      <c r="G137" s="159">
        <f t="shared" si="144"/>
        <v>0</v>
      </c>
      <c r="H137" s="159">
        <f t="shared" si="144"/>
        <v>0</v>
      </c>
      <c r="I137" s="159">
        <f t="shared" si="144"/>
        <v>0</v>
      </c>
      <c r="J137" s="159">
        <f t="shared" si="144"/>
        <v>0</v>
      </c>
      <c r="K137" s="159">
        <f t="shared" si="144"/>
        <v>0</v>
      </c>
      <c r="L137" s="159">
        <f t="shared" si="144"/>
        <v>0</v>
      </c>
      <c r="M137" s="159">
        <f t="shared" si="144"/>
        <v>0</v>
      </c>
      <c r="N137" s="159">
        <f t="shared" si="144"/>
        <v>0</v>
      </c>
      <c r="O137" s="159">
        <f t="shared" si="144"/>
        <v>0</v>
      </c>
      <c r="P137" s="159">
        <f t="shared" si="144"/>
        <v>0</v>
      </c>
      <c r="Q137" s="159">
        <f t="shared" si="144"/>
        <v>0</v>
      </c>
      <c r="R137" s="936">
        <f t="shared" si="130"/>
        <v>0</v>
      </c>
      <c r="T137" s="159"/>
      <c r="U137" s="159"/>
      <c r="V137" s="159"/>
      <c r="W137" s="159"/>
      <c r="X137" s="159"/>
      <c r="Y137" s="159"/>
      <c r="Z137" s="159"/>
      <c r="AA137" s="159"/>
      <c r="AB137" s="159"/>
      <c r="AC137" s="159"/>
      <c r="AD137" s="159"/>
      <c r="AE137" s="159"/>
      <c r="AF137" s="936">
        <f t="shared" si="131"/>
        <v>0</v>
      </c>
      <c r="AH137" s="936"/>
      <c r="AJ137" s="936"/>
      <c r="AL137" s="159">
        <f t="shared" si="127"/>
        <v>0</v>
      </c>
      <c r="AM137" s="791">
        <f t="shared" si="128"/>
        <v>0</v>
      </c>
    </row>
    <row r="138" spans="2:39" x14ac:dyDescent="0.35">
      <c r="B138" s="163"/>
      <c r="C138" s="164" t="s">
        <v>480</v>
      </c>
      <c r="D138" s="928"/>
      <c r="E138" s="937">
        <f>SUM(E123:E137)</f>
        <v>0</v>
      </c>
      <c r="F138" s="937">
        <f>SUM(F123:F137)</f>
        <v>3569175000</v>
      </c>
      <c r="G138" s="937">
        <f t="shared" ref="G138:Q138" si="145">SUM(G123:G137)</f>
        <v>2776025000</v>
      </c>
      <c r="H138" s="937">
        <f t="shared" si="145"/>
        <v>3965750000</v>
      </c>
      <c r="I138" s="937">
        <f t="shared" si="145"/>
        <v>4362325000</v>
      </c>
      <c r="J138" s="937">
        <f t="shared" si="145"/>
        <v>4369846249.999999</v>
      </c>
      <c r="K138" s="937">
        <f t="shared" si="145"/>
        <v>4377367500</v>
      </c>
      <c r="L138" s="937">
        <f t="shared" si="145"/>
        <v>4377367500</v>
      </c>
      <c r="M138" s="937">
        <f t="shared" si="145"/>
        <v>4377367500</v>
      </c>
      <c r="N138" s="937">
        <f t="shared" si="145"/>
        <v>4377367500</v>
      </c>
      <c r="O138" s="937">
        <f t="shared" si="145"/>
        <v>4377367500</v>
      </c>
      <c r="P138" s="937">
        <f t="shared" si="145"/>
        <v>4377367500</v>
      </c>
      <c r="Q138" s="937">
        <f t="shared" si="145"/>
        <v>4377367500</v>
      </c>
      <c r="R138" s="937">
        <f t="shared" ref="R138" si="146">SUM(F138:Q138)</f>
        <v>49684693750</v>
      </c>
      <c r="T138" s="937">
        <f>SUM(T123:T137)</f>
        <v>3471802198</v>
      </c>
      <c r="U138" s="937">
        <f t="shared" ref="U138:AE138" si="147">SUM(U123:U137)</f>
        <v>154468000</v>
      </c>
      <c r="V138" s="937">
        <f t="shared" si="147"/>
        <v>1758766986</v>
      </c>
      <c r="W138" s="937">
        <f t="shared" si="147"/>
        <v>2745395200</v>
      </c>
      <c r="X138" s="937">
        <f t="shared" si="147"/>
        <v>2751511500</v>
      </c>
      <c r="Y138" s="937">
        <f t="shared" si="147"/>
        <v>1527402500</v>
      </c>
      <c r="Z138" s="937">
        <f t="shared" si="147"/>
        <v>2439234980</v>
      </c>
      <c r="AA138" s="937">
        <f t="shared" si="147"/>
        <v>3312041620</v>
      </c>
      <c r="AB138" s="937">
        <f t="shared" si="147"/>
        <v>3047040720</v>
      </c>
      <c r="AC138" s="937">
        <f t="shared" si="147"/>
        <v>1748736000</v>
      </c>
      <c r="AD138" s="937">
        <f t="shared" si="147"/>
        <v>1748736000</v>
      </c>
      <c r="AE138" s="937">
        <f t="shared" si="147"/>
        <v>1748736000</v>
      </c>
      <c r="AF138" s="937">
        <f>SUM(T138:AE138)</f>
        <v>26453871704</v>
      </c>
      <c r="AH138" s="937">
        <f t="shared" ref="AH138" si="148">SUM(V138:AG138)</f>
        <v>49281473210</v>
      </c>
      <c r="AJ138" s="937">
        <f t="shared" ref="AJ138" si="149">SUM(X138:AI138)</f>
        <v>94058784234</v>
      </c>
      <c r="AL138" s="166">
        <f t="shared" si="127"/>
        <v>23230822046</v>
      </c>
      <c r="AM138" s="929">
        <f t="shared" si="128"/>
        <v>0.87816340481031907</v>
      </c>
    </row>
    <row r="140" spans="2:39" x14ac:dyDescent="0.35">
      <c r="B140" s="4" t="s">
        <v>2197</v>
      </c>
      <c r="R140" s="89"/>
      <c r="AF140" s="89"/>
      <c r="AH140" s="89"/>
      <c r="AJ140" s="89"/>
      <c r="AL140" s="89"/>
      <c r="AM140" s="89"/>
    </row>
    <row r="141" spans="2:39" ht="26" x14ac:dyDescent="0.35">
      <c r="B141" s="187" t="s">
        <v>36</v>
      </c>
      <c r="C141" s="187" t="s">
        <v>566</v>
      </c>
      <c r="D141" s="187" t="s">
        <v>257</v>
      </c>
      <c r="E141" s="116" t="s">
        <v>525</v>
      </c>
      <c r="F141" s="116" t="s">
        <v>149</v>
      </c>
      <c r="G141" s="116" t="s">
        <v>150</v>
      </c>
      <c r="H141" s="116" t="s">
        <v>151</v>
      </c>
      <c r="I141" s="116" t="s">
        <v>152</v>
      </c>
      <c r="J141" s="116" t="s">
        <v>153</v>
      </c>
      <c r="K141" s="116" t="s">
        <v>154</v>
      </c>
      <c r="L141" s="116" t="s">
        <v>155</v>
      </c>
      <c r="M141" s="116" t="s">
        <v>156</v>
      </c>
      <c r="N141" s="116" t="s">
        <v>157</v>
      </c>
      <c r="O141" s="116" t="s">
        <v>158</v>
      </c>
      <c r="P141" s="116" t="s">
        <v>159</v>
      </c>
      <c r="Q141" s="116" t="s">
        <v>160</v>
      </c>
      <c r="R141" s="116" t="s">
        <v>2147</v>
      </c>
      <c r="S141" s="10"/>
      <c r="T141" s="714" t="s">
        <v>149</v>
      </c>
      <c r="U141" s="714" t="s">
        <v>150</v>
      </c>
      <c r="V141" s="714" t="s">
        <v>151</v>
      </c>
      <c r="W141" s="714" t="s">
        <v>152</v>
      </c>
      <c r="X141" s="714" t="s">
        <v>153</v>
      </c>
      <c r="Y141" s="714" t="s">
        <v>154</v>
      </c>
      <c r="Z141" s="714" t="s">
        <v>155</v>
      </c>
      <c r="AA141" s="714" t="s">
        <v>156</v>
      </c>
      <c r="AB141" s="714" t="s">
        <v>157</v>
      </c>
      <c r="AC141" s="714" t="s">
        <v>158</v>
      </c>
      <c r="AD141" s="714" t="s">
        <v>159</v>
      </c>
      <c r="AE141" s="714" t="s">
        <v>160</v>
      </c>
      <c r="AF141" s="714" t="s">
        <v>148</v>
      </c>
      <c r="AG141" s="10"/>
      <c r="AH141" s="714" t="s">
        <v>526</v>
      </c>
      <c r="AI141" s="10"/>
      <c r="AJ141" s="714" t="s">
        <v>527</v>
      </c>
      <c r="AK141" s="10"/>
      <c r="AL141" s="721" t="s">
        <v>528</v>
      </c>
      <c r="AM141" s="722" t="s">
        <v>529</v>
      </c>
    </row>
    <row r="142" spans="2:39" s="1306" customFormat="1" x14ac:dyDescent="0.35">
      <c r="B142" s="1300">
        <v>1</v>
      </c>
      <c r="C142" s="1301" t="s">
        <v>567</v>
      </c>
      <c r="D142" s="1302" t="s">
        <v>564</v>
      </c>
      <c r="E142" s="1303"/>
      <c r="F142" s="1303">
        <f>F84*F103</f>
        <v>0</v>
      </c>
      <c r="G142" s="1303">
        <f t="shared" ref="G142:Q142" si="150">G84*G103</f>
        <v>0</v>
      </c>
      <c r="H142" s="1303">
        <f t="shared" si="150"/>
        <v>0</v>
      </c>
      <c r="I142" s="1303">
        <f t="shared" si="150"/>
        <v>0</v>
      </c>
      <c r="J142" s="1303">
        <f t="shared" si="150"/>
        <v>0</v>
      </c>
      <c r="K142" s="1316">
        <f>K84*K103</f>
        <v>8601738750</v>
      </c>
      <c r="L142" s="1316">
        <f t="shared" si="150"/>
        <v>8601738750</v>
      </c>
      <c r="M142" s="1316">
        <f t="shared" si="150"/>
        <v>8601738750</v>
      </c>
      <c r="N142" s="1316">
        <f t="shared" si="150"/>
        <v>8601738750</v>
      </c>
      <c r="O142" s="1316">
        <f t="shared" si="150"/>
        <v>8601738750</v>
      </c>
      <c r="P142" s="1316">
        <f t="shared" si="150"/>
        <v>8601738750</v>
      </c>
      <c r="Q142" s="1316">
        <f t="shared" si="150"/>
        <v>8601738750</v>
      </c>
      <c r="R142" s="1317">
        <f>SUM(F142:Q142)</f>
        <v>60212171250</v>
      </c>
      <c r="T142" s="1303"/>
      <c r="U142" s="1303"/>
      <c r="V142" s="1303"/>
      <c r="W142" s="1303">
        <v>277320000</v>
      </c>
      <c r="X142" s="1303"/>
      <c r="Y142" s="1303"/>
      <c r="Z142" s="1303"/>
      <c r="AA142" s="1303"/>
      <c r="AB142" s="1303"/>
      <c r="AC142" s="1303"/>
      <c r="AD142" s="1303"/>
      <c r="AE142" s="1303"/>
      <c r="AF142" s="1307">
        <f>SUM(T142:AE142)</f>
        <v>277320000</v>
      </c>
      <c r="AH142" s="1307"/>
      <c r="AJ142" s="1307"/>
      <c r="AL142" s="1303">
        <f t="shared" ref="AL142:AL157" si="151">IFERROR(R142-AF142,0)</f>
        <v>59934851250</v>
      </c>
      <c r="AM142" s="1309">
        <f t="shared" ref="AM142:AM157" si="152">IFERROR((R142/AF142)-1,0)</f>
        <v>216.12163295110341</v>
      </c>
    </row>
    <row r="143" spans="2:39" ht="25" x14ac:dyDescent="0.35">
      <c r="B143" s="128">
        <v>2</v>
      </c>
      <c r="C143" s="129" t="s">
        <v>568</v>
      </c>
      <c r="D143" s="130" t="s">
        <v>564</v>
      </c>
      <c r="E143" s="159"/>
      <c r="F143" s="159">
        <f t="shared" ref="F143:Q156" si="153">F85*F104</f>
        <v>0</v>
      </c>
      <c r="G143" s="159">
        <f t="shared" si="153"/>
        <v>0</v>
      </c>
      <c r="H143" s="159">
        <f t="shared" si="153"/>
        <v>0</v>
      </c>
      <c r="I143" s="159">
        <f t="shared" si="153"/>
        <v>0</v>
      </c>
      <c r="J143" s="159">
        <f t="shared" si="153"/>
        <v>0</v>
      </c>
      <c r="K143" s="159">
        <f t="shared" si="153"/>
        <v>0</v>
      </c>
      <c r="L143" s="159">
        <f t="shared" si="153"/>
        <v>0</v>
      </c>
      <c r="M143" s="159">
        <f t="shared" si="153"/>
        <v>0</v>
      </c>
      <c r="N143" s="159">
        <f t="shared" si="153"/>
        <v>0</v>
      </c>
      <c r="O143" s="159">
        <f t="shared" si="153"/>
        <v>0</v>
      </c>
      <c r="P143" s="159">
        <f t="shared" si="153"/>
        <v>0</v>
      </c>
      <c r="Q143" s="159">
        <f t="shared" si="153"/>
        <v>0</v>
      </c>
      <c r="R143" s="936">
        <f t="shared" ref="R143:R156" si="154">SUM(F143:Q143)</f>
        <v>0</v>
      </c>
      <c r="T143" s="159"/>
      <c r="U143" s="159"/>
      <c r="V143" s="159"/>
      <c r="W143" s="159"/>
      <c r="X143" s="159"/>
      <c r="Y143" s="159"/>
      <c r="Z143" s="159"/>
      <c r="AA143" s="159"/>
      <c r="AB143" s="159"/>
      <c r="AC143" s="159"/>
      <c r="AD143" s="159"/>
      <c r="AE143" s="159"/>
      <c r="AF143" s="936">
        <f t="shared" ref="AF143:AF156" si="155">SUM(T143:AE143)</f>
        <v>0</v>
      </c>
      <c r="AH143" s="936"/>
      <c r="AJ143" s="936"/>
      <c r="AL143" s="159">
        <f t="shared" si="151"/>
        <v>0</v>
      </c>
      <c r="AM143" s="791">
        <f t="shared" si="152"/>
        <v>0</v>
      </c>
    </row>
    <row r="144" spans="2:39" x14ac:dyDescent="0.35">
      <c r="B144" s="128">
        <v>3</v>
      </c>
      <c r="C144" s="129" t="s">
        <v>569</v>
      </c>
      <c r="D144" s="130" t="s">
        <v>564</v>
      </c>
      <c r="E144" s="159"/>
      <c r="F144" s="159">
        <f t="shared" si="153"/>
        <v>0</v>
      </c>
      <c r="G144" s="159">
        <f t="shared" si="153"/>
        <v>0</v>
      </c>
      <c r="H144" s="159">
        <f t="shared" si="153"/>
        <v>0</v>
      </c>
      <c r="I144" s="159">
        <f t="shared" si="153"/>
        <v>0</v>
      </c>
      <c r="J144" s="159">
        <f t="shared" si="153"/>
        <v>0</v>
      </c>
      <c r="K144" s="159">
        <f t="shared" si="153"/>
        <v>0</v>
      </c>
      <c r="L144" s="159">
        <f t="shared" si="153"/>
        <v>0</v>
      </c>
      <c r="M144" s="159">
        <f t="shared" si="153"/>
        <v>0</v>
      </c>
      <c r="N144" s="159">
        <f t="shared" si="153"/>
        <v>0</v>
      </c>
      <c r="O144" s="159">
        <f t="shared" si="153"/>
        <v>0</v>
      </c>
      <c r="P144" s="159">
        <f t="shared" si="153"/>
        <v>0</v>
      </c>
      <c r="Q144" s="159">
        <f t="shared" si="153"/>
        <v>0</v>
      </c>
      <c r="R144" s="936">
        <f t="shared" si="154"/>
        <v>0</v>
      </c>
      <c r="T144" s="159"/>
      <c r="U144" s="159"/>
      <c r="V144" s="159"/>
      <c r="W144" s="159"/>
      <c r="X144" s="159"/>
      <c r="Y144" s="159"/>
      <c r="Z144" s="159"/>
      <c r="AA144" s="159"/>
      <c r="AB144" s="159"/>
      <c r="AC144" s="159"/>
      <c r="AD144" s="159"/>
      <c r="AE144" s="159"/>
      <c r="AF144" s="936">
        <f t="shared" si="155"/>
        <v>0</v>
      </c>
      <c r="AH144" s="936"/>
      <c r="AJ144" s="936"/>
      <c r="AL144" s="159">
        <f t="shared" si="151"/>
        <v>0</v>
      </c>
      <c r="AM144" s="791">
        <f t="shared" si="152"/>
        <v>0</v>
      </c>
    </row>
    <row r="145" spans="2:41" x14ac:dyDescent="0.35">
      <c r="B145" s="128">
        <v>4</v>
      </c>
      <c r="C145" s="129" t="s">
        <v>570</v>
      </c>
      <c r="D145" s="130" t="s">
        <v>564</v>
      </c>
      <c r="E145" s="159"/>
      <c r="F145" s="159">
        <f t="shared" si="153"/>
        <v>0</v>
      </c>
      <c r="G145" s="159">
        <f t="shared" si="153"/>
        <v>0</v>
      </c>
      <c r="H145" s="159">
        <f t="shared" si="153"/>
        <v>0</v>
      </c>
      <c r="I145" s="159">
        <f t="shared" si="153"/>
        <v>0</v>
      </c>
      <c r="J145" s="159">
        <f t="shared" si="153"/>
        <v>0</v>
      </c>
      <c r="K145" s="159">
        <f t="shared" si="153"/>
        <v>0</v>
      </c>
      <c r="L145" s="159">
        <f t="shared" si="153"/>
        <v>0</v>
      </c>
      <c r="M145" s="159">
        <f t="shared" si="153"/>
        <v>0</v>
      </c>
      <c r="N145" s="159">
        <f t="shared" si="153"/>
        <v>0</v>
      </c>
      <c r="O145" s="159">
        <f t="shared" si="153"/>
        <v>0</v>
      </c>
      <c r="P145" s="159">
        <f t="shared" si="153"/>
        <v>0</v>
      </c>
      <c r="Q145" s="159">
        <f t="shared" si="153"/>
        <v>0</v>
      </c>
      <c r="R145" s="936">
        <f t="shared" si="154"/>
        <v>0</v>
      </c>
      <c r="T145" s="159"/>
      <c r="U145" s="159"/>
      <c r="V145" s="159"/>
      <c r="W145" s="159"/>
      <c r="X145" s="159"/>
      <c r="Y145" s="159"/>
      <c r="Z145" s="159"/>
      <c r="AA145" s="159"/>
      <c r="AB145" s="159"/>
      <c r="AC145" s="159"/>
      <c r="AD145" s="159"/>
      <c r="AE145" s="159"/>
      <c r="AF145" s="936">
        <f t="shared" si="155"/>
        <v>0</v>
      </c>
      <c r="AH145" s="936"/>
      <c r="AJ145" s="936"/>
      <c r="AL145" s="159">
        <f t="shared" si="151"/>
        <v>0</v>
      </c>
      <c r="AM145" s="791">
        <f t="shared" si="152"/>
        <v>0</v>
      </c>
    </row>
    <row r="146" spans="2:41" x14ac:dyDescent="0.35">
      <c r="B146" s="128">
        <v>5</v>
      </c>
      <c r="C146" s="129" t="s">
        <v>571</v>
      </c>
      <c r="D146" s="130" t="s">
        <v>564</v>
      </c>
      <c r="E146" s="159"/>
      <c r="F146" s="159">
        <f t="shared" si="153"/>
        <v>0</v>
      </c>
      <c r="G146" s="159">
        <f t="shared" si="153"/>
        <v>0</v>
      </c>
      <c r="H146" s="159">
        <f t="shared" si="153"/>
        <v>0</v>
      </c>
      <c r="I146" s="159">
        <f t="shared" si="153"/>
        <v>0</v>
      </c>
      <c r="J146" s="159">
        <f t="shared" si="153"/>
        <v>0</v>
      </c>
      <c r="K146" s="159">
        <f t="shared" si="153"/>
        <v>0</v>
      </c>
      <c r="L146" s="159">
        <f t="shared" si="153"/>
        <v>0</v>
      </c>
      <c r="M146" s="159">
        <f t="shared" si="153"/>
        <v>0</v>
      </c>
      <c r="N146" s="159">
        <f t="shared" si="153"/>
        <v>0</v>
      </c>
      <c r="O146" s="159">
        <f t="shared" si="153"/>
        <v>0</v>
      </c>
      <c r="P146" s="159">
        <f t="shared" si="153"/>
        <v>0</v>
      </c>
      <c r="Q146" s="159">
        <f t="shared" si="153"/>
        <v>0</v>
      </c>
      <c r="R146" s="936">
        <f t="shared" si="154"/>
        <v>0</v>
      </c>
      <c r="T146" s="159"/>
      <c r="U146" s="159"/>
      <c r="V146" s="159"/>
      <c r="W146" s="159"/>
      <c r="X146" s="159"/>
      <c r="Y146" s="159"/>
      <c r="Z146" s="159"/>
      <c r="AA146" s="159"/>
      <c r="AB146" s="159"/>
      <c r="AC146" s="159"/>
      <c r="AD146" s="159"/>
      <c r="AE146" s="159"/>
      <c r="AF146" s="936">
        <f t="shared" si="155"/>
        <v>0</v>
      </c>
      <c r="AH146" s="936"/>
      <c r="AJ146" s="936"/>
      <c r="AL146" s="159">
        <f t="shared" si="151"/>
        <v>0</v>
      </c>
      <c r="AM146" s="791">
        <f t="shared" si="152"/>
        <v>0</v>
      </c>
    </row>
    <row r="147" spans="2:41" x14ac:dyDescent="0.35">
      <c r="B147" s="128">
        <v>6</v>
      </c>
      <c r="C147" s="129" t="s">
        <v>572</v>
      </c>
      <c r="D147" s="130" t="s">
        <v>564</v>
      </c>
      <c r="E147" s="159"/>
      <c r="F147" s="159">
        <f t="shared" si="153"/>
        <v>0</v>
      </c>
      <c r="G147" s="159">
        <f t="shared" si="153"/>
        <v>0</v>
      </c>
      <c r="H147" s="159">
        <f t="shared" si="153"/>
        <v>0</v>
      </c>
      <c r="I147" s="159">
        <f t="shared" si="153"/>
        <v>0</v>
      </c>
      <c r="J147" s="159">
        <f t="shared" si="153"/>
        <v>0</v>
      </c>
      <c r="K147" s="159">
        <f t="shared" si="153"/>
        <v>0</v>
      </c>
      <c r="L147" s="159">
        <f t="shared" si="153"/>
        <v>0</v>
      </c>
      <c r="M147" s="159">
        <f t="shared" si="153"/>
        <v>0</v>
      </c>
      <c r="N147" s="159">
        <f t="shared" si="153"/>
        <v>0</v>
      </c>
      <c r="O147" s="159">
        <f t="shared" si="153"/>
        <v>0</v>
      </c>
      <c r="P147" s="159">
        <f t="shared" si="153"/>
        <v>0</v>
      </c>
      <c r="Q147" s="159">
        <f t="shared" si="153"/>
        <v>0</v>
      </c>
      <c r="R147" s="936">
        <f t="shared" si="154"/>
        <v>0</v>
      </c>
      <c r="T147" s="159"/>
      <c r="U147" s="159"/>
      <c r="V147" s="159"/>
      <c r="W147" s="159"/>
      <c r="X147" s="159"/>
      <c r="Y147" s="159"/>
      <c r="Z147" s="159"/>
      <c r="AA147" s="159"/>
      <c r="AB147" s="159"/>
      <c r="AC147" s="159"/>
      <c r="AD147" s="159"/>
      <c r="AE147" s="159"/>
      <c r="AF147" s="936">
        <f t="shared" si="155"/>
        <v>0</v>
      </c>
      <c r="AH147" s="936"/>
      <c r="AJ147" s="936"/>
      <c r="AL147" s="159">
        <f t="shared" si="151"/>
        <v>0</v>
      </c>
      <c r="AM147" s="791">
        <f t="shared" si="152"/>
        <v>0</v>
      </c>
    </row>
    <row r="148" spans="2:41" x14ac:dyDescent="0.35">
      <c r="B148" s="128">
        <v>7</v>
      </c>
      <c r="C148" s="129" t="s">
        <v>573</v>
      </c>
      <c r="D148" s="130" t="s">
        <v>564</v>
      </c>
      <c r="E148" s="159"/>
      <c r="F148" s="159">
        <f t="shared" si="153"/>
        <v>0</v>
      </c>
      <c r="G148" s="159">
        <f t="shared" si="153"/>
        <v>0</v>
      </c>
      <c r="H148" s="159">
        <f t="shared" si="153"/>
        <v>0</v>
      </c>
      <c r="I148" s="159">
        <f t="shared" si="153"/>
        <v>0</v>
      </c>
      <c r="J148" s="159">
        <f t="shared" si="153"/>
        <v>0</v>
      </c>
      <c r="K148" s="159">
        <f t="shared" si="153"/>
        <v>0</v>
      </c>
      <c r="L148" s="159">
        <f t="shared" si="153"/>
        <v>0</v>
      </c>
      <c r="M148" s="159">
        <f t="shared" si="153"/>
        <v>0</v>
      </c>
      <c r="N148" s="159">
        <f t="shared" si="153"/>
        <v>0</v>
      </c>
      <c r="O148" s="159">
        <f t="shared" si="153"/>
        <v>0</v>
      </c>
      <c r="P148" s="159">
        <f t="shared" si="153"/>
        <v>0</v>
      </c>
      <c r="Q148" s="159">
        <f t="shared" si="153"/>
        <v>0</v>
      </c>
      <c r="R148" s="936">
        <f t="shared" si="154"/>
        <v>0</v>
      </c>
      <c r="T148" s="159"/>
      <c r="U148" s="159"/>
      <c r="V148" s="159"/>
      <c r="W148" s="159"/>
      <c r="X148" s="159"/>
      <c r="Y148" s="159"/>
      <c r="Z148" s="159"/>
      <c r="AA148" s="159"/>
      <c r="AB148" s="159"/>
      <c r="AC148" s="159"/>
      <c r="AD148" s="159"/>
      <c r="AE148" s="159"/>
      <c r="AF148" s="936">
        <f t="shared" si="155"/>
        <v>0</v>
      </c>
      <c r="AH148" s="936"/>
      <c r="AJ148" s="936"/>
      <c r="AL148" s="159">
        <f t="shared" si="151"/>
        <v>0</v>
      </c>
      <c r="AM148" s="791">
        <f t="shared" si="152"/>
        <v>0</v>
      </c>
    </row>
    <row r="149" spans="2:41" x14ac:dyDescent="0.35">
      <c r="B149" s="128">
        <v>8</v>
      </c>
      <c r="C149" s="129" t="s">
        <v>574</v>
      </c>
      <c r="D149" s="130" t="s">
        <v>564</v>
      </c>
      <c r="E149" s="159"/>
      <c r="F149" s="159">
        <f t="shared" si="153"/>
        <v>0</v>
      </c>
      <c r="G149" s="159">
        <f t="shared" si="153"/>
        <v>0</v>
      </c>
      <c r="H149" s="159">
        <f t="shared" si="153"/>
        <v>0</v>
      </c>
      <c r="I149" s="159">
        <f t="shared" si="153"/>
        <v>0</v>
      </c>
      <c r="J149" s="159">
        <f t="shared" si="153"/>
        <v>0</v>
      </c>
      <c r="K149" s="159">
        <f t="shared" si="153"/>
        <v>0</v>
      </c>
      <c r="L149" s="159">
        <f t="shared" si="153"/>
        <v>0</v>
      </c>
      <c r="M149" s="159">
        <f t="shared" si="153"/>
        <v>0</v>
      </c>
      <c r="N149" s="159">
        <f t="shared" si="153"/>
        <v>0</v>
      </c>
      <c r="O149" s="159">
        <f t="shared" si="153"/>
        <v>0</v>
      </c>
      <c r="P149" s="159">
        <f t="shared" si="153"/>
        <v>0</v>
      </c>
      <c r="Q149" s="159">
        <f t="shared" si="153"/>
        <v>0</v>
      </c>
      <c r="R149" s="936">
        <f t="shared" si="154"/>
        <v>0</v>
      </c>
      <c r="T149" s="159"/>
      <c r="U149" s="159"/>
      <c r="V149" s="159"/>
      <c r="W149" s="159"/>
      <c r="X149" s="159"/>
      <c r="Y149" s="159"/>
      <c r="Z149" s="159"/>
      <c r="AA149" s="159"/>
      <c r="AB149" s="159"/>
      <c r="AC149" s="159"/>
      <c r="AD149" s="159"/>
      <c r="AE149" s="159"/>
      <c r="AF149" s="936">
        <f t="shared" si="155"/>
        <v>0</v>
      </c>
      <c r="AH149" s="936"/>
      <c r="AJ149" s="936"/>
      <c r="AL149" s="159">
        <f t="shared" si="151"/>
        <v>0</v>
      </c>
      <c r="AM149" s="791">
        <f t="shared" si="152"/>
        <v>0</v>
      </c>
    </row>
    <row r="150" spans="2:41" x14ac:dyDescent="0.35">
      <c r="B150" s="128">
        <v>9</v>
      </c>
      <c r="C150" s="129" t="s">
        <v>575</v>
      </c>
      <c r="D150" s="130" t="s">
        <v>564</v>
      </c>
      <c r="E150" s="159"/>
      <c r="F150" s="159">
        <f t="shared" si="153"/>
        <v>0</v>
      </c>
      <c r="G150" s="159">
        <f t="shared" si="153"/>
        <v>0</v>
      </c>
      <c r="H150" s="159">
        <f t="shared" si="153"/>
        <v>0</v>
      </c>
      <c r="I150" s="159">
        <f t="shared" si="153"/>
        <v>0</v>
      </c>
      <c r="J150" s="159">
        <f t="shared" si="153"/>
        <v>0</v>
      </c>
      <c r="K150" s="159">
        <f t="shared" si="153"/>
        <v>0</v>
      </c>
      <c r="L150" s="159">
        <f t="shared" si="153"/>
        <v>0</v>
      </c>
      <c r="M150" s="159">
        <f t="shared" si="153"/>
        <v>0</v>
      </c>
      <c r="N150" s="159">
        <f t="shared" si="153"/>
        <v>0</v>
      </c>
      <c r="O150" s="159">
        <f t="shared" si="153"/>
        <v>0</v>
      </c>
      <c r="P150" s="159">
        <f t="shared" si="153"/>
        <v>0</v>
      </c>
      <c r="Q150" s="159">
        <f t="shared" si="153"/>
        <v>0</v>
      </c>
      <c r="R150" s="936">
        <f t="shared" si="154"/>
        <v>0</v>
      </c>
      <c r="T150" s="159"/>
      <c r="U150" s="159"/>
      <c r="V150" s="159"/>
      <c r="W150" s="159"/>
      <c r="X150" s="159"/>
      <c r="Y150" s="159"/>
      <c r="Z150" s="159"/>
      <c r="AA150" s="159"/>
      <c r="AB150" s="159"/>
      <c r="AC150" s="159"/>
      <c r="AD150" s="159"/>
      <c r="AE150" s="159"/>
      <c r="AF150" s="936">
        <f t="shared" si="155"/>
        <v>0</v>
      </c>
      <c r="AH150" s="936"/>
      <c r="AJ150" s="936"/>
      <c r="AL150" s="159">
        <f t="shared" si="151"/>
        <v>0</v>
      </c>
      <c r="AM150" s="791">
        <f t="shared" si="152"/>
        <v>0</v>
      </c>
    </row>
    <row r="151" spans="2:41" x14ac:dyDescent="0.35">
      <c r="B151" s="128">
        <v>10</v>
      </c>
      <c r="C151" s="129" t="s">
        <v>576</v>
      </c>
      <c r="D151" s="130" t="s">
        <v>564</v>
      </c>
      <c r="E151" s="159"/>
      <c r="F151" s="159">
        <f t="shared" si="153"/>
        <v>0</v>
      </c>
      <c r="G151" s="159">
        <f t="shared" si="153"/>
        <v>0</v>
      </c>
      <c r="H151" s="159">
        <f t="shared" si="153"/>
        <v>0</v>
      </c>
      <c r="I151" s="159">
        <f t="shared" si="153"/>
        <v>0</v>
      </c>
      <c r="J151" s="159">
        <f t="shared" si="153"/>
        <v>0</v>
      </c>
      <c r="K151" s="159">
        <f t="shared" si="153"/>
        <v>0</v>
      </c>
      <c r="L151" s="159">
        <f t="shared" si="153"/>
        <v>0</v>
      </c>
      <c r="M151" s="159">
        <f t="shared" si="153"/>
        <v>0</v>
      </c>
      <c r="N151" s="159">
        <f t="shared" si="153"/>
        <v>0</v>
      </c>
      <c r="O151" s="159">
        <f t="shared" si="153"/>
        <v>0</v>
      </c>
      <c r="P151" s="159">
        <f t="shared" si="153"/>
        <v>0</v>
      </c>
      <c r="Q151" s="159">
        <f t="shared" si="153"/>
        <v>0</v>
      </c>
      <c r="R151" s="936">
        <f t="shared" si="154"/>
        <v>0</v>
      </c>
      <c r="T151" s="159">
        <v>3026397500</v>
      </c>
      <c r="U151" s="159"/>
      <c r="V151" s="159">
        <v>1661530986</v>
      </c>
      <c r="W151" s="159">
        <f>2308890000-1275000</f>
        <v>2307615000</v>
      </c>
      <c r="X151" s="159">
        <f>2444280000-38198000</f>
        <v>2406082000</v>
      </c>
      <c r="Y151" s="159">
        <f>1434845500-1540500</f>
        <v>1433305000</v>
      </c>
      <c r="Z151" s="159">
        <v>2285030552</v>
      </c>
      <c r="AA151" s="159">
        <v>2927154060</v>
      </c>
      <c r="AB151" s="159">
        <v>2639008380</v>
      </c>
      <c r="AC151" s="159">
        <v>1634688000</v>
      </c>
      <c r="AD151" s="159">
        <v>1634688000</v>
      </c>
      <c r="AE151" s="159">
        <v>1634688000</v>
      </c>
      <c r="AF151" s="936">
        <f t="shared" si="155"/>
        <v>23590187478</v>
      </c>
      <c r="AH151" s="936"/>
      <c r="AJ151" s="936"/>
      <c r="AL151" s="159">
        <f t="shared" si="151"/>
        <v>-23590187478</v>
      </c>
      <c r="AM151" s="791">
        <f t="shared" si="152"/>
        <v>-1</v>
      </c>
    </row>
    <row r="152" spans="2:41" x14ac:dyDescent="0.35">
      <c r="B152" s="128">
        <v>11</v>
      </c>
      <c r="C152" s="129" t="s">
        <v>577</v>
      </c>
      <c r="D152" s="130" t="s">
        <v>564</v>
      </c>
      <c r="E152" s="159"/>
      <c r="F152" s="159">
        <f t="shared" si="153"/>
        <v>0</v>
      </c>
      <c r="G152" s="159">
        <f t="shared" si="153"/>
        <v>0</v>
      </c>
      <c r="H152" s="159">
        <f t="shared" si="153"/>
        <v>0</v>
      </c>
      <c r="I152" s="159">
        <f t="shared" si="153"/>
        <v>0</v>
      </c>
      <c r="J152" s="159">
        <f t="shared" si="153"/>
        <v>0</v>
      </c>
      <c r="K152" s="159">
        <f t="shared" si="153"/>
        <v>0</v>
      </c>
      <c r="L152" s="159">
        <f t="shared" si="153"/>
        <v>0</v>
      </c>
      <c r="M152" s="159">
        <f t="shared" si="153"/>
        <v>0</v>
      </c>
      <c r="N152" s="159">
        <f t="shared" si="153"/>
        <v>0</v>
      </c>
      <c r="O152" s="159">
        <f t="shared" si="153"/>
        <v>0</v>
      </c>
      <c r="P152" s="159">
        <f t="shared" si="153"/>
        <v>0</v>
      </c>
      <c r="Q152" s="159">
        <f t="shared" si="153"/>
        <v>0</v>
      </c>
      <c r="R152" s="936">
        <f t="shared" si="154"/>
        <v>0</v>
      </c>
      <c r="T152" s="159"/>
      <c r="U152" s="159"/>
      <c r="V152" s="159"/>
      <c r="W152" s="159"/>
      <c r="X152" s="159"/>
      <c r="Y152" s="159"/>
      <c r="Z152" s="159"/>
      <c r="AA152" s="159"/>
      <c r="AB152" s="159"/>
      <c r="AC152" s="159"/>
      <c r="AD152" s="159"/>
      <c r="AE152" s="159"/>
      <c r="AF152" s="936">
        <f t="shared" si="155"/>
        <v>0</v>
      </c>
      <c r="AH152" s="936"/>
      <c r="AJ152" s="936"/>
      <c r="AL152" s="159">
        <f t="shared" si="151"/>
        <v>0</v>
      </c>
      <c r="AM152" s="791">
        <f t="shared" si="152"/>
        <v>0</v>
      </c>
    </row>
    <row r="153" spans="2:41" x14ac:dyDescent="0.35">
      <c r="B153" s="128">
        <v>12</v>
      </c>
      <c r="C153" s="129" t="s">
        <v>578</v>
      </c>
      <c r="D153" s="130" t="s">
        <v>564</v>
      </c>
      <c r="E153" s="159"/>
      <c r="F153" s="159">
        <f t="shared" si="153"/>
        <v>0</v>
      </c>
      <c r="G153" s="159">
        <f t="shared" si="153"/>
        <v>0</v>
      </c>
      <c r="H153" s="159">
        <f t="shared" si="153"/>
        <v>0</v>
      </c>
      <c r="I153" s="159">
        <f t="shared" si="153"/>
        <v>0</v>
      </c>
      <c r="J153" s="159">
        <f t="shared" si="153"/>
        <v>0</v>
      </c>
      <c r="K153" s="159">
        <f t="shared" si="153"/>
        <v>0</v>
      </c>
      <c r="L153" s="159">
        <f t="shared" si="153"/>
        <v>0</v>
      </c>
      <c r="M153" s="159">
        <f t="shared" si="153"/>
        <v>0</v>
      </c>
      <c r="N153" s="159">
        <f t="shared" si="153"/>
        <v>0</v>
      </c>
      <c r="O153" s="159">
        <f t="shared" si="153"/>
        <v>0</v>
      </c>
      <c r="P153" s="159">
        <f t="shared" si="153"/>
        <v>0</v>
      </c>
      <c r="Q153" s="159">
        <f t="shared" si="153"/>
        <v>0</v>
      </c>
      <c r="R153" s="936">
        <f t="shared" si="154"/>
        <v>0</v>
      </c>
      <c r="T153" s="159"/>
      <c r="U153" s="159"/>
      <c r="V153" s="159"/>
      <c r="W153" s="159"/>
      <c r="X153" s="159"/>
      <c r="Y153" s="159"/>
      <c r="Z153" s="159"/>
      <c r="AA153" s="159"/>
      <c r="AB153" s="159"/>
      <c r="AC153" s="159"/>
      <c r="AD153" s="159"/>
      <c r="AE153" s="159"/>
      <c r="AF153" s="936">
        <f t="shared" si="155"/>
        <v>0</v>
      </c>
      <c r="AH153" s="936"/>
      <c r="AJ153" s="936"/>
      <c r="AL153" s="159">
        <f t="shared" si="151"/>
        <v>0</v>
      </c>
      <c r="AM153" s="791">
        <f t="shared" si="152"/>
        <v>0</v>
      </c>
    </row>
    <row r="154" spans="2:41" x14ac:dyDescent="0.35">
      <c r="B154" s="128">
        <v>13</v>
      </c>
      <c r="C154" s="927" t="s">
        <v>579</v>
      </c>
      <c r="D154" s="130" t="s">
        <v>564</v>
      </c>
      <c r="E154" s="159"/>
      <c r="F154" s="159">
        <f t="shared" si="153"/>
        <v>0</v>
      </c>
      <c r="G154" s="159">
        <f t="shared" si="153"/>
        <v>0</v>
      </c>
      <c r="H154" s="159">
        <f t="shared" si="153"/>
        <v>0</v>
      </c>
      <c r="I154" s="159">
        <f t="shared" si="153"/>
        <v>0</v>
      </c>
      <c r="J154" s="159">
        <f t="shared" si="153"/>
        <v>0</v>
      </c>
      <c r="K154" s="159">
        <f t="shared" si="153"/>
        <v>0</v>
      </c>
      <c r="L154" s="159">
        <f t="shared" si="153"/>
        <v>0</v>
      </c>
      <c r="M154" s="159">
        <f t="shared" si="153"/>
        <v>0</v>
      </c>
      <c r="N154" s="159">
        <f t="shared" si="153"/>
        <v>0</v>
      </c>
      <c r="O154" s="159">
        <f t="shared" si="153"/>
        <v>0</v>
      </c>
      <c r="P154" s="159">
        <f t="shared" si="153"/>
        <v>0</v>
      </c>
      <c r="Q154" s="159">
        <f t="shared" si="153"/>
        <v>0</v>
      </c>
      <c r="R154" s="936">
        <f t="shared" si="154"/>
        <v>0</v>
      </c>
      <c r="T154" s="159"/>
      <c r="U154" s="159"/>
      <c r="V154" s="159"/>
      <c r="W154" s="159"/>
      <c r="X154" s="159"/>
      <c r="Y154" s="159"/>
      <c r="Z154" s="159"/>
      <c r="AA154" s="159"/>
      <c r="AB154" s="159"/>
      <c r="AC154" s="159"/>
      <c r="AD154" s="159"/>
      <c r="AE154" s="159"/>
      <c r="AF154" s="936">
        <f t="shared" si="155"/>
        <v>0</v>
      </c>
      <c r="AH154" s="936"/>
      <c r="AJ154" s="936"/>
      <c r="AL154" s="159">
        <f t="shared" si="151"/>
        <v>0</v>
      </c>
      <c r="AM154" s="791">
        <f t="shared" si="152"/>
        <v>0</v>
      </c>
    </row>
    <row r="155" spans="2:41" x14ac:dyDescent="0.35">
      <c r="B155" s="128">
        <v>14</v>
      </c>
      <c r="C155" s="129" t="s">
        <v>580</v>
      </c>
      <c r="D155" s="130" t="s">
        <v>564</v>
      </c>
      <c r="E155" s="159"/>
      <c r="F155" s="159">
        <f t="shared" si="153"/>
        <v>0</v>
      </c>
      <c r="G155" s="159">
        <f t="shared" si="153"/>
        <v>0</v>
      </c>
      <c r="H155" s="159">
        <f t="shared" si="153"/>
        <v>0</v>
      </c>
      <c r="I155" s="159">
        <f t="shared" si="153"/>
        <v>0</v>
      </c>
      <c r="J155" s="159">
        <f t="shared" si="153"/>
        <v>0</v>
      </c>
      <c r="K155" s="159">
        <f t="shared" si="153"/>
        <v>292875000</v>
      </c>
      <c r="L155" s="159">
        <f t="shared" si="153"/>
        <v>292875000</v>
      </c>
      <c r="M155" s="159">
        <f t="shared" si="153"/>
        <v>292875000</v>
      </c>
      <c r="N155" s="159">
        <f t="shared" si="153"/>
        <v>292875000</v>
      </c>
      <c r="O155" s="159">
        <f t="shared" si="153"/>
        <v>292875000</v>
      </c>
      <c r="P155" s="159">
        <f t="shared" si="153"/>
        <v>292875000</v>
      </c>
      <c r="Q155" s="159">
        <f t="shared" si="153"/>
        <v>292875000</v>
      </c>
      <c r="R155" s="936">
        <f t="shared" si="154"/>
        <v>2050125000</v>
      </c>
      <c r="T155" s="159">
        <v>445404698</v>
      </c>
      <c r="U155" s="159">
        <v>154468000</v>
      </c>
      <c r="V155" s="159">
        <v>97236000</v>
      </c>
      <c r="W155" s="159">
        <v>160460200</v>
      </c>
      <c r="X155" s="159">
        <v>345429500</v>
      </c>
      <c r="Y155" s="159">
        <v>94097500</v>
      </c>
      <c r="Z155" s="159">
        <v>154204428</v>
      </c>
      <c r="AA155" s="159">
        <v>384887560</v>
      </c>
      <c r="AB155" s="159">
        <v>408032340</v>
      </c>
      <c r="AC155" s="159">
        <v>114048000</v>
      </c>
      <c r="AD155" s="159">
        <v>114048000</v>
      </c>
      <c r="AE155" s="159">
        <v>114048000</v>
      </c>
      <c r="AF155" s="936">
        <f t="shared" si="155"/>
        <v>2586364226</v>
      </c>
      <c r="AH155" s="936"/>
      <c r="AJ155" s="936"/>
      <c r="AL155" s="159">
        <f t="shared" si="151"/>
        <v>-536239226</v>
      </c>
      <c r="AM155" s="791">
        <f t="shared" si="152"/>
        <v>-0.20733322113310115</v>
      </c>
    </row>
    <row r="156" spans="2:41" x14ac:dyDescent="0.35">
      <c r="B156" s="128">
        <v>15</v>
      </c>
      <c r="C156" s="129" t="s">
        <v>175</v>
      </c>
      <c r="D156" s="130" t="s">
        <v>564</v>
      </c>
      <c r="E156" s="159"/>
      <c r="F156" s="159">
        <f t="shared" si="153"/>
        <v>0</v>
      </c>
      <c r="G156" s="159">
        <f t="shared" si="153"/>
        <v>0</v>
      </c>
      <c r="H156" s="159">
        <f t="shared" si="153"/>
        <v>0</v>
      </c>
      <c r="I156" s="159">
        <f t="shared" si="153"/>
        <v>0</v>
      </c>
      <c r="J156" s="159">
        <f t="shared" si="153"/>
        <v>0</v>
      </c>
      <c r="K156" s="159">
        <f t="shared" si="153"/>
        <v>0</v>
      </c>
      <c r="L156" s="159">
        <f t="shared" si="153"/>
        <v>0</v>
      </c>
      <c r="M156" s="159">
        <f t="shared" si="153"/>
        <v>0</v>
      </c>
      <c r="N156" s="159">
        <f t="shared" si="153"/>
        <v>0</v>
      </c>
      <c r="O156" s="159">
        <f t="shared" si="153"/>
        <v>0</v>
      </c>
      <c r="P156" s="159">
        <f t="shared" si="153"/>
        <v>0</v>
      </c>
      <c r="Q156" s="159">
        <f t="shared" si="153"/>
        <v>0</v>
      </c>
      <c r="R156" s="936">
        <f t="shared" si="154"/>
        <v>0</v>
      </c>
      <c r="T156" s="159"/>
      <c r="U156" s="159"/>
      <c r="V156" s="159"/>
      <c r="W156" s="159"/>
      <c r="X156" s="159"/>
      <c r="Y156" s="159"/>
      <c r="Z156" s="159"/>
      <c r="AA156" s="159"/>
      <c r="AB156" s="159"/>
      <c r="AC156" s="159"/>
      <c r="AD156" s="159"/>
      <c r="AE156" s="159"/>
      <c r="AF156" s="936">
        <f t="shared" si="155"/>
        <v>0</v>
      </c>
      <c r="AH156" s="936"/>
      <c r="AJ156" s="936"/>
      <c r="AL156" s="159">
        <f t="shared" si="151"/>
        <v>0</v>
      </c>
      <c r="AM156" s="791">
        <f t="shared" si="152"/>
        <v>0</v>
      </c>
    </row>
    <row r="157" spans="2:41" x14ac:dyDescent="0.35">
      <c r="B157" s="163"/>
      <c r="C157" s="164" t="s">
        <v>480</v>
      </c>
      <c r="D157" s="928"/>
      <c r="E157" s="937">
        <f>SUM(E142:E156)</f>
        <v>0</v>
      </c>
      <c r="F157" s="937">
        <f>SUM(F142:F156)</f>
        <v>0</v>
      </c>
      <c r="G157" s="937">
        <f t="shared" ref="G157:Q157" si="156">SUM(G142:G156)</f>
        <v>0</v>
      </c>
      <c r="H157" s="937">
        <f t="shared" si="156"/>
        <v>0</v>
      </c>
      <c r="I157" s="937">
        <f t="shared" si="156"/>
        <v>0</v>
      </c>
      <c r="J157" s="937">
        <f t="shared" si="156"/>
        <v>0</v>
      </c>
      <c r="K157" s="937">
        <f t="shared" si="156"/>
        <v>8894613750</v>
      </c>
      <c r="L157" s="937">
        <f t="shared" si="156"/>
        <v>8894613750</v>
      </c>
      <c r="M157" s="937">
        <f t="shared" si="156"/>
        <v>8894613750</v>
      </c>
      <c r="N157" s="937">
        <f t="shared" si="156"/>
        <v>8894613750</v>
      </c>
      <c r="O157" s="937">
        <f t="shared" si="156"/>
        <v>8894613750</v>
      </c>
      <c r="P157" s="937">
        <f t="shared" si="156"/>
        <v>8894613750</v>
      </c>
      <c r="Q157" s="937">
        <f t="shared" si="156"/>
        <v>8894613750</v>
      </c>
      <c r="R157" s="937">
        <f t="shared" ref="R157" si="157">SUM(F157:Q157)</f>
        <v>62262296250</v>
      </c>
      <c r="T157" s="937">
        <f>SUM(T142:T156)</f>
        <v>3471802198</v>
      </c>
      <c r="U157" s="937">
        <f t="shared" ref="U157:AE157" si="158">SUM(U142:U156)</f>
        <v>154468000</v>
      </c>
      <c r="V157" s="937">
        <f t="shared" si="158"/>
        <v>1758766986</v>
      </c>
      <c r="W157" s="937">
        <f t="shared" si="158"/>
        <v>2745395200</v>
      </c>
      <c r="X157" s="937">
        <f t="shared" si="158"/>
        <v>2751511500</v>
      </c>
      <c r="Y157" s="937">
        <f t="shared" si="158"/>
        <v>1527402500</v>
      </c>
      <c r="Z157" s="937">
        <f t="shared" si="158"/>
        <v>2439234980</v>
      </c>
      <c r="AA157" s="937">
        <f t="shared" si="158"/>
        <v>3312041620</v>
      </c>
      <c r="AB157" s="937">
        <f t="shared" si="158"/>
        <v>3047040720</v>
      </c>
      <c r="AC157" s="937">
        <f t="shared" si="158"/>
        <v>1748736000</v>
      </c>
      <c r="AD157" s="937">
        <f t="shared" si="158"/>
        <v>1748736000</v>
      </c>
      <c r="AE157" s="937">
        <f t="shared" si="158"/>
        <v>1748736000</v>
      </c>
      <c r="AF157" s="937">
        <f>SUM(T157:AE157)</f>
        <v>26453871704</v>
      </c>
      <c r="AH157" s="937">
        <f t="shared" ref="AH157" si="159">SUM(V157:AG157)</f>
        <v>49281473210</v>
      </c>
      <c r="AJ157" s="937">
        <f t="shared" ref="AJ157" si="160">SUM(X157:AI157)</f>
        <v>94058784234</v>
      </c>
      <c r="AL157" s="166">
        <f t="shared" si="151"/>
        <v>35808424546</v>
      </c>
      <c r="AM157" s="929">
        <f t="shared" si="152"/>
        <v>1.3536175326874944</v>
      </c>
    </row>
    <row r="159" spans="2:41" x14ac:dyDescent="0.35">
      <c r="B159" s="63" t="s">
        <v>586</v>
      </c>
    </row>
    <row r="160" spans="2:41" ht="26" x14ac:dyDescent="0.35">
      <c r="B160" s="187" t="s">
        <v>36</v>
      </c>
      <c r="C160" s="187" t="s">
        <v>587</v>
      </c>
      <c r="D160" s="187" t="s">
        <v>257</v>
      </c>
      <c r="E160" s="116" t="s">
        <v>525</v>
      </c>
      <c r="F160" s="116" t="s">
        <v>149</v>
      </c>
      <c r="G160" s="116" t="s">
        <v>150</v>
      </c>
      <c r="H160" s="116" t="s">
        <v>151</v>
      </c>
      <c r="I160" s="116" t="s">
        <v>152</v>
      </c>
      <c r="J160" s="116" t="s">
        <v>153</v>
      </c>
      <c r="K160" s="116" t="s">
        <v>154</v>
      </c>
      <c r="L160" s="116" t="s">
        <v>155</v>
      </c>
      <c r="M160" s="116" t="s">
        <v>156</v>
      </c>
      <c r="N160" s="116" t="s">
        <v>157</v>
      </c>
      <c r="O160" s="116" t="s">
        <v>158</v>
      </c>
      <c r="P160" s="116" t="s">
        <v>159</v>
      </c>
      <c r="Q160" s="116" t="s">
        <v>160</v>
      </c>
      <c r="R160" s="116" t="s">
        <v>2147</v>
      </c>
      <c r="S160" s="10"/>
      <c r="T160" s="714" t="s">
        <v>149</v>
      </c>
      <c r="U160" s="714" t="s">
        <v>150</v>
      </c>
      <c r="V160" s="714" t="s">
        <v>151</v>
      </c>
      <c r="W160" s="714" t="s">
        <v>152</v>
      </c>
      <c r="X160" s="714" t="s">
        <v>153</v>
      </c>
      <c r="Y160" s="714" t="s">
        <v>154</v>
      </c>
      <c r="Z160" s="714" t="s">
        <v>155</v>
      </c>
      <c r="AA160" s="714" t="s">
        <v>156</v>
      </c>
      <c r="AB160" s="714" t="s">
        <v>157</v>
      </c>
      <c r="AC160" s="714" t="s">
        <v>158</v>
      </c>
      <c r="AD160" s="714" t="s">
        <v>159</v>
      </c>
      <c r="AE160" s="714" t="s">
        <v>160</v>
      </c>
      <c r="AF160" s="714" t="s">
        <v>148</v>
      </c>
      <c r="AG160" s="10"/>
      <c r="AH160" s="714" t="s">
        <v>526</v>
      </c>
      <c r="AI160" s="10"/>
      <c r="AJ160" s="714" t="s">
        <v>527</v>
      </c>
      <c r="AK160" s="10"/>
      <c r="AL160" s="721" t="s">
        <v>528</v>
      </c>
      <c r="AM160" s="722" t="s">
        <v>529</v>
      </c>
      <c r="AO160" s="16"/>
    </row>
    <row r="161" spans="2:41" x14ac:dyDescent="0.35">
      <c r="B161" s="128">
        <v>1</v>
      </c>
      <c r="C161" s="927" t="s">
        <v>588</v>
      </c>
      <c r="D161" s="130" t="s">
        <v>531</v>
      </c>
      <c r="E161" s="159"/>
      <c r="F161" s="941">
        <f>'3.Thanh pham'!F$160</f>
        <v>0</v>
      </c>
      <c r="G161" s="941">
        <f>'3.Thanh pham'!G$160</f>
        <v>0</v>
      </c>
      <c r="H161" s="941">
        <f>'3.Thanh pham'!H$160</f>
        <v>0</v>
      </c>
      <c r="I161" s="941">
        <f>'3.Thanh pham'!I$160</f>
        <v>0</v>
      </c>
      <c r="J161" s="941">
        <f>'3.Thanh pham'!J$160</f>
        <v>0</v>
      </c>
      <c r="K161" s="941">
        <f>'3.Thanh pham'!K$160</f>
        <v>0</v>
      </c>
      <c r="L161" s="941">
        <f>'3.Thanh pham'!L$160</f>
        <v>0</v>
      </c>
      <c r="M161" s="941">
        <f>'3.Thanh pham'!M$160</f>
        <v>0</v>
      </c>
      <c r="N161" s="941">
        <f>'3.Thanh pham'!N$160</f>
        <v>0</v>
      </c>
      <c r="O161" s="941">
        <f>'3.Thanh pham'!O$160</f>
        <v>0</v>
      </c>
      <c r="P161" s="941">
        <f>'3.Thanh pham'!P$160</f>
        <v>0</v>
      </c>
      <c r="Q161" s="941">
        <f>'3.Thanh pham'!Q$160</f>
        <v>0</v>
      </c>
      <c r="R161" s="158">
        <f>SUM(F161:Q161)</f>
        <v>0</v>
      </c>
      <c r="T161" s="941">
        <v>3333</v>
      </c>
      <c r="U161" s="941">
        <v>80252</v>
      </c>
      <c r="V161" s="941">
        <v>2721</v>
      </c>
      <c r="W161" s="941"/>
      <c r="X161" s="941"/>
      <c r="Y161" s="941">
        <v>125138</v>
      </c>
      <c r="Z161" s="941"/>
      <c r="AA161" s="941">
        <v>3838</v>
      </c>
      <c r="AB161" s="941"/>
      <c r="AC161" s="941"/>
      <c r="AD161" s="941"/>
      <c r="AE161" s="941"/>
      <c r="AF161" s="1131">
        <f>SUM(T161:AE161)</f>
        <v>215282</v>
      </c>
      <c r="AH161" s="158"/>
      <c r="AJ161" s="158"/>
      <c r="AL161" s="159">
        <f t="shared" ref="AL161:AL163" si="161">IFERROR(R161-AF161,0)</f>
        <v>-215282</v>
      </c>
      <c r="AM161" s="791">
        <f t="shared" ref="AM161:AM163" si="162">IFERROR((R161/AF161)-1,0)</f>
        <v>-1</v>
      </c>
      <c r="AO161" s="16"/>
    </row>
    <row r="162" spans="2:41" x14ac:dyDescent="0.35">
      <c r="B162" s="128">
        <v>2</v>
      </c>
      <c r="C162" s="927" t="s">
        <v>589</v>
      </c>
      <c r="D162" s="130" t="s">
        <v>552</v>
      </c>
      <c r="E162" s="159"/>
      <c r="F162" s="939">
        <f>AO161+AO162</f>
        <v>0</v>
      </c>
      <c r="G162" s="939">
        <f>$F$162</f>
        <v>0</v>
      </c>
      <c r="H162" s="939">
        <f t="shared" ref="H162:Q162" si="163">$F$162</f>
        <v>0</v>
      </c>
      <c r="I162" s="939">
        <f t="shared" si="163"/>
        <v>0</v>
      </c>
      <c r="J162" s="939">
        <f t="shared" si="163"/>
        <v>0</v>
      </c>
      <c r="K162" s="939">
        <f t="shared" si="163"/>
        <v>0</v>
      </c>
      <c r="L162" s="939">
        <f t="shared" si="163"/>
        <v>0</v>
      </c>
      <c r="M162" s="939">
        <f t="shared" si="163"/>
        <v>0</v>
      </c>
      <c r="N162" s="939">
        <f t="shared" si="163"/>
        <v>0</v>
      </c>
      <c r="O162" s="939">
        <f t="shared" si="163"/>
        <v>0</v>
      </c>
      <c r="P162" s="939">
        <f t="shared" si="163"/>
        <v>0</v>
      </c>
      <c r="Q162" s="939">
        <f t="shared" si="163"/>
        <v>0</v>
      </c>
      <c r="R162" s="939">
        <f>$F$162</f>
        <v>0</v>
      </c>
      <c r="T162" s="939">
        <f>T163/T161</f>
        <v>22150</v>
      </c>
      <c r="U162" s="939">
        <f>U163/U161</f>
        <v>26413.218362159198</v>
      </c>
      <c r="V162" s="939">
        <f>V163/V161</f>
        <v>13448.401323042999</v>
      </c>
      <c r="W162" s="939"/>
      <c r="X162" s="939"/>
      <c r="Y162" s="939">
        <f>Y163/Y161</f>
        <v>2820.0109479135035</v>
      </c>
      <c r="Z162" s="939"/>
      <c r="AA162" s="939">
        <f>AA163/AA161</f>
        <v>19500</v>
      </c>
      <c r="AB162" s="939"/>
      <c r="AC162" s="939"/>
      <c r="AD162" s="939"/>
      <c r="AE162" s="939"/>
      <c r="AF162" s="939"/>
      <c r="AH162" s="939"/>
      <c r="AJ162" s="939"/>
      <c r="AL162" s="159">
        <f t="shared" si="161"/>
        <v>0</v>
      </c>
      <c r="AM162" s="791">
        <f t="shared" si="162"/>
        <v>0</v>
      </c>
      <c r="AO162" s="16"/>
    </row>
    <row r="163" spans="2:41" x14ac:dyDescent="0.35">
      <c r="B163" s="942">
        <v>3</v>
      </c>
      <c r="C163" s="943" t="s">
        <v>590</v>
      </c>
      <c r="D163" s="944" t="s">
        <v>564</v>
      </c>
      <c r="E163" s="936"/>
      <c r="F163" s="936">
        <f>F161*F162</f>
        <v>0</v>
      </c>
      <c r="G163" s="936">
        <f t="shared" ref="G163:R163" si="164">G161*G162</f>
        <v>0</v>
      </c>
      <c r="H163" s="936">
        <f t="shared" si="164"/>
        <v>0</v>
      </c>
      <c r="I163" s="936">
        <f t="shared" si="164"/>
        <v>0</v>
      </c>
      <c r="J163" s="936">
        <f t="shared" si="164"/>
        <v>0</v>
      </c>
      <c r="K163" s="936">
        <f t="shared" si="164"/>
        <v>0</v>
      </c>
      <c r="L163" s="936">
        <f t="shared" si="164"/>
        <v>0</v>
      </c>
      <c r="M163" s="936">
        <f t="shared" si="164"/>
        <v>0</v>
      </c>
      <c r="N163" s="936">
        <f t="shared" si="164"/>
        <v>0</v>
      </c>
      <c r="O163" s="936">
        <f t="shared" si="164"/>
        <v>0</v>
      </c>
      <c r="P163" s="936">
        <f t="shared" si="164"/>
        <v>0</v>
      </c>
      <c r="Q163" s="936">
        <f t="shared" si="164"/>
        <v>0</v>
      </c>
      <c r="R163" s="936">
        <f t="shared" si="164"/>
        <v>0</v>
      </c>
      <c r="T163" s="936">
        <v>73825950</v>
      </c>
      <c r="U163" s="936">
        <v>2119713600</v>
      </c>
      <c r="V163" s="936">
        <v>36593100</v>
      </c>
      <c r="W163" s="936"/>
      <c r="X163" s="936"/>
      <c r="Y163" s="936">
        <v>352890530</v>
      </c>
      <c r="Z163" s="936"/>
      <c r="AA163" s="936">
        <v>74841000</v>
      </c>
      <c r="AB163" s="936"/>
      <c r="AC163" s="936"/>
      <c r="AD163" s="936"/>
      <c r="AE163" s="936"/>
      <c r="AF163" s="936">
        <f>SUM(T163:AE163)</f>
        <v>2657864180</v>
      </c>
      <c r="AH163" s="936"/>
      <c r="AJ163" s="936"/>
      <c r="AL163" s="159">
        <f t="shared" si="161"/>
        <v>-2657864180</v>
      </c>
      <c r="AM163" s="791">
        <f t="shared" si="162"/>
        <v>-1</v>
      </c>
      <c r="AO163" s="535"/>
    </row>
    <row r="164" spans="2:41" x14ac:dyDescent="0.35">
      <c r="K164" s="16"/>
      <c r="L164" s="16"/>
      <c r="M164" s="16"/>
      <c r="N164" s="16"/>
      <c r="O164" s="16"/>
      <c r="P164" s="16"/>
      <c r="Q164" s="16"/>
      <c r="Y164" s="16"/>
      <c r="Z164" s="16"/>
      <c r="AA164" s="16"/>
      <c r="AB164" s="16"/>
      <c r="AC164" s="16"/>
      <c r="AD164" s="16"/>
      <c r="AE164" s="16"/>
    </row>
    <row r="165" spans="2:41" x14ac:dyDescent="0.35">
      <c r="B165" s="63" t="s">
        <v>2158</v>
      </c>
    </row>
    <row r="166" spans="2:41" ht="26" x14ac:dyDescent="0.35">
      <c r="B166" s="187" t="s">
        <v>36</v>
      </c>
      <c r="C166" s="187" t="s">
        <v>587</v>
      </c>
      <c r="D166" s="187" t="s">
        <v>257</v>
      </c>
      <c r="E166" s="116" t="s">
        <v>525</v>
      </c>
      <c r="F166" s="116" t="s">
        <v>149</v>
      </c>
      <c r="G166" s="116" t="s">
        <v>150</v>
      </c>
      <c r="H166" s="116" t="s">
        <v>151</v>
      </c>
      <c r="I166" s="116" t="s">
        <v>152</v>
      </c>
      <c r="J166" s="116" t="s">
        <v>153</v>
      </c>
      <c r="K166" s="116" t="s">
        <v>154</v>
      </c>
      <c r="L166" s="116" t="s">
        <v>155</v>
      </c>
      <c r="M166" s="116" t="s">
        <v>156</v>
      </c>
      <c r="N166" s="116" t="s">
        <v>157</v>
      </c>
      <c r="O166" s="116" t="s">
        <v>158</v>
      </c>
      <c r="P166" s="116" t="s">
        <v>159</v>
      </c>
      <c r="Q166" s="116" t="s">
        <v>160</v>
      </c>
      <c r="R166" s="116" t="s">
        <v>2147</v>
      </c>
      <c r="S166" s="10"/>
      <c r="T166" s="714" t="s">
        <v>149</v>
      </c>
      <c r="U166" s="714" t="s">
        <v>150</v>
      </c>
      <c r="V166" s="714" t="s">
        <v>151</v>
      </c>
      <c r="W166" s="714" t="s">
        <v>152</v>
      </c>
      <c r="X166" s="714" t="s">
        <v>153</v>
      </c>
      <c r="Y166" s="714" t="s">
        <v>154</v>
      </c>
      <c r="Z166" s="714" t="s">
        <v>155</v>
      </c>
      <c r="AA166" s="714" t="s">
        <v>156</v>
      </c>
      <c r="AB166" s="714" t="s">
        <v>157</v>
      </c>
      <c r="AC166" s="714" t="s">
        <v>158</v>
      </c>
      <c r="AD166" s="714" t="s">
        <v>159</v>
      </c>
      <c r="AE166" s="714" t="s">
        <v>160</v>
      </c>
      <c r="AF166" s="714" t="s">
        <v>148</v>
      </c>
      <c r="AG166" s="10"/>
      <c r="AH166" s="714" t="s">
        <v>526</v>
      </c>
      <c r="AI166" s="10"/>
      <c r="AJ166" s="714" t="s">
        <v>527</v>
      </c>
      <c r="AK166" s="10"/>
      <c r="AL166" s="721" t="s">
        <v>528</v>
      </c>
      <c r="AM166" s="722" t="s">
        <v>529</v>
      </c>
      <c r="AO166" s="16"/>
    </row>
    <row r="167" spans="2:41" x14ac:dyDescent="0.35">
      <c r="B167" s="128">
        <v>1</v>
      </c>
      <c r="C167" s="927" t="s">
        <v>2159</v>
      </c>
      <c r="D167" s="130" t="s">
        <v>531</v>
      </c>
      <c r="E167" s="159"/>
      <c r="F167" s="941">
        <f>'3.Thanh pham'!F$160</f>
        <v>0</v>
      </c>
      <c r="G167" s="941">
        <f>'3.Thanh pham'!G$160</f>
        <v>0</v>
      </c>
      <c r="H167" s="941">
        <f>'3.Thanh pham'!H$160</f>
        <v>0</v>
      </c>
      <c r="I167" s="941">
        <f>'3.Thanh pham'!I$160</f>
        <v>0</v>
      </c>
      <c r="J167" s="941">
        <f>'3.Thanh pham'!J$160</f>
        <v>0</v>
      </c>
      <c r="K167" s="941">
        <f>'3.Thanh pham'!K$160</f>
        <v>0</v>
      </c>
      <c r="L167" s="941">
        <f>'3.Thanh pham'!L$160</f>
        <v>0</v>
      </c>
      <c r="M167" s="941">
        <f>'3.Thanh pham'!M$160</f>
        <v>0</v>
      </c>
      <c r="N167" s="941">
        <f>'3.Thanh pham'!N$160</f>
        <v>0</v>
      </c>
      <c r="O167" s="941">
        <f>'3.Thanh pham'!O$160</f>
        <v>0</v>
      </c>
      <c r="P167" s="941">
        <f>'3.Thanh pham'!P$160</f>
        <v>0</v>
      </c>
      <c r="Q167" s="941">
        <f>'3.Thanh pham'!Q$160</f>
        <v>0</v>
      </c>
      <c r="R167" s="158">
        <f>SUM(F167:Q167)</f>
        <v>0</v>
      </c>
      <c r="T167" s="941"/>
      <c r="U167" s="941"/>
      <c r="V167" s="941"/>
      <c r="W167" s="941"/>
      <c r="X167" s="941"/>
      <c r="Y167" s="941"/>
      <c r="Z167" s="941"/>
      <c r="AA167" s="941"/>
      <c r="AB167" s="941"/>
      <c r="AC167" s="941"/>
      <c r="AD167" s="941"/>
      <c r="AE167" s="941"/>
      <c r="AF167" s="158"/>
      <c r="AH167" s="158"/>
      <c r="AJ167" s="158"/>
      <c r="AL167" s="159">
        <f t="shared" ref="AL167:AL169" si="165">IFERROR(R167-AF167,0)</f>
        <v>0</v>
      </c>
      <c r="AM167" s="791">
        <f t="shared" ref="AM167:AM169" si="166">IFERROR((R167/AF167)-1,0)</f>
        <v>0</v>
      </c>
      <c r="AO167" s="16"/>
    </row>
    <row r="168" spans="2:41" x14ac:dyDescent="0.35">
      <c r="B168" s="128">
        <v>2</v>
      </c>
      <c r="C168" s="927" t="s">
        <v>589</v>
      </c>
      <c r="D168" s="130" t="s">
        <v>552</v>
      </c>
      <c r="E168" s="159"/>
      <c r="F168" s="939">
        <v>19000</v>
      </c>
      <c r="G168" s="939">
        <v>19000</v>
      </c>
      <c r="H168" s="939">
        <v>19000</v>
      </c>
      <c r="I168" s="939">
        <v>19000</v>
      </c>
      <c r="J168" s="939">
        <v>19000</v>
      </c>
      <c r="K168" s="939">
        <v>19000</v>
      </c>
      <c r="L168" s="939">
        <v>19000</v>
      </c>
      <c r="M168" s="939">
        <v>19000</v>
      </c>
      <c r="N168" s="939">
        <v>19000</v>
      </c>
      <c r="O168" s="939">
        <v>19000</v>
      </c>
      <c r="P168" s="939">
        <v>19000</v>
      </c>
      <c r="Q168" s="939">
        <v>19000</v>
      </c>
      <c r="R168" s="939">
        <v>19000</v>
      </c>
      <c r="T168" s="939"/>
      <c r="U168" s="939"/>
      <c r="V168" s="939"/>
      <c r="W168" s="939"/>
      <c r="X168" s="939"/>
      <c r="Y168" s="939"/>
      <c r="Z168" s="939"/>
      <c r="AA168" s="939"/>
      <c r="AB168" s="939"/>
      <c r="AC168" s="939"/>
      <c r="AD168" s="939"/>
      <c r="AE168" s="939"/>
      <c r="AF168" s="939"/>
      <c r="AH168" s="939"/>
      <c r="AJ168" s="939"/>
      <c r="AL168" s="159">
        <f t="shared" si="165"/>
        <v>19000</v>
      </c>
      <c r="AM168" s="791">
        <f t="shared" si="166"/>
        <v>0</v>
      </c>
      <c r="AO168" s="16"/>
    </row>
    <row r="169" spans="2:41" x14ac:dyDescent="0.35">
      <c r="B169" s="942">
        <v>3</v>
      </c>
      <c r="C169" s="943" t="s">
        <v>590</v>
      </c>
      <c r="D169" s="944" t="s">
        <v>564</v>
      </c>
      <c r="E169" s="936"/>
      <c r="F169" s="936">
        <f>F167*F168</f>
        <v>0</v>
      </c>
      <c r="G169" s="936">
        <f t="shared" ref="G169:R169" si="167">G167*G168</f>
        <v>0</v>
      </c>
      <c r="H169" s="936">
        <f t="shared" si="167"/>
        <v>0</v>
      </c>
      <c r="I169" s="936">
        <f t="shared" si="167"/>
        <v>0</v>
      </c>
      <c r="J169" s="936">
        <f t="shared" si="167"/>
        <v>0</v>
      </c>
      <c r="K169" s="936">
        <f t="shared" si="167"/>
        <v>0</v>
      </c>
      <c r="L169" s="936">
        <f t="shared" si="167"/>
        <v>0</v>
      </c>
      <c r="M169" s="936">
        <f t="shared" si="167"/>
        <v>0</v>
      </c>
      <c r="N169" s="936">
        <f t="shared" si="167"/>
        <v>0</v>
      </c>
      <c r="O169" s="936">
        <f t="shared" si="167"/>
        <v>0</v>
      </c>
      <c r="P169" s="936">
        <f t="shared" si="167"/>
        <v>0</v>
      </c>
      <c r="Q169" s="936">
        <f t="shared" si="167"/>
        <v>0</v>
      </c>
      <c r="R169" s="936">
        <f t="shared" si="167"/>
        <v>0</v>
      </c>
      <c r="T169" s="936"/>
      <c r="U169" s="936"/>
      <c r="V169" s="936"/>
      <c r="W169" s="936"/>
      <c r="X169" s="936"/>
      <c r="Y169" s="936"/>
      <c r="Z169" s="936"/>
      <c r="AA169" s="936"/>
      <c r="AB169" s="936"/>
      <c r="AC169" s="936"/>
      <c r="AD169" s="936"/>
      <c r="AE169" s="936"/>
      <c r="AF169" s="936"/>
      <c r="AH169" s="936"/>
      <c r="AJ169" s="936"/>
      <c r="AL169" s="159">
        <f t="shared" si="165"/>
        <v>0</v>
      </c>
      <c r="AM169" s="791">
        <f t="shared" si="166"/>
        <v>0</v>
      </c>
      <c r="AO169" s="535"/>
    </row>
    <row r="170" spans="2:41" x14ac:dyDescent="0.35">
      <c r="K170" s="16"/>
      <c r="L170" s="16"/>
      <c r="M170" s="16"/>
      <c r="N170" s="16"/>
      <c r="O170" s="16"/>
      <c r="P170" s="16"/>
      <c r="Q170" s="16"/>
      <c r="Y170" s="16"/>
      <c r="Z170" s="16"/>
      <c r="AA170" s="16"/>
      <c r="AB170" s="16"/>
      <c r="AC170" s="16"/>
      <c r="AD170" s="16"/>
      <c r="AE170" s="16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R210"/>
  <sheetViews>
    <sheetView topLeftCell="A25" zoomScale="70" zoomScaleNormal="70" workbookViewId="0">
      <selection activeCell="H44" sqref="H44"/>
    </sheetView>
  </sheetViews>
  <sheetFormatPr defaultRowHeight="14.5" outlineLevelCol="2" x14ac:dyDescent="0.35"/>
  <cols>
    <col min="5" max="5" width="25.36328125" customWidth="1"/>
    <col min="11" max="22" width="0" hidden="1" customWidth="1" outlineLevel="1"/>
    <col min="23" max="23" width="11.36328125" customWidth="1" collapsed="1"/>
    <col min="25" max="36" width="0" hidden="1" customWidth="1" outlineLevel="2"/>
    <col min="37" max="37" width="8.7265625" collapsed="1"/>
  </cols>
  <sheetData>
    <row r="1" spans="2:44" x14ac:dyDescent="0.35">
      <c r="B1" s="167"/>
      <c r="C1" s="167"/>
      <c r="D1" s="167"/>
      <c r="E1" s="167"/>
      <c r="F1" s="167"/>
      <c r="W1" s="746"/>
      <c r="AK1" s="392"/>
    </row>
    <row r="2" spans="2:44" x14ac:dyDescent="0.35">
      <c r="D2" s="2"/>
      <c r="E2" s="1"/>
      <c r="F2" s="1"/>
      <c r="G2" s="1"/>
      <c r="P2" s="1261"/>
      <c r="W2" s="746">
        <f>SUM(W28:W40,W50:W62,W71)</f>
        <v>20649463738.546013</v>
      </c>
    </row>
    <row r="3" spans="2:44" x14ac:dyDescent="0.35">
      <c r="B3" s="1185" t="s">
        <v>696</v>
      </c>
      <c r="C3" s="1219"/>
      <c r="D3" s="1220"/>
      <c r="E3" s="1219"/>
      <c r="F3" s="63"/>
      <c r="G3" s="63"/>
      <c r="N3" s="17">
        <f>O121/552000/2</f>
        <v>0</v>
      </c>
      <c r="W3" s="390" t="s">
        <v>145</v>
      </c>
      <c r="Y3" s="17">
        <v>1</v>
      </c>
      <c r="Z3" s="17">
        <f>Y3+1</f>
        <v>2</v>
      </c>
      <c r="AA3" s="17">
        <f t="shared" ref="AA3:AJ3" si="0">Z3+1</f>
        <v>3</v>
      </c>
      <c r="AB3" s="17">
        <f t="shared" si="0"/>
        <v>4</v>
      </c>
      <c r="AC3" s="17">
        <f t="shared" si="0"/>
        <v>5</v>
      </c>
      <c r="AD3" s="17">
        <f t="shared" si="0"/>
        <v>6</v>
      </c>
      <c r="AE3" s="17">
        <f t="shared" si="0"/>
        <v>7</v>
      </c>
      <c r="AF3" s="17">
        <f t="shared" si="0"/>
        <v>8</v>
      </c>
      <c r="AG3" s="17">
        <f t="shared" si="0"/>
        <v>9</v>
      </c>
      <c r="AH3" s="17">
        <f t="shared" si="0"/>
        <v>10</v>
      </c>
      <c r="AI3" s="17">
        <f t="shared" si="0"/>
        <v>11</v>
      </c>
      <c r="AJ3" s="17">
        <f t="shared" si="0"/>
        <v>12</v>
      </c>
      <c r="AK3" s="390"/>
      <c r="AM3" s="390"/>
      <c r="AO3" s="390"/>
      <c r="AQ3" s="390"/>
      <c r="AR3" s="717"/>
    </row>
    <row r="4" spans="2:44" ht="58" x14ac:dyDescent="0.35">
      <c r="B4" s="1186" t="s">
        <v>36</v>
      </c>
      <c r="C4" s="172" t="s">
        <v>697</v>
      </c>
      <c r="D4" s="173" t="s">
        <v>482</v>
      </c>
      <c r="E4" s="1189" t="s">
        <v>483</v>
      </c>
      <c r="F4" s="265" t="s">
        <v>484</v>
      </c>
      <c r="G4" s="172" t="s">
        <v>698</v>
      </c>
      <c r="H4" s="172" t="s">
        <v>354</v>
      </c>
      <c r="I4" s="401" t="s">
        <v>699</v>
      </c>
      <c r="J4" s="116" t="s">
        <v>700</v>
      </c>
      <c r="K4" s="1191" t="s">
        <v>149</v>
      </c>
      <c r="L4" s="1191" t="s">
        <v>150</v>
      </c>
      <c r="M4" s="1191" t="s">
        <v>151</v>
      </c>
      <c r="N4" s="1191" t="s">
        <v>152</v>
      </c>
      <c r="O4" s="1191" t="s">
        <v>153</v>
      </c>
      <c r="P4" s="1191" t="s">
        <v>154</v>
      </c>
      <c r="Q4" s="1191" t="s">
        <v>155</v>
      </c>
      <c r="R4" s="1191" t="s">
        <v>156</v>
      </c>
      <c r="S4" s="1191" t="s">
        <v>157</v>
      </c>
      <c r="T4" s="1191" t="s">
        <v>158</v>
      </c>
      <c r="U4" s="1191" t="s">
        <v>159</v>
      </c>
      <c r="V4" s="1191" t="s">
        <v>160</v>
      </c>
      <c r="W4" s="1191" t="s">
        <v>2147</v>
      </c>
      <c r="X4" s="1192"/>
      <c r="Y4" s="714" t="s">
        <v>149</v>
      </c>
      <c r="Z4" s="714" t="s">
        <v>150</v>
      </c>
      <c r="AA4" s="714" t="s">
        <v>151</v>
      </c>
      <c r="AB4" s="714" t="s">
        <v>152</v>
      </c>
      <c r="AC4" s="714" t="s">
        <v>153</v>
      </c>
      <c r="AD4" s="714" t="s">
        <v>154</v>
      </c>
      <c r="AE4" s="714" t="s">
        <v>155</v>
      </c>
      <c r="AF4" s="714" t="s">
        <v>156</v>
      </c>
      <c r="AG4" s="714" t="s">
        <v>157</v>
      </c>
      <c r="AH4" s="800" t="s">
        <v>158</v>
      </c>
      <c r="AI4" s="800" t="s">
        <v>159</v>
      </c>
      <c r="AJ4" s="800" t="s">
        <v>160</v>
      </c>
      <c r="AK4" s="1193" t="s">
        <v>148</v>
      </c>
      <c r="AL4" s="1192"/>
      <c r="AM4" s="714" t="s">
        <v>526</v>
      </c>
      <c r="AO4" s="714" t="s">
        <v>527</v>
      </c>
      <c r="AQ4" s="1194" t="s">
        <v>528</v>
      </c>
      <c r="AR4" s="1195" t="s">
        <v>529</v>
      </c>
    </row>
    <row r="5" spans="2:44" ht="15.5" x14ac:dyDescent="0.35">
      <c r="B5" s="1170" t="s">
        <v>108</v>
      </c>
      <c r="C5" s="263"/>
      <c r="D5" s="178"/>
      <c r="E5" s="1173" t="s">
        <v>176</v>
      </c>
      <c r="F5" s="179"/>
      <c r="G5" s="179"/>
      <c r="H5" s="179"/>
      <c r="I5" s="179"/>
      <c r="J5" s="181">
        <f>SUM(J6:J26)</f>
        <v>0</v>
      </c>
      <c r="K5" s="1132">
        <f>SUM(K6:K26)</f>
        <v>1117209558.142318</v>
      </c>
      <c r="L5" s="1132">
        <f t="shared" ref="L5:V5" si="1">SUM(L6:L26)</f>
        <v>860332598.12351251</v>
      </c>
      <c r="M5" s="1132">
        <f t="shared" si="1"/>
        <v>1142886866.7478747</v>
      </c>
      <c r="N5" s="1132">
        <f t="shared" si="1"/>
        <v>1197487475.1995854</v>
      </c>
      <c r="O5" s="1132">
        <f t="shared" si="1"/>
        <v>1197078881.2751153</v>
      </c>
      <c r="P5" s="1132">
        <f t="shared" si="1"/>
        <v>1234688549.1384437</v>
      </c>
      <c r="Q5" s="1132">
        <f t="shared" si="1"/>
        <v>1247962895.1769054</v>
      </c>
      <c r="R5" s="1132">
        <f t="shared" si="1"/>
        <v>1247927895.1769054</v>
      </c>
      <c r="S5" s="1132">
        <f t="shared" si="1"/>
        <v>1205870793.2153668</v>
      </c>
      <c r="T5" s="1132">
        <f t="shared" si="1"/>
        <v>1239139740.2153668</v>
      </c>
      <c r="U5" s="1132">
        <f t="shared" si="1"/>
        <v>1245322716.1384437</v>
      </c>
      <c r="V5" s="1132">
        <f t="shared" si="1"/>
        <v>1235591228.1769054</v>
      </c>
      <c r="W5" s="1149">
        <f>SUM(W6:W26)</f>
        <v>14171499196.72674</v>
      </c>
      <c r="X5" s="1133"/>
      <c r="Y5" s="181">
        <f>SUM(Y6:Y26)</f>
        <v>600112065</v>
      </c>
      <c r="Z5" s="181">
        <f t="shared" ref="Z5:AK5" si="2">SUM(Z6:Z26)</f>
        <v>471311499</v>
      </c>
      <c r="AA5" s="181">
        <f t="shared" si="2"/>
        <v>770813157</v>
      </c>
      <c r="AB5" s="181">
        <f t="shared" si="2"/>
        <v>790299062</v>
      </c>
      <c r="AC5" s="181">
        <f t="shared" si="2"/>
        <v>745287481</v>
      </c>
      <c r="AD5" s="181">
        <f t="shared" si="2"/>
        <v>870734378</v>
      </c>
      <c r="AE5" s="181">
        <f t="shared" si="2"/>
        <v>990660719</v>
      </c>
      <c r="AF5" s="181">
        <f t="shared" si="2"/>
        <v>1019593656</v>
      </c>
      <c r="AG5" s="181">
        <f t="shared" si="2"/>
        <v>1081272086</v>
      </c>
      <c r="AH5" s="181">
        <f t="shared" si="2"/>
        <v>956876572.38914061</v>
      </c>
      <c r="AI5" s="181">
        <f t="shared" si="2"/>
        <v>956876572.38914025</v>
      </c>
      <c r="AJ5" s="181">
        <f t="shared" si="2"/>
        <v>956876572.38914025</v>
      </c>
      <c r="AK5" s="1132">
        <f t="shared" si="2"/>
        <v>10210713820.167419</v>
      </c>
      <c r="AL5" s="1133"/>
      <c r="AM5" s="181">
        <f t="shared" ref="AM5:AO5" si="3">SUM(AM6:AM26)</f>
        <v>4523468277</v>
      </c>
      <c r="AO5" s="181">
        <f t="shared" si="3"/>
        <v>0</v>
      </c>
      <c r="AQ5" s="1132">
        <f>IFERROR(W5-AK5,0)</f>
        <v>3960785376.5593204</v>
      </c>
      <c r="AR5" s="1141">
        <f>IFERROR((W5/AK5)-1,0)</f>
        <v>0.38790484645023349</v>
      </c>
    </row>
    <row r="6" spans="2:44" ht="15.5" x14ac:dyDescent="0.35">
      <c r="B6" s="1171">
        <v>1</v>
      </c>
      <c r="C6" s="362"/>
      <c r="D6" s="363">
        <v>6220002601</v>
      </c>
      <c r="E6" s="1174" t="s">
        <v>504</v>
      </c>
      <c r="F6" s="364" t="s">
        <v>489</v>
      </c>
      <c r="G6" s="364" t="s">
        <v>504</v>
      </c>
      <c r="H6" s="363" t="s">
        <v>359</v>
      </c>
      <c r="I6" s="403" t="s">
        <v>701</v>
      </c>
      <c r="J6" s="366"/>
      <c r="K6" s="1134">
        <f>SUMIFS(LUONG!F:F,LUONG!$C:$C,CPSX!$D6)</f>
        <v>433867001</v>
      </c>
      <c r="L6" s="1134">
        <f>SUMIFS(LUONG!G:G,LUONG!$C:$C,CPSX!$D6)</f>
        <v>308594194</v>
      </c>
      <c r="M6" s="1134">
        <f>SUMIFS(LUONG!H:H,LUONG!$C:$C,CPSX!$D6)+M106</f>
        <v>422332615</v>
      </c>
      <c r="N6" s="1134">
        <f>SUMIFS(LUONG!I:I,LUONG!$C:$C,CPSX!$D6)+N106</f>
        <v>417794194</v>
      </c>
      <c r="O6" s="1134">
        <f>SUMIFS(LUONG!J:J,LUONG!$C:$C,CPSX!$D6)+O106</f>
        <v>428099808</v>
      </c>
      <c r="P6" s="1134">
        <f>SUMIFS(LUONG!K:K,LUONG!$C:$C,CPSX!$D6)+P106</f>
        <v>487664074</v>
      </c>
      <c r="Q6" s="1134">
        <f>SUMIFS(LUONG!L:L,LUONG!$C:$C,CPSX!$D6)+Q106</f>
        <v>503736881</v>
      </c>
      <c r="R6" s="1134">
        <f>SUMIFS(LUONG!M:M,LUONG!$C:$C,CPSX!$D6)+R106</f>
        <v>503736881</v>
      </c>
      <c r="S6" s="1134">
        <f>SUMIFS(LUONG!N:N,LUONG!$C:$C,CPSX!$D6)+S106</f>
        <v>465824074</v>
      </c>
      <c r="T6" s="1134">
        <f>SUMIFS(LUONG!O:O,LUONG!$C:$C,CPSX!$D6)+T106</f>
        <v>497969688</v>
      </c>
      <c r="U6" s="1134">
        <f>SUMIFS(LUONG!P:P,LUONG!$C:$C,CPSX!$D6)+U106</f>
        <v>498584074</v>
      </c>
      <c r="V6" s="1134">
        <f>SUMIFS(LUONG!Q:Q,LUONG!$C:$C,CPSX!$D6)+V106</f>
        <v>492816881</v>
      </c>
      <c r="W6" s="1135">
        <f>SUM(K6:V6)</f>
        <v>5461020365</v>
      </c>
      <c r="X6" s="1136"/>
      <c r="Y6" s="366">
        <f t="shared" ref="Y6:Z14" si="4">Y28+Y50</f>
        <v>323444051</v>
      </c>
      <c r="Z6" s="366">
        <f t="shared" si="4"/>
        <v>205758869</v>
      </c>
      <c r="AA6" s="366">
        <f t="shared" ref="AA6:AJ6" si="5">AA28+AA50</f>
        <v>417453852</v>
      </c>
      <c r="AB6" s="366">
        <f t="shared" si="5"/>
        <v>479670463</v>
      </c>
      <c r="AC6" s="366">
        <f t="shared" si="5"/>
        <v>424999777</v>
      </c>
      <c r="AD6" s="366">
        <f t="shared" si="5"/>
        <v>533855666</v>
      </c>
      <c r="AE6" s="366">
        <f t="shared" si="5"/>
        <v>564627094</v>
      </c>
      <c r="AF6" s="366">
        <f t="shared" si="5"/>
        <v>622409337</v>
      </c>
      <c r="AG6" s="366">
        <f t="shared" si="5"/>
        <v>596353633</v>
      </c>
      <c r="AH6" s="366">
        <f t="shared" si="5"/>
        <v>536535410</v>
      </c>
      <c r="AI6" s="366">
        <f t="shared" si="5"/>
        <v>536535410</v>
      </c>
      <c r="AJ6" s="366">
        <f t="shared" si="5"/>
        <v>536535410</v>
      </c>
      <c r="AK6" s="1138">
        <f t="shared" ref="AK6:AK25" si="6">SUM(Y6:AJ6)</f>
        <v>5778178972</v>
      </c>
      <c r="AL6" s="1136"/>
      <c r="AM6" s="366">
        <f t="shared" ref="AM6:AM25" si="7">AM28+AM50</f>
        <v>3333965498</v>
      </c>
      <c r="AO6" s="366">
        <f t="shared" ref="AO6:AO25" si="8">AO28+AO50</f>
        <v>0</v>
      </c>
      <c r="AQ6" s="1134">
        <f>IFERROR(W6-AK6,0)</f>
        <v>-317158607</v>
      </c>
      <c r="AR6" s="1142">
        <f>IFERROR((W6/AK6)-1,0)</f>
        <v>-5.4889024472397407E-2</v>
      </c>
    </row>
    <row r="7" spans="2:44" ht="15.5" x14ac:dyDescent="0.35">
      <c r="B7" s="1172">
        <v>2</v>
      </c>
      <c r="C7" s="367"/>
      <c r="D7" s="368">
        <v>6220002602</v>
      </c>
      <c r="E7" s="1175" t="s">
        <v>505</v>
      </c>
      <c r="F7" s="369" t="s">
        <v>489</v>
      </c>
      <c r="G7" s="369" t="s">
        <v>505</v>
      </c>
      <c r="H7" s="368" t="s">
        <v>359</v>
      </c>
      <c r="I7" s="404" t="s">
        <v>701</v>
      </c>
      <c r="J7" s="371"/>
      <c r="K7" s="1137">
        <f>SUMIFS(LUONG!F:F,LUONG!$C:$C,CPSX!$D7)</f>
        <v>11870807</v>
      </c>
      <c r="L7" s="1137">
        <f>SUMIFS(LUONG!G:G,LUONG!$C:$C,CPSX!$D7)</f>
        <v>11870807</v>
      </c>
      <c r="M7" s="1137">
        <f>SUMIFS(LUONG!H:H,LUONG!$C:$C,CPSX!$D7)</f>
        <v>11870807</v>
      </c>
      <c r="N7" s="1137">
        <f>SUMIFS(LUONG!I:I,LUONG!$C:$C,CPSX!$D7)</f>
        <v>11870807</v>
      </c>
      <c r="O7" s="1137">
        <f>SUMIFS(LUONG!J:J,LUONG!$C:$C,CPSX!$D7)</f>
        <v>11870807</v>
      </c>
      <c r="P7" s="1137">
        <f>SUMIFS(LUONG!K:K,LUONG!$C:$C,CPSX!$D7)</f>
        <v>11870807</v>
      </c>
      <c r="Q7" s="1137">
        <f>SUMIFS(LUONG!L:L,LUONG!$C:$C,CPSX!$D7)</f>
        <v>11870807</v>
      </c>
      <c r="R7" s="1137">
        <f>SUMIFS(LUONG!M:M,LUONG!$C:$C,CPSX!$D7)</f>
        <v>11870807</v>
      </c>
      <c r="S7" s="1137">
        <f>SUMIFS(LUONG!N:N,LUONG!$C:$C,CPSX!$D7)</f>
        <v>11870807</v>
      </c>
      <c r="T7" s="1137">
        <f>SUMIFS(LUONG!O:O,LUONG!$C:$C,CPSX!$D7)</f>
        <v>11870807</v>
      </c>
      <c r="U7" s="1137">
        <f>SUMIFS(LUONG!P:P,LUONG!$C:$C,CPSX!$D7)</f>
        <v>11870807</v>
      </c>
      <c r="V7" s="1137">
        <f>SUMIFS(LUONG!Q:Q,LUONG!$C:$C,CPSX!$D7)</f>
        <v>11870807</v>
      </c>
      <c r="W7" s="1138">
        <f t="shared" ref="W7:W23" si="9">SUM(K7:V7)</f>
        <v>142449684</v>
      </c>
      <c r="X7" s="1136"/>
      <c r="Y7" s="366">
        <f t="shared" si="4"/>
        <v>14193000</v>
      </c>
      <c r="Z7" s="366">
        <f t="shared" si="4"/>
        <v>13788500</v>
      </c>
      <c r="AA7" s="366">
        <f t="shared" ref="AA7:AJ7" si="10">AA29+AA51</f>
        <v>13826500</v>
      </c>
      <c r="AB7" s="366">
        <f t="shared" si="10"/>
        <v>12610750</v>
      </c>
      <c r="AC7" s="366">
        <f t="shared" si="10"/>
        <v>12227750</v>
      </c>
      <c r="AD7" s="366">
        <f t="shared" si="10"/>
        <v>11132584</v>
      </c>
      <c r="AE7" s="366">
        <f t="shared" si="10"/>
        <v>11132583</v>
      </c>
      <c r="AF7" s="366">
        <f t="shared" si="10"/>
        <v>10644750</v>
      </c>
      <c r="AG7" s="366">
        <f t="shared" si="10"/>
        <v>10686417</v>
      </c>
      <c r="AH7" s="366">
        <f t="shared" si="10"/>
        <v>10686417</v>
      </c>
      <c r="AI7" s="366">
        <f t="shared" si="10"/>
        <v>10686417</v>
      </c>
      <c r="AJ7" s="366">
        <f t="shared" si="10"/>
        <v>10686417</v>
      </c>
      <c r="AK7" s="1138">
        <f t="shared" si="6"/>
        <v>142302085</v>
      </c>
      <c r="AL7" s="1136"/>
      <c r="AM7" s="366">
        <f t="shared" si="7"/>
        <v>141271834</v>
      </c>
      <c r="AO7" s="366">
        <f t="shared" si="8"/>
        <v>0</v>
      </c>
      <c r="AQ7" s="1134">
        <f t="shared" ref="AQ7:AQ26" si="11">IFERROR(W7-AK7,0)</f>
        <v>147599</v>
      </c>
      <c r="AR7" s="1142">
        <f t="shared" ref="AR7:AR26" si="12">IFERROR((W7/AK7)-1,0)</f>
        <v>1.0372230315529585E-3</v>
      </c>
    </row>
    <row r="8" spans="2:44" ht="15.5" x14ac:dyDescent="0.35">
      <c r="B8" s="1172">
        <v>3</v>
      </c>
      <c r="C8" s="367"/>
      <c r="D8" s="368">
        <v>6220002802</v>
      </c>
      <c r="E8" s="1175" t="s">
        <v>506</v>
      </c>
      <c r="F8" s="369" t="s">
        <v>493</v>
      </c>
      <c r="G8" s="369" t="s">
        <v>506</v>
      </c>
      <c r="H8" s="368" t="s">
        <v>359</v>
      </c>
      <c r="I8" s="404" t="s">
        <v>701</v>
      </c>
      <c r="J8" s="371"/>
      <c r="K8" s="1137">
        <f>SUMIFS(LUONG!F:F,LUONG!$C:$C,CPSX!$D8)</f>
        <v>34320000</v>
      </c>
      <c r="L8" s="1137">
        <f>SUMIFS(LUONG!G:G,LUONG!$C:$C,CPSX!$D8)</f>
        <v>29920000</v>
      </c>
      <c r="M8" s="1137">
        <f>SUMIFS(LUONG!H:H,LUONG!$C:$C,CPSX!$D8)</f>
        <v>29920000</v>
      </c>
      <c r="N8" s="1137">
        <f>SUMIFS(LUONG!I:I,LUONG!$C:$C,CPSX!$D8)</f>
        <v>29920000</v>
      </c>
      <c r="O8" s="1137">
        <f>SUMIFS(LUONG!J:J,LUONG!$C:$C,CPSX!$D8)</f>
        <v>38720000</v>
      </c>
      <c r="P8" s="1137">
        <f>SUMIFS(LUONG!K:K,LUONG!$C:$C,CPSX!$D8)</f>
        <v>29920000</v>
      </c>
      <c r="Q8" s="1137">
        <f>SUMIFS(LUONG!L:L,LUONG!$C:$C,CPSX!$D8)</f>
        <v>29920000</v>
      </c>
      <c r="R8" s="1137">
        <f>SUMIFS(LUONG!M:M,LUONG!$C:$C,CPSX!$D8)</f>
        <v>29920000</v>
      </c>
      <c r="S8" s="1137">
        <f>SUMIFS(LUONG!N:N,LUONG!$C:$C,CPSX!$D8)</f>
        <v>34320000</v>
      </c>
      <c r="T8" s="1137">
        <f>SUMIFS(LUONG!O:O,LUONG!$C:$C,CPSX!$D8)</f>
        <v>29920000</v>
      </c>
      <c r="U8" s="1137">
        <f>SUMIFS(LUONG!P:P,LUONG!$C:$C,CPSX!$D8)</f>
        <v>29920000</v>
      </c>
      <c r="V8" s="1137">
        <f>SUMIFS(LUONG!Q:Q,LUONG!$C:$C,CPSX!$D8)</f>
        <v>29920000</v>
      </c>
      <c r="W8" s="1138">
        <f t="shared" si="9"/>
        <v>376640000</v>
      </c>
      <c r="X8" s="1136"/>
      <c r="Y8" s="366">
        <f t="shared" si="4"/>
        <v>0</v>
      </c>
      <c r="Z8" s="366">
        <f t="shared" si="4"/>
        <v>0</v>
      </c>
      <c r="AA8" s="366">
        <f t="shared" ref="AA8:AJ8" si="13">AA30+AA52</f>
        <v>0</v>
      </c>
      <c r="AB8" s="366">
        <f t="shared" si="13"/>
        <v>0</v>
      </c>
      <c r="AC8" s="366">
        <f t="shared" si="13"/>
        <v>0</v>
      </c>
      <c r="AD8" s="366">
        <f t="shared" si="13"/>
        <v>0</v>
      </c>
      <c r="AE8" s="366">
        <f t="shared" si="13"/>
        <v>0</v>
      </c>
      <c r="AF8" s="366">
        <f t="shared" si="13"/>
        <v>0</v>
      </c>
      <c r="AG8" s="366">
        <f t="shared" si="13"/>
        <v>0</v>
      </c>
      <c r="AH8" s="366">
        <f t="shared" si="13"/>
        <v>0</v>
      </c>
      <c r="AI8" s="366">
        <f t="shared" si="13"/>
        <v>0</v>
      </c>
      <c r="AJ8" s="366">
        <f t="shared" si="13"/>
        <v>0</v>
      </c>
      <c r="AK8" s="1138">
        <f t="shared" si="6"/>
        <v>0</v>
      </c>
      <c r="AL8" s="1136"/>
      <c r="AM8" s="366">
        <f t="shared" si="7"/>
        <v>0</v>
      </c>
      <c r="AO8" s="366">
        <f t="shared" si="8"/>
        <v>0</v>
      </c>
      <c r="AQ8" s="1134">
        <f t="shared" si="11"/>
        <v>376640000</v>
      </c>
      <c r="AR8" s="1142">
        <f t="shared" si="12"/>
        <v>0</v>
      </c>
    </row>
    <row r="9" spans="2:44" ht="15.5" x14ac:dyDescent="0.35">
      <c r="B9" s="1172">
        <v>4</v>
      </c>
      <c r="C9" s="367"/>
      <c r="D9" s="368">
        <v>6220002806</v>
      </c>
      <c r="E9" s="1175" t="s">
        <v>507</v>
      </c>
      <c r="F9" s="369" t="s">
        <v>489</v>
      </c>
      <c r="G9" s="369" t="s">
        <v>507</v>
      </c>
      <c r="H9" s="368" t="s">
        <v>359</v>
      </c>
      <c r="I9" s="404" t="s">
        <v>701</v>
      </c>
      <c r="J9" s="371"/>
      <c r="K9" s="1137">
        <f>SUMIFS(LUONG!F:F,LUONG!$C:$C,CPSX!$D9)</f>
        <v>1374519</v>
      </c>
      <c r="L9" s="1137">
        <f>SUMIFS(LUONG!G:G,LUONG!$C:$C,CPSX!$D9)</f>
        <v>1374519</v>
      </c>
      <c r="M9" s="1137">
        <f>SUMIFS(LUONG!H:H,LUONG!$C:$C,CPSX!$D9)</f>
        <v>1374519</v>
      </c>
      <c r="N9" s="1137">
        <f>SUMIFS(LUONG!I:I,LUONG!$C:$C,CPSX!$D9)</f>
        <v>1374519</v>
      </c>
      <c r="O9" s="1137">
        <f>SUMIFS(LUONG!J:J,LUONG!$C:$C,CPSX!$D9)</f>
        <v>1374519</v>
      </c>
      <c r="P9" s="1137">
        <f>SUMIFS(LUONG!K:K,LUONG!$C:$C,CPSX!$D9)</f>
        <v>1374519</v>
      </c>
      <c r="Q9" s="1137">
        <f>SUMIFS(LUONG!L:L,LUONG!$C:$C,CPSX!$D9)</f>
        <v>1374519</v>
      </c>
      <c r="R9" s="1137">
        <f>SUMIFS(LUONG!M:M,LUONG!$C:$C,CPSX!$D9)</f>
        <v>1374519</v>
      </c>
      <c r="S9" s="1137">
        <f>SUMIFS(LUONG!N:N,LUONG!$C:$C,CPSX!$D9)</f>
        <v>1374519</v>
      </c>
      <c r="T9" s="1137">
        <f>SUMIFS(LUONG!O:O,LUONG!$C:$C,CPSX!$D9)</f>
        <v>1374519</v>
      </c>
      <c r="U9" s="1137">
        <f>SUMIFS(LUONG!P:P,LUONG!$C:$C,CPSX!$D9)</f>
        <v>1374519</v>
      </c>
      <c r="V9" s="1137">
        <f>SUMIFS(LUONG!Q:Q,LUONG!$C:$C,CPSX!$D9)</f>
        <v>1374519</v>
      </c>
      <c r="W9" s="1138">
        <f t="shared" si="9"/>
        <v>16494228</v>
      </c>
      <c r="X9" s="1136"/>
      <c r="Y9" s="366">
        <f t="shared" si="4"/>
        <v>9614609</v>
      </c>
      <c r="Z9" s="366">
        <f t="shared" si="4"/>
        <v>2343935</v>
      </c>
      <c r="AA9" s="366">
        <f t="shared" ref="AA9:AJ9" si="14">AA31+AA53</f>
        <v>2350395</v>
      </c>
      <c r="AB9" s="366">
        <f t="shared" si="14"/>
        <v>2143727</v>
      </c>
      <c r="AC9" s="366">
        <f t="shared" si="14"/>
        <v>2078620</v>
      </c>
      <c r="AD9" s="366">
        <f t="shared" si="14"/>
        <v>1892450</v>
      </c>
      <c r="AE9" s="366">
        <f t="shared" si="14"/>
        <v>1892450</v>
      </c>
      <c r="AF9" s="366">
        <f t="shared" si="14"/>
        <v>1809522</v>
      </c>
      <c r="AG9" s="366">
        <f t="shared" si="14"/>
        <v>1816605</v>
      </c>
      <c r="AH9" s="366">
        <f t="shared" si="14"/>
        <v>1816605</v>
      </c>
      <c r="AI9" s="366">
        <f t="shared" si="14"/>
        <v>1816605</v>
      </c>
      <c r="AJ9" s="366">
        <f t="shared" si="14"/>
        <v>1816605</v>
      </c>
      <c r="AK9" s="1138">
        <f t="shared" si="6"/>
        <v>31392128</v>
      </c>
      <c r="AL9" s="1136"/>
      <c r="AM9" s="366">
        <f t="shared" si="7"/>
        <v>20540398</v>
      </c>
      <c r="AO9" s="366">
        <f t="shared" si="8"/>
        <v>0</v>
      </c>
      <c r="AQ9" s="1134">
        <f t="shared" si="11"/>
        <v>-14897900</v>
      </c>
      <c r="AR9" s="1142">
        <f t="shared" si="12"/>
        <v>-0.47457439011461722</v>
      </c>
    </row>
    <row r="10" spans="2:44" ht="15.5" x14ac:dyDescent="0.35">
      <c r="B10" s="1172">
        <v>5</v>
      </c>
      <c r="C10" s="367"/>
      <c r="D10" s="368">
        <v>6220007202</v>
      </c>
      <c r="E10" s="1175" t="s">
        <v>495</v>
      </c>
      <c r="F10" s="369" t="s">
        <v>493</v>
      </c>
      <c r="G10" s="369" t="s">
        <v>495</v>
      </c>
      <c r="H10" s="368" t="s">
        <v>359</v>
      </c>
      <c r="I10" s="404" t="s">
        <v>701</v>
      </c>
      <c r="J10" s="371"/>
      <c r="K10" s="1137">
        <f>SUMIFS(LUONG!F:F,LUONG!$C:$C,CPSX!$D10)</f>
        <v>1910017</v>
      </c>
      <c r="L10" s="1137">
        <f>SUMIFS(LUONG!G:G,LUONG!$C:$C,CPSX!$D10)</f>
        <v>1910017</v>
      </c>
      <c r="M10" s="1137">
        <f>SUMIFS(LUONG!H:H,LUONG!$C:$C,CPSX!$D10)</f>
        <v>1910017</v>
      </c>
      <c r="N10" s="1137">
        <f>SUMIFS(LUONG!I:I,LUONG!$C:$C,CPSX!$D10)</f>
        <v>1910017</v>
      </c>
      <c r="O10" s="1137">
        <f>SUMIFS(LUONG!J:J,LUONG!$C:$C,CPSX!$D10)</f>
        <v>1910017</v>
      </c>
      <c r="P10" s="1137">
        <f>SUMIFS(LUONG!K:K,LUONG!$C:$C,CPSX!$D10)</f>
        <v>1910017</v>
      </c>
      <c r="Q10" s="1137">
        <f>SUMIFS(LUONG!L:L,LUONG!$C:$C,CPSX!$D10)</f>
        <v>1910017</v>
      </c>
      <c r="R10" s="1137">
        <f>SUMIFS(LUONG!M:M,LUONG!$C:$C,CPSX!$D10)</f>
        <v>1910017</v>
      </c>
      <c r="S10" s="1137">
        <f>SUMIFS(LUONG!N:N,LUONG!$C:$C,CPSX!$D10)</f>
        <v>1910017</v>
      </c>
      <c r="T10" s="1137">
        <f>SUMIFS(LUONG!O:O,LUONG!$C:$C,CPSX!$D10)</f>
        <v>1910017</v>
      </c>
      <c r="U10" s="1137">
        <f>SUMIFS(LUONG!P:P,LUONG!$C:$C,CPSX!$D10)</f>
        <v>1910017</v>
      </c>
      <c r="V10" s="1137">
        <f>SUMIFS(LUONG!Q:Q,LUONG!$C:$C,CPSX!$D10)</f>
        <v>1910017</v>
      </c>
      <c r="W10" s="1138">
        <f t="shared" si="9"/>
        <v>22920204</v>
      </c>
      <c r="X10" s="1136"/>
      <c r="Y10" s="366">
        <f t="shared" si="4"/>
        <v>0</v>
      </c>
      <c r="Z10" s="366">
        <f t="shared" si="4"/>
        <v>0</v>
      </c>
      <c r="AA10" s="366">
        <f t="shared" ref="AA10:AJ10" si="15">AA32+AA54</f>
        <v>0</v>
      </c>
      <c r="AB10" s="366">
        <f t="shared" si="15"/>
        <v>0</v>
      </c>
      <c r="AC10" s="366">
        <f t="shared" si="15"/>
        <v>0</v>
      </c>
      <c r="AD10" s="366">
        <f t="shared" si="15"/>
        <v>0</v>
      </c>
      <c r="AE10" s="366">
        <f t="shared" si="15"/>
        <v>0</v>
      </c>
      <c r="AF10" s="366">
        <f t="shared" si="15"/>
        <v>0</v>
      </c>
      <c r="AG10" s="366">
        <f t="shared" si="15"/>
        <v>0</v>
      </c>
      <c r="AH10" s="366">
        <f t="shared" si="15"/>
        <v>0</v>
      </c>
      <c r="AI10" s="366">
        <f t="shared" si="15"/>
        <v>0</v>
      </c>
      <c r="AJ10" s="366">
        <f t="shared" si="15"/>
        <v>0</v>
      </c>
      <c r="AK10" s="1138">
        <f t="shared" si="6"/>
        <v>0</v>
      </c>
      <c r="AL10" s="1136"/>
      <c r="AM10" s="366">
        <f t="shared" si="7"/>
        <v>0</v>
      </c>
      <c r="AO10" s="366">
        <f t="shared" si="8"/>
        <v>0</v>
      </c>
      <c r="AQ10" s="1134">
        <f t="shared" si="11"/>
        <v>22920204</v>
      </c>
      <c r="AR10" s="1142">
        <f t="shared" si="12"/>
        <v>0</v>
      </c>
    </row>
    <row r="11" spans="2:44" ht="15.5" x14ac:dyDescent="0.35">
      <c r="B11" s="1172">
        <v>6</v>
      </c>
      <c r="C11" s="367"/>
      <c r="D11" s="368">
        <v>6220003201</v>
      </c>
      <c r="E11" s="1175" t="s">
        <v>508</v>
      </c>
      <c r="F11" s="369" t="s">
        <v>493</v>
      </c>
      <c r="G11" s="369" t="s">
        <v>508</v>
      </c>
      <c r="H11" s="368" t="s">
        <v>359</v>
      </c>
      <c r="I11" s="404" t="s">
        <v>701</v>
      </c>
      <c r="J11" s="371"/>
      <c r="K11" s="1137">
        <f>SUMIFS(LUONG!F:F,LUONG!$C:$C,CPSX!$D11)</f>
        <v>55824999.038461536</v>
      </c>
      <c r="L11" s="1137">
        <f>SUMIFS(LUONG!G:G,LUONG!$C:$C,CPSX!$D11)</f>
        <v>39801999.153846152</v>
      </c>
      <c r="M11" s="1137">
        <f>SUMIFS(LUONG!H:H,LUONG!$C:$C,CPSX!$D11)</f>
        <v>54683999.07692308</v>
      </c>
      <c r="N11" s="1137">
        <f>SUMIFS(LUONG!I:I,LUONG!$C:$C,CPSX!$D11)</f>
        <v>56006998.961538464</v>
      </c>
      <c r="O11" s="1137">
        <f>SUMIFS(LUONG!J:J,LUONG!$C:$C,CPSX!$D11)</f>
        <v>52401999.153846152</v>
      </c>
      <c r="P11" s="1137">
        <f>SUMIFS(LUONG!K:K,LUONG!$C:$C,CPSX!$D11)</f>
        <v>57056998.961538464</v>
      </c>
      <c r="Q11" s="1137">
        <f>SUMIFS(LUONG!L:L,LUONG!$C:$C,CPSX!$D11)</f>
        <v>58015999</v>
      </c>
      <c r="R11" s="1137">
        <f>SUMIFS(LUONG!M:M,LUONG!$C:$C,CPSX!$D11)</f>
        <v>58015999</v>
      </c>
      <c r="S11" s="1137">
        <f>SUMIFS(LUONG!N:N,LUONG!$C:$C,CPSX!$D11)</f>
        <v>52674999.038461536</v>
      </c>
      <c r="T11" s="1137">
        <f>SUMIFS(LUONG!O:O,LUONG!$C:$C,CPSX!$D11)</f>
        <v>56874999.038461536</v>
      </c>
      <c r="U11" s="1137">
        <f>SUMIFS(LUONG!P:P,LUONG!$C:$C,CPSX!$D11)</f>
        <v>58106998.961538464</v>
      </c>
      <c r="V11" s="1137">
        <f>SUMIFS(LUONG!Q:Q,LUONG!$C:$C,CPSX!$D11)</f>
        <v>56965999</v>
      </c>
      <c r="W11" s="1138">
        <f t="shared" si="9"/>
        <v>656431988.38461542</v>
      </c>
      <c r="X11" s="1136"/>
      <c r="Y11" s="366">
        <f t="shared" si="4"/>
        <v>14025000</v>
      </c>
      <c r="Z11" s="366">
        <f t="shared" si="4"/>
        <v>18875000</v>
      </c>
      <c r="AA11" s="366">
        <f t="shared" ref="AA11:AJ11" si="16">AA33+AA55</f>
        <v>37750000</v>
      </c>
      <c r="AB11" s="366">
        <f t="shared" si="16"/>
        <v>34450000</v>
      </c>
      <c r="AC11" s="366">
        <f t="shared" si="16"/>
        <v>34950000</v>
      </c>
      <c r="AD11" s="366">
        <f t="shared" si="16"/>
        <v>37375000</v>
      </c>
      <c r="AE11" s="366">
        <f t="shared" si="16"/>
        <v>38825000</v>
      </c>
      <c r="AF11" s="366">
        <f t="shared" si="16"/>
        <v>39200000</v>
      </c>
      <c r="AG11" s="366">
        <f t="shared" si="16"/>
        <v>38125000</v>
      </c>
      <c r="AH11" s="366">
        <f t="shared" si="16"/>
        <v>38125000</v>
      </c>
      <c r="AI11" s="366">
        <f t="shared" si="16"/>
        <v>38125000</v>
      </c>
      <c r="AJ11" s="366">
        <f t="shared" si="16"/>
        <v>38125000</v>
      </c>
      <c r="AK11" s="1138">
        <f t="shared" si="6"/>
        <v>407950000</v>
      </c>
      <c r="AL11" s="1136"/>
      <c r="AM11" s="366">
        <f t="shared" si="7"/>
        <v>204625000</v>
      </c>
      <c r="AO11" s="366">
        <f t="shared" si="8"/>
        <v>0</v>
      </c>
      <c r="AQ11" s="1134">
        <f t="shared" si="11"/>
        <v>248481988.38461542</v>
      </c>
      <c r="AR11" s="1142">
        <f t="shared" si="12"/>
        <v>0.60909912583555692</v>
      </c>
    </row>
    <row r="12" spans="2:44" ht="15.5" x14ac:dyDescent="0.35">
      <c r="B12" s="1172">
        <v>7</v>
      </c>
      <c r="C12" s="367"/>
      <c r="D12" s="368">
        <v>6220002603</v>
      </c>
      <c r="E12" s="1175" t="s">
        <v>509</v>
      </c>
      <c r="F12" s="369" t="s">
        <v>489</v>
      </c>
      <c r="G12" s="369" t="s">
        <v>509</v>
      </c>
      <c r="H12" s="368" t="s">
        <v>359</v>
      </c>
      <c r="I12" s="404" t="s">
        <v>701</v>
      </c>
      <c r="J12" s="371"/>
      <c r="K12" s="1137">
        <f>SUMIFS(LUONG!F:F,LUONG!$C:$C,CPSX!$D12)</f>
        <v>12249750</v>
      </c>
      <c r="L12" s="1137">
        <f>SUMIFS(LUONG!G:G,LUONG!$C:$C,CPSX!$D12)</f>
        <v>12249750</v>
      </c>
      <c r="M12" s="1137">
        <f>SUMIFS(LUONG!H:H,LUONG!$C:$C,CPSX!$D12)</f>
        <v>12249750</v>
      </c>
      <c r="N12" s="1137">
        <f>SUMIFS(LUONG!I:I,LUONG!$C:$C,CPSX!$D12)</f>
        <v>12249750</v>
      </c>
      <c r="O12" s="1137">
        <f>SUMIFS(LUONG!J:J,LUONG!$C:$C,CPSX!$D12)</f>
        <v>12249750</v>
      </c>
      <c r="P12" s="1137">
        <f>SUMIFS(LUONG!K:K,LUONG!$C:$C,CPSX!$D12)</f>
        <v>12249750</v>
      </c>
      <c r="Q12" s="1137">
        <f>SUMIFS(LUONG!L:L,LUONG!$C:$C,CPSX!$D12)</f>
        <v>12249750</v>
      </c>
      <c r="R12" s="1137">
        <f>SUMIFS(LUONG!M:M,LUONG!$C:$C,CPSX!$D12)</f>
        <v>12249750</v>
      </c>
      <c r="S12" s="1137">
        <f>SUMIFS(LUONG!N:N,LUONG!$C:$C,CPSX!$D12)</f>
        <v>12249750</v>
      </c>
      <c r="T12" s="1137">
        <f>SUMIFS(LUONG!O:O,LUONG!$C:$C,CPSX!$D12)</f>
        <v>12249750</v>
      </c>
      <c r="U12" s="1137">
        <f>SUMIFS(LUONG!P:P,LUONG!$C:$C,CPSX!$D12)</f>
        <v>12249750</v>
      </c>
      <c r="V12" s="1137">
        <f>SUMIFS(LUONG!Q:Q,LUONG!$C:$C,CPSX!$D12)</f>
        <v>12249750</v>
      </c>
      <c r="W12" s="1138">
        <f t="shared" si="9"/>
        <v>146997000</v>
      </c>
      <c r="X12" s="1136"/>
      <c r="Y12" s="366">
        <f t="shared" si="4"/>
        <v>0</v>
      </c>
      <c r="Z12" s="366">
        <f t="shared" si="4"/>
        <v>0</v>
      </c>
      <c r="AA12" s="366">
        <f t="shared" ref="AA12:AJ12" si="17">AA34+AA56</f>
        <v>0</v>
      </c>
      <c r="AB12" s="366">
        <f t="shared" si="17"/>
        <v>0</v>
      </c>
      <c r="AC12" s="366">
        <f t="shared" si="17"/>
        <v>0</v>
      </c>
      <c r="AD12" s="366">
        <f t="shared" si="17"/>
        <v>0</v>
      </c>
      <c r="AE12" s="366">
        <f t="shared" si="17"/>
        <v>0</v>
      </c>
      <c r="AF12" s="366">
        <f t="shared" si="17"/>
        <v>0</v>
      </c>
      <c r="AG12" s="366">
        <f t="shared" si="17"/>
        <v>0</v>
      </c>
      <c r="AH12" s="366">
        <f t="shared" si="17"/>
        <v>0</v>
      </c>
      <c r="AI12" s="366">
        <f t="shared" si="17"/>
        <v>0</v>
      </c>
      <c r="AJ12" s="366">
        <f t="shared" si="17"/>
        <v>0</v>
      </c>
      <c r="AK12" s="1138">
        <f t="shared" si="6"/>
        <v>0</v>
      </c>
      <c r="AL12" s="1136"/>
      <c r="AM12" s="366">
        <f t="shared" si="7"/>
        <v>0</v>
      </c>
      <c r="AO12" s="366">
        <f t="shared" si="8"/>
        <v>0</v>
      </c>
      <c r="AQ12" s="1134">
        <f t="shared" si="11"/>
        <v>146997000</v>
      </c>
      <c r="AR12" s="1142">
        <f t="shared" si="12"/>
        <v>0</v>
      </c>
    </row>
    <row r="13" spans="2:44" ht="15.5" x14ac:dyDescent="0.35">
      <c r="B13" s="1172">
        <v>8</v>
      </c>
      <c r="C13" s="367"/>
      <c r="D13" s="368">
        <v>6220003401</v>
      </c>
      <c r="E13" s="1175" t="s">
        <v>510</v>
      </c>
      <c r="F13" s="369" t="s">
        <v>493</v>
      </c>
      <c r="G13" s="369" t="s">
        <v>510</v>
      </c>
      <c r="H13" s="368" t="s">
        <v>359</v>
      </c>
      <c r="I13" s="404" t="s">
        <v>701</v>
      </c>
      <c r="J13" s="371"/>
      <c r="K13" s="1137">
        <f>SUMIFS(LUONG!F:F,LUONG!$C:$C,CPSX!$D13)</f>
        <v>35237546</v>
      </c>
      <c r="L13" s="1137">
        <f>SUMIFS(LUONG!G:G,LUONG!$C:$C,CPSX!$D13)</f>
        <v>35237546</v>
      </c>
      <c r="M13" s="1137">
        <f>SUMIFS(LUONG!H:H,LUONG!$C:$C,CPSX!$D13)</f>
        <v>35237546</v>
      </c>
      <c r="N13" s="1137">
        <f>SUMIFS(LUONG!I:I,LUONG!$C:$C,CPSX!$D13)</f>
        <v>35237546</v>
      </c>
      <c r="O13" s="1137">
        <f>SUMIFS(LUONG!J:J,LUONG!$C:$C,CPSX!$D13)</f>
        <v>35237546</v>
      </c>
      <c r="P13" s="1137">
        <f>SUMIFS(LUONG!K:K,LUONG!$C:$C,CPSX!$D13)</f>
        <v>35237546</v>
      </c>
      <c r="Q13" s="1137">
        <f>SUMIFS(LUONG!L:L,LUONG!$C:$C,CPSX!$D13)</f>
        <v>35237546</v>
      </c>
      <c r="R13" s="1137">
        <f>SUMIFS(LUONG!M:M,LUONG!$C:$C,CPSX!$D13)</f>
        <v>35237546</v>
      </c>
      <c r="S13" s="1137">
        <f>SUMIFS(LUONG!N:N,LUONG!$C:$C,CPSX!$D13)</f>
        <v>35237546</v>
      </c>
      <c r="T13" s="1137">
        <f>SUMIFS(LUONG!O:O,LUONG!$C:$C,CPSX!$D13)</f>
        <v>35237546</v>
      </c>
      <c r="U13" s="1137">
        <f>SUMIFS(LUONG!P:P,LUONG!$C:$C,CPSX!$D13)</f>
        <v>35237546</v>
      </c>
      <c r="V13" s="1137">
        <f>SUMIFS(LUONG!Q:Q,LUONG!$C:$C,CPSX!$D13)</f>
        <v>35237546</v>
      </c>
      <c r="W13" s="1138">
        <f t="shared" si="9"/>
        <v>422850552</v>
      </c>
      <c r="X13" s="1136"/>
      <c r="Y13" s="366">
        <f t="shared" si="4"/>
        <v>32665000</v>
      </c>
      <c r="Z13" s="366">
        <f t="shared" si="4"/>
        <v>30432500</v>
      </c>
      <c r="AA13" s="366">
        <f t="shared" ref="AA13:AJ13" si="18">AA35+AA57</f>
        <v>29198750</v>
      </c>
      <c r="AB13" s="366">
        <f t="shared" si="18"/>
        <v>25721250</v>
      </c>
      <c r="AC13" s="366">
        <f t="shared" si="18"/>
        <v>26907500</v>
      </c>
      <c r="AD13" s="366">
        <f t="shared" si="18"/>
        <v>24381250</v>
      </c>
      <c r="AE13" s="366">
        <f t="shared" si="18"/>
        <v>23410000</v>
      </c>
      <c r="AF13" s="366">
        <f t="shared" si="18"/>
        <v>23147500</v>
      </c>
      <c r="AG13" s="366">
        <f t="shared" si="18"/>
        <v>23265000</v>
      </c>
      <c r="AH13" s="366">
        <f t="shared" si="18"/>
        <v>23265000</v>
      </c>
      <c r="AI13" s="366">
        <f t="shared" si="18"/>
        <v>23265000</v>
      </c>
      <c r="AJ13" s="366">
        <f t="shared" si="18"/>
        <v>23265000</v>
      </c>
      <c r="AK13" s="1138">
        <f t="shared" si="6"/>
        <v>308923750</v>
      </c>
      <c r="AL13" s="1136"/>
      <c r="AM13" s="366">
        <f t="shared" si="7"/>
        <v>347212500</v>
      </c>
      <c r="AO13" s="366">
        <f t="shared" si="8"/>
        <v>0</v>
      </c>
      <c r="AQ13" s="1134">
        <f t="shared" si="11"/>
        <v>113926802</v>
      </c>
      <c r="AR13" s="1142">
        <f t="shared" si="12"/>
        <v>0.36878615515964697</v>
      </c>
    </row>
    <row r="14" spans="2:44" ht="15.5" x14ac:dyDescent="0.35">
      <c r="B14" s="1172">
        <v>9</v>
      </c>
      <c r="C14" s="367"/>
      <c r="D14" s="1004">
        <v>6220002701</v>
      </c>
      <c r="E14" s="1176" t="s">
        <v>511</v>
      </c>
      <c r="F14" s="438" t="s">
        <v>489</v>
      </c>
      <c r="G14" s="438" t="s">
        <v>511</v>
      </c>
      <c r="H14" s="1004" t="s">
        <v>359</v>
      </c>
      <c r="I14" s="404" t="s">
        <v>701</v>
      </c>
      <c r="J14" s="824"/>
      <c r="K14" s="1139">
        <f>SUMIFS(LUONG!F:F,LUONG!$C:$C,CPSX!$D14)</f>
        <v>75241458</v>
      </c>
      <c r="L14" s="1139">
        <f>SUMIFS(LUONG!G:G,LUONG!$C:$C,CPSX!$D14)</f>
        <v>65712926</v>
      </c>
      <c r="M14" s="1139">
        <f>SUMIFS(LUONG!H:H,LUONG!$C:$C,CPSX!$D14)</f>
        <v>71946342</v>
      </c>
      <c r="N14" s="1139">
        <f>SUMIFS(LUONG!I:I,LUONG!$C:$C,CPSX!$D14)</f>
        <v>79333894</v>
      </c>
      <c r="O14" s="1139">
        <f>SUMIFS(LUONG!J:J,LUONG!$C:$C,CPSX!$D14)</f>
        <v>64642433</v>
      </c>
      <c r="P14" s="1139">
        <f>SUMIFS(LUONG!K:K,LUONG!$C:$C,CPSX!$D14)</f>
        <v>79333894</v>
      </c>
      <c r="Q14" s="1139">
        <f>SUMIFS(LUONG!L:L,LUONG!$C:$C,CPSX!$D14)</f>
        <v>76395599</v>
      </c>
      <c r="R14" s="1139">
        <f>SUMIFS(LUONG!M:M,LUONG!$C:$C,CPSX!$D14)</f>
        <v>76395599</v>
      </c>
      <c r="S14" s="1139">
        <f>SUMIFS(LUONG!N:N,LUONG!$C:$C,CPSX!$D14)</f>
        <v>73457304</v>
      </c>
      <c r="T14" s="1139">
        <f>SUMIFS(LUONG!O:O,LUONG!$C:$C,CPSX!$D14)</f>
        <v>73457304</v>
      </c>
      <c r="U14" s="1139">
        <f>SUMIFS(LUONG!P:P,LUONG!$C:$C,CPSX!$D14)</f>
        <v>79333894</v>
      </c>
      <c r="V14" s="1139">
        <f>SUMIFS(LUONG!Q:Q,LUONG!$C:$C,CPSX!$D14)</f>
        <v>76395599</v>
      </c>
      <c r="W14" s="1140">
        <f t="shared" si="9"/>
        <v>891646246</v>
      </c>
      <c r="X14" s="1136"/>
      <c r="Y14" s="1006">
        <f t="shared" si="4"/>
        <v>0</v>
      </c>
      <c r="Z14" s="1006">
        <f t="shared" si="4"/>
        <v>0</v>
      </c>
      <c r="AA14" s="1006">
        <f t="shared" ref="AA14:AJ14" si="19">AA36+AA58</f>
        <v>0</v>
      </c>
      <c r="AB14" s="1006">
        <f t="shared" si="19"/>
        <v>0</v>
      </c>
      <c r="AC14" s="1006">
        <f t="shared" si="19"/>
        <v>0</v>
      </c>
      <c r="AD14" s="1006">
        <f t="shared" si="19"/>
        <v>0</v>
      </c>
      <c r="AE14" s="1006">
        <f t="shared" si="19"/>
        <v>0</v>
      </c>
      <c r="AF14" s="1006">
        <f t="shared" si="19"/>
        <v>0</v>
      </c>
      <c r="AG14" s="1006">
        <f t="shared" si="19"/>
        <v>0</v>
      </c>
      <c r="AH14" s="1006">
        <f t="shared" si="19"/>
        <v>0</v>
      </c>
      <c r="AI14" s="1006">
        <f t="shared" si="19"/>
        <v>0</v>
      </c>
      <c r="AJ14" s="1006">
        <f t="shared" si="19"/>
        <v>0</v>
      </c>
      <c r="AK14" s="1140">
        <f t="shared" si="6"/>
        <v>0</v>
      </c>
      <c r="AL14" s="1136"/>
      <c r="AM14" s="366">
        <f t="shared" si="7"/>
        <v>0</v>
      </c>
      <c r="AN14" s="10"/>
      <c r="AO14" s="366">
        <f t="shared" si="8"/>
        <v>0</v>
      </c>
      <c r="AQ14" s="1143">
        <f t="shared" si="11"/>
        <v>891646246</v>
      </c>
      <c r="AR14" s="1144">
        <f t="shared" si="12"/>
        <v>0</v>
      </c>
    </row>
    <row r="15" spans="2:44" x14ac:dyDescent="0.35">
      <c r="B15" s="367">
        <v>10</v>
      </c>
      <c r="C15" s="367"/>
      <c r="D15" s="1004" t="s">
        <v>1311</v>
      </c>
      <c r="E15" s="438" t="s">
        <v>1312</v>
      </c>
      <c r="F15" s="438" t="s">
        <v>1313</v>
      </c>
      <c r="G15" s="438" t="s">
        <v>1312</v>
      </c>
      <c r="H15" s="1004" t="s">
        <v>359</v>
      </c>
      <c r="I15" s="404" t="s">
        <v>701</v>
      </c>
      <c r="J15" s="824"/>
      <c r="K15" s="824">
        <f>SUMIFS(LUONG!F:F,LUONG!$C:$C,CPSX!$D15)</f>
        <v>0</v>
      </c>
      <c r="L15" s="824">
        <f>SUMIFS(LUONG!G:G,LUONG!$C:$C,CPSX!$D15)</f>
        <v>0</v>
      </c>
      <c r="M15" s="824">
        <f>SUMIFS(LUONG!H:H,LUONG!$C:$C,CPSX!$D15)</f>
        <v>0</v>
      </c>
      <c r="N15" s="824">
        <f>SUMIFS(LUONG!I:I,LUONG!$C:$C,CPSX!$D15)</f>
        <v>0</v>
      </c>
      <c r="O15" s="824">
        <f>SUMIFS(LUONG!J:J,LUONG!$C:$C,CPSX!$D15)</f>
        <v>0</v>
      </c>
      <c r="P15" s="824">
        <f>SUMIFS(LUONG!K:K,LUONG!$C:$C,CPSX!$D15)</f>
        <v>0</v>
      </c>
      <c r="Q15" s="824">
        <f>SUMIFS(LUONG!L:L,LUONG!$C:$C,CPSX!$D15)</f>
        <v>0</v>
      </c>
      <c r="R15" s="824">
        <f>SUMIFS(LUONG!M:M,LUONG!$C:$C,CPSX!$D15)</f>
        <v>0</v>
      </c>
      <c r="S15" s="824">
        <f>SUMIFS(LUONG!N:N,LUONG!$C:$C,CPSX!$D15)</f>
        <v>0</v>
      </c>
      <c r="T15" s="824">
        <f>SUMIFS(LUONG!O:O,LUONG!$C:$C,CPSX!$D15)</f>
        <v>0</v>
      </c>
      <c r="U15" s="824">
        <f>SUMIFS(LUONG!P:P,LUONG!$C:$C,CPSX!$D15)</f>
        <v>0</v>
      </c>
      <c r="V15" s="824">
        <f>SUMIFS(LUONG!Q:Q,LUONG!$C:$C,CPSX!$D15)</f>
        <v>0</v>
      </c>
      <c r="W15" s="1005">
        <f t="shared" ref="W15:W16" si="20">SUM(K15:V15)</f>
        <v>0</v>
      </c>
      <c r="Y15" s="1006"/>
      <c r="Z15" s="1006"/>
      <c r="AA15" s="1006"/>
      <c r="AB15" s="1006"/>
      <c r="AC15" s="1006"/>
      <c r="AD15" s="1006"/>
      <c r="AE15" s="1006"/>
      <c r="AF15" s="1006"/>
      <c r="AG15" s="1006"/>
      <c r="AH15" s="1006"/>
      <c r="AI15" s="1006"/>
      <c r="AJ15" s="1006"/>
      <c r="AK15" s="1005"/>
      <c r="AM15" s="366">
        <f t="shared" si="7"/>
        <v>0</v>
      </c>
      <c r="AN15" s="10"/>
      <c r="AO15" s="366">
        <f t="shared" si="8"/>
        <v>0</v>
      </c>
      <c r="AQ15" s="1006"/>
      <c r="AR15" s="1007"/>
    </row>
    <row r="16" spans="2:44" ht="15.5" x14ac:dyDescent="0.35">
      <c r="B16" s="367">
        <v>11</v>
      </c>
      <c r="C16" s="367"/>
      <c r="D16" s="1004">
        <v>6220003001</v>
      </c>
      <c r="E16" s="438" t="s">
        <v>702</v>
      </c>
      <c r="F16" s="438" t="s">
        <v>493</v>
      </c>
      <c r="G16" s="438" t="s">
        <v>702</v>
      </c>
      <c r="H16" s="1004" t="s">
        <v>359</v>
      </c>
      <c r="I16" s="404" t="s">
        <v>703</v>
      </c>
      <c r="J16" s="824"/>
      <c r="K16" s="1139">
        <f>SUMIFS(LUONG!F:F,LUONG!$C:$C,CPSX!$D16)</f>
        <v>0</v>
      </c>
      <c r="L16" s="1139">
        <f>SUMIFS(LUONG!G:G,LUONG!$C:$C,CPSX!$D16)</f>
        <v>0</v>
      </c>
      <c r="M16" s="1139">
        <f>SUMIFS(LUONG!H:H,LUONG!$C:$C,CPSX!$D16)</f>
        <v>0</v>
      </c>
      <c r="N16" s="1139">
        <f>SUMIFS(LUONG!I:I,LUONG!$C:$C,CPSX!$D16)</f>
        <v>0</v>
      </c>
      <c r="O16" s="1139">
        <f>SUMIFS(LUONG!J:J,LUONG!$C:$C,CPSX!$D16)</f>
        <v>0</v>
      </c>
      <c r="P16" s="1139">
        <f>SUMIFS(LUONG!K:K,LUONG!$C:$C,CPSX!$D16)</f>
        <v>0</v>
      </c>
      <c r="Q16" s="1139">
        <f>SUMIFS(LUONG!L:L,LUONG!$C:$C,CPSX!$D16)</f>
        <v>0</v>
      </c>
      <c r="R16" s="1139">
        <f>SUMIFS(LUONG!M:M,LUONG!$C:$C,CPSX!$D16)</f>
        <v>0</v>
      </c>
      <c r="S16" s="1139">
        <f>SUMIFS(LUONG!N:N,LUONG!$C:$C,CPSX!$D16)</f>
        <v>0</v>
      </c>
      <c r="T16" s="1139">
        <f>SUMIFS(LUONG!O:O,LUONG!$C:$C,CPSX!$D16)</f>
        <v>0</v>
      </c>
      <c r="U16" s="1139">
        <f>SUMIFS(LUONG!P:P,LUONG!$C:$C,CPSX!$D16)</f>
        <v>0</v>
      </c>
      <c r="V16" s="1139">
        <f>SUMIFS(LUONG!Q:Q,LUONG!$C:$C,CPSX!$D16)</f>
        <v>0</v>
      </c>
      <c r="W16" s="1140">
        <f t="shared" si="20"/>
        <v>0</v>
      </c>
      <c r="X16" s="1136"/>
      <c r="Y16" s="1006">
        <f t="shared" ref="Y16:AJ16" si="21">Y38+Y60</f>
        <v>0</v>
      </c>
      <c r="Z16" s="1006">
        <f t="shared" si="21"/>
        <v>0</v>
      </c>
      <c r="AA16" s="1006">
        <f t="shared" si="21"/>
        <v>0</v>
      </c>
      <c r="AB16" s="1006">
        <f t="shared" si="21"/>
        <v>0</v>
      </c>
      <c r="AC16" s="1006">
        <f t="shared" si="21"/>
        <v>0</v>
      </c>
      <c r="AD16" s="1006">
        <f t="shared" si="21"/>
        <v>0</v>
      </c>
      <c r="AE16" s="1006">
        <f t="shared" si="21"/>
        <v>0</v>
      </c>
      <c r="AF16" s="1006">
        <f t="shared" si="21"/>
        <v>0</v>
      </c>
      <c r="AG16" s="1006">
        <f t="shared" si="21"/>
        <v>6684891</v>
      </c>
      <c r="AH16" s="1006">
        <f t="shared" si="21"/>
        <v>0</v>
      </c>
      <c r="AI16" s="1006">
        <f t="shared" si="21"/>
        <v>0</v>
      </c>
      <c r="AJ16" s="1006">
        <f t="shared" si="21"/>
        <v>0</v>
      </c>
      <c r="AK16" s="1140">
        <f t="shared" si="6"/>
        <v>6684891</v>
      </c>
      <c r="AL16" s="1136"/>
      <c r="AM16" s="366">
        <f t="shared" si="7"/>
        <v>21328267</v>
      </c>
      <c r="AN16" s="10"/>
      <c r="AO16" s="366">
        <f t="shared" si="8"/>
        <v>0</v>
      </c>
      <c r="AQ16" s="1143">
        <f t="shared" si="11"/>
        <v>-6684891</v>
      </c>
      <c r="AR16" s="1144">
        <f t="shared" si="12"/>
        <v>-1</v>
      </c>
    </row>
    <row r="17" spans="2:44" ht="15.5" x14ac:dyDescent="0.35">
      <c r="B17" s="367">
        <v>12</v>
      </c>
      <c r="C17" s="367"/>
      <c r="D17" s="1004"/>
      <c r="E17" s="438" t="s">
        <v>705</v>
      </c>
      <c r="F17" s="438" t="s">
        <v>493</v>
      </c>
      <c r="G17" s="438" t="s">
        <v>706</v>
      </c>
      <c r="H17" s="1004" t="s">
        <v>359</v>
      </c>
      <c r="I17" s="404" t="s">
        <v>703</v>
      </c>
      <c r="J17" s="824"/>
      <c r="K17" s="1139">
        <f t="shared" ref="K17:V18" si="22">K39+K61</f>
        <v>1841666</v>
      </c>
      <c r="L17" s="1139">
        <f>L39+L61</f>
        <v>1641666</v>
      </c>
      <c r="M17" s="1139">
        <f t="shared" si="22"/>
        <v>1641666</v>
      </c>
      <c r="N17" s="1139">
        <f t="shared" si="22"/>
        <v>1258333</v>
      </c>
      <c r="O17" s="1139">
        <f t="shared" si="22"/>
        <v>1258333</v>
      </c>
      <c r="P17" s="1139">
        <f t="shared" si="22"/>
        <v>1258333</v>
      </c>
      <c r="Q17" s="1139">
        <f t="shared" si="22"/>
        <v>1062500</v>
      </c>
      <c r="R17" s="1139">
        <f t="shared" si="22"/>
        <v>912500</v>
      </c>
      <c r="S17" s="1139">
        <f t="shared" si="22"/>
        <v>912500</v>
      </c>
      <c r="T17" s="1139">
        <f t="shared" si="22"/>
        <v>695833</v>
      </c>
      <c r="U17" s="1139">
        <f t="shared" si="22"/>
        <v>695833</v>
      </c>
      <c r="V17" s="1139">
        <f t="shared" si="22"/>
        <v>695833</v>
      </c>
      <c r="W17" s="1140">
        <f t="shared" ref="W17" si="23">SUM(K17:V17)</f>
        <v>13874996</v>
      </c>
      <c r="Y17" s="1006">
        <f t="shared" ref="Y17:AJ17" si="24">Y39+Y61</f>
        <v>0</v>
      </c>
      <c r="Z17" s="1006">
        <f t="shared" si="24"/>
        <v>0</v>
      </c>
      <c r="AA17" s="1006">
        <f t="shared" si="24"/>
        <v>0</v>
      </c>
      <c r="AB17" s="1006">
        <f t="shared" si="24"/>
        <v>0</v>
      </c>
      <c r="AC17" s="1006">
        <f t="shared" si="24"/>
        <v>0</v>
      </c>
      <c r="AD17" s="1006">
        <f t="shared" si="24"/>
        <v>0</v>
      </c>
      <c r="AE17" s="1006">
        <f t="shared" si="24"/>
        <v>0</v>
      </c>
      <c r="AF17" s="1006">
        <f t="shared" si="24"/>
        <v>0</v>
      </c>
      <c r="AG17" s="1006">
        <f t="shared" si="24"/>
        <v>0</v>
      </c>
      <c r="AH17" s="1006">
        <f t="shared" si="24"/>
        <v>0</v>
      </c>
      <c r="AI17" s="1006">
        <f t="shared" si="24"/>
        <v>0</v>
      </c>
      <c r="AJ17" s="1006">
        <f t="shared" si="24"/>
        <v>0</v>
      </c>
      <c r="AK17" s="1005">
        <f t="shared" ref="AK17" si="25">SUM(Y17:AJ17)</f>
        <v>0</v>
      </c>
      <c r="AM17" s="366">
        <f t="shared" si="7"/>
        <v>0</v>
      </c>
      <c r="AN17" s="10"/>
      <c r="AO17" s="366">
        <f t="shared" si="8"/>
        <v>0</v>
      </c>
      <c r="AQ17" s="1006">
        <f t="shared" si="11"/>
        <v>13874996</v>
      </c>
      <c r="AR17" s="1007">
        <f t="shared" si="12"/>
        <v>0</v>
      </c>
    </row>
    <row r="18" spans="2:44" ht="15.5" x14ac:dyDescent="0.35">
      <c r="B18" s="1172">
        <v>13</v>
      </c>
      <c r="C18" s="367"/>
      <c r="D18" s="1004">
        <v>6275001801</v>
      </c>
      <c r="E18" s="1176" t="s">
        <v>707</v>
      </c>
      <c r="F18" s="438" t="s">
        <v>708</v>
      </c>
      <c r="G18" s="438" t="s">
        <v>707</v>
      </c>
      <c r="H18" s="1004" t="s">
        <v>401</v>
      </c>
      <c r="I18" s="404" t="s">
        <v>709</v>
      </c>
      <c r="J18" s="824"/>
      <c r="K18" s="1139">
        <f t="shared" si="22"/>
        <v>114751738.63636364</v>
      </c>
      <c r="L18" s="1139">
        <f>L40+L62</f>
        <v>89251352.272727281</v>
      </c>
      <c r="M18" s="1139">
        <f t="shared" si="22"/>
        <v>127501931.81818181</v>
      </c>
      <c r="N18" s="1139">
        <f t="shared" si="22"/>
        <v>140252125</v>
      </c>
      <c r="O18" s="1139">
        <f t="shared" si="22"/>
        <v>140294746.4285714</v>
      </c>
      <c r="P18" s="1139">
        <f t="shared" si="22"/>
        <v>140337367.85714287</v>
      </c>
      <c r="Q18" s="1139">
        <f t="shared" si="22"/>
        <v>140337367.85714287</v>
      </c>
      <c r="R18" s="1139">
        <f t="shared" si="22"/>
        <v>140337367.85714287</v>
      </c>
      <c r="S18" s="1139">
        <f t="shared" si="22"/>
        <v>140337367.85714287</v>
      </c>
      <c r="T18" s="1139">
        <f t="shared" si="22"/>
        <v>140337367.85714287</v>
      </c>
      <c r="U18" s="1139">
        <f t="shared" si="22"/>
        <v>140337367.85714287</v>
      </c>
      <c r="V18" s="1139">
        <f t="shared" si="22"/>
        <v>140337367.85714287</v>
      </c>
      <c r="W18" s="1140">
        <f t="shared" ref="W18" si="26">SUM(K18:V18)</f>
        <v>1594413469.1558447</v>
      </c>
      <c r="X18" s="1136"/>
      <c r="Y18" s="1006">
        <f t="shared" ref="Y18:AJ18" si="27">Y40+Y62</f>
        <v>98923928</v>
      </c>
      <c r="Z18" s="1006">
        <f t="shared" si="27"/>
        <v>67461103</v>
      </c>
      <c r="AA18" s="1006">
        <f t="shared" si="27"/>
        <v>91144682</v>
      </c>
      <c r="AB18" s="1006">
        <f t="shared" si="27"/>
        <v>96660795</v>
      </c>
      <c r="AC18" s="1006">
        <f t="shared" si="27"/>
        <v>114502251</v>
      </c>
      <c r="AD18" s="1006">
        <f t="shared" si="27"/>
        <v>100877816</v>
      </c>
      <c r="AE18" s="1006">
        <f t="shared" si="27"/>
        <v>138627654</v>
      </c>
      <c r="AF18" s="1006">
        <f t="shared" si="27"/>
        <v>130372904</v>
      </c>
      <c r="AG18" s="1006">
        <f t="shared" si="27"/>
        <v>143640028</v>
      </c>
      <c r="AH18" s="1006">
        <f t="shared" si="27"/>
        <v>108689049.773756</v>
      </c>
      <c r="AI18" s="1006">
        <f t="shared" si="27"/>
        <v>108689049.77375565</v>
      </c>
      <c r="AJ18" s="1006">
        <f t="shared" si="27"/>
        <v>108689049.77375565</v>
      </c>
      <c r="AK18" s="1140">
        <f t="shared" si="6"/>
        <v>1308278310.3212671</v>
      </c>
      <c r="AL18" s="1136"/>
      <c r="AM18" s="366">
        <f t="shared" si="7"/>
        <v>0</v>
      </c>
      <c r="AN18" s="10"/>
      <c r="AO18" s="366">
        <f t="shared" si="8"/>
        <v>0</v>
      </c>
      <c r="AQ18" s="1143">
        <f t="shared" si="11"/>
        <v>286135158.83457756</v>
      </c>
      <c r="AR18" s="1144">
        <f t="shared" si="12"/>
        <v>0.2187112303071912</v>
      </c>
    </row>
    <row r="19" spans="2:44" ht="15.5" x14ac:dyDescent="0.35">
      <c r="B19" s="1172">
        <v>14</v>
      </c>
      <c r="C19" s="367"/>
      <c r="D19" s="1004">
        <v>6272000100</v>
      </c>
      <c r="E19" s="1176" t="s">
        <v>710</v>
      </c>
      <c r="F19" s="438" t="s">
        <v>711</v>
      </c>
      <c r="G19" s="438" t="s">
        <v>712</v>
      </c>
      <c r="H19" s="1004" t="s">
        <v>401</v>
      </c>
      <c r="I19" s="404" t="s">
        <v>709</v>
      </c>
      <c r="J19" s="824"/>
      <c r="K19" s="1139">
        <f t="shared" ref="K19:V19" si="28">K41+K63</f>
        <v>146153519.26977688</v>
      </c>
      <c r="L19" s="1139">
        <f t="shared" si="28"/>
        <v>113674959.43204868</v>
      </c>
      <c r="M19" s="1139">
        <f t="shared" si="28"/>
        <v>162392799.18864095</v>
      </c>
      <c r="N19" s="1139">
        <f t="shared" si="28"/>
        <v>178632079.10750508</v>
      </c>
      <c r="O19" s="1139">
        <f t="shared" si="28"/>
        <v>178630361.05476671</v>
      </c>
      <c r="P19" s="1139">
        <f t="shared" si="28"/>
        <v>178628643.00202841</v>
      </c>
      <c r="Q19" s="1139">
        <f t="shared" si="28"/>
        <v>178628643.00202841</v>
      </c>
      <c r="R19" s="1139">
        <f t="shared" si="28"/>
        <v>178628643.00202841</v>
      </c>
      <c r="S19" s="1139">
        <f t="shared" si="28"/>
        <v>178628643.00202841</v>
      </c>
      <c r="T19" s="1139">
        <f t="shared" si="28"/>
        <v>178628643.00202841</v>
      </c>
      <c r="U19" s="1139">
        <f t="shared" si="28"/>
        <v>178628643.00202841</v>
      </c>
      <c r="V19" s="1139">
        <f t="shared" si="28"/>
        <v>178628643.00202841</v>
      </c>
      <c r="W19" s="1404">
        <f t="shared" ref="W19" si="29">SUM(K19:V19)</f>
        <v>2029884219.0669374</v>
      </c>
      <c r="X19" s="1136"/>
      <c r="Y19" s="1006">
        <f t="shared" ref="Y19:AJ19" si="30">Y41+Y63</f>
        <v>52066267</v>
      </c>
      <c r="Z19" s="1006">
        <f t="shared" si="30"/>
        <v>52066267</v>
      </c>
      <c r="AA19" s="1006">
        <f t="shared" si="30"/>
        <v>85759600</v>
      </c>
      <c r="AB19" s="1006">
        <f t="shared" si="30"/>
        <v>51066267</v>
      </c>
      <c r="AC19" s="1006">
        <f t="shared" si="30"/>
        <v>42462932</v>
      </c>
      <c r="AD19" s="1006">
        <f t="shared" si="30"/>
        <v>41462934</v>
      </c>
      <c r="AE19" s="1006">
        <f t="shared" si="30"/>
        <v>67404820</v>
      </c>
      <c r="AF19" s="1006">
        <f t="shared" si="30"/>
        <v>68404824</v>
      </c>
      <c r="AG19" s="1006">
        <f t="shared" si="30"/>
        <v>146645442</v>
      </c>
      <c r="AH19" s="1006">
        <f t="shared" si="30"/>
        <v>134579752</v>
      </c>
      <c r="AI19" s="1006">
        <f t="shared" si="30"/>
        <v>134579752</v>
      </c>
      <c r="AJ19" s="1006">
        <f t="shared" si="30"/>
        <v>134579752</v>
      </c>
      <c r="AK19" s="1140">
        <f t="shared" si="6"/>
        <v>1011078609</v>
      </c>
      <c r="AL19" s="1136"/>
      <c r="AM19" s="366">
        <f t="shared" si="7"/>
        <v>0</v>
      </c>
      <c r="AN19" s="10"/>
      <c r="AO19" s="366">
        <f t="shared" si="8"/>
        <v>0</v>
      </c>
      <c r="AQ19" s="1143">
        <f t="shared" si="11"/>
        <v>1018805610.0669374</v>
      </c>
      <c r="AR19" s="1144">
        <f t="shared" si="12"/>
        <v>1.0076423346297276</v>
      </c>
    </row>
    <row r="20" spans="2:44" ht="15.5" x14ac:dyDescent="0.35">
      <c r="B20" s="1172">
        <v>15</v>
      </c>
      <c r="C20" s="367"/>
      <c r="D20" s="1004">
        <v>6272000100</v>
      </c>
      <c r="E20" s="1176" t="s">
        <v>710</v>
      </c>
      <c r="F20" s="438" t="s">
        <v>711</v>
      </c>
      <c r="G20" s="438" t="s">
        <v>320</v>
      </c>
      <c r="H20" s="1004" t="s">
        <v>414</v>
      </c>
      <c r="I20" s="404" t="s">
        <v>709</v>
      </c>
      <c r="J20" s="824"/>
      <c r="K20" s="1139">
        <f>K42+K64</f>
        <v>52878724.137931041</v>
      </c>
      <c r="L20" s="1139">
        <f t="shared" ref="L20:V20" si="31">L42+L64</f>
        <v>41127896.551724143</v>
      </c>
      <c r="M20" s="1139">
        <f t="shared" si="31"/>
        <v>58754137.93103449</v>
      </c>
      <c r="N20" s="1139">
        <f t="shared" si="31"/>
        <v>64629551.72413794</v>
      </c>
      <c r="O20" s="1139">
        <f t="shared" si="31"/>
        <v>64556420.689655185</v>
      </c>
      <c r="P20" s="1139">
        <f t="shared" si="31"/>
        <v>32241644.827586211</v>
      </c>
      <c r="Q20" s="1139">
        <f t="shared" si="31"/>
        <v>32241644.827586211</v>
      </c>
      <c r="R20" s="1139">
        <f t="shared" si="31"/>
        <v>32241644.827586211</v>
      </c>
      <c r="S20" s="1139">
        <f t="shared" si="31"/>
        <v>32241644.827586211</v>
      </c>
      <c r="T20" s="1139">
        <f t="shared" si="31"/>
        <v>32241644.827586211</v>
      </c>
      <c r="U20" s="1139">
        <f t="shared" si="31"/>
        <v>32241644.827586211</v>
      </c>
      <c r="V20" s="1139">
        <f t="shared" si="31"/>
        <v>32241644.827586211</v>
      </c>
      <c r="W20" s="1140">
        <f>SUM(K20:V20)</f>
        <v>507638244.82758647</v>
      </c>
      <c r="X20" s="1136"/>
      <c r="Y20" s="1006">
        <f t="shared" ref="Y20:AJ20" si="32">Y42+Y64</f>
        <v>5553424</v>
      </c>
      <c r="Z20" s="1006">
        <f t="shared" si="32"/>
        <v>19665382</v>
      </c>
      <c r="AA20" s="1006">
        <f t="shared" si="32"/>
        <v>31688239</v>
      </c>
      <c r="AB20" s="1006">
        <f t="shared" si="32"/>
        <v>34540799</v>
      </c>
      <c r="AC20" s="1006">
        <f t="shared" si="32"/>
        <v>47063862</v>
      </c>
      <c r="AD20" s="1006">
        <f t="shared" si="32"/>
        <v>64832396</v>
      </c>
      <c r="AE20" s="1006">
        <f t="shared" si="32"/>
        <v>55866735</v>
      </c>
      <c r="AF20" s="1006">
        <f t="shared" si="32"/>
        <v>61722339</v>
      </c>
      <c r="AG20" s="1006">
        <f t="shared" si="32"/>
        <v>55991116</v>
      </c>
      <c r="AH20" s="1006">
        <f t="shared" si="32"/>
        <v>45115384.615384616</v>
      </c>
      <c r="AI20" s="1006">
        <f t="shared" si="32"/>
        <v>45115384.615384616</v>
      </c>
      <c r="AJ20" s="1006">
        <f t="shared" si="32"/>
        <v>45115384.615384616</v>
      </c>
      <c r="AK20" s="1140">
        <f t="shared" si="6"/>
        <v>512270445.84615391</v>
      </c>
      <c r="AL20" s="1136"/>
      <c r="AM20" s="366">
        <f t="shared" si="7"/>
        <v>207889157</v>
      </c>
      <c r="AN20" s="10"/>
      <c r="AO20" s="366">
        <f t="shared" si="8"/>
        <v>0</v>
      </c>
      <c r="AQ20" s="1143">
        <f t="shared" si="11"/>
        <v>-4632201.0185674429</v>
      </c>
      <c r="AR20" s="1144">
        <f t="shared" si="12"/>
        <v>-9.0424912390096868E-3</v>
      </c>
    </row>
    <row r="21" spans="2:44" ht="15.5" x14ac:dyDescent="0.35">
      <c r="B21" s="1172">
        <v>16</v>
      </c>
      <c r="C21" s="367"/>
      <c r="D21" s="1004">
        <v>6272000100</v>
      </c>
      <c r="E21" s="1176" t="s">
        <v>710</v>
      </c>
      <c r="F21" s="438" t="s">
        <v>711</v>
      </c>
      <c r="G21" s="438" t="s">
        <v>321</v>
      </c>
      <c r="H21" s="1004" t="s">
        <v>414</v>
      </c>
      <c r="I21" s="404" t="s">
        <v>709</v>
      </c>
      <c r="J21" s="824"/>
      <c r="K21" s="1139">
        <f t="shared" ref="K21:U21" si="33">K43+K65</f>
        <v>27964285.714285716</v>
      </c>
      <c r="L21" s="1139">
        <f t="shared" si="33"/>
        <v>21750000</v>
      </c>
      <c r="M21" s="1139">
        <f t="shared" si="33"/>
        <v>31071428.571428571</v>
      </c>
      <c r="N21" s="1139">
        <f t="shared" si="33"/>
        <v>34178571.428571433</v>
      </c>
      <c r="O21" s="1139">
        <f t="shared" si="33"/>
        <v>34237499.999999993</v>
      </c>
      <c r="P21" s="1139">
        <f t="shared" si="33"/>
        <v>34296428.571428575</v>
      </c>
      <c r="Q21" s="1139">
        <f t="shared" si="33"/>
        <v>34296428.571428575</v>
      </c>
      <c r="R21" s="1139">
        <f t="shared" si="33"/>
        <v>34296428.571428575</v>
      </c>
      <c r="S21" s="1139">
        <f t="shared" si="33"/>
        <v>34296428.571428575</v>
      </c>
      <c r="T21" s="1139">
        <f t="shared" si="33"/>
        <v>34296428.571428575</v>
      </c>
      <c r="U21" s="1139">
        <f t="shared" si="33"/>
        <v>34296428.571428575</v>
      </c>
      <c r="V21" s="1139">
        <f>V43+V65</f>
        <v>34296428.571428575</v>
      </c>
      <c r="W21" s="1140">
        <f>SUM(K21:V21)</f>
        <v>389276785.71428579</v>
      </c>
      <c r="X21" s="1136"/>
      <c r="Y21" s="1006">
        <f t="shared" ref="Y21:AJ21" si="34">Y43+Y65</f>
        <v>15100612</v>
      </c>
      <c r="Z21" s="1006">
        <f t="shared" si="34"/>
        <v>0</v>
      </c>
      <c r="AA21" s="1006">
        <f t="shared" si="34"/>
        <v>12431666</v>
      </c>
      <c r="AB21" s="1006">
        <f t="shared" si="34"/>
        <v>1257214</v>
      </c>
      <c r="AC21" s="1006">
        <f t="shared" si="34"/>
        <v>0</v>
      </c>
      <c r="AD21" s="1006">
        <f t="shared" si="34"/>
        <v>11206930</v>
      </c>
      <c r="AE21" s="1006">
        <f t="shared" si="34"/>
        <v>10734544</v>
      </c>
      <c r="AF21" s="1006">
        <f t="shared" si="34"/>
        <v>1108082</v>
      </c>
      <c r="AG21" s="1006">
        <f t="shared" si="34"/>
        <v>0</v>
      </c>
      <c r="AH21" s="1006">
        <f t="shared" si="34"/>
        <v>0</v>
      </c>
      <c r="AI21" s="1006">
        <f t="shared" si="34"/>
        <v>0</v>
      </c>
      <c r="AJ21" s="1006">
        <f t="shared" si="34"/>
        <v>0</v>
      </c>
      <c r="AK21" s="1140">
        <f t="shared" si="6"/>
        <v>51839048</v>
      </c>
      <c r="AL21" s="1136"/>
      <c r="AM21" s="366">
        <f t="shared" si="7"/>
        <v>11426245</v>
      </c>
      <c r="AN21" s="10"/>
      <c r="AO21" s="366">
        <f t="shared" si="8"/>
        <v>0</v>
      </c>
      <c r="AQ21" s="1143">
        <f t="shared" si="11"/>
        <v>337437737.71428579</v>
      </c>
      <c r="AR21" s="1144">
        <f t="shared" si="12"/>
        <v>6.5093351582051779</v>
      </c>
    </row>
    <row r="22" spans="2:44" x14ac:dyDescent="0.35">
      <c r="B22" s="1172">
        <v>17</v>
      </c>
      <c r="C22" s="367"/>
      <c r="D22" s="368">
        <v>6272000100</v>
      </c>
      <c r="E22" s="1175" t="s">
        <v>710</v>
      </c>
      <c r="F22" s="369" t="s">
        <v>711</v>
      </c>
      <c r="G22" s="369" t="s">
        <v>322</v>
      </c>
      <c r="H22" s="368" t="s">
        <v>414</v>
      </c>
      <c r="I22" s="404" t="s">
        <v>709</v>
      </c>
      <c r="J22" s="371"/>
      <c r="K22" s="371">
        <f t="shared" ref="K22:V22" si="35">K44+K66</f>
        <v>0</v>
      </c>
      <c r="L22" s="371">
        <f t="shared" si="35"/>
        <v>0</v>
      </c>
      <c r="M22" s="371">
        <f t="shared" si="35"/>
        <v>0</v>
      </c>
      <c r="N22" s="371">
        <f t="shared" si="35"/>
        <v>0</v>
      </c>
      <c r="O22" s="371">
        <f t="shared" si="35"/>
        <v>0</v>
      </c>
      <c r="P22" s="371">
        <f t="shared" si="35"/>
        <v>0</v>
      </c>
      <c r="Q22" s="371">
        <f t="shared" si="35"/>
        <v>0</v>
      </c>
      <c r="R22" s="371">
        <f t="shared" si="35"/>
        <v>0</v>
      </c>
      <c r="S22" s="371">
        <f t="shared" si="35"/>
        <v>0</v>
      </c>
      <c r="T22" s="371">
        <f t="shared" si="35"/>
        <v>0</v>
      </c>
      <c r="U22" s="371">
        <f t="shared" si="35"/>
        <v>0</v>
      </c>
      <c r="V22" s="371">
        <f t="shared" si="35"/>
        <v>0</v>
      </c>
      <c r="W22" s="392">
        <f t="shared" si="9"/>
        <v>0</v>
      </c>
      <c r="Y22" s="366">
        <f t="shared" ref="Y22:AJ22" si="36">Y44+Y66</f>
        <v>0</v>
      </c>
      <c r="Z22" s="366">
        <f t="shared" si="36"/>
        <v>0</v>
      </c>
      <c r="AA22" s="366">
        <f t="shared" si="36"/>
        <v>0</v>
      </c>
      <c r="AB22" s="366">
        <f t="shared" si="36"/>
        <v>0</v>
      </c>
      <c r="AC22" s="366">
        <f t="shared" si="36"/>
        <v>0</v>
      </c>
      <c r="AD22" s="366">
        <f t="shared" si="36"/>
        <v>0</v>
      </c>
      <c r="AE22" s="366">
        <f t="shared" si="36"/>
        <v>0</v>
      </c>
      <c r="AF22" s="366">
        <f t="shared" si="36"/>
        <v>0</v>
      </c>
      <c r="AG22" s="366">
        <f t="shared" si="36"/>
        <v>0</v>
      </c>
      <c r="AH22" s="366">
        <f t="shared" si="36"/>
        <v>0</v>
      </c>
      <c r="AI22" s="366">
        <f t="shared" si="36"/>
        <v>0</v>
      </c>
      <c r="AJ22" s="366">
        <f t="shared" si="36"/>
        <v>0</v>
      </c>
      <c r="AK22" s="392">
        <f t="shared" si="6"/>
        <v>0</v>
      </c>
      <c r="AM22" s="366">
        <f t="shared" si="7"/>
        <v>31148826</v>
      </c>
      <c r="AO22" s="366">
        <f t="shared" si="8"/>
        <v>0</v>
      </c>
      <c r="AQ22" s="366">
        <f t="shared" si="11"/>
        <v>0</v>
      </c>
      <c r="AR22" s="716">
        <f t="shared" si="12"/>
        <v>0</v>
      </c>
    </row>
    <row r="23" spans="2:44" ht="15.5" x14ac:dyDescent="0.35">
      <c r="B23" s="1172">
        <v>18</v>
      </c>
      <c r="C23" s="367"/>
      <c r="D23" s="368">
        <v>6272000100</v>
      </c>
      <c r="E23" s="1175" t="s">
        <v>710</v>
      </c>
      <c r="F23" s="369" t="s">
        <v>711</v>
      </c>
      <c r="G23" s="804" t="s">
        <v>713</v>
      </c>
      <c r="H23" s="368" t="s">
        <v>414</v>
      </c>
      <c r="I23" s="404" t="s">
        <v>709</v>
      </c>
      <c r="J23" s="371"/>
      <c r="K23" s="1137">
        <f>K45+K67</f>
        <v>68274942.118226603</v>
      </c>
      <c r="L23" s="1137">
        <f t="shared" ref="L23:V24" si="37">L45+L67</f>
        <v>53102732.758620694</v>
      </c>
      <c r="M23" s="1137">
        <f t="shared" si="37"/>
        <v>75861046.798029572</v>
      </c>
      <c r="N23" s="1137">
        <f t="shared" si="37"/>
        <v>83447151.477832526</v>
      </c>
      <c r="O23" s="1137">
        <f t="shared" si="37"/>
        <v>83528803.448275864</v>
      </c>
      <c r="P23" s="1137">
        <f t="shared" si="37"/>
        <v>83610455.418719217</v>
      </c>
      <c r="Q23" s="1137">
        <f t="shared" si="37"/>
        <v>83610455.418719217</v>
      </c>
      <c r="R23" s="1137">
        <f t="shared" si="37"/>
        <v>83610455.418719217</v>
      </c>
      <c r="S23" s="1137">
        <f t="shared" si="37"/>
        <v>83610455.418719217</v>
      </c>
      <c r="T23" s="1137">
        <f t="shared" si="37"/>
        <v>83610455.418719217</v>
      </c>
      <c r="U23" s="1137">
        <f t="shared" si="37"/>
        <v>83610455.418719217</v>
      </c>
      <c r="V23" s="1137">
        <f t="shared" si="37"/>
        <v>83610455.418719217</v>
      </c>
      <c r="W23" s="1405">
        <f t="shared" si="9"/>
        <v>949487864.53201962</v>
      </c>
      <c r="X23" s="1136"/>
      <c r="Y23" s="366">
        <f t="shared" ref="Y23:AJ23" si="38">Y45+Y67</f>
        <v>14079000</v>
      </c>
      <c r="Z23" s="366">
        <f t="shared" si="38"/>
        <v>37085000</v>
      </c>
      <c r="AA23" s="366">
        <f t="shared" si="38"/>
        <v>3344000</v>
      </c>
      <c r="AB23" s="366">
        <f t="shared" si="38"/>
        <v>16361500</v>
      </c>
      <c r="AC23" s="366">
        <f t="shared" si="38"/>
        <v>5415000</v>
      </c>
      <c r="AD23" s="366">
        <f t="shared" si="38"/>
        <v>5975500</v>
      </c>
      <c r="AE23" s="366">
        <f t="shared" si="38"/>
        <v>28403500</v>
      </c>
      <c r="AF23" s="366">
        <f t="shared" si="38"/>
        <v>11789500</v>
      </c>
      <c r="AG23" s="366">
        <f t="shared" si="38"/>
        <v>19057000</v>
      </c>
      <c r="AH23" s="366">
        <f t="shared" si="38"/>
        <v>19057000</v>
      </c>
      <c r="AI23" s="366">
        <f t="shared" si="38"/>
        <v>19057000</v>
      </c>
      <c r="AJ23" s="366">
        <f t="shared" si="38"/>
        <v>19057000</v>
      </c>
      <c r="AK23" s="1138">
        <f t="shared" si="6"/>
        <v>198681000</v>
      </c>
      <c r="AL23" s="1136"/>
      <c r="AM23" s="366">
        <f t="shared" si="7"/>
        <v>0</v>
      </c>
      <c r="AO23" s="366">
        <f t="shared" si="8"/>
        <v>0</v>
      </c>
      <c r="AQ23" s="1134">
        <f t="shared" si="11"/>
        <v>750806864.53201962</v>
      </c>
      <c r="AR23" s="1142">
        <f t="shared" si="12"/>
        <v>3.7789565410483119</v>
      </c>
    </row>
    <row r="24" spans="2:44" ht="15.5" x14ac:dyDescent="0.35">
      <c r="B24" s="367">
        <v>19</v>
      </c>
      <c r="C24" s="367"/>
      <c r="D24" s="1014">
        <v>6272002101</v>
      </c>
      <c r="E24" s="1015" t="s">
        <v>714</v>
      </c>
      <c r="F24" s="369" t="s">
        <v>711</v>
      </c>
      <c r="G24" s="438" t="s">
        <v>714</v>
      </c>
      <c r="H24" s="1004"/>
      <c r="I24" s="404"/>
      <c r="J24" s="824"/>
      <c r="K24" s="1137">
        <f>K46+K68</f>
        <v>10025500</v>
      </c>
      <c r="L24" s="1137">
        <f t="shared" si="37"/>
        <v>7116500</v>
      </c>
      <c r="M24" s="1137">
        <f t="shared" si="37"/>
        <v>7001500</v>
      </c>
      <c r="N24" s="1137">
        <f t="shared" si="37"/>
        <v>8541500</v>
      </c>
      <c r="O24" s="1137">
        <f t="shared" si="37"/>
        <v>7241500</v>
      </c>
      <c r="P24" s="1137">
        <f t="shared" si="37"/>
        <v>6899833</v>
      </c>
      <c r="Q24" s="1137">
        <f t="shared" si="37"/>
        <v>6276500</v>
      </c>
      <c r="R24" s="1137">
        <f t="shared" si="37"/>
        <v>6391500</v>
      </c>
      <c r="S24" s="1137">
        <f t="shared" si="37"/>
        <v>6126500</v>
      </c>
      <c r="T24" s="1137">
        <f t="shared" si="37"/>
        <v>7666500</v>
      </c>
      <c r="U24" s="1137">
        <f t="shared" si="37"/>
        <v>6126500</v>
      </c>
      <c r="V24" s="1137">
        <f t="shared" si="37"/>
        <v>6241500</v>
      </c>
      <c r="W24" s="1138">
        <f t="shared" ref="W24" si="39">SUM(K24:V24)</f>
        <v>85655333</v>
      </c>
      <c r="X24" s="1136"/>
      <c r="Y24" s="1006">
        <f t="shared" ref="Y24:AJ24" si="40">Y46+Y68</f>
        <v>7475000</v>
      </c>
      <c r="Z24" s="1006">
        <f t="shared" si="40"/>
        <v>6271152</v>
      </c>
      <c r="AA24" s="1006">
        <f t="shared" si="40"/>
        <v>20230360</v>
      </c>
      <c r="AB24" s="1006">
        <f t="shared" si="40"/>
        <v>12901540</v>
      </c>
      <c r="AC24" s="1006">
        <f t="shared" si="40"/>
        <v>8793026</v>
      </c>
      <c r="AD24" s="1006">
        <f t="shared" si="40"/>
        <v>3158330</v>
      </c>
      <c r="AE24" s="1006">
        <f t="shared" si="40"/>
        <v>15441114</v>
      </c>
      <c r="AF24" s="1006">
        <f t="shared" si="40"/>
        <v>18265547</v>
      </c>
      <c r="AG24" s="1006">
        <f t="shared" si="40"/>
        <v>9845887</v>
      </c>
      <c r="AH24" s="1006">
        <f t="shared" si="40"/>
        <v>9845887</v>
      </c>
      <c r="AI24" s="1006">
        <f t="shared" si="40"/>
        <v>9845887</v>
      </c>
      <c r="AJ24" s="1006">
        <f t="shared" si="40"/>
        <v>9845887</v>
      </c>
      <c r="AK24" s="1140">
        <f t="shared" si="6"/>
        <v>131919617</v>
      </c>
      <c r="AL24" s="1136"/>
      <c r="AM24" s="366">
        <f t="shared" si="7"/>
        <v>1871993</v>
      </c>
      <c r="AN24" s="10"/>
      <c r="AO24" s="366">
        <f t="shared" si="8"/>
        <v>0</v>
      </c>
      <c r="AQ24" s="1143"/>
      <c r="AR24" s="1144"/>
    </row>
    <row r="25" spans="2:44" ht="28" x14ac:dyDescent="0.35">
      <c r="B25" s="1172">
        <v>20</v>
      </c>
      <c r="C25" s="367"/>
      <c r="D25" s="368">
        <v>6272003502</v>
      </c>
      <c r="E25" s="1196" t="s">
        <v>715</v>
      </c>
      <c r="F25" s="369" t="s">
        <v>716</v>
      </c>
      <c r="G25" s="369" t="s">
        <v>717</v>
      </c>
      <c r="H25" s="368" t="s">
        <v>454</v>
      </c>
      <c r="I25" s="404" t="s">
        <v>709</v>
      </c>
      <c r="J25" s="371"/>
      <c r="K25" s="1137">
        <f t="shared" ref="K25:V25" si="41">K47+K69</f>
        <v>33423085.22727273</v>
      </c>
      <c r="L25" s="1137">
        <f t="shared" si="41"/>
        <v>25995732.954545457</v>
      </c>
      <c r="M25" s="1137">
        <f t="shared" si="41"/>
        <v>37136761.36363636</v>
      </c>
      <c r="N25" s="1137">
        <f t="shared" si="41"/>
        <v>40850437.5</v>
      </c>
      <c r="O25" s="1137">
        <f t="shared" si="41"/>
        <v>40824337.5</v>
      </c>
      <c r="P25" s="1137">
        <f t="shared" si="41"/>
        <v>40798237.5</v>
      </c>
      <c r="Q25" s="1137">
        <f t="shared" si="41"/>
        <v>40798237.5</v>
      </c>
      <c r="R25" s="1137">
        <f t="shared" si="41"/>
        <v>40798237.5</v>
      </c>
      <c r="S25" s="1137">
        <f t="shared" si="41"/>
        <v>40798237.5</v>
      </c>
      <c r="T25" s="1137">
        <f t="shared" si="41"/>
        <v>40798237.5</v>
      </c>
      <c r="U25" s="1137">
        <f t="shared" si="41"/>
        <v>40798237.5</v>
      </c>
      <c r="V25" s="1137">
        <f t="shared" si="41"/>
        <v>40798237.5</v>
      </c>
      <c r="W25" s="1138">
        <f>SUM(K25:V25)</f>
        <v>463818017.04545456</v>
      </c>
      <c r="X25" s="1136"/>
      <c r="Y25" s="366">
        <f t="shared" ref="Y25:AJ25" si="42">Y47+Y69</f>
        <v>12972174</v>
      </c>
      <c r="Z25" s="366">
        <f t="shared" si="42"/>
        <v>17563791</v>
      </c>
      <c r="AA25" s="366">
        <f t="shared" si="42"/>
        <v>25635113</v>
      </c>
      <c r="AB25" s="366">
        <f t="shared" si="42"/>
        <v>22914757</v>
      </c>
      <c r="AC25" s="366">
        <f t="shared" si="42"/>
        <v>25886763</v>
      </c>
      <c r="AD25" s="366">
        <f t="shared" si="42"/>
        <v>34583522</v>
      </c>
      <c r="AE25" s="366">
        <f t="shared" si="42"/>
        <v>34295225</v>
      </c>
      <c r="AF25" s="366">
        <f t="shared" si="42"/>
        <v>30719351</v>
      </c>
      <c r="AG25" s="366">
        <f t="shared" si="42"/>
        <v>29161067</v>
      </c>
      <c r="AH25" s="366">
        <f t="shared" si="42"/>
        <v>29161067</v>
      </c>
      <c r="AI25" s="366">
        <f t="shared" si="42"/>
        <v>29161067</v>
      </c>
      <c r="AJ25" s="366">
        <f t="shared" si="42"/>
        <v>29161067</v>
      </c>
      <c r="AK25" s="1138">
        <f t="shared" si="6"/>
        <v>321214964</v>
      </c>
      <c r="AL25" s="1136"/>
      <c r="AM25" s="366">
        <f t="shared" si="7"/>
        <v>202188559</v>
      </c>
      <c r="AO25" s="366">
        <f t="shared" si="8"/>
        <v>0</v>
      </c>
      <c r="AQ25" s="1134">
        <f t="shared" si="11"/>
        <v>142603053.04545456</v>
      </c>
      <c r="AR25" s="1142">
        <f t="shared" si="12"/>
        <v>0.44394897195840022</v>
      </c>
    </row>
    <row r="26" spans="2:44" ht="15.5" x14ac:dyDescent="0.35">
      <c r="B26" s="1177"/>
      <c r="C26" s="372"/>
      <c r="D26" s="373"/>
      <c r="E26" s="1179"/>
      <c r="F26" s="374"/>
      <c r="G26" s="374"/>
      <c r="H26" s="373"/>
      <c r="I26" s="405"/>
      <c r="J26" s="376"/>
      <c r="K26" s="1145"/>
      <c r="L26" s="1145"/>
      <c r="M26" s="1145"/>
      <c r="N26" s="1145"/>
      <c r="O26" s="1145"/>
      <c r="P26" s="1145"/>
      <c r="Q26" s="1145"/>
      <c r="R26" s="1145"/>
      <c r="S26" s="1145"/>
      <c r="T26" s="1145"/>
      <c r="U26" s="1145"/>
      <c r="V26" s="1145"/>
      <c r="W26" s="1146"/>
      <c r="X26" s="1136"/>
      <c r="Y26" s="376"/>
      <c r="Z26" s="376"/>
      <c r="AA26" s="376"/>
      <c r="AB26" s="376"/>
      <c r="AC26" s="376"/>
      <c r="AD26" s="376"/>
      <c r="AE26" s="376"/>
      <c r="AF26" s="376"/>
      <c r="AG26" s="376"/>
      <c r="AH26" s="376"/>
      <c r="AI26" s="376"/>
      <c r="AJ26" s="376"/>
      <c r="AK26" s="1146"/>
      <c r="AL26" s="1136"/>
      <c r="AM26" s="393"/>
      <c r="AO26" s="393"/>
      <c r="AQ26" s="1134">
        <f t="shared" si="11"/>
        <v>0</v>
      </c>
      <c r="AR26" s="1142">
        <f t="shared" si="12"/>
        <v>0</v>
      </c>
    </row>
    <row r="27" spans="2:44" ht="15.5" x14ac:dyDescent="0.35">
      <c r="B27" s="1178" t="s">
        <v>164</v>
      </c>
      <c r="C27" s="264"/>
      <c r="D27" s="267"/>
      <c r="E27" s="1180" t="s">
        <v>718</v>
      </c>
      <c r="F27" s="269"/>
      <c r="G27" s="268"/>
      <c r="H27" s="268"/>
      <c r="I27" s="406"/>
      <c r="J27" s="361">
        <f>SUM(J28:J48)</f>
        <v>0</v>
      </c>
      <c r="K27" s="1147">
        <f>SUM(K28:K48)</f>
        <v>822292038.1707896</v>
      </c>
      <c r="L27" s="1147">
        <f t="shared" ref="L27:W27" si="43">SUM(L28:L48)</f>
        <v>612858573.17246342</v>
      </c>
      <c r="M27" s="1147">
        <f t="shared" si="43"/>
        <v>831382873.28533745</v>
      </c>
      <c r="N27" s="1147">
        <f t="shared" si="43"/>
        <v>856174472.01526964</v>
      </c>
      <c r="O27" s="1147">
        <f t="shared" si="43"/>
        <v>861654355.14224815</v>
      </c>
      <c r="P27" s="1147">
        <f t="shared" si="43"/>
        <v>833585794.52555656</v>
      </c>
      <c r="Q27" s="1147">
        <f t="shared" si="43"/>
        <v>849545546.3717103</v>
      </c>
      <c r="R27" s="1147">
        <f t="shared" si="43"/>
        <v>849510546.3717103</v>
      </c>
      <c r="S27" s="1147">
        <f t="shared" si="43"/>
        <v>805793108.58150053</v>
      </c>
      <c r="T27" s="1147">
        <f t="shared" si="43"/>
        <v>843407797.21786427</v>
      </c>
      <c r="U27" s="1147">
        <f t="shared" si="43"/>
        <v>844219961.52555656</v>
      </c>
      <c r="V27" s="1147">
        <f t="shared" si="43"/>
        <v>837173879.3717103</v>
      </c>
      <c r="W27" s="1147">
        <f t="shared" si="43"/>
        <v>9847598945.7517204</v>
      </c>
      <c r="X27" s="1133"/>
      <c r="Y27" s="185">
        <f>SUM(Y28:Y48)</f>
        <v>539866186</v>
      </c>
      <c r="Z27" s="185">
        <f t="shared" ref="Z27:AJ27" si="44">SUM(Z28:Z48)</f>
        <v>403160232</v>
      </c>
      <c r="AA27" s="185">
        <f t="shared" si="44"/>
        <v>690277891</v>
      </c>
      <c r="AB27" s="185">
        <f t="shared" si="44"/>
        <v>741614081</v>
      </c>
      <c r="AC27" s="185">
        <f t="shared" si="44"/>
        <v>734076214</v>
      </c>
      <c r="AD27" s="185">
        <f t="shared" si="44"/>
        <v>847755681</v>
      </c>
      <c r="AE27" s="185">
        <f t="shared" si="44"/>
        <v>918451187</v>
      </c>
      <c r="AF27" s="185">
        <f t="shared" si="44"/>
        <v>973624584</v>
      </c>
      <c r="AG27" s="185">
        <f t="shared" si="44"/>
        <v>1004402978</v>
      </c>
      <c r="AH27" s="185">
        <f t="shared" si="44"/>
        <v>890073154.38914061</v>
      </c>
      <c r="AI27" s="185">
        <f t="shared" si="44"/>
        <v>890073154.38914025</v>
      </c>
      <c r="AJ27" s="185">
        <f t="shared" si="44"/>
        <v>890073154.38914025</v>
      </c>
      <c r="AK27" s="1147">
        <f>SUM(AK28:AK48)</f>
        <v>9523448497.1674213</v>
      </c>
      <c r="AL27" s="1133"/>
      <c r="AM27" s="185">
        <f t="shared" ref="AM27:AO27" si="45">SUM(AM28:AM48)</f>
        <v>4319407725</v>
      </c>
      <c r="AO27" s="185">
        <f t="shared" si="45"/>
        <v>0</v>
      </c>
      <c r="AQ27" s="1147">
        <f t="shared" ref="AQ27:AQ101" si="46">IFERROR(W27-AK27,0)</f>
        <v>324150448.58429909</v>
      </c>
      <c r="AR27" s="1159">
        <f t="shared" ref="AR27:AR101" si="47">IFERROR((W27/AK27)-1,0)</f>
        <v>3.4037087372364327E-2</v>
      </c>
    </row>
    <row r="28" spans="2:44" ht="15.5" x14ac:dyDescent="0.35">
      <c r="B28" s="1171">
        <v>1</v>
      </c>
      <c r="C28" s="362"/>
      <c r="D28" s="363">
        <v>6220002601</v>
      </c>
      <c r="E28" s="1174" t="s">
        <v>504</v>
      </c>
      <c r="F28" s="364" t="s">
        <v>489</v>
      </c>
      <c r="G28" s="364" t="s">
        <v>504</v>
      </c>
      <c r="H28" s="363" t="s">
        <v>359</v>
      </c>
      <c r="I28" s="403" t="s">
        <v>701</v>
      </c>
      <c r="J28" s="366"/>
      <c r="K28" s="1134">
        <f>LUONG!F176</f>
        <v>392972364.36363637</v>
      </c>
      <c r="L28" s="1134">
        <f>LUONG!G176</f>
        <v>266126686.54545456</v>
      </c>
      <c r="M28" s="1134">
        <f>LUONG!H176</f>
        <v>384583720</v>
      </c>
      <c r="N28" s="1134">
        <f>LUONG!I176</f>
        <v>375326686.54545456</v>
      </c>
      <c r="O28" s="1134">
        <f>LUONG!J176</f>
        <v>388778042.18181819</v>
      </c>
      <c r="P28" s="1134">
        <f>LUONG!K176</f>
        <v>386246686.54545456</v>
      </c>
      <c r="Q28" s="1134">
        <f>LUONG!L176</f>
        <v>403892364.36363637</v>
      </c>
      <c r="R28" s="1134">
        <f>LUONG!M176</f>
        <v>403892364.36363637</v>
      </c>
      <c r="S28" s="1134">
        <f>LUONG!N176</f>
        <v>364406686.54545456</v>
      </c>
      <c r="T28" s="1134">
        <f>LUONG!O176</f>
        <v>399698042.18181819</v>
      </c>
      <c r="U28" s="1134">
        <f>LUONG!P176</f>
        <v>397166686.54545456</v>
      </c>
      <c r="V28" s="1134">
        <f>LUONG!Q176</f>
        <v>392972364.36363637</v>
      </c>
      <c r="W28" s="1135">
        <f>LUONG!R176</f>
        <v>4556062694.545455</v>
      </c>
      <c r="X28" s="1136"/>
      <c r="Y28" s="366">
        <v>323444051</v>
      </c>
      <c r="Z28" s="366">
        <v>205758869</v>
      </c>
      <c r="AA28" s="366">
        <v>417453852</v>
      </c>
      <c r="AB28" s="366">
        <v>479670463</v>
      </c>
      <c r="AC28" s="366">
        <v>424999777</v>
      </c>
      <c r="AD28" s="366">
        <v>533855666</v>
      </c>
      <c r="AE28" s="366">
        <v>564627094</v>
      </c>
      <c r="AF28" s="366">
        <v>622409337</v>
      </c>
      <c r="AG28" s="366">
        <v>596353633</v>
      </c>
      <c r="AH28" s="366">
        <v>536535410</v>
      </c>
      <c r="AI28" s="366">
        <v>536535410</v>
      </c>
      <c r="AJ28" s="366">
        <v>536535410</v>
      </c>
      <c r="AK28" s="1138">
        <f t="shared" ref="AK28:AK70" si="48">SUM(Y28:AJ28)</f>
        <v>5778178972</v>
      </c>
      <c r="AL28" s="1136"/>
      <c r="AM28" s="391">
        <v>3333965498</v>
      </c>
      <c r="AO28" s="391"/>
      <c r="AQ28" s="1134">
        <f t="shared" si="46"/>
        <v>-1222116277.454545</v>
      </c>
      <c r="AR28" s="1142">
        <f t="shared" si="47"/>
        <v>-0.21150543854330184</v>
      </c>
    </row>
    <row r="29" spans="2:44" ht="15.5" x14ac:dyDescent="0.35">
      <c r="B29" s="1172">
        <v>2</v>
      </c>
      <c r="C29" s="367"/>
      <c r="D29" s="1004">
        <v>6220002602</v>
      </c>
      <c r="E29" s="1176" t="s">
        <v>505</v>
      </c>
      <c r="F29" s="438" t="s">
        <v>489</v>
      </c>
      <c r="G29" s="438" t="s">
        <v>505</v>
      </c>
      <c r="H29" s="1004" t="s">
        <v>359</v>
      </c>
      <c r="I29" s="404" t="s">
        <v>701</v>
      </c>
      <c r="J29" s="824"/>
      <c r="K29" s="1139">
        <f>LUONG!F177</f>
        <v>8633314.1818181816</v>
      </c>
      <c r="L29" s="1139">
        <f>LUONG!G177</f>
        <v>8633314.1818181816</v>
      </c>
      <c r="M29" s="1139">
        <f>LUONG!H177</f>
        <v>8633314.1818181816</v>
      </c>
      <c r="N29" s="1139">
        <f>LUONG!I177</f>
        <v>8633314.1818181816</v>
      </c>
      <c r="O29" s="1139">
        <f>LUONG!J177</f>
        <v>8633314.1818181816</v>
      </c>
      <c r="P29" s="1139">
        <f>LUONG!K177</f>
        <v>8633314.1818181816</v>
      </c>
      <c r="Q29" s="1139">
        <f>LUONG!L177</f>
        <v>8633314.1818181816</v>
      </c>
      <c r="R29" s="1139">
        <f>LUONG!M177</f>
        <v>8633314.1818181816</v>
      </c>
      <c r="S29" s="1139">
        <f>LUONG!N177</f>
        <v>8633314.1818181816</v>
      </c>
      <c r="T29" s="1139">
        <f>LUONG!O177</f>
        <v>8633314.1818181816</v>
      </c>
      <c r="U29" s="1139">
        <f>LUONG!P177</f>
        <v>8633314.1818181816</v>
      </c>
      <c r="V29" s="1139">
        <f>LUONG!Q177</f>
        <v>8633314.1818181816</v>
      </c>
      <c r="W29" s="1140">
        <f>LUONG!R177</f>
        <v>103599770.1818182</v>
      </c>
      <c r="X29" s="1136"/>
      <c r="Y29" s="366">
        <v>14193000</v>
      </c>
      <c r="Z29" s="366">
        <v>13788500</v>
      </c>
      <c r="AA29" s="366">
        <v>13826500</v>
      </c>
      <c r="AB29" s="366">
        <v>12610750</v>
      </c>
      <c r="AC29" s="366">
        <v>12227750</v>
      </c>
      <c r="AD29" s="366">
        <v>11132584</v>
      </c>
      <c r="AE29" s="366">
        <v>11132583</v>
      </c>
      <c r="AF29" s="366">
        <v>10644750</v>
      </c>
      <c r="AG29" s="366">
        <v>10686417</v>
      </c>
      <c r="AH29" s="366">
        <v>10686417</v>
      </c>
      <c r="AI29" s="366">
        <v>10686417</v>
      </c>
      <c r="AJ29" s="366">
        <v>10686417</v>
      </c>
      <c r="AK29" s="1138">
        <f t="shared" si="48"/>
        <v>142302085</v>
      </c>
      <c r="AL29" s="1136"/>
      <c r="AM29" s="392">
        <v>141271834</v>
      </c>
      <c r="AO29" s="392"/>
      <c r="AQ29" s="1137">
        <f t="shared" si="46"/>
        <v>-38702314.818181798</v>
      </c>
      <c r="AR29" s="1160">
        <f t="shared" si="47"/>
        <v>-0.27197292870432499</v>
      </c>
    </row>
    <row r="30" spans="2:44" ht="15.5" x14ac:dyDescent="0.35">
      <c r="B30" s="1172">
        <v>3</v>
      </c>
      <c r="C30" s="367"/>
      <c r="D30" s="1004">
        <v>6220002802</v>
      </c>
      <c r="E30" s="1176" t="s">
        <v>506</v>
      </c>
      <c r="F30" s="438" t="s">
        <v>493</v>
      </c>
      <c r="G30" s="438" t="s">
        <v>506</v>
      </c>
      <c r="H30" s="1004" t="s">
        <v>359</v>
      </c>
      <c r="I30" s="404" t="s">
        <v>701</v>
      </c>
      <c r="J30" s="824"/>
      <c r="K30" s="1139">
        <f>LUONG!F178</f>
        <v>24960000</v>
      </c>
      <c r="L30" s="1139">
        <f>LUONG!G178</f>
        <v>21760000</v>
      </c>
      <c r="M30" s="1139">
        <f>LUONG!H178</f>
        <v>21760000</v>
      </c>
      <c r="N30" s="1139">
        <f>LUONG!I178</f>
        <v>21760000</v>
      </c>
      <c r="O30" s="1139">
        <f>LUONG!J178</f>
        <v>28160000</v>
      </c>
      <c r="P30" s="1139">
        <f>LUONG!K178</f>
        <v>21760000</v>
      </c>
      <c r="Q30" s="1139">
        <f>LUONG!L178</f>
        <v>21760000</v>
      </c>
      <c r="R30" s="1139">
        <f>LUONG!M178</f>
        <v>21760000</v>
      </c>
      <c r="S30" s="1139">
        <f>LUONG!N178</f>
        <v>24960000</v>
      </c>
      <c r="T30" s="1139">
        <f>LUONG!O178</f>
        <v>21760000</v>
      </c>
      <c r="U30" s="1139">
        <f>LUONG!P178</f>
        <v>21760000</v>
      </c>
      <c r="V30" s="1139">
        <f>LUONG!Q178</f>
        <v>21760000</v>
      </c>
      <c r="W30" s="1140">
        <f>LUONG!R178</f>
        <v>273920000</v>
      </c>
      <c r="X30" s="1136"/>
      <c r="Y30" s="366">
        <v>0</v>
      </c>
      <c r="Z30" s="366">
        <v>0</v>
      </c>
      <c r="AA30" s="366">
        <v>0</v>
      </c>
      <c r="AB30" s="366">
        <v>0</v>
      </c>
      <c r="AC30" s="366">
        <v>0</v>
      </c>
      <c r="AD30" s="366">
        <v>0</v>
      </c>
      <c r="AE30" s="366">
        <v>0</v>
      </c>
      <c r="AF30" s="366">
        <v>0</v>
      </c>
      <c r="AG30" s="366">
        <v>0</v>
      </c>
      <c r="AH30" s="366"/>
      <c r="AI30" s="366"/>
      <c r="AJ30" s="366"/>
      <c r="AK30" s="1138">
        <f t="shared" si="48"/>
        <v>0</v>
      </c>
      <c r="AL30" s="1136"/>
      <c r="AM30" s="392"/>
      <c r="AO30" s="392"/>
      <c r="AQ30" s="1137">
        <f t="shared" si="46"/>
        <v>273920000</v>
      </c>
      <c r="AR30" s="1160">
        <f t="shared" si="47"/>
        <v>0</v>
      </c>
    </row>
    <row r="31" spans="2:44" ht="15.5" x14ac:dyDescent="0.35">
      <c r="B31" s="1172">
        <v>4</v>
      </c>
      <c r="C31" s="367"/>
      <c r="D31" s="1004">
        <v>6220002806</v>
      </c>
      <c r="E31" s="1176" t="s">
        <v>507</v>
      </c>
      <c r="F31" s="438" t="s">
        <v>489</v>
      </c>
      <c r="G31" s="438" t="s">
        <v>507</v>
      </c>
      <c r="H31" s="1004" t="s">
        <v>359</v>
      </c>
      <c r="I31" s="404" t="s">
        <v>701</v>
      </c>
      <c r="J31" s="824"/>
      <c r="K31" s="1139">
        <f>LUONG!F179</f>
        <v>999650.18181818177</v>
      </c>
      <c r="L31" s="1139">
        <f>LUONG!G179</f>
        <v>999650.18181818177</v>
      </c>
      <c r="M31" s="1139">
        <f>LUONG!H179</f>
        <v>999650.18181818177</v>
      </c>
      <c r="N31" s="1139">
        <f>LUONG!I179</f>
        <v>999650.18181818177</v>
      </c>
      <c r="O31" s="1139">
        <f>LUONG!J179</f>
        <v>999650.18181818177</v>
      </c>
      <c r="P31" s="1139">
        <f>LUONG!K179</f>
        <v>999650.18181818177</v>
      </c>
      <c r="Q31" s="1139">
        <f>LUONG!L179</f>
        <v>999650.18181818177</v>
      </c>
      <c r="R31" s="1139">
        <f>LUONG!M179</f>
        <v>999650.18181818177</v>
      </c>
      <c r="S31" s="1139">
        <f>LUONG!N179</f>
        <v>999650.18181818177</v>
      </c>
      <c r="T31" s="1139">
        <f>LUONG!O179</f>
        <v>999650.18181818177</v>
      </c>
      <c r="U31" s="1139">
        <f>LUONG!P179</f>
        <v>999650.18181818177</v>
      </c>
      <c r="V31" s="1139">
        <f>LUONG!Q179</f>
        <v>999650.18181818177</v>
      </c>
      <c r="W31" s="1140">
        <f>LUONG!R179</f>
        <v>11995802.181818182</v>
      </c>
      <c r="X31" s="1136"/>
      <c r="Y31" s="366">
        <v>9614609</v>
      </c>
      <c r="Z31" s="366">
        <v>2343935</v>
      </c>
      <c r="AA31" s="366">
        <v>2350395</v>
      </c>
      <c r="AB31" s="366">
        <v>2143727</v>
      </c>
      <c r="AC31" s="366">
        <v>2078620</v>
      </c>
      <c r="AD31" s="366">
        <v>1892450</v>
      </c>
      <c r="AE31" s="366">
        <v>1892450</v>
      </c>
      <c r="AF31" s="366">
        <v>1809522</v>
      </c>
      <c r="AG31" s="366">
        <v>1816605</v>
      </c>
      <c r="AH31" s="366">
        <v>1816605</v>
      </c>
      <c r="AI31" s="366">
        <v>1816605</v>
      </c>
      <c r="AJ31" s="366">
        <v>1816605</v>
      </c>
      <c r="AK31" s="1138">
        <f t="shared" si="48"/>
        <v>31392128</v>
      </c>
      <c r="AL31" s="1136"/>
      <c r="AM31" s="392">
        <v>20540398</v>
      </c>
      <c r="AO31" s="392"/>
      <c r="AQ31" s="1137">
        <f t="shared" si="46"/>
        <v>-19396325.81818182</v>
      </c>
      <c r="AR31" s="1160">
        <f t="shared" si="47"/>
        <v>-0.61787228371972169</v>
      </c>
    </row>
    <row r="32" spans="2:44" ht="15.5" x14ac:dyDescent="0.35">
      <c r="B32" s="1172">
        <v>5</v>
      </c>
      <c r="C32" s="367"/>
      <c r="D32" s="1004">
        <v>6220007202</v>
      </c>
      <c r="E32" s="1176" t="s">
        <v>495</v>
      </c>
      <c r="F32" s="438" t="s">
        <v>493</v>
      </c>
      <c r="G32" s="438" t="s">
        <v>495</v>
      </c>
      <c r="H32" s="1004" t="s">
        <v>359</v>
      </c>
      <c r="I32" s="404" t="s">
        <v>701</v>
      </c>
      <c r="J32" s="824"/>
      <c r="K32" s="1139">
        <f>LUONG!F180</f>
        <v>1389103.2727272727</v>
      </c>
      <c r="L32" s="1139">
        <f>LUONG!G180</f>
        <v>1389103.2727272727</v>
      </c>
      <c r="M32" s="1139">
        <f>LUONG!H180</f>
        <v>1389103.2727272727</v>
      </c>
      <c r="N32" s="1139">
        <f>LUONG!I180</f>
        <v>1389103.2727272727</v>
      </c>
      <c r="O32" s="1139">
        <f>LUONG!J180</f>
        <v>1389103.2727272727</v>
      </c>
      <c r="P32" s="1139">
        <f>LUONG!K180</f>
        <v>1389103.2727272727</v>
      </c>
      <c r="Q32" s="1139">
        <f>LUONG!L180</f>
        <v>1389103.2727272727</v>
      </c>
      <c r="R32" s="1139">
        <f>LUONG!M180</f>
        <v>1389103.2727272727</v>
      </c>
      <c r="S32" s="1139">
        <f>LUONG!N180</f>
        <v>1389103.2727272727</v>
      </c>
      <c r="T32" s="1139">
        <f>LUONG!O180</f>
        <v>1389103.2727272727</v>
      </c>
      <c r="U32" s="1139">
        <f>LUONG!P180</f>
        <v>1389103.2727272727</v>
      </c>
      <c r="V32" s="1139">
        <f>LUONG!Q180</f>
        <v>1389103.2727272727</v>
      </c>
      <c r="W32" s="1140">
        <f>LUONG!R180</f>
        <v>16669239.272727275</v>
      </c>
      <c r="X32" s="1136"/>
      <c r="Y32" s="366">
        <v>0</v>
      </c>
      <c r="Z32" s="366">
        <v>0</v>
      </c>
      <c r="AA32" s="366">
        <v>0</v>
      </c>
      <c r="AB32" s="366">
        <v>0</v>
      </c>
      <c r="AC32" s="366">
        <v>0</v>
      </c>
      <c r="AD32" s="366">
        <v>0</v>
      </c>
      <c r="AE32" s="366">
        <v>0</v>
      </c>
      <c r="AF32" s="366">
        <v>0</v>
      </c>
      <c r="AG32" s="366">
        <v>0</v>
      </c>
      <c r="AH32" s="366"/>
      <c r="AI32" s="366"/>
      <c r="AJ32" s="366"/>
      <c r="AK32" s="1138">
        <f t="shared" si="48"/>
        <v>0</v>
      </c>
      <c r="AL32" s="1136"/>
      <c r="AM32" s="392"/>
      <c r="AO32" s="392"/>
      <c r="AQ32" s="1137">
        <f t="shared" si="46"/>
        <v>16669239.272727275</v>
      </c>
      <c r="AR32" s="1160">
        <f t="shared" si="47"/>
        <v>0</v>
      </c>
    </row>
    <row r="33" spans="2:44" ht="15.5" x14ac:dyDescent="0.35">
      <c r="B33" s="1172">
        <v>6</v>
      </c>
      <c r="C33" s="367"/>
      <c r="D33" s="1004">
        <v>6220003201</v>
      </c>
      <c r="E33" s="1176" t="s">
        <v>508</v>
      </c>
      <c r="F33" s="438" t="s">
        <v>493</v>
      </c>
      <c r="G33" s="438" t="s">
        <v>508</v>
      </c>
      <c r="H33" s="1004" t="s">
        <v>359</v>
      </c>
      <c r="I33" s="404" t="s">
        <v>701</v>
      </c>
      <c r="J33" s="824"/>
      <c r="K33" s="1139">
        <f>LUONG!F181</f>
        <v>48045453.84615384</v>
      </c>
      <c r="L33" s="1139">
        <f>LUONG!G181</f>
        <v>32955999.384615384</v>
      </c>
      <c r="M33" s="1139">
        <f>LUONG!H181</f>
        <v>47215635.692307696</v>
      </c>
      <c r="N33" s="1139">
        <f>LUONG!I181</f>
        <v>47605090.153846152</v>
      </c>
      <c r="O33" s="1139">
        <f>LUONG!J181</f>
        <v>45555999.384615384</v>
      </c>
      <c r="P33" s="1139">
        <f>LUONG!K181</f>
        <v>48655090.153846152</v>
      </c>
      <c r="Q33" s="1139">
        <f>LUONG!L181</f>
        <v>49925272</v>
      </c>
      <c r="R33" s="1139">
        <f>LUONG!M181</f>
        <v>49925272</v>
      </c>
      <c r="S33" s="1139">
        <f>LUONG!N181</f>
        <v>44895453.84615384</v>
      </c>
      <c r="T33" s="1139">
        <f>LUONG!O181</f>
        <v>49095453.84615384</v>
      </c>
      <c r="U33" s="1139">
        <f>LUONG!P181</f>
        <v>49705090.153846152</v>
      </c>
      <c r="V33" s="1139">
        <f>LUONG!Q181</f>
        <v>48875272</v>
      </c>
      <c r="W33" s="1140">
        <f>LUONG!R181</f>
        <v>562455082.46153855</v>
      </c>
      <c r="X33" s="1136"/>
      <c r="Y33" s="1006">
        <v>14025000</v>
      </c>
      <c r="Z33" s="1006">
        <v>18875000</v>
      </c>
      <c r="AA33" s="1006">
        <v>37750000</v>
      </c>
      <c r="AB33" s="1006">
        <v>34450000</v>
      </c>
      <c r="AC33" s="1006">
        <v>34950000</v>
      </c>
      <c r="AD33" s="1006">
        <v>37375000</v>
      </c>
      <c r="AE33" s="1006">
        <v>38825000</v>
      </c>
      <c r="AF33" s="1006">
        <v>39200000</v>
      </c>
      <c r="AG33" s="1006">
        <v>38125000</v>
      </c>
      <c r="AH33" s="1006">
        <v>38125000</v>
      </c>
      <c r="AI33" s="1006">
        <v>38125000</v>
      </c>
      <c r="AJ33" s="1006">
        <v>38125000</v>
      </c>
      <c r="AK33" s="1140">
        <f t="shared" si="48"/>
        <v>407950000</v>
      </c>
      <c r="AL33" s="1136"/>
      <c r="AM33" s="392">
        <v>204625000</v>
      </c>
      <c r="AO33" s="392"/>
      <c r="AQ33" s="1137">
        <f t="shared" si="46"/>
        <v>154505082.46153855</v>
      </c>
      <c r="AR33" s="1160">
        <f t="shared" si="47"/>
        <v>0.37873534124657082</v>
      </c>
    </row>
    <row r="34" spans="2:44" ht="15.5" x14ac:dyDescent="0.35">
      <c r="B34" s="1172">
        <v>7</v>
      </c>
      <c r="C34" s="367"/>
      <c r="D34" s="1004">
        <v>6220002603</v>
      </c>
      <c r="E34" s="1176" t="s">
        <v>509</v>
      </c>
      <c r="F34" s="438" t="s">
        <v>489</v>
      </c>
      <c r="G34" s="438" t="s">
        <v>509</v>
      </c>
      <c r="H34" s="1004" t="s">
        <v>359</v>
      </c>
      <c r="I34" s="404" t="s">
        <v>701</v>
      </c>
      <c r="J34" s="824"/>
      <c r="K34" s="1139">
        <f>LUONG!F182</f>
        <v>8908909.0909090918</v>
      </c>
      <c r="L34" s="1139">
        <f>LUONG!G182</f>
        <v>8908909.0909090918</v>
      </c>
      <c r="M34" s="1139">
        <f>LUONG!H182</f>
        <v>8908909.0909090918</v>
      </c>
      <c r="N34" s="1139">
        <f>LUONG!I182</f>
        <v>8908909.0909090918</v>
      </c>
      <c r="O34" s="1139">
        <f>LUONG!J182</f>
        <v>8908909.0909090918</v>
      </c>
      <c r="P34" s="1139">
        <f>LUONG!K182</f>
        <v>8908909.0909090918</v>
      </c>
      <c r="Q34" s="1139">
        <f>LUONG!L182</f>
        <v>8908909.0909090918</v>
      </c>
      <c r="R34" s="1139">
        <f>LUONG!M182</f>
        <v>8908909.0909090918</v>
      </c>
      <c r="S34" s="1139">
        <f>LUONG!N182</f>
        <v>8908909.0909090918</v>
      </c>
      <c r="T34" s="1139">
        <f>LUONG!O182</f>
        <v>8908909.0909090918</v>
      </c>
      <c r="U34" s="1139">
        <f>LUONG!P182</f>
        <v>8908909.0909090918</v>
      </c>
      <c r="V34" s="1139">
        <f>LUONG!Q182</f>
        <v>8908909.0909090918</v>
      </c>
      <c r="W34" s="1140">
        <f>LUONG!R182</f>
        <v>106906909.09090911</v>
      </c>
      <c r="X34" s="1136"/>
      <c r="Y34" s="1006">
        <v>0</v>
      </c>
      <c r="Z34" s="1006">
        <v>0</v>
      </c>
      <c r="AA34" s="1006">
        <v>0</v>
      </c>
      <c r="AB34" s="1006">
        <v>0</v>
      </c>
      <c r="AC34" s="1006">
        <v>0</v>
      </c>
      <c r="AD34" s="1006">
        <v>0</v>
      </c>
      <c r="AE34" s="1006">
        <v>0</v>
      </c>
      <c r="AF34" s="1006">
        <v>0</v>
      </c>
      <c r="AG34" s="1006">
        <v>0</v>
      </c>
      <c r="AH34" s="1006">
        <v>0</v>
      </c>
      <c r="AI34" s="1006">
        <v>0</v>
      </c>
      <c r="AJ34" s="1006">
        <v>0</v>
      </c>
      <c r="AK34" s="1140">
        <f t="shared" si="48"/>
        <v>0</v>
      </c>
      <c r="AL34" s="1136"/>
      <c r="AM34" s="392"/>
      <c r="AO34" s="392"/>
      <c r="AQ34" s="1137">
        <f t="shared" si="46"/>
        <v>106906909.09090911</v>
      </c>
      <c r="AR34" s="1160">
        <f t="shared" si="47"/>
        <v>0</v>
      </c>
    </row>
    <row r="35" spans="2:44" ht="15.5" x14ac:dyDescent="0.35">
      <c r="B35" s="1172">
        <v>8</v>
      </c>
      <c r="C35" s="367"/>
      <c r="D35" s="1004">
        <v>6220003401</v>
      </c>
      <c r="E35" s="1176" t="s">
        <v>510</v>
      </c>
      <c r="F35" s="438" t="s">
        <v>493</v>
      </c>
      <c r="G35" s="438" t="s">
        <v>510</v>
      </c>
      <c r="H35" s="1004" t="s">
        <v>359</v>
      </c>
      <c r="I35" s="404" t="s">
        <v>701</v>
      </c>
      <c r="J35" s="824"/>
      <c r="K35" s="1139">
        <f>LUONG!F183</f>
        <v>25627306.181818184</v>
      </c>
      <c r="L35" s="1139">
        <f>LUONG!G183</f>
        <v>25627306.181818184</v>
      </c>
      <c r="M35" s="1139">
        <f>LUONG!H183</f>
        <v>25627306.181818184</v>
      </c>
      <c r="N35" s="1139">
        <f>LUONG!I183</f>
        <v>25627306.181818184</v>
      </c>
      <c r="O35" s="1139">
        <f>LUONG!J183</f>
        <v>25627306.181818184</v>
      </c>
      <c r="P35" s="1139">
        <f>LUONG!K183</f>
        <v>25627306.181818184</v>
      </c>
      <c r="Q35" s="1139">
        <f>LUONG!L183</f>
        <v>25627306.181818184</v>
      </c>
      <c r="R35" s="1139">
        <f>LUONG!M183</f>
        <v>25627306.181818184</v>
      </c>
      <c r="S35" s="1139">
        <f>LUONG!N183</f>
        <v>25627306.181818184</v>
      </c>
      <c r="T35" s="1139">
        <f>LUONG!O183</f>
        <v>25627306.181818184</v>
      </c>
      <c r="U35" s="1139">
        <f>LUONG!P183</f>
        <v>25627306.181818184</v>
      </c>
      <c r="V35" s="1139">
        <f>LUONG!Q183</f>
        <v>25627306.181818184</v>
      </c>
      <c r="W35" s="1140">
        <f>LUONG!R183</f>
        <v>307527674.18181819</v>
      </c>
      <c r="X35" s="1136"/>
      <c r="Y35" s="1006">
        <v>32665000</v>
      </c>
      <c r="Z35" s="1006">
        <v>30432500</v>
      </c>
      <c r="AA35" s="1006">
        <v>29198750</v>
      </c>
      <c r="AB35" s="1006">
        <v>25721250</v>
      </c>
      <c r="AC35" s="1006">
        <v>26907500</v>
      </c>
      <c r="AD35" s="1006">
        <v>24381250</v>
      </c>
      <c r="AE35" s="1006">
        <v>23410000</v>
      </c>
      <c r="AF35" s="1006">
        <v>23147500</v>
      </c>
      <c r="AG35" s="1006">
        <v>23265000</v>
      </c>
      <c r="AH35" s="1006">
        <v>23265000</v>
      </c>
      <c r="AI35" s="1006">
        <v>23265000</v>
      </c>
      <c r="AJ35" s="1006">
        <v>23265000</v>
      </c>
      <c r="AK35" s="1140">
        <f t="shared" si="48"/>
        <v>308923750</v>
      </c>
      <c r="AL35" s="1136"/>
      <c r="AM35" s="392">
        <v>347212500</v>
      </c>
      <c r="AO35" s="392"/>
      <c r="AQ35" s="1137">
        <f t="shared" si="46"/>
        <v>-1396075.8181818128</v>
      </c>
      <c r="AR35" s="1160">
        <f t="shared" si="47"/>
        <v>-4.5191598838930647E-3</v>
      </c>
    </row>
    <row r="36" spans="2:44" ht="15.5" x14ac:dyDescent="0.35">
      <c r="B36" s="1172">
        <v>9</v>
      </c>
      <c r="C36" s="367"/>
      <c r="D36" s="1004">
        <v>6220002701</v>
      </c>
      <c r="E36" s="1176" t="s">
        <v>511</v>
      </c>
      <c r="F36" s="438" t="s">
        <v>489</v>
      </c>
      <c r="G36" s="438" t="s">
        <v>511</v>
      </c>
      <c r="H36" s="1004" t="s">
        <v>359</v>
      </c>
      <c r="I36" s="404" t="s">
        <v>701</v>
      </c>
      <c r="J36" s="824"/>
      <c r="K36" s="1139">
        <f>LUONG!F184</f>
        <v>54721060.363636367</v>
      </c>
      <c r="L36" s="1139">
        <f>LUONG!G184</f>
        <v>47791218.909090906</v>
      </c>
      <c r="M36" s="1139">
        <f>LUONG!H184</f>
        <v>52324612.363636367</v>
      </c>
      <c r="N36" s="1139">
        <f>LUONG!I184</f>
        <v>57697377.454545453</v>
      </c>
      <c r="O36" s="1139">
        <f>LUONG!J184</f>
        <v>47012678.545454547</v>
      </c>
      <c r="P36" s="1139">
        <f>LUONG!K184</f>
        <v>57697377.454545453</v>
      </c>
      <c r="Q36" s="1139">
        <f>LUONG!L184</f>
        <v>55560435.636363633</v>
      </c>
      <c r="R36" s="1139">
        <f>LUONG!M184</f>
        <v>55560435.636363633</v>
      </c>
      <c r="S36" s="1139">
        <f>LUONG!N184</f>
        <v>53423493.81818182</v>
      </c>
      <c r="T36" s="1139">
        <f>LUONG!O184</f>
        <v>53423493.81818182</v>
      </c>
      <c r="U36" s="1139">
        <f>LUONG!P184</f>
        <v>57697377.454545453</v>
      </c>
      <c r="V36" s="1139">
        <f>LUONG!Q184</f>
        <v>55560435.636363633</v>
      </c>
      <c r="W36" s="1140">
        <f>LUONG!R184</f>
        <v>648469997.09090912</v>
      </c>
      <c r="X36" s="1136"/>
      <c r="Y36" s="1006">
        <v>0</v>
      </c>
      <c r="Z36" s="1006">
        <v>0</v>
      </c>
      <c r="AA36" s="1006">
        <v>0</v>
      </c>
      <c r="AB36" s="1006">
        <v>0</v>
      </c>
      <c r="AC36" s="1006">
        <v>0</v>
      </c>
      <c r="AD36" s="1006">
        <v>0</v>
      </c>
      <c r="AE36" s="1006">
        <v>0</v>
      </c>
      <c r="AF36" s="1006">
        <v>0</v>
      </c>
      <c r="AG36" s="1006">
        <v>0</v>
      </c>
      <c r="AH36" s="1006">
        <v>0</v>
      </c>
      <c r="AI36" s="1006">
        <v>0</v>
      </c>
      <c r="AJ36" s="1006">
        <v>0</v>
      </c>
      <c r="AK36" s="1140">
        <f t="shared" si="48"/>
        <v>0</v>
      </c>
      <c r="AL36" s="1136"/>
      <c r="AM36" s="392"/>
      <c r="AO36" s="392"/>
      <c r="AQ36" s="1137">
        <f t="shared" si="46"/>
        <v>648469997.09090912</v>
      </c>
      <c r="AR36" s="1160">
        <f t="shared" si="47"/>
        <v>0</v>
      </c>
    </row>
    <row r="37" spans="2:44" ht="15.5" x14ac:dyDescent="0.35">
      <c r="B37" s="367">
        <v>10</v>
      </c>
      <c r="C37" s="367"/>
      <c r="D37" s="1004" t="s">
        <v>1311</v>
      </c>
      <c r="E37" s="438" t="s">
        <v>1312</v>
      </c>
      <c r="F37" s="438" t="s">
        <v>1313</v>
      </c>
      <c r="G37" s="438" t="s">
        <v>1312</v>
      </c>
      <c r="H37" s="1004" t="s">
        <v>359</v>
      </c>
      <c r="I37" s="404" t="s">
        <v>701</v>
      </c>
      <c r="J37" s="824"/>
      <c r="K37" s="1139"/>
      <c r="L37" s="1139"/>
      <c r="M37" s="1139"/>
      <c r="N37" s="1139"/>
      <c r="O37" s="1139"/>
      <c r="P37" s="1139"/>
      <c r="Q37" s="1139"/>
      <c r="R37" s="1139"/>
      <c r="S37" s="1139"/>
      <c r="T37" s="1139"/>
      <c r="U37" s="1139"/>
      <c r="V37" s="1139"/>
      <c r="W37" s="1140"/>
      <c r="X37" s="1136"/>
      <c r="Y37" s="1006"/>
      <c r="Z37" s="1006"/>
      <c r="AA37" s="1006"/>
      <c r="AB37" s="1006"/>
      <c r="AC37" s="1006"/>
      <c r="AD37" s="1006"/>
      <c r="AE37" s="1006"/>
      <c r="AF37" s="1006"/>
      <c r="AG37" s="1006"/>
      <c r="AH37" s="1006"/>
      <c r="AI37" s="1006"/>
      <c r="AJ37" s="1006"/>
      <c r="AK37" s="1140"/>
      <c r="AL37" s="1136"/>
      <c r="AM37" s="392"/>
      <c r="AO37" s="392"/>
      <c r="AQ37" s="1137"/>
      <c r="AR37" s="1160"/>
    </row>
    <row r="38" spans="2:44" ht="15.5" x14ac:dyDescent="0.35">
      <c r="B38" s="367">
        <v>11</v>
      </c>
      <c r="C38" s="367"/>
      <c r="D38" s="1004">
        <v>6220003001</v>
      </c>
      <c r="E38" s="438" t="s">
        <v>702</v>
      </c>
      <c r="F38" s="438" t="s">
        <v>493</v>
      </c>
      <c r="G38" s="438" t="s">
        <v>702</v>
      </c>
      <c r="H38" s="1004" t="s">
        <v>359</v>
      </c>
      <c r="I38" s="404" t="s">
        <v>703</v>
      </c>
      <c r="J38" s="824"/>
      <c r="K38" s="1139"/>
      <c r="L38" s="1139"/>
      <c r="M38" s="1139"/>
      <c r="N38" s="1139"/>
      <c r="O38" s="1139"/>
      <c r="P38" s="1139"/>
      <c r="Q38" s="1139"/>
      <c r="R38" s="1139"/>
      <c r="S38" s="1139"/>
      <c r="T38" s="1139"/>
      <c r="U38" s="1139"/>
      <c r="V38" s="1139"/>
      <c r="W38" s="1140">
        <f t="shared" ref="W38:W41" si="49">SUM(K38:V38)</f>
        <v>0</v>
      </c>
      <c r="X38" s="1136"/>
      <c r="Y38" s="1006">
        <v>0</v>
      </c>
      <c r="Z38" s="1006">
        <v>0</v>
      </c>
      <c r="AA38" s="1006">
        <v>0</v>
      </c>
      <c r="AB38" s="1006">
        <v>0</v>
      </c>
      <c r="AC38" s="1006">
        <v>0</v>
      </c>
      <c r="AD38" s="1006">
        <v>0</v>
      </c>
      <c r="AE38" s="1006">
        <v>0</v>
      </c>
      <c r="AF38" s="1006">
        <v>0</v>
      </c>
      <c r="AG38" s="1006">
        <v>6684891</v>
      </c>
      <c r="AH38" s="1006">
        <v>0</v>
      </c>
      <c r="AI38" s="1006">
        <v>0</v>
      </c>
      <c r="AJ38" s="1006">
        <v>0</v>
      </c>
      <c r="AK38" s="1140">
        <f t="shared" si="48"/>
        <v>6684891</v>
      </c>
      <c r="AL38" s="1136"/>
      <c r="AM38" s="392">
        <v>21328267</v>
      </c>
      <c r="AO38" s="392"/>
      <c r="AQ38" s="1137">
        <f t="shared" si="46"/>
        <v>-6684891</v>
      </c>
      <c r="AR38" s="1160">
        <f t="shared" si="47"/>
        <v>-1</v>
      </c>
    </row>
    <row r="39" spans="2:44" ht="15.5" x14ac:dyDescent="0.35">
      <c r="B39" s="1172">
        <v>12</v>
      </c>
      <c r="C39" s="367"/>
      <c r="D39" s="1004"/>
      <c r="E39" s="1176" t="s">
        <v>705</v>
      </c>
      <c r="F39" s="438" t="s">
        <v>493</v>
      </c>
      <c r="G39" s="438" t="s">
        <v>706</v>
      </c>
      <c r="H39" s="1004" t="s">
        <v>359</v>
      </c>
      <c r="I39" s="404" t="s">
        <v>703</v>
      </c>
      <c r="J39" s="824"/>
      <c r="K39" s="1139">
        <v>1841666</v>
      </c>
      <c r="L39" s="1139">
        <v>1641666</v>
      </c>
      <c r="M39" s="1139">
        <v>1641666</v>
      </c>
      <c r="N39" s="1139">
        <v>1258333</v>
      </c>
      <c r="O39" s="1139">
        <v>1258333</v>
      </c>
      <c r="P39" s="1139">
        <v>1258333</v>
      </c>
      <c r="Q39" s="1139">
        <v>1062500</v>
      </c>
      <c r="R39" s="1139">
        <v>912500</v>
      </c>
      <c r="S39" s="1139">
        <v>912500</v>
      </c>
      <c r="T39" s="1139">
        <v>695833</v>
      </c>
      <c r="U39" s="1139">
        <v>695833</v>
      </c>
      <c r="V39" s="1139">
        <v>695833</v>
      </c>
      <c r="W39" s="1140">
        <f t="shared" ref="W39" si="50">SUM(K39:V39)</f>
        <v>13874996</v>
      </c>
      <c r="X39" s="1136"/>
      <c r="Y39" s="1006">
        <v>0</v>
      </c>
      <c r="Z39" s="1006">
        <v>0</v>
      </c>
      <c r="AA39" s="1006">
        <v>0</v>
      </c>
      <c r="AB39" s="1006">
        <v>0</v>
      </c>
      <c r="AC39" s="1006">
        <v>0</v>
      </c>
      <c r="AD39" s="1006">
        <v>0</v>
      </c>
      <c r="AE39" s="1006">
        <v>0</v>
      </c>
      <c r="AF39" s="1006">
        <v>0</v>
      </c>
      <c r="AG39" s="1006">
        <v>0</v>
      </c>
      <c r="AH39" s="1006">
        <v>0</v>
      </c>
      <c r="AI39" s="1006">
        <v>0</v>
      </c>
      <c r="AJ39" s="1006">
        <v>0</v>
      </c>
      <c r="AK39" s="1140">
        <f t="shared" ref="AK39" si="51">SUM(Y39:AJ39)</f>
        <v>0</v>
      </c>
      <c r="AL39" s="1136"/>
      <c r="AM39" s="1005"/>
      <c r="AO39" s="1005"/>
      <c r="AQ39" s="1143">
        <f t="shared" si="46"/>
        <v>13874996</v>
      </c>
      <c r="AR39" s="1144">
        <f t="shared" si="47"/>
        <v>0</v>
      </c>
    </row>
    <row r="40" spans="2:44" ht="15.5" x14ac:dyDescent="0.35">
      <c r="B40" s="1172">
        <v>13</v>
      </c>
      <c r="C40" s="367"/>
      <c r="D40" s="1004">
        <v>6275001801</v>
      </c>
      <c r="E40" s="1176" t="s">
        <v>707</v>
      </c>
      <c r="F40" s="438" t="s">
        <v>708</v>
      </c>
      <c r="G40" s="438" t="s">
        <v>707</v>
      </c>
      <c r="H40" s="1004" t="s">
        <v>401</v>
      </c>
      <c r="I40" s="404" t="s">
        <v>709</v>
      </c>
      <c r="J40" s="824"/>
      <c r="K40" s="1267">
        <f>'Dinh muc'!$G$11*'3.Thanh pham'!F$78</f>
        <v>57070738.63636364</v>
      </c>
      <c r="L40" s="1267">
        <f>'Dinh muc'!$G$11*'3.Thanh pham'!G$78</f>
        <v>44388352.272727273</v>
      </c>
      <c r="M40" s="1267">
        <f>'Dinh muc'!$G$11*'3.Thanh pham'!H$78</f>
        <v>63411931.81818182</v>
      </c>
      <c r="N40" s="1267">
        <f>'Dinh muc'!$G$11*'3.Thanh pham'!I$78</f>
        <v>69753125</v>
      </c>
      <c r="O40" s="1267">
        <f>'Dinh muc'!$G$11*'3.Thanh pham'!J$78</f>
        <v>69674196.428571433</v>
      </c>
      <c r="P40" s="1267">
        <f>'Dinh muc'!$G$11*'3.Thanh pham'!K$78</f>
        <v>69595267.857142866</v>
      </c>
      <c r="Q40" s="1267">
        <f>'Dinh muc'!$G$11*'3.Thanh pham'!L$78</f>
        <v>69595267.857142866</v>
      </c>
      <c r="R40" s="1267">
        <f>'Dinh muc'!$G$11*'3.Thanh pham'!M$78</f>
        <v>69595267.857142866</v>
      </c>
      <c r="S40" s="1267">
        <f>'Dinh muc'!$G$11*'3.Thanh pham'!N$78</f>
        <v>69595267.857142866</v>
      </c>
      <c r="T40" s="1267">
        <f>'Dinh muc'!$G$11*'3.Thanh pham'!O$78</f>
        <v>69595267.857142866</v>
      </c>
      <c r="U40" s="1267">
        <f>'Dinh muc'!$G$11*'3.Thanh pham'!P$78</f>
        <v>69595267.857142866</v>
      </c>
      <c r="V40" s="1267">
        <f>'Dinh muc'!$G$11*'3.Thanh pham'!Q$78</f>
        <v>69595267.857142866</v>
      </c>
      <c r="W40" s="1140">
        <f t="shared" si="49"/>
        <v>791465219.15584445</v>
      </c>
      <c r="X40" s="1136"/>
      <c r="Y40" s="1006">
        <v>98923928</v>
      </c>
      <c r="Z40" s="1006">
        <v>67461103</v>
      </c>
      <c r="AA40" s="1006">
        <v>91144682</v>
      </c>
      <c r="AB40" s="1006">
        <v>96660795</v>
      </c>
      <c r="AC40" s="1006">
        <v>114502251</v>
      </c>
      <c r="AD40" s="1006">
        <v>100877816</v>
      </c>
      <c r="AE40" s="1006">
        <v>138627654</v>
      </c>
      <c r="AF40" s="1006">
        <v>130372904</v>
      </c>
      <c r="AG40" s="1006">
        <v>143640028</v>
      </c>
      <c r="AH40" s="1006">
        <v>108689049.773756</v>
      </c>
      <c r="AI40" s="1006">
        <v>108689049.77375565</v>
      </c>
      <c r="AJ40" s="1006">
        <v>108689049.77375565</v>
      </c>
      <c r="AK40" s="1140">
        <f t="shared" si="48"/>
        <v>1308278310.3212671</v>
      </c>
      <c r="AL40" s="1136"/>
      <c r="AM40" s="392"/>
      <c r="AO40" s="392"/>
      <c r="AQ40" s="1137">
        <f t="shared" si="46"/>
        <v>-516813091.16542268</v>
      </c>
      <c r="AR40" s="1160">
        <f t="shared" si="47"/>
        <v>-0.39503298884356763</v>
      </c>
    </row>
    <row r="41" spans="2:44" ht="15.5" x14ac:dyDescent="0.35">
      <c r="B41" s="1172">
        <v>14</v>
      </c>
      <c r="C41" s="367"/>
      <c r="D41" s="1004">
        <v>6272000100</v>
      </c>
      <c r="E41" s="1176" t="s">
        <v>710</v>
      </c>
      <c r="F41" s="438" t="s">
        <v>711</v>
      </c>
      <c r="G41" s="438" t="s">
        <v>318</v>
      </c>
      <c r="H41" s="1004" t="s">
        <v>401</v>
      </c>
      <c r="I41" s="404" t="s">
        <v>709</v>
      </c>
      <c r="J41" s="824"/>
      <c r="K41" s="1267">
        <f>'Dinh muc'!$G$12*'3.Thanh pham'!F$78</f>
        <v>88733519.269776866</v>
      </c>
      <c r="L41" s="1267">
        <f>'Dinh muc'!$G$12*'3.Thanh pham'!G$78</f>
        <v>69014959.432048678</v>
      </c>
      <c r="M41" s="1267">
        <f>'Dinh muc'!$G$12*'3.Thanh pham'!H$78</f>
        <v>98592799.188640967</v>
      </c>
      <c r="N41" s="1267">
        <f>'Dinh muc'!$G$12*'3.Thanh pham'!I$78</f>
        <v>108452079.10750507</v>
      </c>
      <c r="O41" s="1267">
        <f>'Dinh muc'!$G$12*'3.Thanh pham'!J$78</f>
        <v>108329361.05476673</v>
      </c>
      <c r="P41" s="1267">
        <f>'Dinh muc'!$G$12*'3.Thanh pham'!K$78</f>
        <v>108206643.00202839</v>
      </c>
      <c r="Q41" s="1267">
        <f>'Dinh muc'!$G$12*'3.Thanh pham'!L$78</f>
        <v>108206643.00202839</v>
      </c>
      <c r="R41" s="1267">
        <f>'Dinh muc'!$G$12*'3.Thanh pham'!M$78</f>
        <v>108206643.00202839</v>
      </c>
      <c r="S41" s="1267">
        <f>'Dinh muc'!$G$12*'3.Thanh pham'!N$78</f>
        <v>108206643.00202839</v>
      </c>
      <c r="T41" s="1267">
        <f>'Dinh muc'!$G$12*'3.Thanh pham'!O$78</f>
        <v>108206643.00202839</v>
      </c>
      <c r="U41" s="1267">
        <f>'Dinh muc'!$G$12*'3.Thanh pham'!P$78</f>
        <v>108206643.00202839</v>
      </c>
      <c r="V41" s="1267">
        <f>'Dinh muc'!$G$12*'3.Thanh pham'!Q$78</f>
        <v>108206643.00202839</v>
      </c>
      <c r="W41" s="1138">
        <f t="shared" si="49"/>
        <v>1230569219.066937</v>
      </c>
      <c r="X41" s="1136"/>
      <c r="Y41" s="1006">
        <v>21000000</v>
      </c>
      <c r="Z41" s="1006">
        <v>21000000</v>
      </c>
      <c r="AA41" s="1006">
        <v>21000000</v>
      </c>
      <c r="AB41" s="1006">
        <v>20000000</v>
      </c>
      <c r="AC41" s="1006">
        <v>36666665</v>
      </c>
      <c r="AD41" s="1006">
        <v>35666667</v>
      </c>
      <c r="AE41" s="1006">
        <v>34333332</v>
      </c>
      <c r="AF41" s="1006">
        <v>35333334</v>
      </c>
      <c r="AG41" s="1006">
        <v>88833334</v>
      </c>
      <c r="AH41" s="1006">
        <v>86833334</v>
      </c>
      <c r="AI41" s="1006">
        <v>86833334</v>
      </c>
      <c r="AJ41" s="1006">
        <v>86833334</v>
      </c>
      <c r="AK41" s="1140">
        <f t="shared" si="48"/>
        <v>574333334</v>
      </c>
      <c r="AL41" s="1136"/>
      <c r="AM41" s="392"/>
      <c r="AO41" s="392"/>
      <c r="AQ41" s="1137">
        <f t="shared" si="46"/>
        <v>656235885.06693697</v>
      </c>
      <c r="AR41" s="1160">
        <f t="shared" si="47"/>
        <v>1.1426045576991304</v>
      </c>
    </row>
    <row r="42" spans="2:44" ht="15.5" x14ac:dyDescent="0.35">
      <c r="B42" s="1172">
        <v>15</v>
      </c>
      <c r="C42" s="367"/>
      <c r="D42" s="1004">
        <v>6272000100</v>
      </c>
      <c r="E42" s="1176" t="s">
        <v>710</v>
      </c>
      <c r="F42" s="438" t="s">
        <v>711</v>
      </c>
      <c r="G42" s="438" t="s">
        <v>320</v>
      </c>
      <c r="H42" s="1004" t="s">
        <v>414</v>
      </c>
      <c r="I42" s="404" t="s">
        <v>709</v>
      </c>
      <c r="J42" s="824"/>
      <c r="K42" s="1267">
        <f>'Dinh muc'!$G$13*'3.Thanh pham'!F$78*2</f>
        <v>52878724.137931041</v>
      </c>
      <c r="L42" s="1267">
        <f>'Dinh muc'!$G$13*'3.Thanh pham'!G$78*2</f>
        <v>41127896.551724143</v>
      </c>
      <c r="M42" s="1267">
        <f>'Dinh muc'!$G$13*'3.Thanh pham'!H$78*2</f>
        <v>58754137.93103449</v>
      </c>
      <c r="N42" s="1267">
        <f>'Dinh muc'!$G$13*'3.Thanh pham'!I$78*2</f>
        <v>64629551.72413794</v>
      </c>
      <c r="O42" s="1267">
        <f>'Dinh muc'!$G$13*'3.Thanh pham'!J$78*2</f>
        <v>64556420.689655185</v>
      </c>
      <c r="P42" s="1267">
        <f>'Dinh muc'!$G$13*'3.Thanh pham'!K$78</f>
        <v>32241644.827586211</v>
      </c>
      <c r="Q42" s="1267">
        <f>'Dinh muc'!$G$13*'3.Thanh pham'!L$78</f>
        <v>32241644.827586211</v>
      </c>
      <c r="R42" s="1267">
        <f>'Dinh muc'!$G$13*'3.Thanh pham'!M$78</f>
        <v>32241644.827586211</v>
      </c>
      <c r="S42" s="1267">
        <f>'Dinh muc'!$G$13*'3.Thanh pham'!N$78</f>
        <v>32241644.827586211</v>
      </c>
      <c r="T42" s="1267">
        <f>'Dinh muc'!$G$13*'3.Thanh pham'!O$78</f>
        <v>32241644.827586211</v>
      </c>
      <c r="U42" s="1267">
        <f>'Dinh muc'!$G$13*'3.Thanh pham'!P$78</f>
        <v>32241644.827586211</v>
      </c>
      <c r="V42" s="1267">
        <f>'Dinh muc'!$G$13*'3.Thanh pham'!Q$78</f>
        <v>32241644.827586211</v>
      </c>
      <c r="W42" s="1138">
        <f>SUM(K42:V42)</f>
        <v>507638244.82758647</v>
      </c>
      <c r="X42" s="1148" t="s">
        <v>719</v>
      </c>
      <c r="Y42" s="1006">
        <v>5553424</v>
      </c>
      <c r="Z42" s="1006">
        <v>19665382</v>
      </c>
      <c r="AA42" s="1006">
        <v>31688239</v>
      </c>
      <c r="AB42" s="1006">
        <v>34540799</v>
      </c>
      <c r="AC42" s="1006">
        <v>47063862</v>
      </c>
      <c r="AD42" s="1006">
        <v>64832396</v>
      </c>
      <c r="AE42" s="1006">
        <v>55866735</v>
      </c>
      <c r="AF42" s="1006">
        <v>61722339</v>
      </c>
      <c r="AG42" s="1006">
        <v>55991116</v>
      </c>
      <c r="AH42" s="1006">
        <v>45115384.615384616</v>
      </c>
      <c r="AI42" s="1006">
        <v>45115384.615384616</v>
      </c>
      <c r="AJ42" s="1006">
        <v>45115384.615384616</v>
      </c>
      <c r="AK42" s="1140">
        <f t="shared" ref="AK42:AK47" si="52">SUM(Y42:AJ42)</f>
        <v>512270445.84615391</v>
      </c>
      <c r="AL42" s="1136"/>
      <c r="AM42" s="392">
        <v>207889157</v>
      </c>
      <c r="AO42" s="392"/>
      <c r="AQ42" s="1137">
        <f t="shared" si="46"/>
        <v>-4632201.0185674429</v>
      </c>
      <c r="AR42" s="1160">
        <f t="shared" si="47"/>
        <v>-9.0424912390096868E-3</v>
      </c>
    </row>
    <row r="43" spans="2:44" ht="15.5" x14ac:dyDescent="0.35">
      <c r="B43" s="367">
        <v>16</v>
      </c>
      <c r="C43" s="367"/>
      <c r="D43" s="1004">
        <v>6272000100</v>
      </c>
      <c r="E43" s="438" t="s">
        <v>710</v>
      </c>
      <c r="F43" s="438" t="s">
        <v>711</v>
      </c>
      <c r="G43" s="438" t="s">
        <v>321</v>
      </c>
      <c r="H43" s="1004" t="s">
        <v>414</v>
      </c>
      <c r="I43" s="404" t="s">
        <v>709</v>
      </c>
      <c r="J43" s="824"/>
      <c r="K43" s="1139">
        <v>0</v>
      </c>
      <c r="L43" s="1139">
        <v>0</v>
      </c>
      <c r="M43" s="1139">
        <v>0</v>
      </c>
      <c r="N43" s="1139">
        <v>0</v>
      </c>
      <c r="O43" s="1139">
        <v>0</v>
      </c>
      <c r="P43" s="1139">
        <v>0</v>
      </c>
      <c r="Q43" s="1139">
        <v>0</v>
      </c>
      <c r="R43" s="1139">
        <v>0</v>
      </c>
      <c r="S43" s="1139">
        <v>0</v>
      </c>
      <c r="T43" s="1139">
        <v>0</v>
      </c>
      <c r="U43" s="1139">
        <v>0</v>
      </c>
      <c r="V43" s="1139">
        <v>0</v>
      </c>
      <c r="W43" s="1138">
        <f t="shared" ref="W43:W47" si="53">SUM(K43:V43)</f>
        <v>0</v>
      </c>
      <c r="X43" s="1136"/>
      <c r="Y43" s="1006"/>
      <c r="Z43" s="1006"/>
      <c r="AA43" s="1006"/>
      <c r="AB43" s="1006"/>
      <c r="AC43" s="1006"/>
      <c r="AD43" s="1006"/>
      <c r="AE43" s="1006"/>
      <c r="AF43" s="1006"/>
      <c r="AG43" s="1006"/>
      <c r="AH43" s="1006"/>
      <c r="AI43" s="1006"/>
      <c r="AJ43" s="1006"/>
      <c r="AK43" s="1140">
        <f t="shared" si="52"/>
        <v>0</v>
      </c>
      <c r="AL43" s="1136"/>
      <c r="AM43" s="392">
        <v>11426245</v>
      </c>
      <c r="AO43" s="392"/>
      <c r="AQ43" s="1137">
        <f t="shared" si="46"/>
        <v>0</v>
      </c>
      <c r="AR43" s="1160">
        <f t="shared" si="47"/>
        <v>0</v>
      </c>
    </row>
    <row r="44" spans="2:44" ht="15.5" x14ac:dyDescent="0.35">
      <c r="B44" s="367">
        <v>17</v>
      </c>
      <c r="C44" s="367"/>
      <c r="D44" s="1004">
        <v>6272000100</v>
      </c>
      <c r="E44" s="438" t="s">
        <v>710</v>
      </c>
      <c r="F44" s="438" t="s">
        <v>711</v>
      </c>
      <c r="G44" s="438" t="s">
        <v>322</v>
      </c>
      <c r="H44" s="1004" t="s">
        <v>414</v>
      </c>
      <c r="I44" s="404" t="s">
        <v>709</v>
      </c>
      <c r="J44" s="824"/>
      <c r="K44" s="1139">
        <v>0</v>
      </c>
      <c r="L44" s="1139">
        <v>0</v>
      </c>
      <c r="M44" s="1139">
        <v>0</v>
      </c>
      <c r="N44" s="1139">
        <v>0</v>
      </c>
      <c r="O44" s="1139">
        <v>0</v>
      </c>
      <c r="P44" s="1139">
        <v>0</v>
      </c>
      <c r="Q44" s="1139">
        <v>0</v>
      </c>
      <c r="R44" s="1139">
        <v>0</v>
      </c>
      <c r="S44" s="1139">
        <v>0</v>
      </c>
      <c r="T44" s="1139">
        <v>0</v>
      </c>
      <c r="U44" s="1139">
        <v>0</v>
      </c>
      <c r="V44" s="1139">
        <v>0</v>
      </c>
      <c r="W44" s="1138">
        <f t="shared" si="53"/>
        <v>0</v>
      </c>
      <c r="X44" s="1136"/>
      <c r="Y44" s="1006"/>
      <c r="Z44" s="1006"/>
      <c r="AA44" s="1006"/>
      <c r="AB44" s="1006"/>
      <c r="AC44" s="1006"/>
      <c r="AD44" s="1006"/>
      <c r="AE44" s="1006"/>
      <c r="AF44" s="1006"/>
      <c r="AG44" s="1006"/>
      <c r="AH44" s="1006"/>
      <c r="AI44" s="1006"/>
      <c r="AJ44" s="1006"/>
      <c r="AK44" s="1140">
        <f t="shared" si="52"/>
        <v>0</v>
      </c>
      <c r="AL44" s="1136"/>
      <c r="AM44" s="392">
        <v>31148826</v>
      </c>
      <c r="AO44" s="392"/>
      <c r="AQ44" s="1137">
        <f t="shared" si="46"/>
        <v>0</v>
      </c>
      <c r="AR44" s="1160">
        <f t="shared" si="47"/>
        <v>0</v>
      </c>
    </row>
    <row r="45" spans="2:44" ht="15.5" x14ac:dyDescent="0.35">
      <c r="B45" s="1172">
        <v>18</v>
      </c>
      <c r="C45" s="367"/>
      <c r="D45" s="1004">
        <v>6272000100</v>
      </c>
      <c r="E45" s="1176" t="s">
        <v>710</v>
      </c>
      <c r="F45" s="438" t="s">
        <v>711</v>
      </c>
      <c r="G45" s="438" t="s">
        <v>720</v>
      </c>
      <c r="H45" s="1004" t="s">
        <v>414</v>
      </c>
      <c r="I45" s="404" t="s">
        <v>709</v>
      </c>
      <c r="J45" s="824"/>
      <c r="K45" s="1267">
        <f>'Dinh muc'!$G$16*'3.Thanh pham'!F$78</f>
        <v>17827370.689655174</v>
      </c>
      <c r="L45" s="1267">
        <f>'Dinh muc'!$G$16*'3.Thanh pham'!G$78</f>
        <v>13865732.758620691</v>
      </c>
      <c r="M45" s="1267">
        <f>'Dinh muc'!$G$16*'3.Thanh pham'!H$78</f>
        <v>19808189.655172415</v>
      </c>
      <c r="N45" s="1267">
        <f>'Dinh muc'!$G$16*'3.Thanh pham'!I$78</f>
        <v>21789008.620689657</v>
      </c>
      <c r="O45" s="1267">
        <f>'Dinh muc'!$G$16*'3.Thanh pham'!J$78</f>
        <v>21764353.448275864</v>
      </c>
      <c r="P45" s="1267">
        <f>'Dinh muc'!$G$16*'3.Thanh pham'!K$78</f>
        <v>21739698.275862072</v>
      </c>
      <c r="Q45" s="1267">
        <f>'Dinh muc'!$G$16*'3.Thanh pham'!L$78</f>
        <v>21739698.275862072</v>
      </c>
      <c r="R45" s="1267">
        <f>'Dinh muc'!$G$16*'3.Thanh pham'!M$78</f>
        <v>21739698.275862072</v>
      </c>
      <c r="S45" s="1267">
        <f>'Dinh muc'!$G$16*'3.Thanh pham'!N$78</f>
        <v>21739698.275862072</v>
      </c>
      <c r="T45" s="1267">
        <f>'Dinh muc'!$G$16*'3.Thanh pham'!O$78</f>
        <v>21739698.275862072</v>
      </c>
      <c r="U45" s="1267">
        <f>'Dinh muc'!$G$16*'3.Thanh pham'!P$78</f>
        <v>21739698.275862072</v>
      </c>
      <c r="V45" s="1267">
        <f>'Dinh muc'!$G$16*'3.Thanh pham'!Q$78</f>
        <v>21739698.275862072</v>
      </c>
      <c r="W45" s="1138">
        <f t="shared" si="53"/>
        <v>247232543.10344827</v>
      </c>
      <c r="X45" s="1136"/>
      <c r="Y45" s="1006"/>
      <c r="Z45" s="1006"/>
      <c r="AA45" s="1006"/>
      <c r="AB45" s="1006"/>
      <c r="AC45" s="1006"/>
      <c r="AD45" s="1006"/>
      <c r="AE45" s="1006"/>
      <c r="AF45" s="1006"/>
      <c r="AG45" s="1006"/>
      <c r="AH45" s="1006"/>
      <c r="AI45" s="1006"/>
      <c r="AJ45" s="1006"/>
      <c r="AK45" s="1140">
        <f t="shared" si="52"/>
        <v>0</v>
      </c>
      <c r="AL45" s="1136"/>
      <c r="AM45" s="392"/>
      <c r="AO45" s="392"/>
      <c r="AQ45" s="1137">
        <f t="shared" si="46"/>
        <v>247232543.10344827</v>
      </c>
      <c r="AR45" s="1160">
        <f t="shared" si="47"/>
        <v>0</v>
      </c>
    </row>
    <row r="46" spans="2:44" ht="15.5" x14ac:dyDescent="0.35">
      <c r="B46" s="1172">
        <v>19</v>
      </c>
      <c r="C46" s="367"/>
      <c r="D46" s="1004">
        <v>6272002101</v>
      </c>
      <c r="E46" s="1176" t="s">
        <v>714</v>
      </c>
      <c r="F46" s="438" t="s">
        <v>711</v>
      </c>
      <c r="G46" s="438" t="s">
        <v>714</v>
      </c>
      <c r="H46" s="1004"/>
      <c r="I46" s="404"/>
      <c r="J46" s="824"/>
      <c r="K46" s="1139">
        <v>10025500</v>
      </c>
      <c r="L46" s="1139">
        <v>7116500</v>
      </c>
      <c r="M46" s="1139">
        <v>7001500</v>
      </c>
      <c r="N46" s="1139">
        <v>8541500</v>
      </c>
      <c r="O46" s="1139">
        <v>7241500</v>
      </c>
      <c r="P46" s="1139">
        <v>6899833</v>
      </c>
      <c r="Q46" s="1139">
        <v>6276500</v>
      </c>
      <c r="R46" s="1139">
        <v>6391500</v>
      </c>
      <c r="S46" s="1139">
        <v>6126500</v>
      </c>
      <c r="T46" s="1139">
        <v>7666500</v>
      </c>
      <c r="U46" s="1139">
        <v>6126500</v>
      </c>
      <c r="V46" s="1139">
        <v>6241500</v>
      </c>
      <c r="W46" s="1138">
        <f t="shared" si="53"/>
        <v>85655333</v>
      </c>
      <c r="X46" s="1136"/>
      <c r="Y46" s="1006">
        <v>7475000</v>
      </c>
      <c r="Z46" s="1006">
        <v>6271152</v>
      </c>
      <c r="AA46" s="1006">
        <v>20230360</v>
      </c>
      <c r="AB46" s="1006">
        <v>12901540</v>
      </c>
      <c r="AC46" s="1006">
        <v>8793026</v>
      </c>
      <c r="AD46" s="1006">
        <v>3158330</v>
      </c>
      <c r="AE46" s="1006">
        <v>15441114</v>
      </c>
      <c r="AF46" s="1006">
        <v>18265547</v>
      </c>
      <c r="AG46" s="1006">
        <v>9845887</v>
      </c>
      <c r="AH46" s="1006">
        <v>9845887</v>
      </c>
      <c r="AI46" s="1006">
        <v>9845887</v>
      </c>
      <c r="AJ46" s="1006">
        <v>9845887</v>
      </c>
      <c r="AK46" s="1140">
        <f t="shared" si="52"/>
        <v>131919617</v>
      </c>
      <c r="AL46" s="1136"/>
      <c r="AM46" s="1005"/>
      <c r="AO46" s="1005"/>
      <c r="AQ46" s="1137">
        <f t="shared" ref="AQ46" si="54">IFERROR(W46-AK46,0)</f>
        <v>-46264284</v>
      </c>
      <c r="AR46" s="1160">
        <f t="shared" ref="AR46" si="55">IFERROR((W46/AK46)-1,0)</f>
        <v>-0.35070056335897337</v>
      </c>
    </row>
    <row r="47" spans="2:44" ht="28" x14ac:dyDescent="0.35">
      <c r="B47" s="1172">
        <v>20</v>
      </c>
      <c r="C47" s="367"/>
      <c r="D47" s="1004">
        <v>6272003502</v>
      </c>
      <c r="E47" s="1197" t="s">
        <v>715</v>
      </c>
      <c r="F47" s="438" t="s">
        <v>716</v>
      </c>
      <c r="G47" s="438" t="s">
        <v>717</v>
      </c>
      <c r="H47" s="1004" t="s">
        <v>454</v>
      </c>
      <c r="I47" s="404" t="s">
        <v>709</v>
      </c>
      <c r="J47" s="824"/>
      <c r="K47" s="1267">
        <f>'Dinh muc'!$G$17*'3.Thanh pham'!F$78</f>
        <v>27657357.954545457</v>
      </c>
      <c r="L47" s="1267">
        <f>'Dinh muc'!$G$17*'3.Thanh pham'!G$78</f>
        <v>21511278.40909091</v>
      </c>
      <c r="M47" s="1267">
        <f>'Dinh muc'!$G$17*'3.Thanh pham'!H$78</f>
        <v>30730397.727272727</v>
      </c>
      <c r="N47" s="1267">
        <f>'Dinh muc'!$G$17*'3.Thanh pham'!I$78</f>
        <v>33803437.5</v>
      </c>
      <c r="O47" s="1267">
        <f>'Dinh muc'!$G$17*'3.Thanh pham'!J$78</f>
        <v>33765187.5</v>
      </c>
      <c r="P47" s="1267">
        <f>'Dinh muc'!$G$17*'3.Thanh pham'!K$78</f>
        <v>33726937.5</v>
      </c>
      <c r="Q47" s="1267">
        <f>'Dinh muc'!$G$17*'3.Thanh pham'!L$78</f>
        <v>33726937.5</v>
      </c>
      <c r="R47" s="1267">
        <f>'Dinh muc'!$G$17*'3.Thanh pham'!M$78</f>
        <v>33726937.5</v>
      </c>
      <c r="S47" s="1267">
        <f>'Dinh muc'!$G$17*'3.Thanh pham'!N$78</f>
        <v>33726937.5</v>
      </c>
      <c r="T47" s="1267">
        <f>'Dinh muc'!$G$17*'3.Thanh pham'!O$78</f>
        <v>33726937.5</v>
      </c>
      <c r="U47" s="1267">
        <f>'Dinh muc'!$G$17*'3.Thanh pham'!P$78</f>
        <v>33726937.5</v>
      </c>
      <c r="V47" s="1267">
        <f>'Dinh muc'!$G$17*'3.Thanh pham'!Q$78</f>
        <v>33726937.5</v>
      </c>
      <c r="W47" s="1138">
        <f t="shared" si="53"/>
        <v>383556221.59090912</v>
      </c>
      <c r="X47" s="1136"/>
      <c r="Y47" s="366">
        <v>12972174</v>
      </c>
      <c r="Z47" s="366">
        <v>17563791</v>
      </c>
      <c r="AA47" s="366">
        <v>25635113</v>
      </c>
      <c r="AB47" s="366">
        <v>22914757</v>
      </c>
      <c r="AC47" s="366">
        <v>25886763</v>
      </c>
      <c r="AD47" s="366">
        <v>34583522</v>
      </c>
      <c r="AE47" s="366">
        <v>34295225</v>
      </c>
      <c r="AF47" s="366">
        <v>30719351</v>
      </c>
      <c r="AG47" s="366">
        <v>29161067</v>
      </c>
      <c r="AH47" s="366">
        <v>29161067</v>
      </c>
      <c r="AI47" s="366">
        <v>29161067</v>
      </c>
      <c r="AJ47" s="366">
        <v>29161067</v>
      </c>
      <c r="AK47" s="1138">
        <f t="shared" si="52"/>
        <v>321214964</v>
      </c>
      <c r="AL47" s="1136"/>
      <c r="AM47" s="392"/>
      <c r="AO47" s="392"/>
      <c r="AQ47" s="1137">
        <f t="shared" si="46"/>
        <v>62341257.590909123</v>
      </c>
      <c r="AR47" s="1160">
        <f t="shared" si="47"/>
        <v>0.19407955599138615</v>
      </c>
    </row>
    <row r="48" spans="2:44" ht="15.5" x14ac:dyDescent="0.35">
      <c r="B48" s="1177"/>
      <c r="C48" s="372"/>
      <c r="D48" s="373"/>
      <c r="E48" s="1179"/>
      <c r="F48" s="374"/>
      <c r="G48" s="374"/>
      <c r="H48" s="373"/>
      <c r="I48" s="405"/>
      <c r="J48" s="376"/>
      <c r="K48" s="1145"/>
      <c r="L48" s="1145"/>
      <c r="M48" s="1145"/>
      <c r="N48" s="1145"/>
      <c r="O48" s="1145"/>
      <c r="P48" s="1145"/>
      <c r="Q48" s="1145"/>
      <c r="R48" s="1145"/>
      <c r="S48" s="1145"/>
      <c r="T48" s="1145"/>
      <c r="U48" s="1145"/>
      <c r="V48" s="1145"/>
      <c r="W48" s="1146"/>
      <c r="X48" s="1136"/>
      <c r="Y48" s="366"/>
      <c r="Z48" s="366"/>
      <c r="AA48" s="366"/>
      <c r="AB48" s="366"/>
      <c r="AC48" s="366"/>
      <c r="AD48" s="366"/>
      <c r="AE48" s="366"/>
      <c r="AF48" s="366"/>
      <c r="AG48" s="366"/>
      <c r="AH48" s="366"/>
      <c r="AI48" s="366"/>
      <c r="AJ48" s="366"/>
      <c r="AK48" s="1138"/>
      <c r="AL48" s="1136"/>
      <c r="AM48" s="393"/>
      <c r="AO48" s="393"/>
      <c r="AQ48" s="1145">
        <f t="shared" si="46"/>
        <v>0</v>
      </c>
      <c r="AR48" s="1162">
        <f t="shared" si="47"/>
        <v>0</v>
      </c>
    </row>
    <row r="49" spans="2:44" ht="15.5" x14ac:dyDescent="0.35">
      <c r="B49" s="1178" t="s">
        <v>166</v>
      </c>
      <c r="C49" s="264"/>
      <c r="D49" s="267"/>
      <c r="E49" s="1180" t="s">
        <v>721</v>
      </c>
      <c r="F49" s="269"/>
      <c r="G49" s="268"/>
      <c r="H49" s="268"/>
      <c r="I49" s="406"/>
      <c r="J49" s="361">
        <f t="shared" ref="J49:W49" si="56">SUM(J50:J70)</f>
        <v>0</v>
      </c>
      <c r="K49" s="1147">
        <f t="shared" si="56"/>
        <v>294917519.97152841</v>
      </c>
      <c r="L49" s="1147">
        <f t="shared" si="56"/>
        <v>247474024.95104894</v>
      </c>
      <c r="M49" s="1147">
        <f t="shared" si="56"/>
        <v>311503993.46253747</v>
      </c>
      <c r="N49" s="1147">
        <f t="shared" si="56"/>
        <v>341313003.18431574</v>
      </c>
      <c r="O49" s="1147">
        <f t="shared" si="56"/>
        <v>335424526.1328671</v>
      </c>
      <c r="P49" s="1147">
        <f t="shared" si="56"/>
        <v>342152874.61288714</v>
      </c>
      <c r="Q49" s="1147">
        <f t="shared" si="56"/>
        <v>339467468.8051948</v>
      </c>
      <c r="R49" s="1147">
        <f t="shared" si="56"/>
        <v>339467468.8051948</v>
      </c>
      <c r="S49" s="1147">
        <f t="shared" si="56"/>
        <v>341127804.63386613</v>
      </c>
      <c r="T49" s="1147">
        <f t="shared" si="56"/>
        <v>336782062.99750251</v>
      </c>
      <c r="U49" s="1147">
        <f t="shared" si="56"/>
        <v>342152874.61288714</v>
      </c>
      <c r="V49" s="1147">
        <f t="shared" si="56"/>
        <v>339467468.8051948</v>
      </c>
      <c r="W49" s="1147">
        <f t="shared" si="56"/>
        <v>3911251090.9750257</v>
      </c>
      <c r="X49" s="1133"/>
      <c r="Y49" s="185">
        <f t="shared" ref="Y49:AK49" si="57">SUM(Y50:Y70)</f>
        <v>60245879</v>
      </c>
      <c r="Z49" s="185">
        <f t="shared" si="57"/>
        <v>68151267</v>
      </c>
      <c r="AA49" s="185">
        <f t="shared" si="57"/>
        <v>80535266</v>
      </c>
      <c r="AB49" s="185">
        <f t="shared" si="57"/>
        <v>48684981</v>
      </c>
      <c r="AC49" s="185">
        <f t="shared" si="57"/>
        <v>11211267</v>
      </c>
      <c r="AD49" s="185">
        <f t="shared" si="57"/>
        <v>22978697</v>
      </c>
      <c r="AE49" s="185">
        <f t="shared" si="57"/>
        <v>72209532</v>
      </c>
      <c r="AF49" s="185">
        <f t="shared" si="57"/>
        <v>45969072</v>
      </c>
      <c r="AG49" s="185">
        <f t="shared" si="57"/>
        <v>76869108</v>
      </c>
      <c r="AH49" s="185">
        <f t="shared" si="57"/>
        <v>66803418</v>
      </c>
      <c r="AI49" s="185">
        <f t="shared" si="57"/>
        <v>66803418</v>
      </c>
      <c r="AJ49" s="185">
        <f t="shared" si="57"/>
        <v>66803418</v>
      </c>
      <c r="AK49" s="1147">
        <f t="shared" si="57"/>
        <v>687265323</v>
      </c>
      <c r="AL49" s="1133"/>
      <c r="AM49" s="185">
        <f>SUM(AM50:AM70)</f>
        <v>204060552</v>
      </c>
      <c r="AO49" s="185">
        <f>SUM(AO50:AO70)</f>
        <v>0</v>
      </c>
      <c r="AQ49" s="1147">
        <f t="shared" si="46"/>
        <v>3223985767.9750257</v>
      </c>
      <c r="AR49" s="1159">
        <f t="shared" si="47"/>
        <v>4.691035121489791</v>
      </c>
    </row>
    <row r="50" spans="2:44" ht="15.5" x14ac:dyDescent="0.35">
      <c r="B50" s="1171">
        <v>1</v>
      </c>
      <c r="C50" s="362"/>
      <c r="D50" s="363">
        <v>6220002601</v>
      </c>
      <c r="E50" s="1174" t="s">
        <v>504</v>
      </c>
      <c r="F50" s="364" t="s">
        <v>489</v>
      </c>
      <c r="G50" s="364" t="s">
        <v>504</v>
      </c>
      <c r="H50" s="363" t="s">
        <v>359</v>
      </c>
      <c r="I50" s="403" t="s">
        <v>701</v>
      </c>
      <c r="J50" s="366"/>
      <c r="K50" s="1134">
        <f>LUONG!F188</f>
        <v>40894636.636363633</v>
      </c>
      <c r="L50" s="1134">
        <f>LUONG!G188</f>
        <v>42467507.454545453</v>
      </c>
      <c r="M50" s="1134">
        <f>LUONG!H188</f>
        <v>37748895</v>
      </c>
      <c r="N50" s="1134">
        <f>LUONG!I188</f>
        <v>42467507.454545453</v>
      </c>
      <c r="O50" s="1134">
        <f>LUONG!J188</f>
        <v>39321765.81818182</v>
      </c>
      <c r="P50" s="1134">
        <f>LUONG!K188</f>
        <v>42467507.454545453</v>
      </c>
      <c r="Q50" s="1134">
        <f>LUONG!L188</f>
        <v>40894636.636363633</v>
      </c>
      <c r="R50" s="1134">
        <f>LUONG!M188</f>
        <v>40894636.636363633</v>
      </c>
      <c r="S50" s="1134">
        <f>LUONG!N188</f>
        <v>42467507.454545453</v>
      </c>
      <c r="T50" s="1134">
        <f>LUONG!O188</f>
        <v>39321765.81818182</v>
      </c>
      <c r="U50" s="1134">
        <f>LUONG!P188</f>
        <v>42467507.454545453</v>
      </c>
      <c r="V50" s="1134">
        <f>LUONG!Q188</f>
        <v>40894636.636363633</v>
      </c>
      <c r="W50" s="1135">
        <f>LUONG!R188</f>
        <v>492308510.45454538</v>
      </c>
      <c r="X50" s="1136"/>
      <c r="Y50" s="366"/>
      <c r="Z50" s="366"/>
      <c r="AA50" s="366"/>
      <c r="AB50" s="366"/>
      <c r="AC50" s="366"/>
      <c r="AD50" s="366"/>
      <c r="AE50" s="366"/>
      <c r="AF50" s="366"/>
      <c r="AG50" s="366"/>
      <c r="AH50" s="366"/>
      <c r="AI50" s="366"/>
      <c r="AJ50" s="366"/>
      <c r="AK50" s="1138">
        <f t="shared" si="48"/>
        <v>0</v>
      </c>
      <c r="AL50" s="1136"/>
      <c r="AM50" s="391"/>
      <c r="AO50" s="391"/>
      <c r="AQ50" s="1134">
        <f t="shared" si="46"/>
        <v>492308510.45454538</v>
      </c>
      <c r="AR50" s="1142">
        <f t="shared" si="47"/>
        <v>0</v>
      </c>
    </row>
    <row r="51" spans="2:44" ht="15.5" x14ac:dyDescent="0.35">
      <c r="B51" s="1172">
        <v>2</v>
      </c>
      <c r="C51" s="367"/>
      <c r="D51" s="368">
        <v>6220002602</v>
      </c>
      <c r="E51" s="1175" t="s">
        <v>505</v>
      </c>
      <c r="F51" s="369" t="s">
        <v>489</v>
      </c>
      <c r="G51" s="369" t="s">
        <v>505</v>
      </c>
      <c r="H51" s="368" t="s">
        <v>359</v>
      </c>
      <c r="I51" s="404" t="s">
        <v>701</v>
      </c>
      <c r="J51" s="371"/>
      <c r="K51" s="1137">
        <f>LUONG!F189</f>
        <v>3237492.8181818184</v>
      </c>
      <c r="L51" s="1137">
        <f>LUONG!G189</f>
        <v>3237492.8181818184</v>
      </c>
      <c r="M51" s="1137">
        <f>LUONG!H189</f>
        <v>3237492.8181818184</v>
      </c>
      <c r="N51" s="1137">
        <f>LUONG!I189</f>
        <v>3237492.8181818184</v>
      </c>
      <c r="O51" s="1137">
        <f>LUONG!J189</f>
        <v>3237492.8181818184</v>
      </c>
      <c r="P51" s="1137">
        <f>LUONG!K189</f>
        <v>3237492.8181818184</v>
      </c>
      <c r="Q51" s="1137">
        <f>LUONG!L189</f>
        <v>3237492.8181818184</v>
      </c>
      <c r="R51" s="1137">
        <f>LUONG!M189</f>
        <v>3237492.8181818184</v>
      </c>
      <c r="S51" s="1137">
        <f>LUONG!N189</f>
        <v>3237492.8181818184</v>
      </c>
      <c r="T51" s="1137">
        <f>LUONG!O189</f>
        <v>3237492.8181818184</v>
      </c>
      <c r="U51" s="1137">
        <f>LUONG!P189</f>
        <v>3237492.8181818184</v>
      </c>
      <c r="V51" s="1137">
        <f>LUONG!Q189</f>
        <v>3237492.8181818184</v>
      </c>
      <c r="W51" s="1138">
        <f>LUONG!R189</f>
        <v>38849913.818181828</v>
      </c>
      <c r="X51" s="1136"/>
      <c r="Y51" s="371"/>
      <c r="Z51" s="371"/>
      <c r="AA51" s="371"/>
      <c r="AB51" s="371"/>
      <c r="AC51" s="371"/>
      <c r="AD51" s="371"/>
      <c r="AE51" s="371"/>
      <c r="AF51" s="371"/>
      <c r="AG51" s="371"/>
      <c r="AH51" s="371"/>
      <c r="AI51" s="371"/>
      <c r="AJ51" s="371"/>
      <c r="AK51" s="1138">
        <f t="shared" si="48"/>
        <v>0</v>
      </c>
      <c r="AL51" s="1136"/>
      <c r="AM51" s="392"/>
      <c r="AO51" s="392"/>
      <c r="AQ51" s="1137">
        <f t="shared" si="46"/>
        <v>38849913.818181828</v>
      </c>
      <c r="AR51" s="1160">
        <f t="shared" si="47"/>
        <v>0</v>
      </c>
    </row>
    <row r="52" spans="2:44" ht="15.5" x14ac:dyDescent="0.35">
      <c r="B52" s="1172">
        <v>3</v>
      </c>
      <c r="C52" s="367"/>
      <c r="D52" s="368">
        <v>6220002802</v>
      </c>
      <c r="E52" s="1175" t="s">
        <v>506</v>
      </c>
      <c r="F52" s="369" t="s">
        <v>493</v>
      </c>
      <c r="G52" s="369" t="s">
        <v>506</v>
      </c>
      <c r="H52" s="368" t="s">
        <v>359</v>
      </c>
      <c r="I52" s="404" t="s">
        <v>701</v>
      </c>
      <c r="J52" s="371"/>
      <c r="K52" s="1137">
        <f>LUONG!F190</f>
        <v>9360000</v>
      </c>
      <c r="L52" s="1137">
        <f>LUONG!G190</f>
        <v>8160000</v>
      </c>
      <c r="M52" s="1137">
        <f>LUONG!H190</f>
        <v>8160000</v>
      </c>
      <c r="N52" s="1137">
        <f>LUONG!I190</f>
        <v>8160000</v>
      </c>
      <c r="O52" s="1137">
        <f>LUONG!J190</f>
        <v>10560000</v>
      </c>
      <c r="P52" s="1137">
        <f>LUONG!K190</f>
        <v>8160000</v>
      </c>
      <c r="Q52" s="1137">
        <f>LUONG!L190</f>
        <v>8160000</v>
      </c>
      <c r="R52" s="1137">
        <f>LUONG!M190</f>
        <v>8160000</v>
      </c>
      <c r="S52" s="1137">
        <f>LUONG!N190</f>
        <v>9360000</v>
      </c>
      <c r="T52" s="1137">
        <f>LUONG!O190</f>
        <v>8160000</v>
      </c>
      <c r="U52" s="1137">
        <f>LUONG!P190</f>
        <v>8160000</v>
      </c>
      <c r="V52" s="1137">
        <f>LUONG!Q190</f>
        <v>8160000</v>
      </c>
      <c r="W52" s="1138">
        <f>LUONG!R190</f>
        <v>102720000</v>
      </c>
      <c r="X52" s="1136"/>
      <c r="Y52" s="371"/>
      <c r="Z52" s="371"/>
      <c r="AA52" s="371"/>
      <c r="AB52" s="371"/>
      <c r="AC52" s="371"/>
      <c r="AD52" s="371"/>
      <c r="AE52" s="371"/>
      <c r="AF52" s="371"/>
      <c r="AG52" s="371"/>
      <c r="AH52" s="371"/>
      <c r="AI52" s="371"/>
      <c r="AJ52" s="371"/>
      <c r="AK52" s="1138">
        <f t="shared" si="48"/>
        <v>0</v>
      </c>
      <c r="AL52" s="1136"/>
      <c r="AM52" s="392"/>
      <c r="AO52" s="392"/>
      <c r="AQ52" s="1137">
        <f t="shared" si="46"/>
        <v>102720000</v>
      </c>
      <c r="AR52" s="1160">
        <f t="shared" si="47"/>
        <v>0</v>
      </c>
    </row>
    <row r="53" spans="2:44" ht="15.5" x14ac:dyDescent="0.35">
      <c r="B53" s="367">
        <v>4</v>
      </c>
      <c r="C53" s="367"/>
      <c r="D53" s="368">
        <v>6220002806</v>
      </c>
      <c r="E53" s="369" t="s">
        <v>507</v>
      </c>
      <c r="F53" s="369" t="s">
        <v>489</v>
      </c>
      <c r="G53" s="369" t="s">
        <v>507</v>
      </c>
      <c r="H53" s="368" t="s">
        <v>359</v>
      </c>
      <c r="I53" s="404" t="s">
        <v>701</v>
      </c>
      <c r="J53" s="371"/>
      <c r="K53" s="1137">
        <f>LUONG!F191</f>
        <v>374868.81818181818</v>
      </c>
      <c r="L53" s="1137">
        <f>LUONG!G191</f>
        <v>374868.81818181818</v>
      </c>
      <c r="M53" s="1137">
        <f>LUONG!H191</f>
        <v>374868.81818181818</v>
      </c>
      <c r="N53" s="1137">
        <f>LUONG!I191</f>
        <v>374868.81818181818</v>
      </c>
      <c r="O53" s="1137">
        <f>LUONG!J191</f>
        <v>374868.81818181818</v>
      </c>
      <c r="P53" s="1137">
        <f>LUONG!K191</f>
        <v>374868.81818181818</v>
      </c>
      <c r="Q53" s="1137">
        <f>LUONG!L191</f>
        <v>374868.81818181818</v>
      </c>
      <c r="R53" s="1137">
        <f>LUONG!M191</f>
        <v>374868.81818181818</v>
      </c>
      <c r="S53" s="1137">
        <f>LUONG!N191</f>
        <v>374868.81818181818</v>
      </c>
      <c r="T53" s="1137">
        <f>LUONG!O191</f>
        <v>374868.81818181818</v>
      </c>
      <c r="U53" s="1137">
        <f>LUONG!P191</f>
        <v>374868.81818181818</v>
      </c>
      <c r="V53" s="1137">
        <f>LUONG!Q191</f>
        <v>374868.81818181818</v>
      </c>
      <c r="W53" s="1138">
        <f>LUONG!R191</f>
        <v>4498425.8181818193</v>
      </c>
      <c r="X53" s="1136"/>
      <c r="Y53" s="371"/>
      <c r="Z53" s="371"/>
      <c r="AA53" s="371"/>
      <c r="AB53" s="371"/>
      <c r="AC53" s="371"/>
      <c r="AD53" s="371"/>
      <c r="AE53" s="371"/>
      <c r="AF53" s="371"/>
      <c r="AG53" s="371"/>
      <c r="AH53" s="371"/>
      <c r="AI53" s="371"/>
      <c r="AJ53" s="371"/>
      <c r="AK53" s="1138">
        <f t="shared" si="48"/>
        <v>0</v>
      </c>
      <c r="AL53" s="1136"/>
      <c r="AM53" s="392"/>
      <c r="AO53" s="392"/>
      <c r="AQ53" s="1137">
        <f t="shared" si="46"/>
        <v>4498425.8181818193</v>
      </c>
      <c r="AR53" s="1160">
        <f t="shared" si="47"/>
        <v>0</v>
      </c>
    </row>
    <row r="54" spans="2:44" ht="15.5" x14ac:dyDescent="0.35">
      <c r="B54" s="1172">
        <v>5</v>
      </c>
      <c r="C54" s="367"/>
      <c r="D54" s="368">
        <v>6220007202</v>
      </c>
      <c r="E54" s="1175" t="s">
        <v>495</v>
      </c>
      <c r="F54" s="369" t="s">
        <v>493</v>
      </c>
      <c r="G54" s="369" t="s">
        <v>495</v>
      </c>
      <c r="H54" s="368" t="s">
        <v>359</v>
      </c>
      <c r="I54" s="404" t="s">
        <v>701</v>
      </c>
      <c r="J54" s="371"/>
      <c r="K54" s="1137">
        <f>LUONG!F192</f>
        <v>520913.72727272729</v>
      </c>
      <c r="L54" s="1137">
        <f>LUONG!G192</f>
        <v>520913.72727272729</v>
      </c>
      <c r="M54" s="1137">
        <f>LUONG!H192</f>
        <v>520913.72727272729</v>
      </c>
      <c r="N54" s="1137">
        <f>LUONG!I192</f>
        <v>520913.72727272729</v>
      </c>
      <c r="O54" s="1137">
        <f>LUONG!J192</f>
        <v>520913.72727272729</v>
      </c>
      <c r="P54" s="1137">
        <f>LUONG!K192</f>
        <v>520913.72727272729</v>
      </c>
      <c r="Q54" s="1137">
        <f>LUONG!L192</f>
        <v>520913.72727272729</v>
      </c>
      <c r="R54" s="1137">
        <f>LUONG!M192</f>
        <v>520913.72727272729</v>
      </c>
      <c r="S54" s="1137">
        <f>LUONG!N192</f>
        <v>520913.72727272729</v>
      </c>
      <c r="T54" s="1137">
        <f>LUONG!O192</f>
        <v>520913.72727272729</v>
      </c>
      <c r="U54" s="1137">
        <f>LUONG!P192</f>
        <v>520913.72727272729</v>
      </c>
      <c r="V54" s="1137">
        <f>LUONG!Q192</f>
        <v>520913.72727272729</v>
      </c>
      <c r="W54" s="1138">
        <f>LUONG!R192</f>
        <v>6250964.7272727294</v>
      </c>
      <c r="X54" s="1136"/>
      <c r="Y54" s="371"/>
      <c r="Z54" s="371"/>
      <c r="AA54" s="371"/>
      <c r="AB54" s="371"/>
      <c r="AC54" s="371"/>
      <c r="AD54" s="371"/>
      <c r="AE54" s="371"/>
      <c r="AF54" s="371"/>
      <c r="AG54" s="371"/>
      <c r="AH54" s="371"/>
      <c r="AI54" s="371"/>
      <c r="AJ54" s="371"/>
      <c r="AK54" s="1138">
        <f t="shared" si="48"/>
        <v>0</v>
      </c>
      <c r="AL54" s="1136"/>
      <c r="AM54" s="392"/>
      <c r="AO54" s="392"/>
      <c r="AQ54" s="1137">
        <f t="shared" si="46"/>
        <v>6250964.7272727294</v>
      </c>
      <c r="AR54" s="1160">
        <f t="shared" si="47"/>
        <v>0</v>
      </c>
    </row>
    <row r="55" spans="2:44" ht="15.5" x14ac:dyDescent="0.35">
      <c r="B55" s="1172">
        <v>6</v>
      </c>
      <c r="C55" s="367"/>
      <c r="D55" s="368">
        <v>6220003201</v>
      </c>
      <c r="E55" s="1175" t="s">
        <v>508</v>
      </c>
      <c r="F55" s="369" t="s">
        <v>493</v>
      </c>
      <c r="G55" s="369" t="s">
        <v>508</v>
      </c>
      <c r="H55" s="368" t="s">
        <v>359</v>
      </c>
      <c r="I55" s="404" t="s">
        <v>701</v>
      </c>
      <c r="J55" s="371"/>
      <c r="K55" s="1137">
        <f>LUONG!F193</f>
        <v>7779545.192307692</v>
      </c>
      <c r="L55" s="1137">
        <f>LUONG!G193</f>
        <v>6845999.769230769</v>
      </c>
      <c r="M55" s="1137">
        <f>LUONG!H193</f>
        <v>7468363.384615384</v>
      </c>
      <c r="N55" s="1137">
        <f>LUONG!I193</f>
        <v>8401908.807692308</v>
      </c>
      <c r="O55" s="1137">
        <f>LUONG!J193</f>
        <v>6845999.769230769</v>
      </c>
      <c r="P55" s="1137">
        <f>LUONG!K193</f>
        <v>8401908.807692308</v>
      </c>
      <c r="Q55" s="1137">
        <f>LUONG!L193</f>
        <v>8090727</v>
      </c>
      <c r="R55" s="1137">
        <f>LUONG!M193</f>
        <v>8090727</v>
      </c>
      <c r="S55" s="1137">
        <f>LUONG!N193</f>
        <v>7779545.192307692</v>
      </c>
      <c r="T55" s="1137">
        <f>LUONG!O193</f>
        <v>7779545.192307692</v>
      </c>
      <c r="U55" s="1137">
        <f>LUONG!P193</f>
        <v>8401908.807692308</v>
      </c>
      <c r="V55" s="1137">
        <f>LUONG!Q193</f>
        <v>8090727</v>
      </c>
      <c r="W55" s="1138">
        <f>LUONG!R193</f>
        <v>93976905.923076928</v>
      </c>
      <c r="X55" s="1136"/>
      <c r="Y55" s="371"/>
      <c r="Z55" s="371"/>
      <c r="AA55" s="371"/>
      <c r="AB55" s="371"/>
      <c r="AC55" s="371"/>
      <c r="AD55" s="371"/>
      <c r="AE55" s="371"/>
      <c r="AF55" s="371"/>
      <c r="AG55" s="371"/>
      <c r="AH55" s="371"/>
      <c r="AI55" s="371"/>
      <c r="AJ55" s="371"/>
      <c r="AK55" s="1138">
        <f t="shared" si="48"/>
        <v>0</v>
      </c>
      <c r="AL55" s="1136"/>
      <c r="AM55" s="392"/>
      <c r="AO55" s="392"/>
      <c r="AQ55" s="1137">
        <f t="shared" si="46"/>
        <v>93976905.923076928</v>
      </c>
      <c r="AR55" s="1160">
        <f t="shared" si="47"/>
        <v>0</v>
      </c>
    </row>
    <row r="56" spans="2:44" ht="15.5" x14ac:dyDescent="0.35">
      <c r="B56" s="1172">
        <v>7</v>
      </c>
      <c r="C56" s="367"/>
      <c r="D56" s="1004">
        <v>6220002603</v>
      </c>
      <c r="E56" s="1176" t="s">
        <v>509</v>
      </c>
      <c r="F56" s="438" t="s">
        <v>489</v>
      </c>
      <c r="G56" s="438" t="s">
        <v>509</v>
      </c>
      <c r="H56" s="1004" t="s">
        <v>359</v>
      </c>
      <c r="I56" s="404" t="s">
        <v>701</v>
      </c>
      <c r="J56" s="824"/>
      <c r="K56" s="1139">
        <f>LUONG!F194</f>
        <v>3340840.9090909092</v>
      </c>
      <c r="L56" s="1139">
        <f>LUONG!G194</f>
        <v>3340840.9090909092</v>
      </c>
      <c r="M56" s="1139">
        <f>LUONG!H194</f>
        <v>3340840.9090909092</v>
      </c>
      <c r="N56" s="1139">
        <f>LUONG!I194</f>
        <v>3340840.9090909092</v>
      </c>
      <c r="O56" s="1139">
        <f>LUONG!J194</f>
        <v>3340840.9090909092</v>
      </c>
      <c r="P56" s="1139">
        <f>LUONG!K194</f>
        <v>3340840.9090909092</v>
      </c>
      <c r="Q56" s="1139">
        <f>LUONG!L194</f>
        <v>3340840.9090909092</v>
      </c>
      <c r="R56" s="1139">
        <f>LUONG!M194</f>
        <v>3340840.9090909092</v>
      </c>
      <c r="S56" s="1139">
        <f>LUONG!N194</f>
        <v>3340840.9090909092</v>
      </c>
      <c r="T56" s="1139">
        <f>LUONG!O194</f>
        <v>3340840.9090909092</v>
      </c>
      <c r="U56" s="1139">
        <f>LUONG!P194</f>
        <v>3340840.9090909092</v>
      </c>
      <c r="V56" s="1139">
        <f>LUONG!Q194</f>
        <v>3340840.9090909092</v>
      </c>
      <c r="W56" s="1138">
        <f>LUONG!R194</f>
        <v>40090090.909090914</v>
      </c>
      <c r="X56" s="1136"/>
      <c r="Y56" s="371"/>
      <c r="Z56" s="371"/>
      <c r="AA56" s="371"/>
      <c r="AB56" s="371"/>
      <c r="AC56" s="371"/>
      <c r="AD56" s="371"/>
      <c r="AE56" s="371"/>
      <c r="AF56" s="371"/>
      <c r="AG56" s="371"/>
      <c r="AH56" s="371"/>
      <c r="AI56" s="371"/>
      <c r="AJ56" s="371"/>
      <c r="AK56" s="1138">
        <f t="shared" si="48"/>
        <v>0</v>
      </c>
      <c r="AL56" s="1136"/>
      <c r="AM56" s="392"/>
      <c r="AO56" s="392"/>
      <c r="AQ56" s="1137">
        <f t="shared" si="46"/>
        <v>40090090.909090914</v>
      </c>
      <c r="AR56" s="1160">
        <f t="shared" si="47"/>
        <v>0</v>
      </c>
    </row>
    <row r="57" spans="2:44" ht="15.5" x14ac:dyDescent="0.35">
      <c r="B57" s="1172">
        <v>8</v>
      </c>
      <c r="C57" s="367"/>
      <c r="D57" s="1004">
        <v>6220003401</v>
      </c>
      <c r="E57" s="1176" t="s">
        <v>510</v>
      </c>
      <c r="F57" s="438" t="s">
        <v>493</v>
      </c>
      <c r="G57" s="438" t="s">
        <v>510</v>
      </c>
      <c r="H57" s="1004" t="s">
        <v>359</v>
      </c>
      <c r="I57" s="404" t="s">
        <v>701</v>
      </c>
      <c r="J57" s="824"/>
      <c r="K57" s="1139">
        <f>LUONG!F195</f>
        <v>9610239.8181818184</v>
      </c>
      <c r="L57" s="1139">
        <f>LUONG!G195</f>
        <v>9610239.8181818184</v>
      </c>
      <c r="M57" s="1139">
        <f>LUONG!H195</f>
        <v>9610239.8181818184</v>
      </c>
      <c r="N57" s="1139">
        <f>LUONG!I195</f>
        <v>9610239.8181818184</v>
      </c>
      <c r="O57" s="1139">
        <f>LUONG!J195</f>
        <v>9610239.8181818184</v>
      </c>
      <c r="P57" s="1139">
        <f>LUONG!K195</f>
        <v>9610239.8181818184</v>
      </c>
      <c r="Q57" s="1139">
        <f>LUONG!L195</f>
        <v>9610239.8181818184</v>
      </c>
      <c r="R57" s="1139">
        <f>LUONG!M195</f>
        <v>9610239.8181818184</v>
      </c>
      <c r="S57" s="1139">
        <f>LUONG!N195</f>
        <v>9610239.8181818184</v>
      </c>
      <c r="T57" s="1139">
        <f>LUONG!O195</f>
        <v>9610239.8181818184</v>
      </c>
      <c r="U57" s="1139">
        <f>LUONG!P195</f>
        <v>9610239.8181818184</v>
      </c>
      <c r="V57" s="1139">
        <f>LUONG!Q195</f>
        <v>9610239.8181818184</v>
      </c>
      <c r="W57" s="1138">
        <f>LUONG!R195</f>
        <v>115322877.8181818</v>
      </c>
      <c r="X57" s="1136"/>
      <c r="Y57" s="371"/>
      <c r="Z57" s="371"/>
      <c r="AA57" s="371"/>
      <c r="AB57" s="371"/>
      <c r="AC57" s="371"/>
      <c r="AD57" s="371"/>
      <c r="AE57" s="371"/>
      <c r="AF57" s="371"/>
      <c r="AG57" s="371"/>
      <c r="AH57" s="371"/>
      <c r="AI57" s="371"/>
      <c r="AJ57" s="371"/>
      <c r="AK57" s="1138">
        <f t="shared" si="48"/>
        <v>0</v>
      </c>
      <c r="AL57" s="1136"/>
      <c r="AM57" s="392"/>
      <c r="AO57" s="392"/>
      <c r="AQ57" s="1137">
        <f t="shared" si="46"/>
        <v>115322877.8181818</v>
      </c>
      <c r="AR57" s="1160">
        <f t="shared" si="47"/>
        <v>0</v>
      </c>
    </row>
    <row r="58" spans="2:44" ht="15.5" x14ac:dyDescent="0.35">
      <c r="B58" s="1172">
        <v>9</v>
      </c>
      <c r="C58" s="367"/>
      <c r="D58" s="1004">
        <v>6220002701</v>
      </c>
      <c r="E58" s="1176" t="s">
        <v>511</v>
      </c>
      <c r="F58" s="438" t="s">
        <v>489</v>
      </c>
      <c r="G58" s="438" t="s">
        <v>511</v>
      </c>
      <c r="H58" s="1004" t="s">
        <v>359</v>
      </c>
      <c r="I58" s="404" t="s">
        <v>701</v>
      </c>
      <c r="J58" s="824"/>
      <c r="K58" s="1139">
        <f>LUONG!F196</f>
        <v>20520397.636363637</v>
      </c>
      <c r="L58" s="1139">
        <f>LUONG!G196</f>
        <v>17921707.09090909</v>
      </c>
      <c r="M58" s="1139">
        <f>LUONG!H196</f>
        <v>19621729.636363637</v>
      </c>
      <c r="N58" s="1139">
        <f>LUONG!I196</f>
        <v>21636516.545454547</v>
      </c>
      <c r="O58" s="1139">
        <f>LUONG!J196</f>
        <v>17629754.454545453</v>
      </c>
      <c r="P58" s="1139">
        <f>LUONG!K196</f>
        <v>21636516.545454547</v>
      </c>
      <c r="Q58" s="1139">
        <f>LUONG!L196</f>
        <v>20835163.363636363</v>
      </c>
      <c r="R58" s="1139">
        <f>LUONG!M196</f>
        <v>20835163.363636363</v>
      </c>
      <c r="S58" s="1139">
        <f>LUONG!N196</f>
        <v>20033810.181818184</v>
      </c>
      <c r="T58" s="1139">
        <f>LUONG!O196</f>
        <v>20033810.181818184</v>
      </c>
      <c r="U58" s="1139">
        <f>LUONG!P196</f>
        <v>21636516.545454547</v>
      </c>
      <c r="V58" s="1139">
        <f>LUONG!Q196</f>
        <v>20835163.363636363</v>
      </c>
      <c r="W58" s="1138">
        <f>LUONG!R196</f>
        <v>243176248.90909094</v>
      </c>
      <c r="X58" s="1136"/>
      <c r="Y58" s="371"/>
      <c r="Z58" s="371"/>
      <c r="AA58" s="371"/>
      <c r="AB58" s="371"/>
      <c r="AC58" s="371"/>
      <c r="AD58" s="371"/>
      <c r="AE58" s="371"/>
      <c r="AF58" s="371"/>
      <c r="AG58" s="371"/>
      <c r="AH58" s="371"/>
      <c r="AI58" s="371"/>
      <c r="AJ58" s="371"/>
      <c r="AK58" s="1138">
        <f t="shared" si="48"/>
        <v>0</v>
      </c>
      <c r="AL58" s="1136"/>
      <c r="AM58" s="392"/>
      <c r="AO58" s="392"/>
      <c r="AQ58" s="1137">
        <f t="shared" si="46"/>
        <v>243176248.90909094</v>
      </c>
      <c r="AR58" s="1160">
        <f t="shared" si="47"/>
        <v>0</v>
      </c>
    </row>
    <row r="59" spans="2:44" ht="15.5" x14ac:dyDescent="0.35">
      <c r="B59" s="367">
        <v>10</v>
      </c>
      <c r="C59" s="367"/>
      <c r="D59" s="1004" t="s">
        <v>1311</v>
      </c>
      <c r="E59" s="438" t="s">
        <v>1312</v>
      </c>
      <c r="F59" s="438" t="s">
        <v>1313</v>
      </c>
      <c r="G59" s="438" t="s">
        <v>1312</v>
      </c>
      <c r="H59" s="1004" t="s">
        <v>359</v>
      </c>
      <c r="I59" s="404" t="s">
        <v>701</v>
      </c>
      <c r="J59" s="824"/>
      <c r="K59" s="1139"/>
      <c r="L59" s="1139"/>
      <c r="M59" s="1139"/>
      <c r="N59" s="1139"/>
      <c r="O59" s="1139"/>
      <c r="P59" s="1139"/>
      <c r="Q59" s="1139"/>
      <c r="R59" s="1139"/>
      <c r="S59" s="1139"/>
      <c r="T59" s="1139"/>
      <c r="U59" s="1139"/>
      <c r="V59" s="1139"/>
      <c r="W59" s="1138"/>
      <c r="X59" s="1136"/>
      <c r="Y59" s="371"/>
      <c r="Z59" s="371"/>
      <c r="AA59" s="371"/>
      <c r="AB59" s="371"/>
      <c r="AC59" s="371"/>
      <c r="AD59" s="371"/>
      <c r="AE59" s="371"/>
      <c r="AF59" s="371"/>
      <c r="AG59" s="371"/>
      <c r="AH59" s="371"/>
      <c r="AI59" s="371"/>
      <c r="AJ59" s="371"/>
      <c r="AK59" s="1138"/>
      <c r="AL59" s="1136"/>
      <c r="AM59" s="392"/>
      <c r="AO59" s="392"/>
      <c r="AQ59" s="1137">
        <f t="shared" ref="AQ59:AQ61" si="58">IFERROR(W59-AK59,0)</f>
        <v>0</v>
      </c>
      <c r="AR59" s="1160">
        <f t="shared" ref="AR59:AR61" si="59">IFERROR((W59/AK59)-1,0)</f>
        <v>0</v>
      </c>
    </row>
    <row r="60" spans="2:44" ht="15.5" x14ac:dyDescent="0.35">
      <c r="B60" s="367">
        <v>11</v>
      </c>
      <c r="C60" s="367"/>
      <c r="D60" s="1004">
        <v>6220003001</v>
      </c>
      <c r="E60" s="438" t="s">
        <v>702</v>
      </c>
      <c r="F60" s="438" t="s">
        <v>493</v>
      </c>
      <c r="G60" s="438" t="s">
        <v>702</v>
      </c>
      <c r="H60" s="1004" t="s">
        <v>359</v>
      </c>
      <c r="I60" s="404" t="s">
        <v>703</v>
      </c>
      <c r="J60" s="824"/>
      <c r="K60" s="1139"/>
      <c r="L60" s="1139"/>
      <c r="M60" s="1139"/>
      <c r="N60" s="1139"/>
      <c r="O60" s="1139"/>
      <c r="P60" s="1139"/>
      <c r="Q60" s="1139"/>
      <c r="R60" s="1139"/>
      <c r="S60" s="1139"/>
      <c r="T60" s="1139"/>
      <c r="U60" s="1139"/>
      <c r="V60" s="1139"/>
      <c r="W60" s="1138">
        <f t="shared" ref="W60:W63" si="60">SUM(K60:V60)</f>
        <v>0</v>
      </c>
      <c r="X60" s="1136"/>
      <c r="Y60" s="371"/>
      <c r="Z60" s="371"/>
      <c r="AA60" s="371"/>
      <c r="AB60" s="371"/>
      <c r="AC60" s="371"/>
      <c r="AD60" s="371"/>
      <c r="AE60" s="371"/>
      <c r="AF60" s="371"/>
      <c r="AG60" s="371"/>
      <c r="AH60" s="371"/>
      <c r="AI60" s="371"/>
      <c r="AJ60" s="371"/>
      <c r="AK60" s="1138">
        <f t="shared" si="48"/>
        <v>0</v>
      </c>
      <c r="AL60" s="1136"/>
      <c r="AM60" s="392"/>
      <c r="AO60" s="392"/>
      <c r="AQ60" s="1137">
        <f t="shared" si="58"/>
        <v>0</v>
      </c>
      <c r="AR60" s="1160">
        <f t="shared" si="59"/>
        <v>0</v>
      </c>
    </row>
    <row r="61" spans="2:44" ht="15.5" x14ac:dyDescent="0.35">
      <c r="B61" s="367">
        <v>12</v>
      </c>
      <c r="C61" s="367"/>
      <c r="D61" s="1004"/>
      <c r="E61" s="438" t="s">
        <v>705</v>
      </c>
      <c r="F61" s="438" t="s">
        <v>493</v>
      </c>
      <c r="G61" s="438" t="s">
        <v>706</v>
      </c>
      <c r="H61" s="1004" t="s">
        <v>359</v>
      </c>
      <c r="I61" s="404" t="s">
        <v>703</v>
      </c>
      <c r="J61" s="824"/>
      <c r="K61" s="1139"/>
      <c r="L61" s="1139"/>
      <c r="M61" s="1139"/>
      <c r="N61" s="1139"/>
      <c r="O61" s="1139"/>
      <c r="P61" s="1139"/>
      <c r="Q61" s="1139"/>
      <c r="R61" s="1139"/>
      <c r="S61" s="1139"/>
      <c r="T61" s="1139"/>
      <c r="U61" s="1139"/>
      <c r="V61" s="1139"/>
      <c r="W61" s="1140">
        <f t="shared" ref="W61" si="61">SUM(K61:V61)</f>
        <v>0</v>
      </c>
      <c r="X61" s="1136"/>
      <c r="Y61" s="824"/>
      <c r="Z61" s="824"/>
      <c r="AA61" s="824"/>
      <c r="AB61" s="824"/>
      <c r="AC61" s="824"/>
      <c r="AD61" s="824"/>
      <c r="AE61" s="824"/>
      <c r="AF61" s="824"/>
      <c r="AG61" s="824"/>
      <c r="AH61" s="824"/>
      <c r="AI61" s="824"/>
      <c r="AJ61" s="824"/>
      <c r="AK61" s="1140">
        <f t="shared" ref="AK61" si="62">SUM(Y61:AJ61)</f>
        <v>0</v>
      </c>
      <c r="AL61" s="1136"/>
      <c r="AM61" s="1005"/>
      <c r="AO61" s="1005"/>
      <c r="AQ61" s="1137">
        <f t="shared" si="58"/>
        <v>0</v>
      </c>
      <c r="AR61" s="1160">
        <f t="shared" si="59"/>
        <v>0</v>
      </c>
    </row>
    <row r="62" spans="2:44" ht="15.5" x14ac:dyDescent="0.35">
      <c r="B62" s="1172">
        <v>13</v>
      </c>
      <c r="C62" s="367"/>
      <c r="D62" s="1004">
        <v>6275001801</v>
      </c>
      <c r="E62" s="1176" t="s">
        <v>707</v>
      </c>
      <c r="F62" s="438" t="s">
        <v>708</v>
      </c>
      <c r="G62" s="438" t="s">
        <v>707</v>
      </c>
      <c r="H62" s="1004" t="s">
        <v>401</v>
      </c>
      <c r="I62" s="404" t="s">
        <v>709</v>
      </c>
      <c r="J62" s="824"/>
      <c r="K62" s="1267">
        <f>'Dinh muc'!$G$27*'3.Thanh pham'!F$136</f>
        <v>57681000</v>
      </c>
      <c r="L62" s="1267">
        <f>'Dinh muc'!$G$27*'3.Thanh pham'!G$136</f>
        <v>44863000</v>
      </c>
      <c r="M62" s="1267">
        <f>'Dinh muc'!$G$27*'3.Thanh pham'!H$136</f>
        <v>64090000</v>
      </c>
      <c r="N62" s="1267">
        <f>'Dinh muc'!$G$27*'3.Thanh pham'!I$136</f>
        <v>70499000</v>
      </c>
      <c r="O62" s="1267">
        <f>'Dinh muc'!$G$27*'3.Thanh pham'!J$136</f>
        <v>70620549.999999985</v>
      </c>
      <c r="P62" s="1267">
        <f>'Dinh muc'!$G$27*'3.Thanh pham'!K$136</f>
        <v>70742100</v>
      </c>
      <c r="Q62" s="1267">
        <f>'Dinh muc'!$G$27*'3.Thanh pham'!L$136</f>
        <v>70742100</v>
      </c>
      <c r="R62" s="1267">
        <f>'Dinh muc'!$G$27*'3.Thanh pham'!M$136</f>
        <v>70742100</v>
      </c>
      <c r="S62" s="1267">
        <f>'Dinh muc'!$G$27*'3.Thanh pham'!N$136</f>
        <v>70742100</v>
      </c>
      <c r="T62" s="1267">
        <f>'Dinh muc'!$G$27*'3.Thanh pham'!O$136</f>
        <v>70742100</v>
      </c>
      <c r="U62" s="1267">
        <f>'Dinh muc'!$G$27*'3.Thanh pham'!P$136</f>
        <v>70742100</v>
      </c>
      <c r="V62" s="1267">
        <f>'Dinh muc'!$G$27*'3.Thanh pham'!Q$136</f>
        <v>70742100</v>
      </c>
      <c r="W62" s="1138">
        <f t="shared" si="60"/>
        <v>802948250</v>
      </c>
      <c r="X62" s="1136"/>
      <c r="Y62" s="371"/>
      <c r="Z62" s="371"/>
      <c r="AA62" s="371"/>
      <c r="AB62" s="371"/>
      <c r="AC62" s="371"/>
      <c r="AD62" s="371"/>
      <c r="AE62" s="371"/>
      <c r="AF62" s="371"/>
      <c r="AG62" s="371"/>
      <c r="AH62" s="371"/>
      <c r="AI62" s="371"/>
      <c r="AJ62" s="371"/>
      <c r="AK62" s="1138">
        <f t="shared" si="48"/>
        <v>0</v>
      </c>
      <c r="AL62" s="1136"/>
      <c r="AM62" s="392"/>
      <c r="AO62" s="392"/>
      <c r="AQ62" s="1137">
        <f t="shared" si="46"/>
        <v>802948250</v>
      </c>
      <c r="AR62" s="1160">
        <f t="shared" si="47"/>
        <v>0</v>
      </c>
    </row>
    <row r="63" spans="2:44" ht="15.5" x14ac:dyDescent="0.35">
      <c r="B63" s="1172">
        <v>14</v>
      </c>
      <c r="C63" s="367"/>
      <c r="D63" s="1004">
        <v>6272000100</v>
      </c>
      <c r="E63" s="1176" t="s">
        <v>710</v>
      </c>
      <c r="F63" s="438" t="s">
        <v>711</v>
      </c>
      <c r="G63" s="438" t="s">
        <v>332</v>
      </c>
      <c r="H63" s="1004" t="s">
        <v>401</v>
      </c>
      <c r="I63" s="404" t="s">
        <v>709</v>
      </c>
      <c r="J63" s="824"/>
      <c r="K63" s="1267">
        <f>'Dinh muc'!$G$28*'3.Thanh pham'!F$136</f>
        <v>57420000</v>
      </c>
      <c r="L63" s="1267">
        <f>'Dinh muc'!$G$28*'3.Thanh pham'!G$136</f>
        <v>44660000</v>
      </c>
      <c r="M63" s="1267">
        <f>'Dinh muc'!$G$28*'3.Thanh pham'!H$136</f>
        <v>63800000</v>
      </c>
      <c r="N63" s="1267">
        <f>'Dinh muc'!$G$28*'3.Thanh pham'!I$136</f>
        <v>70180000</v>
      </c>
      <c r="O63" s="1267">
        <f>'Dinh muc'!$G$28*'3.Thanh pham'!J$136</f>
        <v>70300999.999999985</v>
      </c>
      <c r="P63" s="1267">
        <f>'Dinh muc'!$G$28*'3.Thanh pham'!K$136</f>
        <v>70422000</v>
      </c>
      <c r="Q63" s="1267">
        <f>'Dinh muc'!$G$28*'3.Thanh pham'!L$136</f>
        <v>70422000</v>
      </c>
      <c r="R63" s="1267">
        <f>'Dinh muc'!$G$28*'3.Thanh pham'!M$136</f>
        <v>70422000</v>
      </c>
      <c r="S63" s="1267">
        <f>'Dinh muc'!$G$28*'3.Thanh pham'!N$136</f>
        <v>70422000</v>
      </c>
      <c r="T63" s="1267">
        <f>'Dinh muc'!$G$28*'3.Thanh pham'!O$136</f>
        <v>70422000</v>
      </c>
      <c r="U63" s="1267">
        <f>'Dinh muc'!$G$28*'3.Thanh pham'!P$136</f>
        <v>70422000</v>
      </c>
      <c r="V63" s="1267">
        <f>'Dinh muc'!$G$28*'3.Thanh pham'!Q$136</f>
        <v>70422000</v>
      </c>
      <c r="W63" s="1138">
        <f t="shared" si="60"/>
        <v>799315000</v>
      </c>
      <c r="X63" s="1136"/>
      <c r="Y63" s="371">
        <v>31066267</v>
      </c>
      <c r="Z63" s="371">
        <v>31066267</v>
      </c>
      <c r="AA63" s="371">
        <v>64759600</v>
      </c>
      <c r="AB63" s="371">
        <v>31066267</v>
      </c>
      <c r="AC63" s="371">
        <v>5796267</v>
      </c>
      <c r="AD63" s="371">
        <v>5796267</v>
      </c>
      <c r="AE63" s="371">
        <v>33071488</v>
      </c>
      <c r="AF63" s="371">
        <v>33071490</v>
      </c>
      <c r="AG63" s="371">
        <v>57812108</v>
      </c>
      <c r="AH63" s="371">
        <v>47746418</v>
      </c>
      <c r="AI63" s="371">
        <v>47746418</v>
      </c>
      <c r="AJ63" s="371">
        <v>47746418</v>
      </c>
      <c r="AK63" s="1138">
        <f t="shared" si="48"/>
        <v>436745275</v>
      </c>
      <c r="AL63" s="1136"/>
      <c r="AM63" s="392"/>
      <c r="AO63" s="392"/>
      <c r="AQ63" s="1137">
        <f t="shared" si="46"/>
        <v>362569725</v>
      </c>
      <c r="AR63" s="1160">
        <f t="shared" si="47"/>
        <v>0.83016290216305144</v>
      </c>
    </row>
    <row r="64" spans="2:44" ht="15.5" x14ac:dyDescent="0.35">
      <c r="B64" s="367">
        <v>15</v>
      </c>
      <c r="C64" s="367" t="s">
        <v>722</v>
      </c>
      <c r="D64" s="1004">
        <v>6272000100</v>
      </c>
      <c r="E64" s="438" t="s">
        <v>710</v>
      </c>
      <c r="F64" s="438" t="s">
        <v>711</v>
      </c>
      <c r="G64" s="438" t="s">
        <v>320</v>
      </c>
      <c r="H64" s="1004" t="s">
        <v>414</v>
      </c>
      <c r="I64" s="404" t="s">
        <v>709</v>
      </c>
      <c r="J64" s="824"/>
      <c r="K64" s="1139">
        <v>0</v>
      </c>
      <c r="L64" s="1139">
        <v>0</v>
      </c>
      <c r="M64" s="1139">
        <v>0</v>
      </c>
      <c r="N64" s="1139">
        <v>0</v>
      </c>
      <c r="O64" s="1139">
        <v>0</v>
      </c>
      <c r="P64" s="1139">
        <v>0</v>
      </c>
      <c r="Q64" s="1139">
        <v>0</v>
      </c>
      <c r="R64" s="1139">
        <v>0</v>
      </c>
      <c r="S64" s="1139">
        <v>0</v>
      </c>
      <c r="T64" s="1139">
        <v>0</v>
      </c>
      <c r="U64" s="1139">
        <v>0</v>
      </c>
      <c r="V64" s="1139">
        <v>0</v>
      </c>
      <c r="W64" s="1138">
        <f>SUM(K64:V64)</f>
        <v>0</v>
      </c>
      <c r="X64" s="1136"/>
      <c r="Y64" s="366">
        <v>0</v>
      </c>
      <c r="Z64" s="366"/>
      <c r="AA64" s="366"/>
      <c r="AB64" s="366"/>
      <c r="AC64" s="366"/>
      <c r="AD64" s="366"/>
      <c r="AE64" s="366"/>
      <c r="AF64" s="366"/>
      <c r="AG64" s="366"/>
      <c r="AH64" s="366"/>
      <c r="AI64" s="366"/>
      <c r="AJ64" s="366"/>
      <c r="AK64" s="1138">
        <f t="shared" si="48"/>
        <v>0</v>
      </c>
      <c r="AL64" s="1136"/>
      <c r="AM64" s="392"/>
      <c r="AO64" s="392"/>
      <c r="AQ64" s="1137">
        <f t="shared" si="46"/>
        <v>0</v>
      </c>
      <c r="AR64" s="1160">
        <f t="shared" si="47"/>
        <v>0</v>
      </c>
    </row>
    <row r="65" spans="2:44" ht="15.5" x14ac:dyDescent="0.35">
      <c r="B65" s="1172">
        <v>16</v>
      </c>
      <c r="C65" s="367" t="s">
        <v>722</v>
      </c>
      <c r="D65" s="1004">
        <v>6272000100</v>
      </c>
      <c r="E65" s="1176" t="s">
        <v>710</v>
      </c>
      <c r="F65" s="438" t="s">
        <v>711</v>
      </c>
      <c r="G65" s="438" t="s">
        <v>321</v>
      </c>
      <c r="H65" s="1004" t="s">
        <v>414</v>
      </c>
      <c r="I65" s="404" t="s">
        <v>709</v>
      </c>
      <c r="J65" s="824"/>
      <c r="K65" s="1267">
        <f>'Dinh muc'!$G$30*'3.Thanh pham'!F$136</f>
        <v>27964285.714285716</v>
      </c>
      <c r="L65" s="1267">
        <f>'Dinh muc'!$G$30*'3.Thanh pham'!G$136</f>
        <v>21750000</v>
      </c>
      <c r="M65" s="1267">
        <f>'Dinh muc'!$G$30*'3.Thanh pham'!H$136</f>
        <v>31071428.571428571</v>
      </c>
      <c r="N65" s="1267">
        <f>'Dinh muc'!$G$30*'3.Thanh pham'!I$136</f>
        <v>34178571.428571433</v>
      </c>
      <c r="O65" s="1267">
        <f>'Dinh muc'!$G$30*'3.Thanh pham'!J$136</f>
        <v>34237499.999999993</v>
      </c>
      <c r="P65" s="1267">
        <f>'Dinh muc'!$G$30*'3.Thanh pham'!K$136</f>
        <v>34296428.571428575</v>
      </c>
      <c r="Q65" s="1267">
        <f>'Dinh muc'!$G$30*'3.Thanh pham'!L$136</f>
        <v>34296428.571428575</v>
      </c>
      <c r="R65" s="1267">
        <f>'Dinh muc'!$G$30*'3.Thanh pham'!M$136</f>
        <v>34296428.571428575</v>
      </c>
      <c r="S65" s="1267">
        <f>'Dinh muc'!$G$30*'3.Thanh pham'!N$136</f>
        <v>34296428.571428575</v>
      </c>
      <c r="T65" s="1267">
        <f>'Dinh muc'!$G$30*'3.Thanh pham'!O$136</f>
        <v>34296428.571428575</v>
      </c>
      <c r="U65" s="1267">
        <f>'Dinh muc'!$G$30*'3.Thanh pham'!P$136</f>
        <v>34296428.571428575</v>
      </c>
      <c r="V65" s="1267">
        <f>'Dinh muc'!$G$30*'3.Thanh pham'!Q$136</f>
        <v>34296428.571428575</v>
      </c>
      <c r="W65" s="1138">
        <f>SUM(K65:V65)</f>
        <v>389276785.71428579</v>
      </c>
      <c r="X65" s="1136"/>
      <c r="Y65" s="371">
        <v>15100612</v>
      </c>
      <c r="Z65" s="371">
        <v>0</v>
      </c>
      <c r="AA65" s="371">
        <v>12431666</v>
      </c>
      <c r="AB65" s="371">
        <v>1257214</v>
      </c>
      <c r="AC65" s="371">
        <v>0</v>
      </c>
      <c r="AD65" s="371">
        <v>11206930</v>
      </c>
      <c r="AE65" s="371">
        <v>10734544</v>
      </c>
      <c r="AF65" s="371">
        <v>1108082</v>
      </c>
      <c r="AG65" s="371">
        <v>0</v>
      </c>
      <c r="AH65" s="371">
        <v>0</v>
      </c>
      <c r="AI65" s="371"/>
      <c r="AJ65" s="371"/>
      <c r="AK65" s="1138">
        <f t="shared" si="48"/>
        <v>51839048</v>
      </c>
      <c r="AL65" s="1136"/>
      <c r="AM65" s="392"/>
      <c r="AO65" s="392"/>
      <c r="AQ65" s="1137">
        <f t="shared" si="46"/>
        <v>337437737.71428579</v>
      </c>
      <c r="AR65" s="1160">
        <f t="shared" si="47"/>
        <v>6.5093351582051779</v>
      </c>
    </row>
    <row r="66" spans="2:44" ht="15.5" x14ac:dyDescent="0.35">
      <c r="B66" s="367">
        <v>17</v>
      </c>
      <c r="C66" s="367"/>
      <c r="D66" s="1004">
        <v>6272000100</v>
      </c>
      <c r="E66" s="438" t="s">
        <v>710</v>
      </c>
      <c r="F66" s="438" t="s">
        <v>711</v>
      </c>
      <c r="G66" s="438" t="s">
        <v>322</v>
      </c>
      <c r="H66" s="1004" t="s">
        <v>414</v>
      </c>
      <c r="I66" s="404" t="s">
        <v>709</v>
      </c>
      <c r="J66" s="824"/>
      <c r="K66" s="1139">
        <v>0</v>
      </c>
      <c r="L66" s="1139">
        <v>0</v>
      </c>
      <c r="M66" s="1139">
        <v>0</v>
      </c>
      <c r="N66" s="1139">
        <v>0</v>
      </c>
      <c r="O66" s="1139">
        <v>0</v>
      </c>
      <c r="P66" s="1139">
        <v>0</v>
      </c>
      <c r="Q66" s="1139">
        <v>0</v>
      </c>
      <c r="R66" s="1139">
        <v>0</v>
      </c>
      <c r="S66" s="1139">
        <v>0</v>
      </c>
      <c r="T66" s="1139">
        <v>0</v>
      </c>
      <c r="U66" s="1139">
        <v>0</v>
      </c>
      <c r="V66" s="1139">
        <v>0</v>
      </c>
      <c r="W66" s="1138">
        <f t="shared" ref="W66:W68" si="63">SUM(K66:V66)</f>
        <v>0</v>
      </c>
      <c r="X66" s="1136"/>
      <c r="Y66" s="371"/>
      <c r="Z66" s="371"/>
      <c r="AA66" s="371"/>
      <c r="AB66" s="371"/>
      <c r="AC66" s="371"/>
      <c r="AD66" s="371"/>
      <c r="AE66" s="371"/>
      <c r="AF66" s="371"/>
      <c r="AG66" s="371"/>
      <c r="AH66" s="371"/>
      <c r="AI66" s="371"/>
      <c r="AJ66" s="371"/>
      <c r="AK66" s="1138">
        <f t="shared" si="48"/>
        <v>0</v>
      </c>
      <c r="AL66" s="1136"/>
      <c r="AM66" s="392"/>
      <c r="AO66" s="392"/>
      <c r="AQ66" s="1137">
        <f t="shared" si="46"/>
        <v>0</v>
      </c>
      <c r="AR66" s="1160">
        <f t="shared" si="47"/>
        <v>0</v>
      </c>
    </row>
    <row r="67" spans="2:44" ht="15.5" x14ac:dyDescent="0.35">
      <c r="B67" s="1172">
        <v>18</v>
      </c>
      <c r="C67" s="367"/>
      <c r="D67" s="1004">
        <v>6272000100</v>
      </c>
      <c r="E67" s="1176" t="s">
        <v>710</v>
      </c>
      <c r="F67" s="438" t="s">
        <v>711</v>
      </c>
      <c r="G67" s="438" t="s">
        <v>713</v>
      </c>
      <c r="H67" s="1004" t="s">
        <v>414</v>
      </c>
      <c r="I67" s="404" t="s">
        <v>709</v>
      </c>
      <c r="J67" s="824"/>
      <c r="K67" s="1267">
        <f>SUM('Dinh muc'!$G$34:$G$35)*'3.Thanh pham'!F$136</f>
        <v>50447571.428571433</v>
      </c>
      <c r="L67" s="1267">
        <f>SUM('Dinh muc'!$G$34:$G$35)*'3.Thanh pham'!G$136</f>
        <v>39237000.000000007</v>
      </c>
      <c r="M67" s="1267">
        <f>SUM('Dinh muc'!$G$34:$G$35)*'3.Thanh pham'!H$136</f>
        <v>56052857.142857149</v>
      </c>
      <c r="N67" s="1267">
        <f>SUM('Dinh muc'!$G$34:$G$35)*'3.Thanh pham'!I$136</f>
        <v>61658142.857142866</v>
      </c>
      <c r="O67" s="1267">
        <f>SUM('Dinh muc'!$G$34:$G$35)*'3.Thanh pham'!J$136</f>
        <v>61764449.999999993</v>
      </c>
      <c r="P67" s="1267">
        <f>SUM('Dinh muc'!$G$34:$G$35)*'3.Thanh pham'!K$136</f>
        <v>61870757.142857149</v>
      </c>
      <c r="Q67" s="1267">
        <f>SUM('Dinh muc'!$G$34:$G$35)*'3.Thanh pham'!L$136</f>
        <v>61870757.142857149</v>
      </c>
      <c r="R67" s="1267">
        <f>SUM('Dinh muc'!$G$34:$G$35)*'3.Thanh pham'!M$136</f>
        <v>61870757.142857149</v>
      </c>
      <c r="S67" s="1267">
        <f>SUM('Dinh muc'!$G$34:$G$35)*'3.Thanh pham'!N$136</f>
        <v>61870757.142857149</v>
      </c>
      <c r="T67" s="1267">
        <f>SUM('Dinh muc'!$G$34:$G$35)*'3.Thanh pham'!O$136</f>
        <v>61870757.142857149</v>
      </c>
      <c r="U67" s="1267">
        <f>SUM('Dinh muc'!$G$34:$G$35)*'3.Thanh pham'!P$136</f>
        <v>61870757.142857149</v>
      </c>
      <c r="V67" s="1267">
        <f>SUM('Dinh muc'!$G$34:$G$35)*'3.Thanh pham'!Q$136</f>
        <v>61870757.142857149</v>
      </c>
      <c r="W67" s="1138">
        <f t="shared" si="63"/>
        <v>702255321.42857158</v>
      </c>
      <c r="X67" s="1136"/>
      <c r="Y67" s="371">
        <v>14079000</v>
      </c>
      <c r="Z67" s="371">
        <v>37085000</v>
      </c>
      <c r="AA67" s="371">
        <v>3344000</v>
      </c>
      <c r="AB67" s="371">
        <v>16361500</v>
      </c>
      <c r="AC67" s="371">
        <v>5415000</v>
      </c>
      <c r="AD67" s="371">
        <v>5975500</v>
      </c>
      <c r="AE67" s="371">
        <v>28403500</v>
      </c>
      <c r="AF67" s="371">
        <v>11789500</v>
      </c>
      <c r="AG67" s="371">
        <v>19057000</v>
      </c>
      <c r="AH67" s="371">
        <v>19057000</v>
      </c>
      <c r="AI67" s="371">
        <v>19057000</v>
      </c>
      <c r="AJ67" s="371">
        <v>19057000</v>
      </c>
      <c r="AK67" s="1138">
        <f t="shared" si="48"/>
        <v>198681000</v>
      </c>
      <c r="AL67" s="1136"/>
      <c r="AM67" s="392"/>
      <c r="AO67" s="392"/>
      <c r="AQ67" s="1137">
        <f t="shared" si="46"/>
        <v>503574321.42857158</v>
      </c>
      <c r="AR67" s="1160">
        <f t="shared" si="47"/>
        <v>2.5345872097914324</v>
      </c>
    </row>
    <row r="68" spans="2:44" ht="15.5" x14ac:dyDescent="0.35">
      <c r="B68" s="367">
        <v>19</v>
      </c>
      <c r="C68" s="367"/>
      <c r="D68" s="1004">
        <v>6272002101</v>
      </c>
      <c r="E68" s="438" t="s">
        <v>714</v>
      </c>
      <c r="F68" s="438" t="s">
        <v>711</v>
      </c>
      <c r="G68" s="438" t="s">
        <v>714</v>
      </c>
      <c r="H68" s="1004"/>
      <c r="I68" s="404"/>
      <c r="J68" s="824"/>
      <c r="K68" s="1139"/>
      <c r="L68" s="1139"/>
      <c r="M68" s="1139"/>
      <c r="N68" s="1139"/>
      <c r="O68" s="1139"/>
      <c r="P68" s="1139"/>
      <c r="Q68" s="1139"/>
      <c r="R68" s="1139"/>
      <c r="S68" s="1139"/>
      <c r="T68" s="1139"/>
      <c r="U68" s="1139"/>
      <c r="V68" s="1139"/>
      <c r="W68" s="1138">
        <f t="shared" si="63"/>
        <v>0</v>
      </c>
      <c r="X68" s="1136"/>
      <c r="Y68" s="366"/>
      <c r="Z68" s="366"/>
      <c r="AA68" s="366"/>
      <c r="AB68" s="366"/>
      <c r="AC68" s="366"/>
      <c r="AD68" s="366"/>
      <c r="AE68" s="366"/>
      <c r="AF68" s="366"/>
      <c r="AG68" s="366"/>
      <c r="AH68" s="366"/>
      <c r="AI68" s="366">
        <v>0</v>
      </c>
      <c r="AJ68" s="366">
        <v>0</v>
      </c>
      <c r="AK68" s="1138"/>
      <c r="AL68" s="1136"/>
      <c r="AM68" s="392">
        <v>1871993</v>
      </c>
      <c r="AO68" s="392"/>
      <c r="AQ68" s="1137"/>
      <c r="AR68" s="1160"/>
    </row>
    <row r="69" spans="2:44" ht="28" x14ac:dyDescent="0.35">
      <c r="B69" s="1172">
        <v>20</v>
      </c>
      <c r="C69" s="367"/>
      <c r="D69" s="1004">
        <v>6272003502</v>
      </c>
      <c r="E69" s="1197" t="s">
        <v>715</v>
      </c>
      <c r="F69" s="438" t="s">
        <v>716</v>
      </c>
      <c r="G69" s="438" t="s">
        <v>717</v>
      </c>
      <c r="H69" s="1004" t="s">
        <v>454</v>
      </c>
      <c r="I69" s="404" t="s">
        <v>709</v>
      </c>
      <c r="J69" s="824"/>
      <c r="K69" s="1267">
        <f>'Dinh muc'!$G$36*'3.Thanh pham'!F$136</f>
        <v>5765727.2727272734</v>
      </c>
      <c r="L69" s="1267">
        <f>'Dinh muc'!$G$36*'3.Thanh pham'!G$136</f>
        <v>4484454.5454545459</v>
      </c>
      <c r="M69" s="1267">
        <f>'Dinh muc'!$G$36*'3.Thanh pham'!H$136</f>
        <v>6406363.6363636367</v>
      </c>
      <c r="N69" s="1267">
        <f>'Dinh muc'!$G$36*'3.Thanh pham'!I$136</f>
        <v>7047000</v>
      </c>
      <c r="O69" s="1267">
        <f>'Dinh muc'!$G$36*'3.Thanh pham'!J$136</f>
        <v>7059149.9999999991</v>
      </c>
      <c r="P69" s="1267">
        <f>'Dinh muc'!$G$36*'3.Thanh pham'!K$136</f>
        <v>7071300</v>
      </c>
      <c r="Q69" s="1267">
        <f>'Dinh muc'!$G$36*'3.Thanh pham'!L$136</f>
        <v>7071300</v>
      </c>
      <c r="R69" s="1267">
        <f>'Dinh muc'!$G$36*'3.Thanh pham'!M$136</f>
        <v>7071300</v>
      </c>
      <c r="S69" s="1267">
        <f>'Dinh muc'!$G$36*'3.Thanh pham'!N$136</f>
        <v>7071300</v>
      </c>
      <c r="T69" s="1267">
        <f>'Dinh muc'!$G$36*'3.Thanh pham'!O$136</f>
        <v>7071300</v>
      </c>
      <c r="U69" s="1267">
        <f>'Dinh muc'!$G$36*'3.Thanh pham'!P$136</f>
        <v>7071300</v>
      </c>
      <c r="V69" s="1267">
        <f>'Dinh muc'!$G$36*'3.Thanh pham'!Q$136</f>
        <v>7071300</v>
      </c>
      <c r="W69" s="1138">
        <f>SUM(K69:V69)</f>
        <v>80261795.454545453</v>
      </c>
      <c r="X69" s="1136"/>
      <c r="Y69" s="366"/>
      <c r="Z69" s="366"/>
      <c r="AA69" s="366"/>
      <c r="AB69" s="366"/>
      <c r="AC69" s="366"/>
      <c r="AD69" s="366"/>
      <c r="AE69" s="366"/>
      <c r="AF69" s="366"/>
      <c r="AG69" s="366"/>
      <c r="AH69" s="366"/>
      <c r="AI69" s="366">
        <v>0</v>
      </c>
      <c r="AJ69" s="366">
        <v>0</v>
      </c>
      <c r="AK69" s="1138">
        <f t="shared" si="48"/>
        <v>0</v>
      </c>
      <c r="AL69" s="1136"/>
      <c r="AM69" s="392">
        <v>202188559</v>
      </c>
      <c r="AO69" s="392"/>
      <c r="AQ69" s="1137">
        <f t="shared" si="46"/>
        <v>80261795.454545453</v>
      </c>
      <c r="AR69" s="1160">
        <f t="shared" si="47"/>
        <v>0</v>
      </c>
    </row>
    <row r="70" spans="2:44" ht="15.5" x14ac:dyDescent="0.35">
      <c r="B70" s="1177"/>
      <c r="C70" s="372"/>
      <c r="D70" s="373"/>
      <c r="E70" s="1179"/>
      <c r="F70" s="374"/>
      <c r="G70" s="374"/>
      <c r="H70" s="373"/>
      <c r="I70" s="405"/>
      <c r="J70" s="376"/>
      <c r="K70" s="1145"/>
      <c r="L70" s="1145"/>
      <c r="M70" s="1145"/>
      <c r="N70" s="1145"/>
      <c r="O70" s="1145"/>
      <c r="P70" s="1145"/>
      <c r="Q70" s="1145"/>
      <c r="R70" s="1145"/>
      <c r="S70" s="1145"/>
      <c r="T70" s="1145"/>
      <c r="U70" s="1145"/>
      <c r="V70" s="1145"/>
      <c r="W70" s="1146"/>
      <c r="X70" s="1136"/>
      <c r="Y70" s="376"/>
      <c r="Z70" s="376"/>
      <c r="AA70" s="376"/>
      <c r="AB70" s="376"/>
      <c r="AC70" s="376"/>
      <c r="AD70" s="376"/>
      <c r="AE70" s="376"/>
      <c r="AF70" s="376"/>
      <c r="AG70" s="376"/>
      <c r="AH70" s="376"/>
      <c r="AI70" s="376"/>
      <c r="AJ70" s="376"/>
      <c r="AK70" s="1138">
        <f t="shared" si="48"/>
        <v>0</v>
      </c>
      <c r="AL70" s="1136"/>
      <c r="AM70" s="393"/>
      <c r="AO70" s="393"/>
      <c r="AQ70" s="1145">
        <f t="shared" si="46"/>
        <v>0</v>
      </c>
      <c r="AR70" s="1162">
        <f t="shared" si="47"/>
        <v>0</v>
      </c>
    </row>
    <row r="71" spans="2:44" ht="15.5" x14ac:dyDescent="0.35">
      <c r="B71" s="1181" t="s">
        <v>118</v>
      </c>
      <c r="C71" s="263"/>
      <c r="D71" s="178"/>
      <c r="E71" s="1173" t="s">
        <v>723</v>
      </c>
      <c r="F71" s="179"/>
      <c r="G71" s="273"/>
      <c r="H71" s="273"/>
      <c r="I71" s="407"/>
      <c r="J71" s="360">
        <f t="shared" ref="J71:V71" si="64">SUM(J72:J100)</f>
        <v>0</v>
      </c>
      <c r="K71" s="1149">
        <f>SUM(K72:K100)</f>
        <v>898871776.2198112</v>
      </c>
      <c r="L71" s="1150">
        <f t="shared" si="64"/>
        <v>885693954.88647795</v>
      </c>
      <c r="M71" s="1150">
        <f t="shared" si="64"/>
        <v>859139863.88647783</v>
      </c>
      <c r="N71" s="1150">
        <f t="shared" si="64"/>
        <v>898236670.10870016</v>
      </c>
      <c r="O71" s="1150">
        <f t="shared" si="64"/>
        <v>908207829.39988792</v>
      </c>
      <c r="P71" s="1150">
        <f t="shared" si="64"/>
        <v>942422130.35774231</v>
      </c>
      <c r="Q71" s="1150">
        <f t="shared" si="64"/>
        <v>944331882.46885359</v>
      </c>
      <c r="R71" s="1150">
        <f t="shared" si="64"/>
        <v>951467904.80218685</v>
      </c>
      <c r="S71" s="1150">
        <f t="shared" si="64"/>
        <v>1005658508.5799645</v>
      </c>
      <c r="T71" s="1150">
        <f t="shared" si="64"/>
        <v>981807797.80218673</v>
      </c>
      <c r="U71" s="1150">
        <f t="shared" si="64"/>
        <v>1022343429.8021867</v>
      </c>
      <c r="V71" s="1150">
        <f t="shared" si="64"/>
        <v>1018192417.6910756</v>
      </c>
      <c r="W71" s="1150">
        <f>SUM(W72:W100)</f>
        <v>11316374166.005554</v>
      </c>
      <c r="X71" s="1133"/>
      <c r="Y71" s="360">
        <f t="shared" ref="Y71:AJ71" si="65">SUM(Y72:Y100)</f>
        <v>1088090148</v>
      </c>
      <c r="Z71" s="270">
        <f t="shared" si="65"/>
        <v>1089287495</v>
      </c>
      <c r="AA71" s="270">
        <f t="shared" si="65"/>
        <v>1039520198</v>
      </c>
      <c r="AB71" s="270">
        <f t="shared" si="65"/>
        <v>1078817707</v>
      </c>
      <c r="AC71" s="270">
        <f t="shared" si="65"/>
        <v>1022349936</v>
      </c>
      <c r="AD71" s="270">
        <f t="shared" si="65"/>
        <v>1141519188</v>
      </c>
      <c r="AE71" s="270">
        <f t="shared" si="65"/>
        <v>1317284222</v>
      </c>
      <c r="AF71" s="270">
        <f t="shared" si="65"/>
        <v>1549950354</v>
      </c>
      <c r="AG71" s="270">
        <f t="shared" si="65"/>
        <v>1447031002</v>
      </c>
      <c r="AH71" s="799">
        <f t="shared" si="65"/>
        <v>1420061416</v>
      </c>
      <c r="AI71" s="799">
        <f t="shared" si="65"/>
        <v>1420061416</v>
      </c>
      <c r="AJ71" s="799">
        <f t="shared" si="65"/>
        <v>1420561416</v>
      </c>
      <c r="AK71" s="1150">
        <f>SUM(AK72:AK100)</f>
        <v>15034534498</v>
      </c>
      <c r="AL71" s="1133"/>
      <c r="AM71" s="360">
        <f>SUM(AM72:AM100)</f>
        <v>10325982547</v>
      </c>
      <c r="AO71" s="360">
        <f>SUM(AO72:AO100)</f>
        <v>0</v>
      </c>
      <c r="AQ71" s="1149">
        <f t="shared" si="46"/>
        <v>-3718160331.9944458</v>
      </c>
      <c r="AR71" s="1163">
        <f t="shared" si="47"/>
        <v>-0.24730797834073692</v>
      </c>
    </row>
    <row r="72" spans="2:44" ht="15.5" x14ac:dyDescent="0.35">
      <c r="B72" s="1171">
        <v>1</v>
      </c>
      <c r="C72" s="362"/>
      <c r="D72" s="1057">
        <v>6271002604</v>
      </c>
      <c r="E72" s="1182" t="s">
        <v>488</v>
      </c>
      <c r="F72" s="378" t="s">
        <v>491</v>
      </c>
      <c r="G72" s="378" t="s">
        <v>488</v>
      </c>
      <c r="H72" s="1057" t="s">
        <v>359</v>
      </c>
      <c r="I72" s="403" t="s">
        <v>701</v>
      </c>
      <c r="J72" s="1006"/>
      <c r="K72" s="1143">
        <f>SUMIFS(LUONG!F:F,LUONG!$C:$C,CPSX!$D72)</f>
        <v>156023000</v>
      </c>
      <c r="L72" s="1143">
        <f>SUMIFS(LUONG!G:G,LUONG!$C:$C,CPSX!$D72)</f>
        <v>162023883</v>
      </c>
      <c r="M72" s="1143">
        <f>SUMIFS(LUONG!H:H,LUONG!$C:$C,CPSX!$D72)</f>
        <v>144021231</v>
      </c>
      <c r="N72" s="1143">
        <f>SUMIFS(LUONG!I:I,LUONG!$C:$C,CPSX!$D72)</f>
        <v>162023883</v>
      </c>
      <c r="O72" s="1143">
        <f>SUMIFS(LUONG!J:J,LUONG!$C:$C,CPSX!$D72)</f>
        <v>150022117</v>
      </c>
      <c r="P72" s="1143">
        <f>SUMIFS(LUONG!K:K,LUONG!$C:$C,CPSX!$D72)</f>
        <v>162023883</v>
      </c>
      <c r="Q72" s="1143">
        <f>SUMIFS(LUONG!L:L,LUONG!$C:$C,CPSX!$D72)</f>
        <v>156023000</v>
      </c>
      <c r="R72" s="1143">
        <f>SUMIFS(LUONG!M:M,LUONG!$C:$C,CPSX!$D72)</f>
        <v>156023000</v>
      </c>
      <c r="S72" s="1143">
        <f>SUMIFS(LUONG!N:N,LUONG!$C:$C,CPSX!$D72)</f>
        <v>162023883</v>
      </c>
      <c r="T72" s="1143">
        <f>SUMIFS(LUONG!O:O,LUONG!$C:$C,CPSX!$D72)</f>
        <v>150022117</v>
      </c>
      <c r="U72" s="1143">
        <f>SUMIFS(LUONG!P:P,LUONG!$C:$C,CPSX!$D72)</f>
        <v>162023883</v>
      </c>
      <c r="V72" s="1143">
        <f>SUMIFS(LUONG!Q:Q,LUONG!$C:$C,CPSX!$D72)</f>
        <v>156023000</v>
      </c>
      <c r="W72" s="1151">
        <f t="shared" ref="W72:W88" si="66">SUM(K72:V72)</f>
        <v>1878276880</v>
      </c>
      <c r="X72" s="1136"/>
      <c r="Y72" s="1006">
        <v>260533055</v>
      </c>
      <c r="Z72" s="1006">
        <v>232683355</v>
      </c>
      <c r="AA72" s="1006">
        <v>208479682</v>
      </c>
      <c r="AB72" s="1006">
        <v>233627849</v>
      </c>
      <c r="AC72" s="1006">
        <v>218859098</v>
      </c>
      <c r="AD72" s="1006">
        <v>253768985</v>
      </c>
      <c r="AE72" s="1006">
        <v>286090844</v>
      </c>
      <c r="AF72" s="1006">
        <v>293825764</v>
      </c>
      <c r="AG72" s="1006">
        <v>316352421</v>
      </c>
      <c r="AH72" s="1006">
        <v>316352421</v>
      </c>
      <c r="AI72" s="1006">
        <v>316352421</v>
      </c>
      <c r="AJ72" s="1006">
        <v>316352421</v>
      </c>
      <c r="AK72" s="1140">
        <f t="shared" ref="AK72:AK99" si="67">SUM(Y72:AJ72)</f>
        <v>3253278316</v>
      </c>
      <c r="AL72" s="1136"/>
      <c r="AM72" s="1058">
        <v>2645523077</v>
      </c>
      <c r="AO72" s="1058"/>
      <c r="AQ72" s="1143">
        <f t="shared" si="46"/>
        <v>-1375001436</v>
      </c>
      <c r="AR72" s="1144">
        <f t="shared" si="47"/>
        <v>-0.42265103149570193</v>
      </c>
    </row>
    <row r="73" spans="2:44" ht="15.5" x14ac:dyDescent="0.35">
      <c r="B73" s="1172">
        <v>2</v>
      </c>
      <c r="C73" s="362"/>
      <c r="D73" s="1004">
        <v>6271002605</v>
      </c>
      <c r="E73" s="1176" t="s">
        <v>490</v>
      </c>
      <c r="F73" s="438" t="s">
        <v>491</v>
      </c>
      <c r="G73" s="438" t="s">
        <v>490</v>
      </c>
      <c r="H73" s="1004" t="s">
        <v>359</v>
      </c>
      <c r="I73" s="404" t="s">
        <v>701</v>
      </c>
      <c r="J73" s="824"/>
      <c r="K73" s="1139">
        <f>SUMIFS(LUONG!F:F,LUONG!$C:$C,CPSX!$D73)</f>
        <v>12351826</v>
      </c>
      <c r="L73" s="1139">
        <f>SUMIFS(LUONG!G:G,LUONG!$C:$C,CPSX!$D73)</f>
        <v>12351826</v>
      </c>
      <c r="M73" s="1139">
        <f>SUMIFS(LUONG!H:H,LUONG!$C:$C,CPSX!$D73)</f>
        <v>12351826</v>
      </c>
      <c r="N73" s="1139">
        <f>SUMIFS(LUONG!I:I,LUONG!$C:$C,CPSX!$D73)</f>
        <v>12351826</v>
      </c>
      <c r="O73" s="1139">
        <f>SUMIFS(LUONG!J:J,LUONG!$C:$C,CPSX!$D73)</f>
        <v>12351826</v>
      </c>
      <c r="P73" s="1139">
        <f>SUMIFS(LUONG!K:K,LUONG!$C:$C,CPSX!$D73)</f>
        <v>12351826</v>
      </c>
      <c r="Q73" s="1139">
        <f>SUMIFS(LUONG!L:L,LUONG!$C:$C,CPSX!$D73)</f>
        <v>12351826</v>
      </c>
      <c r="R73" s="1139">
        <f>SUMIFS(LUONG!M:M,LUONG!$C:$C,CPSX!$D73)</f>
        <v>12351826</v>
      </c>
      <c r="S73" s="1139">
        <f>SUMIFS(LUONG!N:N,LUONG!$C:$C,CPSX!$D73)</f>
        <v>12351826</v>
      </c>
      <c r="T73" s="1139">
        <f>SUMIFS(LUONG!O:O,LUONG!$C:$C,CPSX!$D73)</f>
        <v>12351826</v>
      </c>
      <c r="U73" s="1139">
        <f>SUMIFS(LUONG!P:P,LUONG!$C:$C,CPSX!$D73)</f>
        <v>12351826</v>
      </c>
      <c r="V73" s="1139">
        <f>SUMIFS(LUONG!Q:Q,LUONG!$C:$C,CPSX!$D73)</f>
        <v>12351826</v>
      </c>
      <c r="W73" s="1140">
        <f t="shared" si="66"/>
        <v>148221912</v>
      </c>
      <c r="X73" s="1136"/>
      <c r="Y73" s="1006">
        <v>14459916</v>
      </c>
      <c r="Z73" s="1006">
        <v>14584916</v>
      </c>
      <c r="AA73" s="1006">
        <v>14584916</v>
      </c>
      <c r="AB73" s="1006">
        <v>14584916</v>
      </c>
      <c r="AC73" s="1006">
        <v>14709916</v>
      </c>
      <c r="AD73" s="1006">
        <v>15703082</v>
      </c>
      <c r="AE73" s="1006">
        <v>15703083</v>
      </c>
      <c r="AF73" s="1006">
        <v>16352923</v>
      </c>
      <c r="AG73" s="1006">
        <v>16319749</v>
      </c>
      <c r="AH73" s="1006">
        <v>16319749</v>
      </c>
      <c r="AI73" s="1006">
        <v>16319749</v>
      </c>
      <c r="AJ73" s="1006">
        <v>16319749</v>
      </c>
      <c r="AK73" s="1140">
        <f t="shared" si="67"/>
        <v>185962664</v>
      </c>
      <c r="AL73" s="1136"/>
      <c r="AM73" s="1005">
        <v>130125666</v>
      </c>
      <c r="AO73" s="1005"/>
      <c r="AQ73" s="1139">
        <f t="shared" si="46"/>
        <v>-37740752</v>
      </c>
      <c r="AR73" s="1161">
        <f t="shared" si="47"/>
        <v>-0.20294800681065739</v>
      </c>
    </row>
    <row r="74" spans="2:44" ht="15.5" x14ac:dyDescent="0.35">
      <c r="B74" s="1172">
        <v>3</v>
      </c>
      <c r="C74" s="362"/>
      <c r="D74" s="1004">
        <v>6271002802</v>
      </c>
      <c r="E74" s="1176" t="s">
        <v>492</v>
      </c>
      <c r="F74" s="438" t="s">
        <v>493</v>
      </c>
      <c r="G74" s="438" t="s">
        <v>492</v>
      </c>
      <c r="H74" s="1004" t="s">
        <v>359</v>
      </c>
      <c r="I74" s="404" t="s">
        <v>701</v>
      </c>
      <c r="J74" s="824"/>
      <c r="K74" s="1139">
        <f>SUMIFS(LUONG!F:F,LUONG!$C:$C,CPSX!$D74)</f>
        <v>19475000</v>
      </c>
      <c r="L74" s="1139">
        <f>SUMIFS(LUONG!G:G,LUONG!$C:$C,CPSX!$D74)</f>
        <v>16675000</v>
      </c>
      <c r="M74" s="1139">
        <f>SUMIFS(LUONG!H:H,LUONG!$C:$C,CPSX!$D74)</f>
        <v>16675000</v>
      </c>
      <c r="N74" s="1139">
        <f>SUMIFS(LUONG!I:I,LUONG!$C:$C,CPSX!$D74)</f>
        <v>16675000</v>
      </c>
      <c r="O74" s="1139">
        <f>SUMIFS(LUONG!J:J,LUONG!$C:$C,CPSX!$D74)</f>
        <v>22275000</v>
      </c>
      <c r="P74" s="1139">
        <f>SUMIFS(LUONG!K:K,LUONG!$C:$C,CPSX!$D74)</f>
        <v>16675000</v>
      </c>
      <c r="Q74" s="1139">
        <f>SUMIFS(LUONG!L:L,LUONG!$C:$C,CPSX!$D74)</f>
        <v>16675000</v>
      </c>
      <c r="R74" s="1139">
        <f>SUMIFS(LUONG!M:M,LUONG!$C:$C,CPSX!$D74)</f>
        <v>16675000</v>
      </c>
      <c r="S74" s="1139">
        <f>SUMIFS(LUONG!N:N,LUONG!$C:$C,CPSX!$D74)</f>
        <v>19475000</v>
      </c>
      <c r="T74" s="1139">
        <f>SUMIFS(LUONG!O:O,LUONG!$C:$C,CPSX!$D74)</f>
        <v>16675000</v>
      </c>
      <c r="U74" s="1139">
        <f>SUMIFS(LUONG!P:P,LUONG!$C:$C,CPSX!$D74)</f>
        <v>16675000</v>
      </c>
      <c r="V74" s="1139">
        <f>SUMIFS(LUONG!Q:Q,LUONG!$C:$C,CPSX!$D74)</f>
        <v>16675000</v>
      </c>
      <c r="W74" s="1140">
        <f t="shared" si="66"/>
        <v>211300000</v>
      </c>
      <c r="X74" s="1136"/>
      <c r="Y74" s="1006">
        <v>0</v>
      </c>
      <c r="Z74" s="1006">
        <v>0</v>
      </c>
      <c r="AA74" s="1006">
        <v>0</v>
      </c>
      <c r="AB74" s="1006">
        <v>0</v>
      </c>
      <c r="AC74" s="1006">
        <v>0</v>
      </c>
      <c r="AD74" s="1006">
        <v>0</v>
      </c>
      <c r="AE74" s="1006">
        <v>0</v>
      </c>
      <c r="AF74" s="1006">
        <v>0</v>
      </c>
      <c r="AG74" s="1006">
        <v>0</v>
      </c>
      <c r="AH74" s="1006">
        <v>0</v>
      </c>
      <c r="AI74" s="1006">
        <v>0</v>
      </c>
      <c r="AJ74" s="1006">
        <v>0</v>
      </c>
      <c r="AK74" s="1140">
        <f t="shared" si="67"/>
        <v>0</v>
      </c>
      <c r="AL74" s="1136"/>
      <c r="AM74" s="1005"/>
      <c r="AO74" s="1005"/>
      <c r="AQ74" s="1139">
        <f t="shared" si="46"/>
        <v>211300000</v>
      </c>
      <c r="AR74" s="1161">
        <f t="shared" si="47"/>
        <v>0</v>
      </c>
    </row>
    <row r="75" spans="2:44" ht="15.5" x14ac:dyDescent="0.35">
      <c r="B75" s="1172">
        <v>4</v>
      </c>
      <c r="C75" s="362"/>
      <c r="D75" s="1004">
        <v>6271002806</v>
      </c>
      <c r="E75" s="1176" t="s">
        <v>501</v>
      </c>
      <c r="F75" s="438" t="s">
        <v>491</v>
      </c>
      <c r="G75" s="438" t="s">
        <v>501</v>
      </c>
      <c r="H75" s="1004" t="s">
        <v>359</v>
      </c>
      <c r="I75" s="404" t="s">
        <v>701</v>
      </c>
      <c r="J75" s="824"/>
      <c r="K75" s="1139">
        <f>SUMIFS(LUONG!F:F,LUONG!$C:$C,CPSX!$D75)</f>
        <v>16772477</v>
      </c>
      <c r="L75" s="1139">
        <f>SUMIFS(LUONG!G:G,LUONG!$C:$C,CPSX!$D75)</f>
        <v>16772477</v>
      </c>
      <c r="M75" s="1139">
        <f>SUMIFS(LUONG!H:H,LUONG!$C:$C,CPSX!$D75)</f>
        <v>16772477</v>
      </c>
      <c r="N75" s="1139">
        <f>SUMIFS(LUONG!I:I,LUONG!$C:$C,CPSX!$D75)</f>
        <v>16772477</v>
      </c>
      <c r="O75" s="1139">
        <f>SUMIFS(LUONG!J:J,LUONG!$C:$C,CPSX!$D75)</f>
        <v>16772477</v>
      </c>
      <c r="P75" s="1139">
        <f>SUMIFS(LUONG!K:K,LUONG!$C:$C,CPSX!$D75)</f>
        <v>16772477</v>
      </c>
      <c r="Q75" s="1139">
        <f>SUMIFS(LUONG!L:L,LUONG!$C:$C,CPSX!$D75)</f>
        <v>16772477</v>
      </c>
      <c r="R75" s="1139">
        <f>SUMIFS(LUONG!M:M,LUONG!$C:$C,CPSX!$D75)</f>
        <v>16772477</v>
      </c>
      <c r="S75" s="1139">
        <f>SUMIFS(LUONG!N:N,LUONG!$C:$C,CPSX!$D75)</f>
        <v>16772477</v>
      </c>
      <c r="T75" s="1139">
        <f>SUMIFS(LUONG!O:O,LUONG!$C:$C,CPSX!$D75)</f>
        <v>16772477</v>
      </c>
      <c r="U75" s="1139">
        <f>SUMIFS(LUONG!P:P,LUONG!$C:$C,CPSX!$D75)</f>
        <v>16772477</v>
      </c>
      <c r="V75" s="1139">
        <f>SUMIFS(LUONG!Q:Q,LUONG!$C:$C,CPSX!$D75)</f>
        <v>16772477</v>
      </c>
      <c r="W75" s="1140">
        <f t="shared" si="66"/>
        <v>201269724</v>
      </c>
      <c r="X75" s="1136"/>
      <c r="Y75" s="1006">
        <v>36049095</v>
      </c>
      <c r="Z75" s="1006">
        <v>13011756</v>
      </c>
      <c r="AA75" s="1006">
        <v>13011756</v>
      </c>
      <c r="AB75" s="1006">
        <v>13011756</v>
      </c>
      <c r="AC75" s="1006">
        <v>13126755</v>
      </c>
      <c r="AD75" s="1006">
        <v>13219086</v>
      </c>
      <c r="AE75" s="1006">
        <v>13625336</v>
      </c>
      <c r="AF75" s="1006">
        <v>14223184</v>
      </c>
      <c r="AG75" s="1006">
        <v>14192665</v>
      </c>
      <c r="AH75" s="1006">
        <v>14192665</v>
      </c>
      <c r="AI75" s="1006">
        <v>14192665</v>
      </c>
      <c r="AJ75" s="1006">
        <v>14192665</v>
      </c>
      <c r="AK75" s="1140">
        <f t="shared" si="67"/>
        <v>186049384</v>
      </c>
      <c r="AL75" s="1136"/>
      <c r="AM75" s="1005">
        <v>183854189</v>
      </c>
      <c r="AO75" s="1005"/>
      <c r="AQ75" s="1139">
        <f t="shared" si="46"/>
        <v>15220340</v>
      </c>
      <c r="AR75" s="1161">
        <f t="shared" si="47"/>
        <v>8.1808064465292762E-2</v>
      </c>
    </row>
    <row r="76" spans="2:44" ht="15.5" x14ac:dyDescent="0.35">
      <c r="B76" s="1172">
        <v>5</v>
      </c>
      <c r="C76" s="362"/>
      <c r="D76" s="1004">
        <v>6271007202</v>
      </c>
      <c r="E76" s="1176" t="s">
        <v>495</v>
      </c>
      <c r="F76" s="438" t="s">
        <v>493</v>
      </c>
      <c r="G76" s="438" t="s">
        <v>495</v>
      </c>
      <c r="H76" s="1004" t="s">
        <v>359</v>
      </c>
      <c r="I76" s="404" t="s">
        <v>701</v>
      </c>
      <c r="J76" s="824"/>
      <c r="K76" s="1139">
        <f>SUMIFS(LUONG!F:F,LUONG!$C:$C,CPSX!$D76)</f>
        <v>913559</v>
      </c>
      <c r="L76" s="1139">
        <f>SUMIFS(LUONG!G:G,LUONG!$C:$C,CPSX!$D76)</f>
        <v>913559</v>
      </c>
      <c r="M76" s="1139">
        <f>SUMIFS(LUONG!H:H,LUONG!$C:$C,CPSX!$D76)</f>
        <v>913559</v>
      </c>
      <c r="N76" s="1139">
        <f>SUMIFS(LUONG!I:I,LUONG!$C:$C,CPSX!$D76)</f>
        <v>913559</v>
      </c>
      <c r="O76" s="1139">
        <f>SUMIFS(LUONG!J:J,LUONG!$C:$C,CPSX!$D76)</f>
        <v>913559</v>
      </c>
      <c r="P76" s="1139">
        <f>SUMIFS(LUONG!K:K,LUONG!$C:$C,CPSX!$D76)</f>
        <v>913559</v>
      </c>
      <c r="Q76" s="1139">
        <f>SUMIFS(LUONG!L:L,LUONG!$C:$C,CPSX!$D76)</f>
        <v>913559</v>
      </c>
      <c r="R76" s="1139">
        <f>SUMIFS(LUONG!M:M,LUONG!$C:$C,CPSX!$D76)</f>
        <v>913559</v>
      </c>
      <c r="S76" s="1139">
        <f>SUMIFS(LUONG!N:N,LUONG!$C:$C,CPSX!$D76)</f>
        <v>913559</v>
      </c>
      <c r="T76" s="1139">
        <f>SUMIFS(LUONG!O:O,LUONG!$C:$C,CPSX!$D76)</f>
        <v>913559</v>
      </c>
      <c r="U76" s="1139">
        <f>SUMIFS(LUONG!P:P,LUONG!$C:$C,CPSX!$D76)</f>
        <v>913559</v>
      </c>
      <c r="V76" s="1139">
        <f>SUMIFS(LUONG!Q:Q,LUONG!$C:$C,CPSX!$D76)</f>
        <v>913559</v>
      </c>
      <c r="W76" s="1140">
        <f t="shared" si="66"/>
        <v>10962708</v>
      </c>
      <c r="X76" s="1136"/>
      <c r="Y76" s="1006">
        <v>0</v>
      </c>
      <c r="Z76" s="1006">
        <v>0</v>
      </c>
      <c r="AA76" s="1006">
        <v>0</v>
      </c>
      <c r="AB76" s="1006">
        <v>0</v>
      </c>
      <c r="AC76" s="1006">
        <v>0</v>
      </c>
      <c r="AD76" s="1006">
        <v>0</v>
      </c>
      <c r="AE76" s="1006">
        <v>0</v>
      </c>
      <c r="AF76" s="1006">
        <v>0</v>
      </c>
      <c r="AG76" s="1006">
        <v>0</v>
      </c>
      <c r="AH76" s="1006">
        <v>0</v>
      </c>
      <c r="AI76" s="1006">
        <v>0</v>
      </c>
      <c r="AJ76" s="1006">
        <v>0</v>
      </c>
      <c r="AK76" s="1140">
        <f t="shared" si="67"/>
        <v>0</v>
      </c>
      <c r="AL76" s="1136"/>
      <c r="AM76" s="1005"/>
      <c r="AO76" s="1005"/>
      <c r="AQ76" s="1139">
        <f t="shared" si="46"/>
        <v>10962708</v>
      </c>
      <c r="AR76" s="1161">
        <f t="shared" si="47"/>
        <v>0</v>
      </c>
    </row>
    <row r="77" spans="2:44" ht="15.5" x14ac:dyDescent="0.35">
      <c r="B77" s="1172">
        <v>6</v>
      </c>
      <c r="C77" s="362"/>
      <c r="D77" s="1004">
        <v>6271003202</v>
      </c>
      <c r="E77" s="1176" t="s">
        <v>496</v>
      </c>
      <c r="F77" s="438" t="s">
        <v>493</v>
      </c>
      <c r="G77" s="438" t="s">
        <v>496</v>
      </c>
      <c r="H77" s="1004" t="s">
        <v>359</v>
      </c>
      <c r="I77" s="404" t="s">
        <v>701</v>
      </c>
      <c r="J77" s="824"/>
      <c r="K77" s="1139">
        <f>SUMIFS(LUONG!F:F,LUONG!$C:$C,CPSX!$D77)</f>
        <v>15425000</v>
      </c>
      <c r="L77" s="1139">
        <f>SUMIFS(LUONG!G:G,LUONG!$C:$C,CPSX!$D77)</f>
        <v>13574000</v>
      </c>
      <c r="M77" s="1139">
        <f>SUMIFS(LUONG!H:H,LUONG!$C:$C,CPSX!$D77)</f>
        <v>14808000</v>
      </c>
      <c r="N77" s="1139">
        <f>SUMIFS(LUONG!I:I,LUONG!$C:$C,CPSX!$D77)</f>
        <v>16659000</v>
      </c>
      <c r="O77" s="1139">
        <f>SUMIFS(LUONG!J:J,LUONG!$C:$C,CPSX!$D77)</f>
        <v>13574000</v>
      </c>
      <c r="P77" s="1139">
        <f>SUMIFS(LUONG!K:K,LUONG!$C:$C,CPSX!$D77)</f>
        <v>16659000</v>
      </c>
      <c r="Q77" s="1139">
        <f>SUMIFS(LUONG!L:L,LUONG!$C:$C,CPSX!$D77)</f>
        <v>16042000</v>
      </c>
      <c r="R77" s="1139">
        <f>SUMIFS(LUONG!M:M,LUONG!$C:$C,CPSX!$D77)</f>
        <v>16042000</v>
      </c>
      <c r="S77" s="1139">
        <f>SUMIFS(LUONG!N:N,LUONG!$C:$C,CPSX!$D77)</f>
        <v>15425000</v>
      </c>
      <c r="T77" s="1139">
        <f>SUMIFS(LUONG!O:O,LUONG!$C:$C,CPSX!$D77)</f>
        <v>15425000</v>
      </c>
      <c r="U77" s="1139">
        <f>SUMIFS(LUONG!P:P,LUONG!$C:$C,CPSX!$D77)</f>
        <v>16659000</v>
      </c>
      <c r="V77" s="1139">
        <f>SUMIFS(LUONG!Q:Q,LUONG!$C:$C,CPSX!$D77)</f>
        <v>16042000</v>
      </c>
      <c r="W77" s="1140">
        <f t="shared" si="66"/>
        <v>186334000</v>
      </c>
      <c r="X77" s="1136"/>
      <c r="Y77" s="1006">
        <v>9600000</v>
      </c>
      <c r="Z77" s="1006">
        <v>9975000</v>
      </c>
      <c r="AA77" s="1006">
        <v>10400000</v>
      </c>
      <c r="AB77" s="1006">
        <v>10125000</v>
      </c>
      <c r="AC77" s="1006">
        <v>9750000</v>
      </c>
      <c r="AD77" s="1006">
        <v>11150000</v>
      </c>
      <c r="AE77" s="1006">
        <v>12325000</v>
      </c>
      <c r="AF77" s="1006">
        <v>11950000</v>
      </c>
      <c r="AG77" s="1006">
        <v>11400000</v>
      </c>
      <c r="AH77" s="1006">
        <v>11400000</v>
      </c>
      <c r="AI77" s="1006">
        <v>11400000</v>
      </c>
      <c r="AJ77" s="1006">
        <v>11400000</v>
      </c>
      <c r="AK77" s="1140">
        <f t="shared" si="67"/>
        <v>130875000</v>
      </c>
      <c r="AL77" s="1136"/>
      <c r="AM77" s="1005">
        <v>79950000</v>
      </c>
      <c r="AO77" s="1005"/>
      <c r="AQ77" s="1139">
        <f t="shared" si="46"/>
        <v>55459000</v>
      </c>
      <c r="AR77" s="1161">
        <f t="shared" si="47"/>
        <v>0.42375549188156647</v>
      </c>
    </row>
    <row r="78" spans="2:44" ht="15.5" x14ac:dyDescent="0.35">
      <c r="B78" s="1172">
        <v>7</v>
      </c>
      <c r="C78" s="362"/>
      <c r="D78" s="1004">
        <v>6271002603</v>
      </c>
      <c r="E78" s="1176" t="s">
        <v>497</v>
      </c>
      <c r="F78" s="438" t="s">
        <v>491</v>
      </c>
      <c r="G78" s="438" t="s">
        <v>497</v>
      </c>
      <c r="H78" s="1004" t="s">
        <v>359</v>
      </c>
      <c r="I78" s="404" t="s">
        <v>701</v>
      </c>
      <c r="J78" s="824"/>
      <c r="K78" s="1139">
        <f>SUMIFS(LUONG!F:F,LUONG!$C:$C,CPSX!$D78)</f>
        <v>4023902</v>
      </c>
      <c r="L78" s="1139">
        <f>SUMIFS(LUONG!G:G,LUONG!$C:$C,CPSX!$D78)</f>
        <v>4023902</v>
      </c>
      <c r="M78" s="1139">
        <f>SUMIFS(LUONG!H:H,LUONG!$C:$C,CPSX!$D78)</f>
        <v>4023902</v>
      </c>
      <c r="N78" s="1139">
        <f>SUMIFS(LUONG!I:I,LUONG!$C:$C,CPSX!$D78)</f>
        <v>4023902</v>
      </c>
      <c r="O78" s="1139">
        <f>SUMIFS(LUONG!J:J,LUONG!$C:$C,CPSX!$D78)</f>
        <v>4023902</v>
      </c>
      <c r="P78" s="1139">
        <f>SUMIFS(LUONG!K:K,LUONG!$C:$C,CPSX!$D78)</f>
        <v>4023902</v>
      </c>
      <c r="Q78" s="1139">
        <f>SUMIFS(LUONG!L:L,LUONG!$C:$C,CPSX!$D78)</f>
        <v>4023902</v>
      </c>
      <c r="R78" s="1139">
        <f>SUMIFS(LUONG!M:M,LUONG!$C:$C,CPSX!$D78)</f>
        <v>4023902</v>
      </c>
      <c r="S78" s="1139">
        <f>SUMIFS(LUONG!N:N,LUONG!$C:$C,CPSX!$D78)</f>
        <v>4023902</v>
      </c>
      <c r="T78" s="1139">
        <f>SUMIFS(LUONG!O:O,LUONG!$C:$C,CPSX!$D78)</f>
        <v>4023902</v>
      </c>
      <c r="U78" s="1139">
        <f>SUMIFS(LUONG!P:P,LUONG!$C:$C,CPSX!$D78)</f>
        <v>4023902</v>
      </c>
      <c r="V78" s="1139">
        <f>SUMIFS(LUONG!Q:Q,LUONG!$C:$C,CPSX!$D78)</f>
        <v>4023902</v>
      </c>
      <c r="W78" s="1140">
        <f t="shared" si="66"/>
        <v>48286824</v>
      </c>
      <c r="X78" s="1136"/>
      <c r="Y78" s="1006">
        <v>0</v>
      </c>
      <c r="Z78" s="1006">
        <v>0</v>
      </c>
      <c r="AA78" s="1006">
        <v>0</v>
      </c>
      <c r="AB78" s="1006">
        <v>0</v>
      </c>
      <c r="AC78" s="1006">
        <v>0</v>
      </c>
      <c r="AD78" s="1006">
        <v>0</v>
      </c>
      <c r="AE78" s="1006">
        <v>0</v>
      </c>
      <c r="AF78" s="1006">
        <v>0</v>
      </c>
      <c r="AG78" s="1006">
        <v>0</v>
      </c>
      <c r="AH78" s="1006">
        <v>0</v>
      </c>
      <c r="AI78" s="1006">
        <v>0</v>
      </c>
      <c r="AJ78" s="1006">
        <v>0</v>
      </c>
      <c r="AK78" s="1140">
        <f t="shared" si="67"/>
        <v>0</v>
      </c>
      <c r="AL78" s="1136"/>
      <c r="AM78" s="1005"/>
      <c r="AO78" s="1005"/>
      <c r="AQ78" s="1139">
        <f t="shared" si="46"/>
        <v>48286824</v>
      </c>
      <c r="AR78" s="1161">
        <f t="shared" si="47"/>
        <v>0</v>
      </c>
    </row>
    <row r="79" spans="2:44" ht="15.5" x14ac:dyDescent="0.35">
      <c r="B79" s="1172">
        <v>8</v>
      </c>
      <c r="C79" s="362"/>
      <c r="D79" s="1004">
        <v>6271003401</v>
      </c>
      <c r="E79" s="1176" t="s">
        <v>498</v>
      </c>
      <c r="F79" s="438" t="s">
        <v>493</v>
      </c>
      <c r="G79" s="438" t="s">
        <v>498</v>
      </c>
      <c r="H79" s="1004" t="s">
        <v>359</v>
      </c>
      <c r="I79" s="404" t="s">
        <v>701</v>
      </c>
      <c r="J79" s="824"/>
      <c r="K79" s="1139">
        <f>SUMIFS(LUONG!F:F,LUONG!$C:$C,CPSX!$D79)</f>
        <v>36665405</v>
      </c>
      <c r="L79" s="1139">
        <f>SUMIFS(LUONG!G:G,LUONG!$C:$C,CPSX!$D79)</f>
        <v>36665405</v>
      </c>
      <c r="M79" s="1139">
        <f>SUMIFS(LUONG!H:H,LUONG!$C:$C,CPSX!$D79)</f>
        <v>36665405</v>
      </c>
      <c r="N79" s="1139">
        <f>SUMIFS(LUONG!I:I,LUONG!$C:$C,CPSX!$D79)</f>
        <v>36665405</v>
      </c>
      <c r="O79" s="1139">
        <f>SUMIFS(LUONG!J:J,LUONG!$C:$C,CPSX!$D79)</f>
        <v>36665405</v>
      </c>
      <c r="P79" s="1139">
        <f>SUMIFS(LUONG!K:K,LUONG!$C:$C,CPSX!$D79)</f>
        <v>36665405</v>
      </c>
      <c r="Q79" s="1139">
        <f>SUMIFS(LUONG!L:L,LUONG!$C:$C,CPSX!$D79)</f>
        <v>36665405</v>
      </c>
      <c r="R79" s="1139">
        <f>SUMIFS(LUONG!M:M,LUONG!$C:$C,CPSX!$D79)</f>
        <v>36665405</v>
      </c>
      <c r="S79" s="1139">
        <f>SUMIFS(LUONG!N:N,LUONG!$C:$C,CPSX!$D79)</f>
        <v>36665405</v>
      </c>
      <c r="T79" s="1139">
        <f>SUMIFS(LUONG!O:O,LUONG!$C:$C,CPSX!$D79)</f>
        <v>36665405</v>
      </c>
      <c r="U79" s="1139">
        <f>SUMIFS(LUONG!P:P,LUONG!$C:$C,CPSX!$D79)</f>
        <v>36665405</v>
      </c>
      <c r="V79" s="1139">
        <f>SUMIFS(LUONG!Q:Q,LUONG!$C:$C,CPSX!$D79)</f>
        <v>36665405</v>
      </c>
      <c r="W79" s="1140">
        <f t="shared" si="66"/>
        <v>439984860</v>
      </c>
      <c r="X79" s="1136"/>
      <c r="Y79" s="1006">
        <v>29635850</v>
      </c>
      <c r="Z79" s="1006">
        <v>35158350</v>
      </c>
      <c r="AA79" s="1006">
        <v>35158350</v>
      </c>
      <c r="AB79" s="1006">
        <v>35158350</v>
      </c>
      <c r="AC79" s="1006">
        <v>35510850</v>
      </c>
      <c r="AD79" s="1006">
        <v>35675850</v>
      </c>
      <c r="AE79" s="1006">
        <v>32455850</v>
      </c>
      <c r="AF79" s="1006">
        <v>37860850</v>
      </c>
      <c r="AG79" s="1006">
        <v>35040850</v>
      </c>
      <c r="AH79" s="1006">
        <v>35040850</v>
      </c>
      <c r="AI79" s="1006">
        <v>35040850</v>
      </c>
      <c r="AJ79" s="1006">
        <v>35040850</v>
      </c>
      <c r="AK79" s="1140">
        <f t="shared" si="67"/>
        <v>416777700</v>
      </c>
      <c r="AL79" s="1136"/>
      <c r="AM79" s="1005">
        <v>350168850</v>
      </c>
      <c r="AO79" s="1005"/>
      <c r="AQ79" s="1139">
        <f t="shared" si="46"/>
        <v>23207160</v>
      </c>
      <c r="AR79" s="1161">
        <f t="shared" si="47"/>
        <v>5.5682345768499619E-2</v>
      </c>
    </row>
    <row r="80" spans="2:44" ht="15.5" x14ac:dyDescent="0.35">
      <c r="B80" s="1172">
        <v>9</v>
      </c>
      <c r="C80" s="362"/>
      <c r="D80" s="1004">
        <v>6271002703</v>
      </c>
      <c r="E80" s="1176" t="s">
        <v>499</v>
      </c>
      <c r="F80" s="438" t="s">
        <v>491</v>
      </c>
      <c r="G80" s="438" t="s">
        <v>499</v>
      </c>
      <c r="H80" s="1004" t="s">
        <v>359</v>
      </c>
      <c r="I80" s="404" t="s">
        <v>701</v>
      </c>
      <c r="J80" s="824"/>
      <c r="K80" s="1139">
        <f>SUMIFS(LUONG!F:F,LUONG!$C:$C,CPSX!$D80)</f>
        <v>28336648</v>
      </c>
      <c r="L80" s="1139">
        <f>SUMIFS(LUONG!G:G,LUONG!$C:$C,CPSX!$D80)</f>
        <v>24676110</v>
      </c>
      <c r="M80" s="1139">
        <f>SUMIFS(LUONG!H:H,LUONG!$C:$C,CPSX!$D80)</f>
        <v>26595849</v>
      </c>
      <c r="N80" s="1139">
        <f>SUMIFS(LUONG!I:I,LUONG!$C:$C,CPSX!$D80)</f>
        <v>30909281</v>
      </c>
      <c r="O80" s="1139">
        <f>SUMIFS(LUONG!J:J,LUONG!$C:$C,CPSX!$D80)</f>
        <v>25111372</v>
      </c>
      <c r="P80" s="1139">
        <f>SUMIFS(LUONG!K:K,LUONG!$C:$C,CPSX!$D80)</f>
        <v>30909281</v>
      </c>
      <c r="Q80" s="1139">
        <f>SUMIFS(LUONG!L:L,LUONG!$C:$C,CPSX!$D80)</f>
        <v>30282263</v>
      </c>
      <c r="R80" s="1139">
        <f>SUMIFS(LUONG!M:M,LUONG!$C:$C,CPSX!$D80)</f>
        <v>30282263</v>
      </c>
      <c r="S80" s="1139">
        <f>SUMIFS(LUONG!N:N,LUONG!$C:$C,CPSX!$D80)</f>
        <v>28989540</v>
      </c>
      <c r="T80" s="1139">
        <f>SUMIFS(LUONG!O:O,LUONG!$C:$C,CPSX!$D80)</f>
        <v>28989540</v>
      </c>
      <c r="U80" s="1139">
        <f>SUMIFS(LUONG!P:P,LUONG!$C:$C,CPSX!$D80)</f>
        <v>30909281</v>
      </c>
      <c r="V80" s="1139">
        <f>SUMIFS(LUONG!Q:Q,LUONG!$C:$C,CPSX!$D80)</f>
        <v>30282263</v>
      </c>
      <c r="W80" s="1140">
        <f t="shared" si="66"/>
        <v>346273691</v>
      </c>
      <c r="X80" s="1136"/>
      <c r="Y80" s="1006">
        <v>0</v>
      </c>
      <c r="Z80" s="1006">
        <v>0</v>
      </c>
      <c r="AA80" s="1006">
        <v>0</v>
      </c>
      <c r="AB80" s="1006">
        <v>0</v>
      </c>
      <c r="AC80" s="1006">
        <v>0</v>
      </c>
      <c r="AD80" s="1006">
        <v>0</v>
      </c>
      <c r="AE80" s="1006">
        <v>0</v>
      </c>
      <c r="AF80" s="1006">
        <v>0</v>
      </c>
      <c r="AG80" s="1006">
        <v>0</v>
      </c>
      <c r="AH80" s="1006">
        <v>0</v>
      </c>
      <c r="AI80" s="1006">
        <v>0</v>
      </c>
      <c r="AJ80" s="1006">
        <v>0</v>
      </c>
      <c r="AK80" s="1140">
        <f t="shared" si="67"/>
        <v>0</v>
      </c>
      <c r="AL80" s="1136"/>
      <c r="AM80" s="1005"/>
      <c r="AO80" s="1005"/>
      <c r="AQ80" s="1139">
        <f t="shared" si="46"/>
        <v>346273691</v>
      </c>
      <c r="AR80" s="1161">
        <f t="shared" si="47"/>
        <v>0</v>
      </c>
    </row>
    <row r="81" spans="2:44" ht="15.5" x14ac:dyDescent="0.35">
      <c r="B81" s="367">
        <v>10</v>
      </c>
      <c r="C81" s="362"/>
      <c r="D81" s="1004" t="s">
        <v>1311</v>
      </c>
      <c r="E81" s="438" t="s">
        <v>1312</v>
      </c>
      <c r="F81" s="438" t="s">
        <v>1313</v>
      </c>
      <c r="G81" s="438" t="s">
        <v>1312</v>
      </c>
      <c r="H81" s="1004" t="s">
        <v>359</v>
      </c>
      <c r="I81" s="404" t="s">
        <v>726</v>
      </c>
      <c r="J81" s="824"/>
      <c r="K81" s="1139"/>
      <c r="L81" s="1139"/>
      <c r="M81" s="1139"/>
      <c r="N81" s="1139"/>
      <c r="O81" s="1139"/>
      <c r="P81" s="1139"/>
      <c r="Q81" s="1139"/>
      <c r="R81" s="1139"/>
      <c r="S81" s="1139"/>
      <c r="T81" s="1139"/>
      <c r="U81" s="1139"/>
      <c r="V81" s="1139"/>
      <c r="W81" s="1140"/>
      <c r="X81" s="1136"/>
      <c r="Y81" s="1006"/>
      <c r="Z81" s="1006"/>
      <c r="AA81" s="1006"/>
      <c r="AB81" s="1006"/>
      <c r="AC81" s="1006"/>
      <c r="AD81" s="1006"/>
      <c r="AE81" s="1006"/>
      <c r="AF81" s="1006"/>
      <c r="AG81" s="1006"/>
      <c r="AH81" s="1006"/>
      <c r="AI81" s="1006"/>
      <c r="AJ81" s="1006"/>
      <c r="AK81" s="1140"/>
      <c r="AL81" s="1136"/>
      <c r="AM81" s="1005"/>
      <c r="AO81" s="1005"/>
      <c r="AQ81" s="1139"/>
      <c r="AR81" s="1161"/>
    </row>
    <row r="82" spans="2:44" ht="15.5" x14ac:dyDescent="0.35">
      <c r="B82" s="1172">
        <v>11</v>
      </c>
      <c r="C82" s="362"/>
      <c r="D82" s="1004">
        <v>6271003001</v>
      </c>
      <c r="E82" s="1176" t="s">
        <v>702</v>
      </c>
      <c r="F82" s="438" t="s">
        <v>493</v>
      </c>
      <c r="G82" s="438" t="s">
        <v>702</v>
      </c>
      <c r="H82" s="1004" t="s">
        <v>359</v>
      </c>
      <c r="I82" s="404" t="s">
        <v>703</v>
      </c>
      <c r="J82" s="824"/>
      <c r="K82" s="1139">
        <v>5565833.333333333</v>
      </c>
      <c r="L82" s="1139">
        <v>5565833.333333333</v>
      </c>
      <c r="M82" s="1139">
        <v>5565833.333333333</v>
      </c>
      <c r="N82" s="1139">
        <v>5565833.333333333</v>
      </c>
      <c r="O82" s="1139">
        <v>5565833.333333333</v>
      </c>
      <c r="P82" s="1139">
        <v>5565833.333333333</v>
      </c>
      <c r="Q82" s="1139">
        <v>5565833.333333333</v>
      </c>
      <c r="R82" s="1139">
        <v>5565833.333333333</v>
      </c>
      <c r="S82" s="1139">
        <v>5565833.333333333</v>
      </c>
      <c r="T82" s="1139">
        <v>5565833.333333333</v>
      </c>
      <c r="U82" s="1139">
        <v>5565833.333333333</v>
      </c>
      <c r="V82" s="1139">
        <v>5565833.333333333</v>
      </c>
      <c r="W82" s="1140">
        <f t="shared" ref="W82:W86" si="68">SUM(K82:V82)</f>
        <v>66790000.000000007</v>
      </c>
      <c r="X82" s="1136"/>
      <c r="Y82" s="1006">
        <v>0</v>
      </c>
      <c r="Z82" s="1006">
        <v>0</v>
      </c>
      <c r="AA82" s="1006">
        <v>0</v>
      </c>
      <c r="AB82" s="1006">
        <v>0</v>
      </c>
      <c r="AC82" s="1006">
        <v>0</v>
      </c>
      <c r="AD82" s="1006">
        <v>0</v>
      </c>
      <c r="AE82" s="1006">
        <v>6384621</v>
      </c>
      <c r="AF82" s="1006">
        <v>9081131</v>
      </c>
      <c r="AG82" s="1006">
        <v>3287333</v>
      </c>
      <c r="AH82" s="1006">
        <v>3287333</v>
      </c>
      <c r="AI82" s="1006">
        <v>3287333</v>
      </c>
      <c r="AJ82" s="1006">
        <v>3287333</v>
      </c>
      <c r="AK82" s="1140">
        <f t="shared" si="67"/>
        <v>28615084</v>
      </c>
      <c r="AL82" s="1136"/>
      <c r="AM82" s="1005">
        <v>21571569</v>
      </c>
      <c r="AO82" s="1005"/>
      <c r="AQ82" s="1139">
        <f t="shared" si="46"/>
        <v>38174916.000000007</v>
      </c>
      <c r="AR82" s="1161">
        <f t="shared" si="47"/>
        <v>1.3340836602122157</v>
      </c>
    </row>
    <row r="83" spans="2:44" ht="15.5" x14ac:dyDescent="0.35">
      <c r="B83" s="1172">
        <v>12</v>
      </c>
      <c r="C83" s="362"/>
      <c r="D83" s="1004">
        <v>6277003101</v>
      </c>
      <c r="E83" s="1176" t="s">
        <v>705</v>
      </c>
      <c r="F83" s="438" t="s">
        <v>493</v>
      </c>
      <c r="G83" s="438" t="s">
        <v>706</v>
      </c>
      <c r="H83" s="1004" t="s">
        <v>359</v>
      </c>
      <c r="I83" s="404" t="s">
        <v>703</v>
      </c>
      <c r="J83" s="824"/>
      <c r="K83" s="1139">
        <v>1361667</v>
      </c>
      <c r="L83" s="1139">
        <v>1361667</v>
      </c>
      <c r="M83" s="1139">
        <v>3861667</v>
      </c>
      <c r="N83" s="1139">
        <v>2500000</v>
      </c>
      <c r="O83" s="1139">
        <v>2500000</v>
      </c>
      <c r="P83" s="1139">
        <v>2762500</v>
      </c>
      <c r="Q83" s="1139">
        <v>2762500</v>
      </c>
      <c r="R83" s="1139">
        <v>2762500</v>
      </c>
      <c r="S83" s="1139">
        <v>2762500</v>
      </c>
      <c r="T83" s="1139">
        <v>2762500</v>
      </c>
      <c r="U83" s="1139">
        <v>2762500</v>
      </c>
      <c r="V83" s="1139">
        <v>2762500</v>
      </c>
      <c r="W83" s="1140">
        <f t="shared" si="68"/>
        <v>30922501</v>
      </c>
      <c r="X83" s="1136"/>
      <c r="Y83" s="1006">
        <v>343292</v>
      </c>
      <c r="Z83" s="1006">
        <v>343292</v>
      </c>
      <c r="AA83" s="1006">
        <v>343288</v>
      </c>
      <c r="AB83" s="1006">
        <v>1361663</v>
      </c>
      <c r="AC83" s="1006">
        <v>1361667</v>
      </c>
      <c r="AD83" s="1006">
        <v>3915267</v>
      </c>
      <c r="AE83" s="1006">
        <v>1474158</v>
      </c>
      <c r="AF83" s="1006">
        <v>1361667</v>
      </c>
      <c r="AG83" s="1006">
        <v>1361667</v>
      </c>
      <c r="AH83" s="1006">
        <v>1361667</v>
      </c>
      <c r="AI83" s="1006">
        <v>1361667</v>
      </c>
      <c r="AJ83" s="1006">
        <v>1361667</v>
      </c>
      <c r="AK83" s="1140">
        <f t="shared" si="67"/>
        <v>15950962</v>
      </c>
      <c r="AL83" s="1136"/>
      <c r="AM83" s="1005">
        <v>7236300</v>
      </c>
      <c r="AO83" s="1005"/>
      <c r="AQ83" s="1139"/>
      <c r="AR83" s="1161"/>
    </row>
    <row r="84" spans="2:44" ht="15.5" x14ac:dyDescent="0.35">
      <c r="B84" s="1172">
        <v>13</v>
      </c>
      <c r="C84" s="362"/>
      <c r="D84" s="1004">
        <v>6273000100</v>
      </c>
      <c r="E84" s="1176" t="s">
        <v>724</v>
      </c>
      <c r="F84" s="438" t="s">
        <v>725</v>
      </c>
      <c r="G84" s="438" t="s">
        <v>724</v>
      </c>
      <c r="H84" s="1004" t="s">
        <v>414</v>
      </c>
      <c r="I84" s="404" t="s">
        <v>726</v>
      </c>
      <c r="J84" s="824"/>
      <c r="K84" s="1139">
        <v>1841666</v>
      </c>
      <c r="L84" s="1139">
        <v>1641666</v>
      </c>
      <c r="M84" s="1139">
        <v>1641666</v>
      </c>
      <c r="N84" s="1139">
        <v>1258333</v>
      </c>
      <c r="O84" s="1139">
        <v>1258333</v>
      </c>
      <c r="P84" s="1139">
        <v>1258333</v>
      </c>
      <c r="Q84" s="1139">
        <v>1062500</v>
      </c>
      <c r="R84" s="1139">
        <v>912500</v>
      </c>
      <c r="S84" s="1139">
        <v>912500</v>
      </c>
      <c r="T84" s="1139">
        <v>695833</v>
      </c>
      <c r="U84" s="1139">
        <v>695833</v>
      </c>
      <c r="V84" s="1139">
        <v>695833</v>
      </c>
      <c r="W84" s="1140">
        <f t="shared" si="68"/>
        <v>13874996</v>
      </c>
      <c r="X84" s="1136"/>
      <c r="Y84" s="1006">
        <v>7201335</v>
      </c>
      <c r="Z84" s="1006">
        <v>9199166</v>
      </c>
      <c r="AA84" s="1006">
        <v>10911659</v>
      </c>
      <c r="AB84" s="1006">
        <v>17039672</v>
      </c>
      <c r="AC84" s="1006">
        <v>6941668</v>
      </c>
      <c r="AD84" s="1006">
        <v>7308968</v>
      </c>
      <c r="AE84" s="1006">
        <v>12758262</v>
      </c>
      <c r="AF84" s="1006">
        <v>8302282</v>
      </c>
      <c r="AG84" s="1006">
        <v>16494095</v>
      </c>
      <c r="AH84" s="1006">
        <v>16494095</v>
      </c>
      <c r="AI84" s="1006">
        <v>16494095</v>
      </c>
      <c r="AJ84" s="1006">
        <v>16494095</v>
      </c>
      <c r="AK84" s="1140">
        <f t="shared" si="67"/>
        <v>145639392</v>
      </c>
      <c r="AL84" s="1136"/>
      <c r="AM84" s="1005"/>
      <c r="AO84" s="1005"/>
      <c r="AQ84" s="1139">
        <f t="shared" si="46"/>
        <v>-131764396</v>
      </c>
      <c r="AR84" s="1161">
        <f t="shared" si="47"/>
        <v>-0.90473047292040332</v>
      </c>
    </row>
    <row r="85" spans="2:44" ht="15.5" x14ac:dyDescent="0.35">
      <c r="B85" s="1172">
        <v>14</v>
      </c>
      <c r="C85" s="362"/>
      <c r="D85" s="1004">
        <v>6275001803</v>
      </c>
      <c r="E85" s="1176" t="s">
        <v>727</v>
      </c>
      <c r="F85" s="438" t="s">
        <v>716</v>
      </c>
      <c r="G85" s="438" t="s">
        <v>727</v>
      </c>
      <c r="H85" s="1004" t="s">
        <v>414</v>
      </c>
      <c r="I85" s="404" t="s">
        <v>726</v>
      </c>
      <c r="J85" s="824"/>
      <c r="K85" s="1139">
        <v>14685000</v>
      </c>
      <c r="L85" s="1139">
        <v>11421666.666666668</v>
      </c>
      <c r="M85" s="1139">
        <v>16316666.666666668</v>
      </c>
      <c r="N85" s="1139">
        <v>17948333.333333336</v>
      </c>
      <c r="O85" s="1139">
        <v>17979278.735632181</v>
      </c>
      <c r="P85" s="1139">
        <v>18010224.137931034</v>
      </c>
      <c r="Q85" s="1139">
        <v>18010224.137931034</v>
      </c>
      <c r="R85" s="1139">
        <v>18010224.137931034</v>
      </c>
      <c r="S85" s="1139">
        <v>18010224.137931034</v>
      </c>
      <c r="T85" s="1139">
        <v>18010224.137931034</v>
      </c>
      <c r="U85" s="1139">
        <v>18010224.137931034</v>
      </c>
      <c r="V85" s="1139">
        <v>18010224.137931034</v>
      </c>
      <c r="W85" s="1140">
        <f t="shared" si="68"/>
        <v>204422514.36781615</v>
      </c>
      <c r="X85" s="1136"/>
      <c r="Y85" s="1006">
        <v>21309500</v>
      </c>
      <c r="Z85" s="1006">
        <v>8705500</v>
      </c>
      <c r="AA85" s="1006">
        <v>5060000</v>
      </c>
      <c r="AB85" s="1006">
        <v>7141500</v>
      </c>
      <c r="AC85" s="1006">
        <v>8199500</v>
      </c>
      <c r="AD85" s="1006">
        <v>9039000</v>
      </c>
      <c r="AE85" s="1006">
        <v>12834000</v>
      </c>
      <c r="AF85" s="1006">
        <v>17836500</v>
      </c>
      <c r="AG85" s="1006">
        <v>28830500</v>
      </c>
      <c r="AH85" s="1006">
        <v>28830500</v>
      </c>
      <c r="AI85" s="1006">
        <v>28830500</v>
      </c>
      <c r="AJ85" s="1006">
        <v>28830500</v>
      </c>
      <c r="AK85" s="1140">
        <f t="shared" si="67"/>
        <v>205447500</v>
      </c>
      <c r="AL85" s="1136"/>
      <c r="AM85" s="1005">
        <v>215843500</v>
      </c>
      <c r="AO85" s="1005"/>
      <c r="AQ85" s="1139">
        <f t="shared" si="46"/>
        <v>-1024985.6321838498</v>
      </c>
      <c r="AR85" s="1161">
        <f t="shared" si="47"/>
        <v>-4.9890392055578214E-3</v>
      </c>
    </row>
    <row r="86" spans="2:44" ht="15.5" x14ac:dyDescent="0.35">
      <c r="B86" s="1172">
        <v>15</v>
      </c>
      <c r="C86" s="362"/>
      <c r="D86" s="1004">
        <v>6277002804</v>
      </c>
      <c r="E86" s="1176" t="s">
        <v>728</v>
      </c>
      <c r="F86" s="438" t="s">
        <v>729</v>
      </c>
      <c r="G86" s="438" t="s">
        <v>728</v>
      </c>
      <c r="H86" s="1004" t="s">
        <v>359</v>
      </c>
      <c r="I86" s="404" t="s">
        <v>726</v>
      </c>
      <c r="J86" s="824"/>
      <c r="K86" s="1139">
        <v>6075000</v>
      </c>
      <c r="L86" s="1139">
        <v>6075000</v>
      </c>
      <c r="M86" s="1139">
        <v>6075000</v>
      </c>
      <c r="N86" s="1139">
        <v>6075000</v>
      </c>
      <c r="O86" s="1139">
        <v>6075000</v>
      </c>
      <c r="P86" s="1139">
        <v>6075000</v>
      </c>
      <c r="Q86" s="1139">
        <v>6075000</v>
      </c>
      <c r="R86" s="1139">
        <v>6075000</v>
      </c>
      <c r="S86" s="1139">
        <v>6075000</v>
      </c>
      <c r="T86" s="1139">
        <v>6075000</v>
      </c>
      <c r="U86" s="1139">
        <v>6075000</v>
      </c>
      <c r="V86" s="1139">
        <v>6075000</v>
      </c>
      <c r="W86" s="1140">
        <f t="shared" si="68"/>
        <v>72900000</v>
      </c>
      <c r="X86" s="1136"/>
      <c r="Y86" s="1006">
        <v>2250000</v>
      </c>
      <c r="Z86" s="1006">
        <v>2475000</v>
      </c>
      <c r="AA86" s="1006">
        <v>3015000</v>
      </c>
      <c r="AB86" s="1006">
        <v>3150000</v>
      </c>
      <c r="AC86" s="1006">
        <v>4365000</v>
      </c>
      <c r="AD86" s="1006">
        <v>2475000</v>
      </c>
      <c r="AE86" s="1006">
        <v>2475000</v>
      </c>
      <c r="AF86" s="1006">
        <v>4950000</v>
      </c>
      <c r="AG86" s="1006">
        <v>2925000</v>
      </c>
      <c r="AH86" s="1006">
        <v>4950000</v>
      </c>
      <c r="AI86" s="1006">
        <v>4950000</v>
      </c>
      <c r="AJ86" s="1006">
        <v>4950000</v>
      </c>
      <c r="AK86" s="1140">
        <f t="shared" si="67"/>
        <v>42930000</v>
      </c>
      <c r="AL86" s="1136"/>
      <c r="AM86" s="1005">
        <v>31629575</v>
      </c>
      <c r="AO86" s="1005"/>
      <c r="AQ86" s="1139">
        <f t="shared" si="46"/>
        <v>29970000</v>
      </c>
      <c r="AR86" s="1161">
        <f t="shared" si="47"/>
        <v>0.69811320754716988</v>
      </c>
    </row>
    <row r="87" spans="2:44" ht="15.5" x14ac:dyDescent="0.35">
      <c r="B87" s="1172">
        <v>16</v>
      </c>
      <c r="C87" s="362"/>
      <c r="D87" s="1004">
        <v>6277003702</v>
      </c>
      <c r="E87" s="1176" t="s">
        <v>730</v>
      </c>
      <c r="F87" s="438" t="s">
        <v>731</v>
      </c>
      <c r="G87" s="438" t="s">
        <v>730</v>
      </c>
      <c r="H87" s="1004" t="s">
        <v>356</v>
      </c>
      <c r="I87" s="404" t="s">
        <v>703</v>
      </c>
      <c r="J87" s="824"/>
      <c r="K87" s="1152">
        <v>6196500</v>
      </c>
      <c r="L87" s="1152">
        <v>6196500</v>
      </c>
      <c r="M87" s="1152">
        <v>6196500</v>
      </c>
      <c r="N87" s="1152">
        <v>6196500</v>
      </c>
      <c r="O87" s="1152">
        <v>6196500</v>
      </c>
      <c r="P87" s="1152">
        <v>6196500</v>
      </c>
      <c r="Q87" s="1152">
        <v>6196500</v>
      </c>
      <c r="R87" s="1152">
        <v>6196500</v>
      </c>
      <c r="S87" s="1152">
        <v>6196500</v>
      </c>
      <c r="T87" s="1152">
        <v>6196500</v>
      </c>
      <c r="U87" s="1152">
        <v>6196500</v>
      </c>
      <c r="V87" s="1152">
        <v>6196500</v>
      </c>
      <c r="W87" s="1140">
        <f t="shared" si="66"/>
        <v>74358000</v>
      </c>
      <c r="X87" s="1136"/>
      <c r="Y87" s="1006">
        <v>19183789</v>
      </c>
      <c r="Z87" s="1006">
        <v>12078954</v>
      </c>
      <c r="AA87" s="1006">
        <v>15693283</v>
      </c>
      <c r="AB87" s="1006">
        <v>12307097</v>
      </c>
      <c r="AC87" s="1006">
        <v>29616466</v>
      </c>
      <c r="AD87" s="1006">
        <v>11107753</v>
      </c>
      <c r="AE87" s="1006">
        <v>16037318</v>
      </c>
      <c r="AF87" s="1006">
        <v>20641505</v>
      </c>
      <c r="AG87" s="1006">
        <v>21589242</v>
      </c>
      <c r="AH87" s="1006">
        <v>21589242</v>
      </c>
      <c r="AI87" s="1006">
        <v>21589242</v>
      </c>
      <c r="AJ87" s="1006">
        <v>21589242</v>
      </c>
      <c r="AK87" s="1140">
        <f t="shared" si="67"/>
        <v>223023133</v>
      </c>
      <c r="AL87" s="1136"/>
      <c r="AM87" s="1005">
        <v>691788384</v>
      </c>
      <c r="AO87" s="1005"/>
      <c r="AQ87" s="1139">
        <f t="shared" si="46"/>
        <v>-148665133</v>
      </c>
      <c r="AR87" s="1161">
        <f t="shared" si="47"/>
        <v>-0.66659064017363612</v>
      </c>
    </row>
    <row r="88" spans="2:44" ht="15.5" x14ac:dyDescent="0.35">
      <c r="B88" s="1172">
        <v>17</v>
      </c>
      <c r="C88" s="362"/>
      <c r="D88" s="1004">
        <v>6277005001</v>
      </c>
      <c r="E88" s="1176" t="s">
        <v>732</v>
      </c>
      <c r="F88" s="438" t="s">
        <v>733</v>
      </c>
      <c r="G88" s="438" t="s">
        <v>732</v>
      </c>
      <c r="H88" s="1004" t="s">
        <v>356</v>
      </c>
      <c r="I88" s="404" t="s">
        <v>709</v>
      </c>
      <c r="J88" s="824"/>
      <c r="K88" s="1139">
        <v>230839676</v>
      </c>
      <c r="L88" s="1139">
        <v>230839676</v>
      </c>
      <c r="M88" s="1139">
        <v>230839676</v>
      </c>
      <c r="N88" s="1139">
        <v>230839676</v>
      </c>
      <c r="O88" s="1139">
        <v>230839676</v>
      </c>
      <c r="P88" s="1139">
        <v>230839676</v>
      </c>
      <c r="Q88" s="1139">
        <v>230839676</v>
      </c>
      <c r="R88" s="1139">
        <v>230839676</v>
      </c>
      <c r="S88" s="1139">
        <v>230839676</v>
      </c>
      <c r="T88" s="1139">
        <v>230839676</v>
      </c>
      <c r="U88" s="1139">
        <v>230839676</v>
      </c>
      <c r="V88" s="1139">
        <v>230839676</v>
      </c>
      <c r="W88" s="1140">
        <f t="shared" si="66"/>
        <v>2770076112</v>
      </c>
      <c r="X88" s="1136"/>
      <c r="Y88" s="1006">
        <v>230839676</v>
      </c>
      <c r="Z88" s="1006">
        <v>230839676</v>
      </c>
      <c r="AA88" s="1006">
        <v>230839676</v>
      </c>
      <c r="AB88" s="1006">
        <v>230839676</v>
      </c>
      <c r="AC88" s="1006">
        <v>230839676</v>
      </c>
      <c r="AD88" s="1006">
        <v>230839676</v>
      </c>
      <c r="AE88" s="1006">
        <v>230839676</v>
      </c>
      <c r="AF88" s="1006">
        <v>250839676</v>
      </c>
      <c r="AG88" s="1006">
        <v>255839676</v>
      </c>
      <c r="AH88" s="1006">
        <v>230839676</v>
      </c>
      <c r="AI88" s="1006">
        <v>230839676</v>
      </c>
      <c r="AJ88" s="1006">
        <v>230839676</v>
      </c>
      <c r="AK88" s="1140">
        <f t="shared" si="67"/>
        <v>2815076112</v>
      </c>
      <c r="AL88" s="1136"/>
      <c r="AM88" s="1005">
        <f>5540152224/2</f>
        <v>2770076112</v>
      </c>
      <c r="AO88" s="1005"/>
      <c r="AQ88" s="1139">
        <f t="shared" si="46"/>
        <v>-45000000</v>
      </c>
      <c r="AR88" s="1161">
        <f t="shared" si="47"/>
        <v>-1.5985358196240473E-2</v>
      </c>
    </row>
    <row r="89" spans="2:44" ht="15.5" x14ac:dyDescent="0.35">
      <c r="B89" s="1172">
        <v>18</v>
      </c>
      <c r="C89" s="362"/>
      <c r="D89" s="1004">
        <v>6278007201</v>
      </c>
      <c r="E89" s="1176" t="s">
        <v>734</v>
      </c>
      <c r="F89" s="438" t="s">
        <v>729</v>
      </c>
      <c r="G89" s="438" t="s">
        <v>734</v>
      </c>
      <c r="H89" s="1004" t="s">
        <v>414</v>
      </c>
      <c r="I89" s="404" t="s">
        <v>726</v>
      </c>
      <c r="J89" s="824"/>
      <c r="K89" s="1139">
        <v>11698333.666666666</v>
      </c>
      <c r="L89" s="1139">
        <v>11698333.666666666</v>
      </c>
      <c r="M89" s="1139">
        <v>11291666.666666666</v>
      </c>
      <c r="N89" s="1139">
        <v>11291666.666666666</v>
      </c>
      <c r="O89" s="1139">
        <v>11291666.666666666</v>
      </c>
      <c r="P89" s="1139">
        <v>11291666.666666666</v>
      </c>
      <c r="Q89" s="1139">
        <v>11291666.666666666</v>
      </c>
      <c r="R89" s="1139">
        <v>11291666.666666666</v>
      </c>
      <c r="S89" s="1139">
        <v>11291666.666666666</v>
      </c>
      <c r="T89" s="1139">
        <v>11291666.666666666</v>
      </c>
      <c r="U89" s="1139">
        <v>11291666.666666666</v>
      </c>
      <c r="V89" s="1139">
        <v>11291666.666666666</v>
      </c>
      <c r="W89" s="1140">
        <f t="shared" ref="W89:W99" si="69">SUM(K89:V89)</f>
        <v>136313334.00000003</v>
      </c>
      <c r="X89" s="1136"/>
      <c r="Y89" s="1006">
        <v>5142579</v>
      </c>
      <c r="Z89" s="1006">
        <v>32309359</v>
      </c>
      <c r="AA89" s="1006">
        <v>36084054</v>
      </c>
      <c r="AB89" s="1006">
        <v>53974495</v>
      </c>
      <c r="AC89" s="1006">
        <v>82351</v>
      </c>
      <c r="AD89" s="1006">
        <v>98858857</v>
      </c>
      <c r="AE89" s="1006">
        <v>211366137</v>
      </c>
      <c r="AF89" s="1006">
        <v>375723156</v>
      </c>
      <c r="AG89" s="1006">
        <v>227634251</v>
      </c>
      <c r="AH89" s="1006">
        <v>220634251</v>
      </c>
      <c r="AI89" s="1006">
        <v>220634251</v>
      </c>
      <c r="AJ89" s="1006">
        <v>221134251</v>
      </c>
      <c r="AK89" s="1140">
        <f t="shared" si="67"/>
        <v>1703577992</v>
      </c>
      <c r="AL89" s="1136"/>
      <c r="AM89" s="1005">
        <v>277156874</v>
      </c>
      <c r="AO89" s="1005"/>
      <c r="AQ89" s="1139">
        <f t="shared" si="46"/>
        <v>-1567264658</v>
      </c>
      <c r="AR89" s="1161">
        <f t="shared" si="47"/>
        <v>-0.91998409545079396</v>
      </c>
    </row>
    <row r="90" spans="2:44" ht="15.5" x14ac:dyDescent="0.35">
      <c r="B90" s="367">
        <v>19</v>
      </c>
      <c r="C90" s="362"/>
      <c r="D90" s="1004" t="s">
        <v>932</v>
      </c>
      <c r="E90" s="438" t="s">
        <v>940</v>
      </c>
      <c r="F90" s="438" t="s">
        <v>738</v>
      </c>
      <c r="G90" s="438" t="s">
        <v>2117</v>
      </c>
      <c r="H90" s="1004" t="s">
        <v>401</v>
      </c>
      <c r="I90" s="404" t="s">
        <v>726</v>
      </c>
      <c r="J90" s="824"/>
      <c r="K90" s="1139">
        <v>0</v>
      </c>
      <c r="L90" s="1139">
        <v>0</v>
      </c>
      <c r="M90" s="1139">
        <v>0</v>
      </c>
      <c r="N90" s="1139">
        <v>0</v>
      </c>
      <c r="O90" s="1139">
        <v>0</v>
      </c>
      <c r="P90" s="1139">
        <v>0</v>
      </c>
      <c r="Q90" s="1139">
        <v>0</v>
      </c>
      <c r="R90" s="1139">
        <v>0</v>
      </c>
      <c r="S90" s="1139">
        <v>0</v>
      </c>
      <c r="T90" s="1139">
        <v>0</v>
      </c>
      <c r="U90" s="1139">
        <v>0</v>
      </c>
      <c r="V90" s="1139">
        <v>0</v>
      </c>
      <c r="W90" s="1140">
        <f t="shared" ref="W90:W91" si="70">SUM(K90:V90)</f>
        <v>0</v>
      </c>
      <c r="X90" s="1136"/>
      <c r="Y90" s="1006">
        <v>0</v>
      </c>
      <c r="Z90" s="1006">
        <v>0</v>
      </c>
      <c r="AA90" s="1006">
        <v>0</v>
      </c>
      <c r="AB90" s="1006">
        <v>0</v>
      </c>
      <c r="AC90" s="1006">
        <v>0</v>
      </c>
      <c r="AD90" s="1006">
        <v>0</v>
      </c>
      <c r="AE90" s="1006">
        <v>0</v>
      </c>
      <c r="AF90" s="1006">
        <v>0</v>
      </c>
      <c r="AG90" s="1006">
        <v>0</v>
      </c>
      <c r="AH90" s="1006"/>
      <c r="AI90" s="1006"/>
      <c r="AJ90" s="1006"/>
      <c r="AK90" s="1140">
        <f t="shared" ref="AK90:AK91" si="71">SUM(Y90:AJ90)</f>
        <v>0</v>
      </c>
      <c r="AL90" s="1136"/>
      <c r="AM90" s="1005"/>
      <c r="AO90" s="1005"/>
      <c r="AQ90" s="1139">
        <f t="shared" ref="AQ90:AQ91" si="72">IFERROR(W90-AK90,0)</f>
        <v>0</v>
      </c>
      <c r="AR90" s="1161">
        <f t="shared" ref="AR90:AR91" si="73">IFERROR((W90/AK90)-1,0)</f>
        <v>0</v>
      </c>
    </row>
    <row r="91" spans="2:44" ht="15.5" x14ac:dyDescent="0.35">
      <c r="B91" s="1172">
        <v>20</v>
      </c>
      <c r="C91" s="362"/>
      <c r="D91" s="1004">
        <v>6273006501</v>
      </c>
      <c r="E91" s="1176" t="s">
        <v>737</v>
      </c>
      <c r="F91" s="438" t="s">
        <v>738</v>
      </c>
      <c r="G91" s="438" t="s">
        <v>739</v>
      </c>
      <c r="H91" s="1004" t="s">
        <v>401</v>
      </c>
      <c r="I91" s="404" t="s">
        <v>703</v>
      </c>
      <c r="J91" s="824"/>
      <c r="K91" s="1139">
        <v>97399222.222222224</v>
      </c>
      <c r="L91" s="1139">
        <v>112520388.8888889</v>
      </c>
      <c r="M91" s="1139">
        <v>73798166.666666657</v>
      </c>
      <c r="N91" s="1139">
        <v>82421222.222222224</v>
      </c>
      <c r="O91" s="1139">
        <v>91397222.222222209</v>
      </c>
      <c r="P91" s="1139">
        <v>106601888.88888888</v>
      </c>
      <c r="Q91" s="1139">
        <v>115356833.33333331</v>
      </c>
      <c r="R91" s="1139">
        <v>122135166.66666666</v>
      </c>
      <c r="S91" s="1139">
        <v>130176833.33333333</v>
      </c>
      <c r="T91" s="1139">
        <v>137594000</v>
      </c>
      <c r="U91" s="1139">
        <v>143435666.66666669</v>
      </c>
      <c r="V91" s="1139">
        <v>145102333.33333334</v>
      </c>
      <c r="W91" s="1140">
        <f t="shared" si="70"/>
        <v>1357938944.4444444</v>
      </c>
      <c r="X91" s="1136"/>
      <c r="Y91" s="1006">
        <v>61014617</v>
      </c>
      <c r="Z91" s="1006">
        <v>139250855</v>
      </c>
      <c r="AA91" s="1006">
        <v>119470115</v>
      </c>
      <c r="AB91" s="1006">
        <v>93604344</v>
      </c>
      <c r="AC91" s="1006">
        <v>95804234</v>
      </c>
      <c r="AD91" s="1006">
        <v>106261921</v>
      </c>
      <c r="AE91" s="1006">
        <v>109612136</v>
      </c>
      <c r="AF91" s="1006">
        <v>79097554</v>
      </c>
      <c r="AG91" s="1006">
        <v>96664453</v>
      </c>
      <c r="AH91" s="1006">
        <v>99669867</v>
      </c>
      <c r="AI91" s="1006">
        <v>99669867</v>
      </c>
      <c r="AJ91" s="1006">
        <v>99669867</v>
      </c>
      <c r="AK91" s="1140">
        <f t="shared" si="71"/>
        <v>1199789830</v>
      </c>
      <c r="AL91" s="1136"/>
      <c r="AM91" s="1005">
        <v>1268335313</v>
      </c>
      <c r="AO91" s="1005"/>
      <c r="AQ91" s="1139">
        <f t="shared" si="72"/>
        <v>158149114.44444442</v>
      </c>
      <c r="AR91" s="1161">
        <f t="shared" si="73"/>
        <v>0.13181401482995092</v>
      </c>
    </row>
    <row r="92" spans="2:44" ht="15.5" x14ac:dyDescent="0.35">
      <c r="B92" s="367">
        <v>21</v>
      </c>
      <c r="C92" s="362"/>
      <c r="D92" s="1004" t="s">
        <v>740</v>
      </c>
      <c r="E92" s="438" t="s">
        <v>741</v>
      </c>
      <c r="F92" s="438" t="s">
        <v>742</v>
      </c>
      <c r="G92" s="438" t="s">
        <v>706</v>
      </c>
      <c r="H92" s="1004" t="s">
        <v>359</v>
      </c>
      <c r="I92" s="404" t="s">
        <v>703</v>
      </c>
      <c r="J92" s="824"/>
      <c r="K92" s="1139">
        <v>0</v>
      </c>
      <c r="L92" s="1139">
        <v>0</v>
      </c>
      <c r="M92" s="1139">
        <v>0</v>
      </c>
      <c r="N92" s="1139">
        <v>0</v>
      </c>
      <c r="O92" s="1139">
        <v>0</v>
      </c>
      <c r="P92" s="1139">
        <v>0</v>
      </c>
      <c r="Q92" s="1139">
        <v>0</v>
      </c>
      <c r="R92" s="1139">
        <v>0</v>
      </c>
      <c r="S92" s="1139">
        <v>0</v>
      </c>
      <c r="T92" s="1139">
        <v>0</v>
      </c>
      <c r="U92" s="1139">
        <v>0</v>
      </c>
      <c r="V92" s="1139">
        <v>0</v>
      </c>
      <c r="W92" s="1140">
        <f t="shared" si="69"/>
        <v>0</v>
      </c>
      <c r="X92" s="1136"/>
      <c r="Y92" s="1006">
        <v>0</v>
      </c>
      <c r="Z92" s="1006">
        <v>0</v>
      </c>
      <c r="AA92" s="1006">
        <v>0</v>
      </c>
      <c r="AB92" s="1006">
        <v>0</v>
      </c>
      <c r="AC92" s="1006">
        <v>0</v>
      </c>
      <c r="AD92" s="1006">
        <v>0</v>
      </c>
      <c r="AE92" s="1006">
        <v>0</v>
      </c>
      <c r="AF92" s="1006">
        <v>0</v>
      </c>
      <c r="AG92" s="1006">
        <v>0</v>
      </c>
      <c r="AH92" s="1006">
        <v>0</v>
      </c>
      <c r="AI92" s="1006">
        <v>0</v>
      </c>
      <c r="AJ92" s="1006">
        <v>0</v>
      </c>
      <c r="AK92" s="1140">
        <f t="shared" ref="AK92:AK94" si="74">SUM(Y92:AJ92)</f>
        <v>0</v>
      </c>
      <c r="AL92" s="1136"/>
      <c r="AM92" s="1005"/>
      <c r="AO92" s="1005"/>
      <c r="AQ92" s="1139"/>
      <c r="AR92" s="1161"/>
    </row>
    <row r="93" spans="2:44" ht="15.5" x14ac:dyDescent="0.35">
      <c r="B93" s="1172">
        <v>22</v>
      </c>
      <c r="C93" s="362"/>
      <c r="D93" s="1004">
        <v>6277006501</v>
      </c>
      <c r="E93" s="1176" t="s">
        <v>2116</v>
      </c>
      <c r="F93" s="438" t="s">
        <v>738</v>
      </c>
      <c r="G93" s="438" t="s">
        <v>743</v>
      </c>
      <c r="H93" s="1004" t="s">
        <v>401</v>
      </c>
      <c r="I93" s="404" t="s">
        <v>726</v>
      </c>
      <c r="J93" s="824"/>
      <c r="K93" s="1139">
        <v>44441755</v>
      </c>
      <c r="L93" s="1139">
        <v>20091755</v>
      </c>
      <c r="M93" s="1139">
        <v>38341755</v>
      </c>
      <c r="N93" s="1139">
        <v>19751755</v>
      </c>
      <c r="O93" s="1139">
        <v>33191755</v>
      </c>
      <c r="P93" s="1139">
        <v>24941755</v>
      </c>
      <c r="Q93" s="1139">
        <v>23657297</v>
      </c>
      <c r="R93" s="1139">
        <v>10384861</v>
      </c>
      <c r="S93" s="1139">
        <v>41964861</v>
      </c>
      <c r="T93" s="1139">
        <v>16084861</v>
      </c>
      <c r="U93" s="1139">
        <v>25504861</v>
      </c>
      <c r="V93" s="1139">
        <v>16204861</v>
      </c>
      <c r="W93" s="1140">
        <f t="shared" si="69"/>
        <v>314562132</v>
      </c>
      <c r="X93" s="1136"/>
      <c r="Y93" s="1006">
        <v>4077694</v>
      </c>
      <c r="Z93" s="1006">
        <v>4077694</v>
      </c>
      <c r="AA93" s="1006">
        <v>4077694</v>
      </c>
      <c r="AB93" s="1006">
        <v>4077698</v>
      </c>
      <c r="AC93" s="1006">
        <v>1851861</v>
      </c>
      <c r="AD93" s="1006">
        <v>1851861</v>
      </c>
      <c r="AE93" s="1006">
        <v>2274462</v>
      </c>
      <c r="AF93" s="1006">
        <v>3811759</v>
      </c>
      <c r="AG93" s="1006">
        <v>3811752</v>
      </c>
      <c r="AH93" s="1006">
        <v>3811752</v>
      </c>
      <c r="AI93" s="1006">
        <v>3811752</v>
      </c>
      <c r="AJ93" s="1006">
        <v>3811752</v>
      </c>
      <c r="AK93" s="1140">
        <f t="shared" ref="AK93" si="75">SUM(Y93:AJ93)</f>
        <v>41347731</v>
      </c>
      <c r="AL93" s="1136"/>
      <c r="AM93" s="1005">
        <v>246990604</v>
      </c>
      <c r="AO93" s="1005"/>
      <c r="AQ93" s="1139">
        <f t="shared" si="46"/>
        <v>273214401</v>
      </c>
      <c r="AR93" s="1161">
        <f t="shared" si="47"/>
        <v>6.607724157826218</v>
      </c>
    </row>
    <row r="94" spans="2:44" ht="15.5" x14ac:dyDescent="0.35">
      <c r="B94" s="1172">
        <v>23</v>
      </c>
      <c r="C94" s="362"/>
      <c r="D94" s="1004">
        <v>6273002001</v>
      </c>
      <c r="E94" s="1176" t="s">
        <v>745</v>
      </c>
      <c r="F94" s="438" t="s">
        <v>738</v>
      </c>
      <c r="G94" s="438" t="s">
        <v>746</v>
      </c>
      <c r="H94" s="1004" t="s">
        <v>379</v>
      </c>
      <c r="I94" s="404" t="s">
        <v>703</v>
      </c>
      <c r="J94" s="824"/>
      <c r="K94" s="1139">
        <v>17209422.849999998</v>
      </c>
      <c r="L94" s="1139">
        <v>17626089.516666666</v>
      </c>
      <c r="M94" s="1139">
        <v>19815658.96111111</v>
      </c>
      <c r="N94" s="1139">
        <v>20982325.627777778</v>
      </c>
      <c r="O94" s="1139">
        <v>20674547.849999998</v>
      </c>
      <c r="P94" s="1139">
        <v>21308561.73888889</v>
      </c>
      <c r="Q94" s="1139">
        <v>21725228.405555554</v>
      </c>
      <c r="R94" s="1139">
        <v>22220353.405555554</v>
      </c>
      <c r="S94" s="1139">
        <v>22775908.961111106</v>
      </c>
      <c r="T94" s="1139">
        <v>31525908.961111106</v>
      </c>
      <c r="U94" s="1139">
        <v>32021033.96111111</v>
      </c>
      <c r="V94" s="1139">
        <v>32576589.516666666</v>
      </c>
      <c r="W94" s="1140">
        <f t="shared" si="69"/>
        <v>280461629.75555551</v>
      </c>
      <c r="X94" s="1136"/>
      <c r="Y94" s="1006">
        <v>18477435</v>
      </c>
      <c r="Z94" s="1006">
        <v>17253829</v>
      </c>
      <c r="AA94" s="1006">
        <v>17253829</v>
      </c>
      <c r="AB94" s="1006">
        <v>17253829</v>
      </c>
      <c r="AC94" s="1006">
        <v>19174863</v>
      </c>
      <c r="AD94" s="1006">
        <v>19709769</v>
      </c>
      <c r="AE94" s="1006">
        <v>20323882</v>
      </c>
      <c r="AF94" s="1006">
        <v>21077142</v>
      </c>
      <c r="AG94" s="1006">
        <v>21246268</v>
      </c>
      <c r="AH94" s="1006">
        <v>21246268</v>
      </c>
      <c r="AI94" s="1006">
        <v>21246268</v>
      </c>
      <c r="AJ94" s="1006">
        <v>21246268</v>
      </c>
      <c r="AK94" s="1140">
        <f t="shared" si="74"/>
        <v>235509650</v>
      </c>
      <c r="AL94" s="1136"/>
      <c r="AM94" s="1005">
        <v>166487735</v>
      </c>
      <c r="AO94" s="1005"/>
      <c r="AQ94" s="1139">
        <f t="shared" si="46"/>
        <v>44951979.755555511</v>
      </c>
      <c r="AR94" s="1161">
        <f t="shared" si="47"/>
        <v>0.19087107367173917</v>
      </c>
    </row>
    <row r="95" spans="2:44" ht="15.5" x14ac:dyDescent="0.35">
      <c r="B95" s="1172">
        <v>24</v>
      </c>
      <c r="C95" s="362"/>
      <c r="D95" s="1004">
        <v>6277002204</v>
      </c>
      <c r="E95" s="1176" t="s">
        <v>747</v>
      </c>
      <c r="F95" s="438" t="s">
        <v>738</v>
      </c>
      <c r="G95" s="438" t="s">
        <v>748</v>
      </c>
      <c r="H95" s="1004" t="s">
        <v>454</v>
      </c>
      <c r="I95" s="404" t="s">
        <v>703</v>
      </c>
      <c r="J95" s="824"/>
      <c r="K95" s="1139">
        <v>15934722.333333334</v>
      </c>
      <c r="L95" s="1139">
        <v>18051389</v>
      </c>
      <c r="M95" s="1139">
        <v>19509722.333333336</v>
      </c>
      <c r="N95" s="1139">
        <v>30186389</v>
      </c>
      <c r="O95" s="1139">
        <v>32386389</v>
      </c>
      <c r="P95" s="1139">
        <v>40079722.333333328</v>
      </c>
      <c r="Q95" s="1139">
        <v>42871389</v>
      </c>
      <c r="R95" s="1139">
        <v>56073055.666666672</v>
      </c>
      <c r="S95" s="1139">
        <v>57198055.666666672</v>
      </c>
      <c r="T95" s="1139">
        <v>61606389.000000007</v>
      </c>
      <c r="U95" s="1139">
        <v>71229722.333333343</v>
      </c>
      <c r="V95" s="1139">
        <v>80568055.666666672</v>
      </c>
      <c r="W95" s="1140">
        <f t="shared" si="69"/>
        <v>525695001.33333343</v>
      </c>
      <c r="X95" s="1136"/>
      <c r="Y95" s="1006">
        <v>29862262</v>
      </c>
      <c r="Z95" s="1006">
        <v>21495593</v>
      </c>
      <c r="AA95" s="1006">
        <v>13531426</v>
      </c>
      <c r="AB95" s="1006">
        <v>22607168</v>
      </c>
      <c r="AC95" s="1006">
        <v>23798835</v>
      </c>
      <c r="AD95" s="1006">
        <v>22701873</v>
      </c>
      <c r="AE95" s="1006">
        <v>29439384</v>
      </c>
      <c r="AF95" s="1006">
        <v>40189391</v>
      </c>
      <c r="AG95" s="1006">
        <v>30639391</v>
      </c>
      <c r="AH95" s="1006">
        <v>30639391</v>
      </c>
      <c r="AI95" s="1006">
        <v>30639391</v>
      </c>
      <c r="AJ95" s="1006">
        <v>30639391</v>
      </c>
      <c r="AK95" s="1140">
        <f t="shared" si="67"/>
        <v>326183496</v>
      </c>
      <c r="AL95" s="1136"/>
      <c r="AM95" s="1005">
        <v>160827695</v>
      </c>
      <c r="AO95" s="1005"/>
      <c r="AQ95" s="1139">
        <f t="shared" si="46"/>
        <v>199511505.33333343</v>
      </c>
      <c r="AR95" s="1161">
        <f t="shared" si="47"/>
        <v>0.61165420010500293</v>
      </c>
    </row>
    <row r="96" spans="2:44" ht="15.5" x14ac:dyDescent="0.35">
      <c r="B96" s="1172">
        <v>25</v>
      </c>
      <c r="C96" s="362"/>
      <c r="D96" s="1004">
        <v>6277002301</v>
      </c>
      <c r="E96" s="1176" t="s">
        <v>749</v>
      </c>
      <c r="F96" s="438" t="s">
        <v>750</v>
      </c>
      <c r="G96" s="438" t="s">
        <v>749</v>
      </c>
      <c r="H96" s="1004" t="s">
        <v>369</v>
      </c>
      <c r="I96" s="404" t="s">
        <v>703</v>
      </c>
      <c r="J96" s="1012"/>
      <c r="K96" s="1139">
        <v>0</v>
      </c>
      <c r="L96" s="1139">
        <v>0</v>
      </c>
      <c r="M96" s="1139">
        <v>0</v>
      </c>
      <c r="N96" s="1139">
        <v>7333333.333333333</v>
      </c>
      <c r="O96" s="1139">
        <v>7333333.333333333</v>
      </c>
      <c r="P96" s="1139">
        <v>7333333.333333333</v>
      </c>
      <c r="Q96" s="1139">
        <v>7333333.333333333</v>
      </c>
      <c r="R96" s="1139">
        <v>7333333.333333333</v>
      </c>
      <c r="S96" s="1139">
        <v>7333333.333333333</v>
      </c>
      <c r="T96" s="1139">
        <v>7333333.333333333</v>
      </c>
      <c r="U96" s="1139">
        <v>7333333.333333333</v>
      </c>
      <c r="V96" s="1139">
        <v>7333333.333333333</v>
      </c>
      <c r="W96" s="1140">
        <f t="shared" si="69"/>
        <v>66000000.000000007</v>
      </c>
      <c r="X96" s="1136"/>
      <c r="Y96" s="1006">
        <v>5440219</v>
      </c>
      <c r="Z96" s="1006">
        <v>5440219</v>
      </c>
      <c r="AA96" s="1006">
        <v>5440219</v>
      </c>
      <c r="AB96" s="1006">
        <v>5440219</v>
      </c>
      <c r="AC96" s="1006">
        <v>5440217</v>
      </c>
      <c r="AD96" s="1006">
        <v>5440219</v>
      </c>
      <c r="AE96" s="1006">
        <v>5440219</v>
      </c>
      <c r="AF96" s="1006">
        <v>5440219</v>
      </c>
      <c r="AG96" s="1006">
        <v>5440219</v>
      </c>
      <c r="AH96" s="1006">
        <v>5440219</v>
      </c>
      <c r="AI96" s="1006">
        <v>5440219</v>
      </c>
      <c r="AJ96" s="1006">
        <v>5440219</v>
      </c>
      <c r="AK96" s="1140">
        <f t="shared" si="67"/>
        <v>65282626</v>
      </c>
      <c r="AL96" s="1136"/>
      <c r="AM96" s="1005">
        <v>51775877</v>
      </c>
      <c r="AO96" s="1005"/>
      <c r="AQ96" s="1139">
        <f t="shared" si="46"/>
        <v>717374.00000000745</v>
      </c>
      <c r="AR96" s="1161">
        <f t="shared" si="47"/>
        <v>1.0988743007978918E-2</v>
      </c>
    </row>
    <row r="97" spans="2:44" ht="15.5" x14ac:dyDescent="0.35">
      <c r="B97" s="1172">
        <v>26</v>
      </c>
      <c r="C97" s="362"/>
      <c r="D97" s="1004">
        <v>6273001908</v>
      </c>
      <c r="E97" s="1176" t="s">
        <v>751</v>
      </c>
      <c r="F97" s="438" t="s">
        <v>725</v>
      </c>
      <c r="G97" s="438" t="s">
        <v>752</v>
      </c>
      <c r="H97" s="1004" t="s">
        <v>369</v>
      </c>
      <c r="I97" s="404" t="s">
        <v>703</v>
      </c>
      <c r="J97" s="371"/>
      <c r="K97" s="1139">
        <v>2500000</v>
      </c>
      <c r="L97" s="1139">
        <v>2500000</v>
      </c>
      <c r="M97" s="1139">
        <v>3194444.4444444445</v>
      </c>
      <c r="N97" s="1139">
        <v>3194444.4444444445</v>
      </c>
      <c r="O97" s="1139">
        <v>4027777.777777778</v>
      </c>
      <c r="P97" s="1139">
        <v>7215277.777777778</v>
      </c>
      <c r="Q97" s="1139">
        <v>8048611.111111111</v>
      </c>
      <c r="R97" s="1139">
        <v>8048611.111111111</v>
      </c>
      <c r="S97" s="1139">
        <v>9854166.6666666679</v>
      </c>
      <c r="T97" s="1139">
        <v>11243055.555555556</v>
      </c>
      <c r="U97" s="1139">
        <v>11243055.555555556</v>
      </c>
      <c r="V97" s="1139">
        <v>12076388.88888889</v>
      </c>
      <c r="W97" s="1140">
        <f t="shared" si="69"/>
        <v>83145833.333333328</v>
      </c>
      <c r="X97" s="1136"/>
      <c r="Y97" s="1006">
        <v>39619275</v>
      </c>
      <c r="Z97" s="1006">
        <v>8503860</v>
      </c>
      <c r="AA97" s="1006">
        <v>4264138</v>
      </c>
      <c r="AB97" s="1006">
        <v>3486361</v>
      </c>
      <c r="AC97" s="1006">
        <v>2890861</v>
      </c>
      <c r="AD97" s="1006">
        <v>4151114</v>
      </c>
      <c r="AE97" s="1006">
        <v>5382039</v>
      </c>
      <c r="AF97" s="1006">
        <v>5382024</v>
      </c>
      <c r="AG97" s="1006">
        <v>5149524</v>
      </c>
      <c r="AH97" s="1006">
        <v>5149524</v>
      </c>
      <c r="AI97" s="1006">
        <v>5149524</v>
      </c>
      <c r="AJ97" s="1006">
        <v>5149524</v>
      </c>
      <c r="AK97" s="1140">
        <f t="shared" si="67"/>
        <v>94277768</v>
      </c>
      <c r="AL97" s="1136"/>
      <c r="AM97" s="1005"/>
      <c r="AO97" s="1005"/>
      <c r="AQ97" s="1139">
        <f t="shared" si="46"/>
        <v>-11131934.666666672</v>
      </c>
      <c r="AR97" s="1161">
        <f t="shared" si="47"/>
        <v>-0.11807592503321329</v>
      </c>
    </row>
    <row r="98" spans="2:44" ht="15.5" x14ac:dyDescent="0.35">
      <c r="B98" s="1172">
        <v>27</v>
      </c>
      <c r="C98" s="362"/>
      <c r="D98" s="1009">
        <v>6277003803</v>
      </c>
      <c r="E98" s="1187" t="s">
        <v>754</v>
      </c>
      <c r="F98" s="1010" t="s">
        <v>755</v>
      </c>
      <c r="G98" s="1010" t="s">
        <v>754</v>
      </c>
      <c r="H98" s="1009"/>
      <c r="I98" s="1011"/>
      <c r="J98" s="376"/>
      <c r="K98" s="1139">
        <v>6695000.666666667</v>
      </c>
      <c r="L98" s="1139">
        <v>5986667.666666667</v>
      </c>
      <c r="M98" s="1139">
        <v>5986667.666666667</v>
      </c>
      <c r="N98" s="1139">
        <v>11820001</v>
      </c>
      <c r="O98" s="1139">
        <v>11903334.333333332</v>
      </c>
      <c r="P98" s="1139">
        <v>12070001</v>
      </c>
      <c r="Q98" s="1139">
        <v>9908334</v>
      </c>
      <c r="R98" s="1139">
        <v>9991667.3333333321</v>
      </c>
      <c r="S98" s="1139">
        <v>14183333.333333334</v>
      </c>
      <c r="T98" s="1139">
        <v>9266666.666666666</v>
      </c>
      <c r="U98" s="1139">
        <v>9266666.666666666</v>
      </c>
      <c r="V98" s="1139">
        <v>9266666.666666666</v>
      </c>
      <c r="W98" s="1140">
        <f t="shared" si="69"/>
        <v>116345007</v>
      </c>
      <c r="X98" s="1136"/>
      <c r="Y98" s="1006">
        <v>659750</v>
      </c>
      <c r="Z98" s="1006">
        <v>1368087</v>
      </c>
      <c r="AA98" s="1006">
        <v>1368083</v>
      </c>
      <c r="AB98" s="1006">
        <v>1368083</v>
      </c>
      <c r="AC98" s="1006">
        <v>1368083</v>
      </c>
      <c r="AD98" s="1006">
        <v>1368083</v>
      </c>
      <c r="AE98" s="1006">
        <v>3469996</v>
      </c>
      <c r="AF98" s="1006">
        <v>3470000</v>
      </c>
      <c r="AG98" s="1006">
        <v>4278326</v>
      </c>
      <c r="AH98" s="1006">
        <v>4278326</v>
      </c>
      <c r="AI98" s="1006">
        <v>4278326</v>
      </c>
      <c r="AJ98" s="1006">
        <v>4278326</v>
      </c>
      <c r="AK98" s="1140">
        <f t="shared" ref="AK98" si="76">SUM(Y98:AJ98)</f>
        <v>31553469</v>
      </c>
      <c r="AL98" s="1136"/>
      <c r="AM98" s="1013">
        <v>15908500</v>
      </c>
      <c r="AO98" s="1013"/>
      <c r="AQ98" s="1164"/>
      <c r="AR98" s="1165"/>
    </row>
    <row r="99" spans="2:44" ht="15.5" x14ac:dyDescent="0.35">
      <c r="B99" s="1172">
        <v>28</v>
      </c>
      <c r="C99" s="362"/>
      <c r="D99" s="368"/>
      <c r="E99" s="1175" t="s">
        <v>756</v>
      </c>
      <c r="F99" s="369" t="s">
        <v>757</v>
      </c>
      <c r="G99" s="369" t="s">
        <v>756</v>
      </c>
      <c r="H99" s="368" t="s">
        <v>369</v>
      </c>
      <c r="I99" s="404" t="s">
        <v>758</v>
      </c>
      <c r="J99" s="376"/>
      <c r="K99" s="1139">
        <f>SUM(PB_TSCD!AF130:AF131,PB_TSCD!AF134,,PB_TSCD!AF135)</f>
        <v>146441160.14758909</v>
      </c>
      <c r="L99" s="1139">
        <f>SUM(PB_TSCD!AG130:AG131,PB_TSCD!AG134,,PB_TSCD!AG135)</f>
        <v>146441160.14758909</v>
      </c>
      <c r="M99" s="1139">
        <f>SUM(PB_TSCD!AH130:AH131,PB_TSCD!AH134,,PB_TSCD!AH135)</f>
        <v>143877524.14758909</v>
      </c>
      <c r="N99" s="1139">
        <f>SUM(PB_TSCD!AI130:AI131,PB_TSCD!AI134,,PB_TSCD!AI135)</f>
        <v>143877524.14758909</v>
      </c>
      <c r="O99" s="1139">
        <f>SUM(PB_TSCD!AJ130:AJ131,PB_TSCD!AJ134,,PB_TSCD!AJ135)</f>
        <v>143877524.14758909</v>
      </c>
      <c r="P99" s="1139">
        <f>SUM(PB_TSCD!AK130:AK131,PB_TSCD!AK134,,PB_TSCD!AK135)</f>
        <v>143877524.14758909</v>
      </c>
      <c r="Q99" s="1139">
        <f>SUM(PB_TSCD!AL130:AL131,PB_TSCD!AL134,,PB_TSCD!AL135)</f>
        <v>143877524.14758909</v>
      </c>
      <c r="R99" s="1139">
        <f>SUM(PB_TSCD!AM130:AM131,PB_TSCD!AM134,,PB_TSCD!AM135)</f>
        <v>143877524.14758909</v>
      </c>
      <c r="S99" s="1139">
        <f>SUM(PB_TSCD!AN130:AN131,PB_TSCD!AN134,,PB_TSCD!AN135)</f>
        <v>143877524.14758909</v>
      </c>
      <c r="T99" s="1139">
        <f>SUM(PB_TSCD!AO130:AO131,PB_TSCD!AO134,,PB_TSCD!AO135)</f>
        <v>143877524.14758909</v>
      </c>
      <c r="U99" s="1139">
        <f>SUM(PB_TSCD!AP130:AP131,PB_TSCD!AP134,,PB_TSCD!AP135)</f>
        <v>143877524.14758909</v>
      </c>
      <c r="V99" s="1139">
        <f>SUM(PB_TSCD!AQ130:AQ131,PB_TSCD!AQ134,,PB_TSCD!AQ135)</f>
        <v>143877524.14758909</v>
      </c>
      <c r="W99" s="1140">
        <f t="shared" si="69"/>
        <v>1731657561.7710695</v>
      </c>
      <c r="X99" s="1136"/>
      <c r="Y99" s="824">
        <v>292390809</v>
      </c>
      <c r="Z99" s="824">
        <v>290533034</v>
      </c>
      <c r="AA99" s="824">
        <v>290533030</v>
      </c>
      <c r="AB99" s="824">
        <v>298658031</v>
      </c>
      <c r="AC99" s="824">
        <v>298658035</v>
      </c>
      <c r="AD99" s="824">
        <v>286972824</v>
      </c>
      <c r="AE99" s="824">
        <v>286972819</v>
      </c>
      <c r="AF99" s="824">
        <v>328533627</v>
      </c>
      <c r="AG99" s="824">
        <v>328533620</v>
      </c>
      <c r="AH99" s="824">
        <v>328533620</v>
      </c>
      <c r="AI99" s="824">
        <v>328533620</v>
      </c>
      <c r="AJ99" s="824">
        <v>328533620</v>
      </c>
      <c r="AK99" s="1140">
        <f t="shared" si="67"/>
        <v>3687386689</v>
      </c>
      <c r="AL99" s="1136"/>
      <c r="AM99" s="1005">
        <v>1010732727</v>
      </c>
      <c r="AO99" s="392"/>
      <c r="AQ99" s="1137">
        <f t="shared" si="46"/>
        <v>-1955729127.2289305</v>
      </c>
      <c r="AR99" s="1160">
        <f t="shared" si="47"/>
        <v>-0.53038351878395318</v>
      </c>
    </row>
    <row r="100" spans="2:44" ht="15.5" x14ac:dyDescent="0.35">
      <c r="B100" s="1177"/>
      <c r="C100" s="372"/>
      <c r="D100" s="373"/>
      <c r="E100" s="1179"/>
      <c r="F100" s="374"/>
      <c r="G100" s="374"/>
      <c r="H100" s="373"/>
      <c r="I100" s="405"/>
      <c r="J100" s="376"/>
      <c r="K100" s="1145"/>
      <c r="L100" s="1145"/>
      <c r="M100" s="1145"/>
      <c r="N100" s="1145"/>
      <c r="O100" s="1145"/>
      <c r="P100" s="1145"/>
      <c r="Q100" s="1145"/>
      <c r="R100" s="1145"/>
      <c r="S100" s="1145"/>
      <c r="T100" s="1145"/>
      <c r="U100" s="1145"/>
      <c r="V100" s="1145"/>
      <c r="W100" s="1146"/>
      <c r="X100" s="1136"/>
      <c r="Y100" s="376"/>
      <c r="Z100" s="376"/>
      <c r="AA100" s="376"/>
      <c r="AB100" s="376"/>
      <c r="AC100" s="376"/>
      <c r="AD100" s="376"/>
      <c r="AE100" s="376"/>
      <c r="AF100" s="376"/>
      <c r="AG100" s="376"/>
      <c r="AH100" s="376"/>
      <c r="AI100" s="376"/>
      <c r="AJ100" s="376"/>
      <c r="AK100" s="1146"/>
      <c r="AL100" s="1136"/>
      <c r="AM100" s="393"/>
      <c r="AO100" s="393"/>
      <c r="AQ100" s="1145">
        <f t="shared" si="46"/>
        <v>0</v>
      </c>
      <c r="AR100" s="1162">
        <f t="shared" si="47"/>
        <v>0</v>
      </c>
    </row>
    <row r="101" spans="2:44" ht="15.5" x14ac:dyDescent="0.35">
      <c r="B101" s="1183" t="s">
        <v>759</v>
      </c>
      <c r="C101" s="183"/>
      <c r="D101" s="182"/>
      <c r="E101" s="1188" t="s">
        <v>760</v>
      </c>
      <c r="F101" s="452"/>
      <c r="G101" s="453"/>
      <c r="H101" s="453"/>
      <c r="I101" s="454"/>
      <c r="J101" s="360"/>
      <c r="K101" s="1149">
        <f t="shared" ref="K101:W101" si="77">K71+K5</f>
        <v>2016081334.3621292</v>
      </c>
      <c r="L101" s="1149">
        <f t="shared" si="77"/>
        <v>1746026553.0099905</v>
      </c>
      <c r="M101" s="1149">
        <f t="shared" si="77"/>
        <v>2002026730.6343527</v>
      </c>
      <c r="N101" s="1149">
        <f t="shared" si="77"/>
        <v>2095724145.3082857</v>
      </c>
      <c r="O101" s="1149">
        <f t="shared" si="77"/>
        <v>2105286710.6750031</v>
      </c>
      <c r="P101" s="1149">
        <f t="shared" si="77"/>
        <v>2177110679.4961863</v>
      </c>
      <c r="Q101" s="1149">
        <f t="shared" si="77"/>
        <v>2192294777.6457591</v>
      </c>
      <c r="R101" s="1149">
        <f t="shared" si="77"/>
        <v>2199395799.9790921</v>
      </c>
      <c r="S101" s="1149">
        <f t="shared" si="77"/>
        <v>2211529301.7953315</v>
      </c>
      <c r="T101" s="1149">
        <f t="shared" si="77"/>
        <v>2220947538.0175533</v>
      </c>
      <c r="U101" s="1149">
        <f t="shared" si="77"/>
        <v>2267666145.9406304</v>
      </c>
      <c r="V101" s="1149">
        <f t="shared" si="77"/>
        <v>2253783645.867981</v>
      </c>
      <c r="W101" s="1149">
        <f t="shared" si="77"/>
        <v>25487873362.732292</v>
      </c>
      <c r="X101" s="1133"/>
      <c r="Y101" s="360">
        <f t="shared" ref="Y101:AK101" si="78">Y71+Y5</f>
        <v>1688202213</v>
      </c>
      <c r="Z101" s="360">
        <f t="shared" si="78"/>
        <v>1560598994</v>
      </c>
      <c r="AA101" s="360">
        <f t="shared" si="78"/>
        <v>1810333355</v>
      </c>
      <c r="AB101" s="360">
        <f t="shared" si="78"/>
        <v>1869116769</v>
      </c>
      <c r="AC101" s="360">
        <f t="shared" si="78"/>
        <v>1767637417</v>
      </c>
      <c r="AD101" s="360">
        <f t="shared" si="78"/>
        <v>2012253566</v>
      </c>
      <c r="AE101" s="360">
        <f t="shared" si="78"/>
        <v>2307944941</v>
      </c>
      <c r="AF101" s="360">
        <f t="shared" si="78"/>
        <v>2569544010</v>
      </c>
      <c r="AG101" s="360">
        <f t="shared" si="78"/>
        <v>2528303088</v>
      </c>
      <c r="AH101" s="360">
        <f t="shared" si="78"/>
        <v>2376937988.3891406</v>
      </c>
      <c r="AI101" s="360">
        <f t="shared" si="78"/>
        <v>2376937988.3891401</v>
      </c>
      <c r="AJ101" s="360">
        <f t="shared" si="78"/>
        <v>2377437988.3891401</v>
      </c>
      <c r="AK101" s="1149">
        <f t="shared" si="78"/>
        <v>25245248318.167419</v>
      </c>
      <c r="AL101" s="1136"/>
      <c r="AM101" s="360">
        <f>AM71+AM5</f>
        <v>14849450824</v>
      </c>
      <c r="AN101" s="514"/>
      <c r="AO101" s="360">
        <f>AO71+AO5</f>
        <v>0</v>
      </c>
      <c r="AQ101" s="1149">
        <f t="shared" si="46"/>
        <v>242625044.56487274</v>
      </c>
      <c r="AR101" s="1163">
        <f t="shared" si="47"/>
        <v>9.6107212536415965E-3</v>
      </c>
    </row>
    <row r="102" spans="2:44" ht="15.5" x14ac:dyDescent="0.35">
      <c r="B102" s="1184"/>
      <c r="E102" s="1184"/>
      <c r="I102" s="88"/>
      <c r="K102" s="1153"/>
      <c r="L102" s="1153"/>
      <c r="M102" s="1153"/>
      <c r="N102" s="1153"/>
      <c r="O102" s="1153"/>
      <c r="P102" s="1153"/>
      <c r="Q102" s="1153"/>
      <c r="R102" s="1153"/>
      <c r="S102" s="1153"/>
      <c r="T102" s="1153"/>
      <c r="U102" s="1153"/>
      <c r="V102" s="1153"/>
      <c r="W102" s="1154"/>
      <c r="X102" s="1136"/>
      <c r="AK102" s="1154"/>
      <c r="AL102" s="1136"/>
      <c r="AQ102" s="1154"/>
      <c r="AR102" s="1166"/>
    </row>
    <row r="103" spans="2:44" ht="15.5" x14ac:dyDescent="0.35">
      <c r="B103" s="1185" t="s">
        <v>761</v>
      </c>
      <c r="C103" s="63"/>
      <c r="D103" s="85"/>
      <c r="E103" s="1185"/>
      <c r="F103" s="63"/>
      <c r="G103" s="63"/>
      <c r="K103" s="1153"/>
      <c r="L103" s="1153"/>
      <c r="M103" s="1153"/>
      <c r="N103" s="1153"/>
      <c r="O103" s="1153"/>
      <c r="P103" s="1153"/>
      <c r="Q103" s="1153"/>
      <c r="R103" s="1153"/>
      <c r="S103" s="1153"/>
      <c r="T103" s="1153"/>
      <c r="U103" s="1153"/>
      <c r="V103" s="1153"/>
      <c r="W103" s="1155" t="s">
        <v>145</v>
      </c>
      <c r="X103" s="1136"/>
      <c r="AK103" s="1155"/>
      <c r="AL103" s="1136"/>
      <c r="AM103" s="390"/>
      <c r="AO103" s="390"/>
      <c r="AQ103" s="1155"/>
      <c r="AR103" s="1167"/>
    </row>
    <row r="104" spans="2:44" ht="58" x14ac:dyDescent="0.35">
      <c r="B104" s="1186" t="s">
        <v>36</v>
      </c>
      <c r="C104" s="172" t="s">
        <v>697</v>
      </c>
      <c r="D104" s="173" t="s">
        <v>482</v>
      </c>
      <c r="E104" s="1189" t="s">
        <v>483</v>
      </c>
      <c r="F104" s="175" t="s">
        <v>762</v>
      </c>
      <c r="G104" s="172" t="s">
        <v>146</v>
      </c>
      <c r="H104" s="172" t="s">
        <v>354</v>
      </c>
      <c r="I104" s="401" t="s">
        <v>699</v>
      </c>
      <c r="J104" s="116" t="s">
        <v>700</v>
      </c>
      <c r="K104" s="1156" t="s">
        <v>149</v>
      </c>
      <c r="L104" s="1156" t="s">
        <v>150</v>
      </c>
      <c r="M104" s="1156" t="s">
        <v>151</v>
      </c>
      <c r="N104" s="1156" t="s">
        <v>152</v>
      </c>
      <c r="O104" s="1156" t="s">
        <v>153</v>
      </c>
      <c r="P104" s="1156" t="s">
        <v>154</v>
      </c>
      <c r="Q104" s="1156" t="s">
        <v>155</v>
      </c>
      <c r="R104" s="1156" t="s">
        <v>156</v>
      </c>
      <c r="S104" s="1156" t="s">
        <v>157</v>
      </c>
      <c r="T104" s="1156" t="s">
        <v>158</v>
      </c>
      <c r="U104" s="1156" t="s">
        <v>159</v>
      </c>
      <c r="V104" s="1156" t="s">
        <v>160</v>
      </c>
      <c r="W104" s="1156" t="s">
        <v>161</v>
      </c>
      <c r="X104" s="1136"/>
      <c r="Y104" s="714" t="s">
        <v>149</v>
      </c>
      <c r="Z104" s="714" t="s">
        <v>150</v>
      </c>
      <c r="AA104" s="714" t="s">
        <v>151</v>
      </c>
      <c r="AB104" s="714" t="s">
        <v>152</v>
      </c>
      <c r="AC104" s="714" t="s">
        <v>153</v>
      </c>
      <c r="AD104" s="714" t="s">
        <v>154</v>
      </c>
      <c r="AE104" s="714" t="s">
        <v>155</v>
      </c>
      <c r="AF104" s="714" t="s">
        <v>156</v>
      </c>
      <c r="AG104" s="714" t="s">
        <v>157</v>
      </c>
      <c r="AH104" s="714" t="s">
        <v>158</v>
      </c>
      <c r="AI104" s="714" t="s">
        <v>159</v>
      </c>
      <c r="AJ104" s="714" t="s">
        <v>160</v>
      </c>
      <c r="AK104" s="1158" t="s">
        <v>148</v>
      </c>
      <c r="AL104" s="1136"/>
      <c r="AM104" s="714" t="s">
        <v>526</v>
      </c>
      <c r="AO104" s="714" t="s">
        <v>527</v>
      </c>
      <c r="AQ104" s="1168" t="s">
        <v>528</v>
      </c>
      <c r="AR104" s="1169" t="s">
        <v>529</v>
      </c>
    </row>
    <row r="105" spans="2:44" ht="15.5" x14ac:dyDescent="0.35">
      <c r="B105" s="1170" t="s">
        <v>108</v>
      </c>
      <c r="C105" s="263"/>
      <c r="D105" s="178"/>
      <c r="E105" s="1190" t="s">
        <v>176</v>
      </c>
      <c r="F105" s="179"/>
      <c r="G105" s="180"/>
      <c r="H105" s="180"/>
      <c r="I105" s="402"/>
      <c r="J105" s="181">
        <f>SUM(J106:J126)</f>
        <v>0</v>
      </c>
      <c r="K105" s="1132">
        <f>SUM(K106:K126)</f>
        <v>0</v>
      </c>
      <c r="L105" s="1132">
        <f t="shared" ref="L105" si="79">SUM(L106:L126)</f>
        <v>0</v>
      </c>
      <c r="M105" s="1132">
        <f t="shared" ref="M105" si="80">SUM(M106:M126)</f>
        <v>0</v>
      </c>
      <c r="N105" s="1132">
        <f t="shared" ref="N105" si="81">SUM(N106:N126)</f>
        <v>0</v>
      </c>
      <c r="O105" s="1132">
        <f t="shared" ref="O105" si="82">SUM(O106:O126)</f>
        <v>0</v>
      </c>
      <c r="P105" s="1132">
        <f t="shared" ref="P105" si="83">SUM(P106:P126)</f>
        <v>463722021.07142854</v>
      </c>
      <c r="Q105" s="1132">
        <f t="shared" ref="Q105" si="84">SUM(Q106:Q126)</f>
        <v>463722021.07142854</v>
      </c>
      <c r="R105" s="1132">
        <f t="shared" ref="R105" si="85">SUM(R106:R126)</f>
        <v>463722021.07142854</v>
      </c>
      <c r="S105" s="1132">
        <f t="shared" ref="S105" si="86">SUM(S106:S126)</f>
        <v>463722021.07142854</v>
      </c>
      <c r="T105" s="1132">
        <f t="shared" ref="T105" si="87">SUM(T106:T126)</f>
        <v>463722021.07142854</v>
      </c>
      <c r="U105" s="1132">
        <f t="shared" ref="U105" si="88">SUM(U106:U126)</f>
        <v>463722021.07142854</v>
      </c>
      <c r="V105" s="1132">
        <f t="shared" ref="V105" si="89">SUM(V106:V126)</f>
        <v>463722021.07142854</v>
      </c>
      <c r="W105" s="1132">
        <f t="shared" ref="W105" si="90">SUM(W106:W126)</f>
        <v>3246054147.5</v>
      </c>
      <c r="X105" s="1133"/>
      <c r="Y105" s="181">
        <f>SUM(Y107:Y126)</f>
        <v>0</v>
      </c>
      <c r="Z105" s="181">
        <f t="shared" ref="Z105:AK105" si="91">SUM(Z106:Z126)</f>
        <v>130000000</v>
      </c>
      <c r="AA105" s="181">
        <f t="shared" si="91"/>
        <v>0</v>
      </c>
      <c r="AB105" s="181">
        <f t="shared" si="91"/>
        <v>0</v>
      </c>
      <c r="AC105" s="181">
        <f t="shared" si="91"/>
        <v>0</v>
      </c>
      <c r="AD105" s="181">
        <f t="shared" si="91"/>
        <v>0</v>
      </c>
      <c r="AE105" s="181">
        <f t="shared" si="91"/>
        <v>0</v>
      </c>
      <c r="AF105" s="181">
        <f t="shared" si="91"/>
        <v>0</v>
      </c>
      <c r="AG105" s="181">
        <f t="shared" si="91"/>
        <v>0</v>
      </c>
      <c r="AH105" s="181">
        <f t="shared" si="91"/>
        <v>0</v>
      </c>
      <c r="AI105" s="181">
        <f t="shared" si="91"/>
        <v>0</v>
      </c>
      <c r="AJ105" s="181">
        <f t="shared" si="91"/>
        <v>0</v>
      </c>
      <c r="AK105" s="1132">
        <f t="shared" si="91"/>
        <v>130000000</v>
      </c>
      <c r="AL105" s="1133"/>
      <c r="AM105" s="181">
        <f t="shared" ref="AM105:AO105" si="92">SUM(AM106:AM126)</f>
        <v>0</v>
      </c>
      <c r="AO105" s="181">
        <f t="shared" si="92"/>
        <v>0</v>
      </c>
      <c r="AQ105" s="1149">
        <f t="shared" ref="AQ105:AQ157" si="93">IFERROR(W105-AK105,0)</f>
        <v>3116054147.5</v>
      </c>
      <c r="AR105" s="1163">
        <f t="shared" ref="AR105:AR157" si="94">IFERROR((W105/AK105)-1,0)</f>
        <v>23.969647288461537</v>
      </c>
    </row>
    <row r="106" spans="2:44" ht="15.5" x14ac:dyDescent="0.35">
      <c r="B106" s="362">
        <v>1</v>
      </c>
      <c r="C106" s="362"/>
      <c r="D106" s="363">
        <v>6220002601</v>
      </c>
      <c r="E106" s="364" t="s">
        <v>504</v>
      </c>
      <c r="F106" s="364" t="s">
        <v>489</v>
      </c>
      <c r="G106" s="364" t="s">
        <v>504</v>
      </c>
      <c r="H106" s="363" t="s">
        <v>359</v>
      </c>
      <c r="I106" s="403" t="s">
        <v>701</v>
      </c>
      <c r="J106" s="366"/>
      <c r="K106" s="1134">
        <f>'Dinh muc'!$G$43*'3.Thanh pham'!F155</f>
        <v>0</v>
      </c>
      <c r="L106" s="1134">
        <f>'Dinh muc'!$G$43*'3.Thanh pham'!G155</f>
        <v>0</v>
      </c>
      <c r="M106" s="1134">
        <f>'Dinh muc'!$G$43*'3.Thanh pham'!H155</f>
        <v>0</v>
      </c>
      <c r="N106" s="1134">
        <f>'Dinh muc'!$G$43*'3.Thanh pham'!I155</f>
        <v>0</v>
      </c>
      <c r="O106" s="1134">
        <f>'Dinh muc'!$G$43*'3.Thanh pham'!J155</f>
        <v>0</v>
      </c>
      <c r="P106" s="1134">
        <f>'Dinh muc'!$G$43*'3.Thanh pham'!K155</f>
        <v>58949880</v>
      </c>
      <c r="Q106" s="1134">
        <f>'Dinh muc'!$G$43*'3.Thanh pham'!L155</f>
        <v>58949880</v>
      </c>
      <c r="R106" s="1134">
        <f>'Dinh muc'!$G$43*'3.Thanh pham'!M155</f>
        <v>58949880</v>
      </c>
      <c r="S106" s="1134">
        <f>'Dinh muc'!$G$43*'3.Thanh pham'!N155</f>
        <v>58949880</v>
      </c>
      <c r="T106" s="1134">
        <f>'Dinh muc'!$G$43*'3.Thanh pham'!O155</f>
        <v>58949880</v>
      </c>
      <c r="U106" s="1134">
        <f>'Dinh muc'!$G$43*'3.Thanh pham'!P155</f>
        <v>58949880</v>
      </c>
      <c r="V106" s="1134">
        <f>'Dinh muc'!$G$43*'3.Thanh pham'!Q155</f>
        <v>58949880</v>
      </c>
      <c r="W106" s="1135">
        <f t="shared" ref="W106:W126" si="95">SUM(K106:V106)</f>
        <v>412649160</v>
      </c>
      <c r="X106" s="1136"/>
      <c r="Z106" s="366">
        <v>60000000</v>
      </c>
      <c r="AA106" s="366"/>
      <c r="AB106" s="366"/>
      <c r="AC106" s="366"/>
      <c r="AD106" s="366"/>
      <c r="AE106" s="366"/>
      <c r="AF106" s="366"/>
      <c r="AG106" s="366"/>
      <c r="AH106" s="366"/>
      <c r="AI106" s="366"/>
      <c r="AJ106" s="366"/>
      <c r="AK106" s="1135">
        <f t="shared" ref="AK106:AK118" si="96">SUM(Y106:AJ106)</f>
        <v>60000000</v>
      </c>
      <c r="AL106" s="1136"/>
      <c r="AM106" s="391"/>
      <c r="AO106" s="391"/>
      <c r="AQ106" s="1137">
        <f t="shared" si="93"/>
        <v>352649160</v>
      </c>
      <c r="AR106" s="1160">
        <f t="shared" si="94"/>
        <v>5.8774860000000002</v>
      </c>
    </row>
    <row r="107" spans="2:44" ht="15.5" x14ac:dyDescent="0.35">
      <c r="B107" s="367">
        <v>2</v>
      </c>
      <c r="C107" s="367"/>
      <c r="D107" s="1004">
        <v>6220002602</v>
      </c>
      <c r="E107" s="438" t="s">
        <v>505</v>
      </c>
      <c r="F107" s="438" t="s">
        <v>489</v>
      </c>
      <c r="G107" s="438" t="s">
        <v>505</v>
      </c>
      <c r="H107" s="1004" t="s">
        <v>359</v>
      </c>
      <c r="I107" s="404" t="s">
        <v>701</v>
      </c>
      <c r="J107" s="824"/>
      <c r="K107" s="1139"/>
      <c r="L107" s="1139"/>
      <c r="M107" s="1139"/>
      <c r="N107" s="1139"/>
      <c r="O107" s="1139"/>
      <c r="P107" s="1139"/>
      <c r="Q107" s="1139"/>
      <c r="R107" s="1139"/>
      <c r="S107" s="1139"/>
      <c r="T107" s="1139"/>
      <c r="U107" s="1139"/>
      <c r="V107" s="1139"/>
      <c r="W107" s="1140">
        <f t="shared" si="95"/>
        <v>0</v>
      </c>
      <c r="X107" s="1136"/>
      <c r="Y107" s="1006"/>
      <c r="Z107" s="824"/>
      <c r="AA107" s="824"/>
      <c r="AB107" s="824"/>
      <c r="AC107" s="824"/>
      <c r="AD107" s="824"/>
      <c r="AE107" s="824"/>
      <c r="AF107" s="824"/>
      <c r="AG107" s="824"/>
      <c r="AH107" s="824"/>
      <c r="AI107" s="824"/>
      <c r="AJ107" s="824"/>
      <c r="AK107" s="1140">
        <f>SUM(Y107:AJ107)</f>
        <v>0</v>
      </c>
      <c r="AL107" s="1136"/>
      <c r="AM107" s="1005"/>
      <c r="AN107" s="10"/>
      <c r="AO107" s="1005"/>
      <c r="AP107" s="10"/>
      <c r="AQ107" s="1137">
        <f t="shared" si="93"/>
        <v>0</v>
      </c>
      <c r="AR107" s="1160">
        <f t="shared" si="94"/>
        <v>0</v>
      </c>
    </row>
    <row r="108" spans="2:44" ht="15.5" x14ac:dyDescent="0.35">
      <c r="B108" s="367">
        <v>3</v>
      </c>
      <c r="C108" s="367"/>
      <c r="D108" s="1004">
        <v>6220002802</v>
      </c>
      <c r="E108" s="438" t="s">
        <v>506</v>
      </c>
      <c r="F108" s="438" t="s">
        <v>493</v>
      </c>
      <c r="G108" s="438" t="s">
        <v>506</v>
      </c>
      <c r="H108" s="1004" t="s">
        <v>359</v>
      </c>
      <c r="I108" s="404" t="s">
        <v>701</v>
      </c>
      <c r="J108" s="824"/>
      <c r="K108" s="1139"/>
      <c r="L108" s="1139"/>
      <c r="M108" s="1139"/>
      <c r="N108" s="1139"/>
      <c r="O108" s="1139"/>
      <c r="P108" s="1139"/>
      <c r="Q108" s="1139"/>
      <c r="R108" s="1139"/>
      <c r="S108" s="1139"/>
      <c r="T108" s="1139"/>
      <c r="U108" s="1139"/>
      <c r="V108" s="1139"/>
      <c r="W108" s="1140">
        <f t="shared" si="95"/>
        <v>0</v>
      </c>
      <c r="X108" s="1136"/>
      <c r="Y108" s="824"/>
      <c r="Z108" s="824"/>
      <c r="AA108" s="824"/>
      <c r="AB108" s="824"/>
      <c r="AC108" s="824"/>
      <c r="AD108" s="824"/>
      <c r="AE108" s="824"/>
      <c r="AF108" s="824"/>
      <c r="AG108" s="824"/>
      <c r="AH108" s="824"/>
      <c r="AI108" s="824"/>
      <c r="AJ108" s="824"/>
      <c r="AK108" s="1140">
        <f t="shared" si="96"/>
        <v>0</v>
      </c>
      <c r="AL108" s="1136"/>
      <c r="AM108" s="1005"/>
      <c r="AN108" s="10"/>
      <c r="AO108" s="1005"/>
      <c r="AP108" s="10"/>
      <c r="AQ108" s="1137">
        <f t="shared" si="93"/>
        <v>0</v>
      </c>
      <c r="AR108" s="1160">
        <f t="shared" si="94"/>
        <v>0</v>
      </c>
    </row>
    <row r="109" spans="2:44" ht="15.5" x14ac:dyDescent="0.35">
      <c r="B109" s="367">
        <v>4</v>
      </c>
      <c r="C109" s="367"/>
      <c r="D109" s="1004">
        <v>6220002806</v>
      </c>
      <c r="E109" s="438" t="s">
        <v>507</v>
      </c>
      <c r="F109" s="438" t="s">
        <v>489</v>
      </c>
      <c r="G109" s="438" t="s">
        <v>507</v>
      </c>
      <c r="H109" s="1004" t="s">
        <v>359</v>
      </c>
      <c r="I109" s="404" t="s">
        <v>701</v>
      </c>
      <c r="J109" s="824"/>
      <c r="K109" s="1139"/>
      <c r="L109" s="1139"/>
      <c r="M109" s="1139"/>
      <c r="N109" s="1139"/>
      <c r="O109" s="1139"/>
      <c r="P109" s="1139"/>
      <c r="Q109" s="1139"/>
      <c r="R109" s="1139"/>
      <c r="S109" s="1139"/>
      <c r="T109" s="1139"/>
      <c r="U109" s="1139"/>
      <c r="V109" s="1139"/>
      <c r="W109" s="1140">
        <f t="shared" si="95"/>
        <v>0</v>
      </c>
      <c r="X109" s="1136"/>
      <c r="Y109" s="824"/>
      <c r="Z109" s="824"/>
      <c r="AA109" s="824"/>
      <c r="AB109" s="824"/>
      <c r="AC109" s="824"/>
      <c r="AD109" s="824"/>
      <c r="AE109" s="824"/>
      <c r="AF109" s="824"/>
      <c r="AG109" s="824"/>
      <c r="AH109" s="824"/>
      <c r="AI109" s="824"/>
      <c r="AJ109" s="824"/>
      <c r="AK109" s="1140">
        <f t="shared" si="96"/>
        <v>0</v>
      </c>
      <c r="AL109" s="1136"/>
      <c r="AM109" s="1005"/>
      <c r="AN109" s="10"/>
      <c r="AO109" s="1005"/>
      <c r="AP109" s="10"/>
      <c r="AQ109" s="1137">
        <f t="shared" si="93"/>
        <v>0</v>
      </c>
      <c r="AR109" s="1160">
        <f t="shared" si="94"/>
        <v>0</v>
      </c>
    </row>
    <row r="110" spans="2:44" ht="15.5" x14ac:dyDescent="0.35">
      <c r="B110" s="367">
        <v>5</v>
      </c>
      <c r="C110" s="367"/>
      <c r="D110" s="1004">
        <v>6220007202</v>
      </c>
      <c r="E110" s="438" t="s">
        <v>495</v>
      </c>
      <c r="F110" s="438" t="s">
        <v>493</v>
      </c>
      <c r="G110" s="438" t="s">
        <v>495</v>
      </c>
      <c r="H110" s="1004" t="s">
        <v>359</v>
      </c>
      <c r="I110" s="404" t="s">
        <v>701</v>
      </c>
      <c r="J110" s="824"/>
      <c r="K110" s="1139"/>
      <c r="L110" s="1139"/>
      <c r="M110" s="1139"/>
      <c r="N110" s="1139"/>
      <c r="O110" s="1139"/>
      <c r="P110" s="1139"/>
      <c r="Q110" s="1139"/>
      <c r="R110" s="1139"/>
      <c r="S110" s="1139"/>
      <c r="T110" s="1139"/>
      <c r="U110" s="1139"/>
      <c r="V110" s="1139"/>
      <c r="W110" s="1140">
        <f t="shared" si="95"/>
        <v>0</v>
      </c>
      <c r="X110" s="1136"/>
      <c r="Y110" s="824"/>
      <c r="Z110" s="824"/>
      <c r="AA110" s="824"/>
      <c r="AB110" s="824"/>
      <c r="AC110" s="824"/>
      <c r="AD110" s="824"/>
      <c r="AE110" s="824"/>
      <c r="AF110" s="824"/>
      <c r="AG110" s="824"/>
      <c r="AH110" s="824"/>
      <c r="AI110" s="824"/>
      <c r="AJ110" s="824"/>
      <c r="AK110" s="1140">
        <f t="shared" si="96"/>
        <v>0</v>
      </c>
      <c r="AL110" s="1136"/>
      <c r="AM110" s="1005"/>
      <c r="AN110" s="10"/>
      <c r="AO110" s="1005"/>
      <c r="AP110" s="10"/>
      <c r="AQ110" s="1137">
        <f t="shared" si="93"/>
        <v>0</v>
      </c>
      <c r="AR110" s="1160">
        <f t="shared" si="94"/>
        <v>0</v>
      </c>
    </row>
    <row r="111" spans="2:44" ht="15.5" x14ac:dyDescent="0.35">
      <c r="B111" s="367">
        <v>6</v>
      </c>
      <c r="C111" s="367"/>
      <c r="D111" s="1004">
        <v>6220003201</v>
      </c>
      <c r="E111" s="438" t="s">
        <v>508</v>
      </c>
      <c r="F111" s="438" t="s">
        <v>493</v>
      </c>
      <c r="G111" s="438" t="s">
        <v>508</v>
      </c>
      <c r="H111" s="1004" t="s">
        <v>359</v>
      </c>
      <c r="I111" s="404" t="s">
        <v>701</v>
      </c>
      <c r="J111" s="824"/>
      <c r="K111" s="1139">
        <f>'Dinh muc'!$G$45*'4.Doanh thu'!F99</f>
        <v>0</v>
      </c>
      <c r="L111" s="1139">
        <f>'Dinh muc'!$G$45*'4.Doanh thu'!G99</f>
        <v>0</v>
      </c>
      <c r="M111" s="1139">
        <f>'Dinh muc'!$G$45*'4.Doanh thu'!H99</f>
        <v>0</v>
      </c>
      <c r="N111" s="1139">
        <f>'Dinh muc'!$G$45*'4.Doanh thu'!I99</f>
        <v>0</v>
      </c>
      <c r="O111" s="1139">
        <f>'Dinh muc'!$G$45*'4.Doanh thu'!J99</f>
        <v>0</v>
      </c>
      <c r="P111" s="1139">
        <f>'Dinh muc'!$G$45*'4.Doanh thu'!K99</f>
        <v>3660937.5</v>
      </c>
      <c r="Q111" s="1139">
        <f>'Dinh muc'!$G$45*'4.Doanh thu'!L99</f>
        <v>3660937.5</v>
      </c>
      <c r="R111" s="1139">
        <f>'Dinh muc'!$G$45*'4.Doanh thu'!M99</f>
        <v>3660937.5</v>
      </c>
      <c r="S111" s="1139">
        <f>'Dinh muc'!$G$45*'4.Doanh thu'!N99</f>
        <v>3660937.5</v>
      </c>
      <c r="T111" s="1139">
        <f>'Dinh muc'!$G$45*'4.Doanh thu'!O99</f>
        <v>3660937.5</v>
      </c>
      <c r="U111" s="1139">
        <f>'Dinh muc'!$G$45*'4.Doanh thu'!P99</f>
        <v>3660937.5</v>
      </c>
      <c r="V111" s="1139">
        <f>'Dinh muc'!$G$45*'4.Doanh thu'!Q99</f>
        <v>3660937.5</v>
      </c>
      <c r="W111" s="1140">
        <f t="shared" si="95"/>
        <v>25626562.5</v>
      </c>
      <c r="X111" s="1136"/>
      <c r="Y111" s="824"/>
      <c r="Z111" s="824"/>
      <c r="AA111" s="824"/>
      <c r="AB111" s="824"/>
      <c r="AC111" s="824"/>
      <c r="AD111" s="824"/>
      <c r="AE111" s="824"/>
      <c r="AF111" s="824"/>
      <c r="AG111" s="824"/>
      <c r="AH111" s="824"/>
      <c r="AI111" s="824"/>
      <c r="AJ111" s="824"/>
      <c r="AK111" s="1140">
        <f t="shared" si="96"/>
        <v>0</v>
      </c>
      <c r="AL111" s="1136"/>
      <c r="AM111" s="1005"/>
      <c r="AN111" s="10"/>
      <c r="AO111" s="1005"/>
      <c r="AP111" s="10"/>
      <c r="AQ111" s="1137">
        <f t="shared" si="93"/>
        <v>25626562.5</v>
      </c>
      <c r="AR111" s="1160">
        <f t="shared" si="94"/>
        <v>0</v>
      </c>
    </row>
    <row r="112" spans="2:44" ht="15.5" x14ac:dyDescent="0.35">
      <c r="B112" s="367">
        <v>7</v>
      </c>
      <c r="C112" s="367"/>
      <c r="D112" s="1004">
        <v>6220002603</v>
      </c>
      <c r="E112" s="438" t="s">
        <v>509</v>
      </c>
      <c r="F112" s="438" t="s">
        <v>489</v>
      </c>
      <c r="G112" s="438" t="s">
        <v>509</v>
      </c>
      <c r="H112" s="1004" t="s">
        <v>359</v>
      </c>
      <c r="I112" s="404" t="s">
        <v>701</v>
      </c>
      <c r="J112" s="824"/>
      <c r="K112" s="1139"/>
      <c r="L112" s="1139"/>
      <c r="M112" s="1139"/>
      <c r="N112" s="1139"/>
      <c r="O112" s="1139"/>
      <c r="P112" s="1139"/>
      <c r="Q112" s="1139"/>
      <c r="R112" s="1139"/>
      <c r="S112" s="1139"/>
      <c r="T112" s="1139"/>
      <c r="U112" s="1139"/>
      <c r="V112" s="1139"/>
      <c r="W112" s="1140">
        <f t="shared" si="95"/>
        <v>0</v>
      </c>
      <c r="X112" s="1136"/>
      <c r="Y112" s="824"/>
      <c r="Z112" s="824"/>
      <c r="AA112" s="824"/>
      <c r="AB112" s="824"/>
      <c r="AC112" s="824"/>
      <c r="AD112" s="824"/>
      <c r="AE112" s="824"/>
      <c r="AF112" s="824"/>
      <c r="AG112" s="824"/>
      <c r="AH112" s="824"/>
      <c r="AI112" s="824"/>
      <c r="AJ112" s="824"/>
      <c r="AK112" s="1140">
        <f t="shared" si="96"/>
        <v>0</v>
      </c>
      <c r="AL112" s="1136"/>
      <c r="AM112" s="1005"/>
      <c r="AN112" s="10"/>
      <c r="AO112" s="1005"/>
      <c r="AP112" s="10"/>
      <c r="AQ112" s="1137">
        <f t="shared" si="93"/>
        <v>0</v>
      </c>
      <c r="AR112" s="1160">
        <f t="shared" si="94"/>
        <v>0</v>
      </c>
    </row>
    <row r="113" spans="2:44" ht="15.5" x14ac:dyDescent="0.35">
      <c r="B113" s="367">
        <v>8</v>
      </c>
      <c r="C113" s="367"/>
      <c r="D113" s="1004">
        <v>6220003401</v>
      </c>
      <c r="E113" s="438" t="s">
        <v>510</v>
      </c>
      <c r="F113" s="438" t="s">
        <v>493</v>
      </c>
      <c r="G113" s="438" t="s">
        <v>510</v>
      </c>
      <c r="H113" s="1004" t="s">
        <v>359</v>
      </c>
      <c r="I113" s="404" t="s">
        <v>701</v>
      </c>
      <c r="J113" s="824"/>
      <c r="K113" s="1139"/>
      <c r="L113" s="1139"/>
      <c r="M113" s="1139"/>
      <c r="N113" s="1139"/>
      <c r="O113" s="1139"/>
      <c r="P113" s="1139"/>
      <c r="Q113" s="1139"/>
      <c r="R113" s="1139"/>
      <c r="S113" s="1139"/>
      <c r="T113" s="1139"/>
      <c r="U113" s="1139"/>
      <c r="V113" s="1139"/>
      <c r="W113" s="1140">
        <f t="shared" si="95"/>
        <v>0</v>
      </c>
      <c r="X113" s="1136"/>
      <c r="Y113" s="824"/>
      <c r="Z113" s="824"/>
      <c r="AA113" s="824"/>
      <c r="AB113" s="824"/>
      <c r="AC113" s="824"/>
      <c r="AD113" s="824"/>
      <c r="AE113" s="824"/>
      <c r="AF113" s="824"/>
      <c r="AG113" s="824"/>
      <c r="AH113" s="824"/>
      <c r="AI113" s="824"/>
      <c r="AJ113" s="824"/>
      <c r="AK113" s="1140">
        <f t="shared" si="96"/>
        <v>0</v>
      </c>
      <c r="AL113" s="1136"/>
      <c r="AM113" s="1005"/>
      <c r="AN113" s="10"/>
      <c r="AO113" s="1005"/>
      <c r="AP113" s="10"/>
      <c r="AQ113" s="1137">
        <f t="shared" si="93"/>
        <v>0</v>
      </c>
      <c r="AR113" s="1160">
        <f t="shared" si="94"/>
        <v>0</v>
      </c>
    </row>
    <row r="114" spans="2:44" ht="15.5" x14ac:dyDescent="0.35">
      <c r="B114" s="367">
        <v>9</v>
      </c>
      <c r="C114" s="367"/>
      <c r="D114" s="1004">
        <v>6220002701</v>
      </c>
      <c r="E114" s="438" t="s">
        <v>511</v>
      </c>
      <c r="F114" s="438" t="s">
        <v>489</v>
      </c>
      <c r="G114" s="438" t="s">
        <v>511</v>
      </c>
      <c r="H114" s="1004" t="s">
        <v>359</v>
      </c>
      <c r="I114" s="404" t="s">
        <v>701</v>
      </c>
      <c r="J114" s="824"/>
      <c r="K114" s="1139"/>
      <c r="L114" s="1139"/>
      <c r="M114" s="1139"/>
      <c r="N114" s="1139"/>
      <c r="O114" s="1139"/>
      <c r="P114" s="1139"/>
      <c r="Q114" s="1139"/>
      <c r="R114" s="1139"/>
      <c r="S114" s="1139"/>
      <c r="T114" s="1139"/>
      <c r="U114" s="1139"/>
      <c r="V114" s="1139"/>
      <c r="W114" s="1140">
        <f t="shared" si="95"/>
        <v>0</v>
      </c>
      <c r="X114" s="1136"/>
      <c r="Y114" s="824"/>
      <c r="Z114" s="824"/>
      <c r="AA114" s="824"/>
      <c r="AB114" s="824"/>
      <c r="AC114" s="824"/>
      <c r="AD114" s="824"/>
      <c r="AE114" s="824"/>
      <c r="AF114" s="824"/>
      <c r="AG114" s="824"/>
      <c r="AH114" s="824"/>
      <c r="AI114" s="824"/>
      <c r="AJ114" s="824"/>
      <c r="AK114" s="1140">
        <f t="shared" si="96"/>
        <v>0</v>
      </c>
      <c r="AL114" s="1136"/>
      <c r="AM114" s="1005"/>
      <c r="AN114" s="10"/>
      <c r="AO114" s="1005"/>
      <c r="AP114" s="10"/>
      <c r="AQ114" s="1137">
        <f t="shared" si="93"/>
        <v>0</v>
      </c>
      <c r="AR114" s="1160">
        <f t="shared" si="94"/>
        <v>0</v>
      </c>
    </row>
    <row r="115" spans="2:44" ht="15.5" x14ac:dyDescent="0.35">
      <c r="B115" s="367">
        <v>10</v>
      </c>
      <c r="C115" s="367"/>
      <c r="D115" s="1004" t="s">
        <v>1311</v>
      </c>
      <c r="E115" s="438" t="s">
        <v>1312</v>
      </c>
      <c r="F115" s="438" t="s">
        <v>1313</v>
      </c>
      <c r="G115" s="438" t="s">
        <v>1312</v>
      </c>
      <c r="H115" s="1004" t="s">
        <v>359</v>
      </c>
      <c r="I115" s="404" t="s">
        <v>701</v>
      </c>
      <c r="J115" s="824"/>
      <c r="K115" s="1139"/>
      <c r="L115" s="1139"/>
      <c r="M115" s="1139"/>
      <c r="N115" s="1139"/>
      <c r="O115" s="1139"/>
      <c r="P115" s="1139"/>
      <c r="Q115" s="1139"/>
      <c r="R115" s="1139"/>
      <c r="S115" s="1139"/>
      <c r="T115" s="1139"/>
      <c r="U115" s="1139"/>
      <c r="V115" s="1139"/>
      <c r="W115" s="1140">
        <f t="shared" si="95"/>
        <v>0</v>
      </c>
      <c r="X115" s="1136"/>
      <c r="Y115" s="824"/>
      <c r="Z115" s="824"/>
      <c r="AA115" s="824"/>
      <c r="AB115" s="824"/>
      <c r="AC115" s="824"/>
      <c r="AD115" s="824"/>
      <c r="AE115" s="824"/>
      <c r="AF115" s="824"/>
      <c r="AG115" s="824"/>
      <c r="AH115" s="824"/>
      <c r="AI115" s="824"/>
      <c r="AJ115" s="824"/>
      <c r="AK115" s="1140"/>
      <c r="AL115" s="1136"/>
      <c r="AM115" s="1005"/>
      <c r="AN115" s="10"/>
      <c r="AO115" s="1005"/>
      <c r="AP115" s="10"/>
      <c r="AQ115" s="1137"/>
      <c r="AR115" s="1160"/>
    </row>
    <row r="116" spans="2:44" ht="15.5" x14ac:dyDescent="0.35">
      <c r="B116" s="367">
        <v>11</v>
      </c>
      <c r="C116" s="367"/>
      <c r="D116" s="1004">
        <v>6220003001</v>
      </c>
      <c r="E116" s="438" t="s">
        <v>702</v>
      </c>
      <c r="F116" s="438" t="s">
        <v>493</v>
      </c>
      <c r="G116" s="438" t="s">
        <v>702</v>
      </c>
      <c r="H116" s="1004" t="s">
        <v>359</v>
      </c>
      <c r="I116" s="404" t="s">
        <v>703</v>
      </c>
      <c r="J116" s="824"/>
      <c r="K116" s="1139"/>
      <c r="L116" s="1139"/>
      <c r="M116" s="1139"/>
      <c r="N116" s="1139"/>
      <c r="O116" s="1139"/>
      <c r="P116" s="1139"/>
      <c r="Q116" s="1139"/>
      <c r="R116" s="1139"/>
      <c r="S116" s="1139"/>
      <c r="T116" s="1139"/>
      <c r="U116" s="1139"/>
      <c r="V116" s="1139"/>
      <c r="W116" s="1140">
        <f t="shared" si="95"/>
        <v>0</v>
      </c>
      <c r="X116" s="1136"/>
      <c r="Y116" s="824"/>
      <c r="Z116" s="824"/>
      <c r="AA116" s="824"/>
      <c r="AB116" s="824"/>
      <c r="AC116" s="824"/>
      <c r="AD116" s="824"/>
      <c r="AE116" s="824"/>
      <c r="AF116" s="824"/>
      <c r="AG116" s="824"/>
      <c r="AH116" s="824"/>
      <c r="AI116" s="824"/>
      <c r="AJ116" s="824"/>
      <c r="AK116" s="1140">
        <f t="shared" si="96"/>
        <v>0</v>
      </c>
      <c r="AL116" s="1136"/>
      <c r="AM116" s="1005"/>
      <c r="AO116" s="1005"/>
      <c r="AQ116" s="1139">
        <f t="shared" si="93"/>
        <v>0</v>
      </c>
      <c r="AR116" s="1161">
        <f t="shared" si="94"/>
        <v>0</v>
      </c>
    </row>
    <row r="117" spans="2:44" ht="15.5" x14ac:dyDescent="0.35">
      <c r="B117" s="367">
        <v>12</v>
      </c>
      <c r="C117" s="367"/>
      <c r="D117" s="1004" t="s">
        <v>704</v>
      </c>
      <c r="E117" s="438" t="s">
        <v>705</v>
      </c>
      <c r="F117" s="438" t="s">
        <v>493</v>
      </c>
      <c r="G117" s="438" t="s">
        <v>706</v>
      </c>
      <c r="H117" s="1004" t="s">
        <v>359</v>
      </c>
      <c r="I117" s="404" t="s">
        <v>703</v>
      </c>
      <c r="J117" s="824"/>
      <c r="K117" s="1139">
        <f t="shared" ref="K117:V117" si="97">K138+K163</f>
        <v>0</v>
      </c>
      <c r="L117" s="1139">
        <f t="shared" si="97"/>
        <v>0</v>
      </c>
      <c r="M117" s="1139">
        <f t="shared" si="97"/>
        <v>0</v>
      </c>
      <c r="N117" s="1139">
        <f t="shared" si="97"/>
        <v>0</v>
      </c>
      <c r="O117" s="1139">
        <f t="shared" si="97"/>
        <v>0</v>
      </c>
      <c r="P117" s="1139">
        <f t="shared" si="97"/>
        <v>0</v>
      </c>
      <c r="Q117" s="1139">
        <f t="shared" si="97"/>
        <v>0</v>
      </c>
      <c r="R117" s="1139">
        <f t="shared" si="97"/>
        <v>0</v>
      </c>
      <c r="S117" s="1139">
        <f t="shared" si="97"/>
        <v>0</v>
      </c>
      <c r="T117" s="1139">
        <f t="shared" si="97"/>
        <v>0</v>
      </c>
      <c r="U117" s="1139">
        <f t="shared" si="97"/>
        <v>0</v>
      </c>
      <c r="V117" s="1139">
        <f t="shared" si="97"/>
        <v>0</v>
      </c>
      <c r="W117" s="1140">
        <f t="shared" si="95"/>
        <v>0</v>
      </c>
      <c r="X117" s="1136"/>
      <c r="Y117" s="824"/>
      <c r="Z117" s="824"/>
      <c r="AA117" s="824"/>
      <c r="AB117" s="824"/>
      <c r="AC117" s="824"/>
      <c r="AD117" s="824"/>
      <c r="AE117" s="824"/>
      <c r="AF117" s="824"/>
      <c r="AG117" s="824"/>
      <c r="AH117" s="824"/>
      <c r="AI117" s="824"/>
      <c r="AJ117" s="824"/>
      <c r="AK117" s="1140">
        <f t="shared" ref="AK117" si="98">SUM(Y117:AJ117)</f>
        <v>0</v>
      </c>
      <c r="AL117" s="1136"/>
      <c r="AM117" s="1005"/>
      <c r="AO117" s="1005"/>
      <c r="AQ117" s="1143">
        <f t="shared" si="93"/>
        <v>0</v>
      </c>
      <c r="AR117" s="1144">
        <f t="shared" si="94"/>
        <v>0</v>
      </c>
    </row>
    <row r="118" spans="2:44" ht="15.5" x14ac:dyDescent="0.35">
      <c r="B118" s="367">
        <v>13</v>
      </c>
      <c r="C118" s="367"/>
      <c r="D118" s="1004">
        <v>6275001801</v>
      </c>
      <c r="E118" s="438" t="s">
        <v>707</v>
      </c>
      <c r="F118" s="438" t="s">
        <v>708</v>
      </c>
      <c r="G118" s="438" t="s">
        <v>707</v>
      </c>
      <c r="H118" s="1004" t="s">
        <v>401</v>
      </c>
      <c r="I118" s="404" t="s">
        <v>709</v>
      </c>
      <c r="J118" s="824"/>
      <c r="K118" s="1139">
        <f>'Dinh muc'!$G$46*'3.Thanh pham'!F155</f>
        <v>0</v>
      </c>
      <c r="L118" s="1139">
        <f>'Dinh muc'!$G$46*'3.Thanh pham'!G155</f>
        <v>0</v>
      </c>
      <c r="M118" s="1139">
        <f>'Dinh muc'!$G$46*'3.Thanh pham'!H155</f>
        <v>0</v>
      </c>
      <c r="N118" s="1139">
        <f>'Dinh muc'!$G$46*'3.Thanh pham'!I155</f>
        <v>0</v>
      </c>
      <c r="O118" s="1139">
        <f>'Dinh muc'!$G$46*'3.Thanh pham'!J155</f>
        <v>0</v>
      </c>
      <c r="P118" s="1249">
        <f>'Dinh muc'!$G$46*'3.Thanh pham'!K155</f>
        <v>151025875</v>
      </c>
      <c r="Q118" s="1249">
        <f>'Dinh muc'!$G$46*'3.Thanh pham'!L155</f>
        <v>151025875</v>
      </c>
      <c r="R118" s="1249">
        <f>'Dinh muc'!$G$46*'3.Thanh pham'!M155</f>
        <v>151025875</v>
      </c>
      <c r="S118" s="1249">
        <f>'Dinh muc'!$G$46*'3.Thanh pham'!N155</f>
        <v>151025875</v>
      </c>
      <c r="T118" s="1249">
        <f>'Dinh muc'!$G$46*'3.Thanh pham'!O155</f>
        <v>151025875</v>
      </c>
      <c r="U118" s="1249">
        <f>'Dinh muc'!$G$46*'3.Thanh pham'!P155</f>
        <v>151025875</v>
      </c>
      <c r="V118" s="1249">
        <f>'Dinh muc'!$G$46*'3.Thanh pham'!Q155</f>
        <v>151025875</v>
      </c>
      <c r="W118" s="1140">
        <f t="shared" si="95"/>
        <v>1057181125</v>
      </c>
      <c r="X118" s="1136"/>
      <c r="Y118" s="824"/>
      <c r="Z118" s="824">
        <v>70000000</v>
      </c>
      <c r="AA118" s="824"/>
      <c r="AB118" s="824"/>
      <c r="AC118" s="824"/>
      <c r="AD118" s="824"/>
      <c r="AE118" s="824"/>
      <c r="AF118" s="824"/>
      <c r="AG118" s="824"/>
      <c r="AH118" s="824"/>
      <c r="AI118" s="824"/>
      <c r="AJ118" s="824"/>
      <c r="AK118" s="1140">
        <f t="shared" si="96"/>
        <v>70000000</v>
      </c>
      <c r="AL118" s="1136"/>
      <c r="AM118" s="1005"/>
      <c r="AO118" s="1005"/>
      <c r="AQ118" s="1139">
        <f t="shared" si="93"/>
        <v>987181125</v>
      </c>
      <c r="AR118" s="1161">
        <f t="shared" si="94"/>
        <v>14.1025875</v>
      </c>
    </row>
    <row r="119" spans="2:44" ht="15.5" x14ac:dyDescent="0.35">
      <c r="B119" s="367">
        <v>14</v>
      </c>
      <c r="C119" s="367"/>
      <c r="D119" s="1004">
        <v>6272000100</v>
      </c>
      <c r="E119" s="438" t="s">
        <v>710</v>
      </c>
      <c r="F119" s="438" t="s">
        <v>711</v>
      </c>
      <c r="G119" s="438" t="s">
        <v>341</v>
      </c>
      <c r="H119" s="1004" t="s">
        <v>401</v>
      </c>
      <c r="I119" s="404" t="s">
        <v>709</v>
      </c>
      <c r="J119" s="824"/>
      <c r="K119" s="1139">
        <f>'Dinh muc'!$G$47*'3.Thanh pham'!F155</f>
        <v>0</v>
      </c>
      <c r="L119" s="1139">
        <f>'Dinh muc'!$G$47*'3.Thanh pham'!G155</f>
        <v>0</v>
      </c>
      <c r="M119" s="1139">
        <f>'Dinh muc'!$G$47*'3.Thanh pham'!H155</f>
        <v>0</v>
      </c>
      <c r="N119" s="1139">
        <f>'Dinh muc'!$G$47*'3.Thanh pham'!I155</f>
        <v>0</v>
      </c>
      <c r="O119" s="1139">
        <f>'Dinh muc'!$G$47*'3.Thanh pham'!J155</f>
        <v>0</v>
      </c>
      <c r="P119" s="1249">
        <f>'Dinh muc'!$G$47*'3.Thanh pham'!K155</f>
        <v>136675000</v>
      </c>
      <c r="Q119" s="1249">
        <f>'Dinh muc'!$G$47*'3.Thanh pham'!L155</f>
        <v>136675000</v>
      </c>
      <c r="R119" s="1249">
        <f>'Dinh muc'!$G$47*'3.Thanh pham'!M155</f>
        <v>136675000</v>
      </c>
      <c r="S119" s="1249">
        <f>'Dinh muc'!$G$47*'3.Thanh pham'!N155</f>
        <v>136675000</v>
      </c>
      <c r="T119" s="1249">
        <f>'Dinh muc'!$G$47*'3.Thanh pham'!O155</f>
        <v>136675000</v>
      </c>
      <c r="U119" s="1249">
        <f>'Dinh muc'!$G$47*'3.Thanh pham'!P155</f>
        <v>136675000</v>
      </c>
      <c r="V119" s="1249">
        <f>'Dinh muc'!$G$47*'3.Thanh pham'!Q155</f>
        <v>136675000</v>
      </c>
      <c r="W119" s="1140">
        <f t="shared" si="95"/>
        <v>956725000</v>
      </c>
      <c r="X119" s="1136"/>
      <c r="Y119" s="824"/>
      <c r="Z119" s="824"/>
      <c r="AA119" s="824"/>
      <c r="AB119" s="824"/>
      <c r="AC119" s="824"/>
      <c r="AD119" s="824"/>
      <c r="AE119" s="824"/>
      <c r="AF119" s="824"/>
      <c r="AG119" s="824"/>
      <c r="AH119" s="824"/>
      <c r="AI119" s="824"/>
      <c r="AJ119" s="824"/>
      <c r="AK119" s="1140"/>
      <c r="AL119" s="1136"/>
      <c r="AM119" s="1005"/>
      <c r="AO119" s="1005"/>
      <c r="AQ119" s="1139">
        <f t="shared" si="93"/>
        <v>956725000</v>
      </c>
      <c r="AR119" s="1161">
        <f t="shared" si="94"/>
        <v>0</v>
      </c>
    </row>
    <row r="120" spans="2:44" ht="15.5" x14ac:dyDescent="0.35">
      <c r="B120" s="367">
        <v>15</v>
      </c>
      <c r="C120" s="367"/>
      <c r="D120" s="1004">
        <v>6272000100</v>
      </c>
      <c r="E120" s="438" t="s">
        <v>710</v>
      </c>
      <c r="F120" s="438" t="s">
        <v>711</v>
      </c>
      <c r="G120" s="438" t="s">
        <v>320</v>
      </c>
      <c r="H120" s="1004" t="s">
        <v>414</v>
      </c>
      <c r="I120" s="404" t="s">
        <v>709</v>
      </c>
      <c r="J120" s="824"/>
      <c r="K120" s="1139"/>
      <c r="L120" s="1139"/>
      <c r="M120" s="1139"/>
      <c r="N120" s="1139"/>
      <c r="O120" s="1139"/>
      <c r="P120" s="1139"/>
      <c r="Q120" s="1139"/>
      <c r="R120" s="1139"/>
      <c r="S120" s="1139"/>
      <c r="T120" s="1139"/>
      <c r="U120" s="1139"/>
      <c r="V120" s="1139"/>
      <c r="W120" s="1140">
        <f t="shared" si="95"/>
        <v>0</v>
      </c>
      <c r="X120" s="1136"/>
      <c r="Y120" s="824"/>
      <c r="Z120" s="824"/>
      <c r="AA120" s="824"/>
      <c r="AB120" s="824"/>
      <c r="AC120" s="824"/>
      <c r="AD120" s="824"/>
      <c r="AE120" s="824"/>
      <c r="AF120" s="824"/>
      <c r="AG120" s="824"/>
      <c r="AH120" s="824"/>
      <c r="AI120" s="824"/>
      <c r="AJ120" s="824"/>
      <c r="AK120" s="1140">
        <f t="shared" ref="AK120:AK125" si="99">SUM(Y120:AJ120)</f>
        <v>0</v>
      </c>
      <c r="AL120" s="1136"/>
      <c r="AM120" s="1005"/>
      <c r="AO120" s="1005"/>
      <c r="AQ120" s="1139">
        <f t="shared" si="93"/>
        <v>0</v>
      </c>
      <c r="AR120" s="1161">
        <f t="shared" si="94"/>
        <v>0</v>
      </c>
    </row>
    <row r="121" spans="2:44" ht="15.5" x14ac:dyDescent="0.35">
      <c r="B121" s="367">
        <v>16</v>
      </c>
      <c r="C121" s="367"/>
      <c r="D121" s="1004">
        <v>6272000100</v>
      </c>
      <c r="E121" s="438" t="s">
        <v>710</v>
      </c>
      <c r="F121" s="438" t="s">
        <v>711</v>
      </c>
      <c r="G121" s="438" t="s">
        <v>321</v>
      </c>
      <c r="H121" s="1004" t="s">
        <v>414</v>
      </c>
      <c r="I121" s="404" t="s">
        <v>709</v>
      </c>
      <c r="J121" s="824"/>
      <c r="K121" s="1139">
        <f>'Dinh muc'!$G$49*'3.Thanh pham'!F155</f>
        <v>0</v>
      </c>
      <c r="L121" s="1139">
        <f>'Dinh muc'!$G$49*'3.Thanh pham'!G155</f>
        <v>0</v>
      </c>
      <c r="M121" s="1139">
        <f>'Dinh muc'!$G$49*'3.Thanh pham'!H155</f>
        <v>0</v>
      </c>
      <c r="N121" s="1139">
        <f>'Dinh muc'!$G$49*'3.Thanh pham'!I155</f>
        <v>0</v>
      </c>
      <c r="O121" s="1139">
        <f>'Dinh muc'!$G$49*'3.Thanh pham'!J155</f>
        <v>0</v>
      </c>
      <c r="P121" s="1249">
        <f>'Dinh muc'!$G$49*'3.Thanh pham'!K155</f>
        <v>62758928.571428567</v>
      </c>
      <c r="Q121" s="1249">
        <f>'Dinh muc'!$G$49*'3.Thanh pham'!L155</f>
        <v>62758928.571428567</v>
      </c>
      <c r="R121" s="1249">
        <f>'Dinh muc'!$G$49*'3.Thanh pham'!M155</f>
        <v>62758928.571428567</v>
      </c>
      <c r="S121" s="1249">
        <f>'Dinh muc'!$G$49*'3.Thanh pham'!N155</f>
        <v>62758928.571428567</v>
      </c>
      <c r="T121" s="1249">
        <f>'Dinh muc'!$G$49*'3.Thanh pham'!O155</f>
        <v>62758928.571428567</v>
      </c>
      <c r="U121" s="1249">
        <f>'Dinh muc'!$G$49*'3.Thanh pham'!P155</f>
        <v>62758928.571428567</v>
      </c>
      <c r="V121" s="1249">
        <f>'Dinh muc'!$G$49*'3.Thanh pham'!Q155</f>
        <v>62758928.571428567</v>
      </c>
      <c r="W121" s="1140">
        <f t="shared" si="95"/>
        <v>439312499.99999988</v>
      </c>
      <c r="X121" s="1136"/>
      <c r="Y121" s="824"/>
      <c r="Z121" s="824"/>
      <c r="AA121" s="824"/>
      <c r="AB121" s="824"/>
      <c r="AC121" s="824"/>
      <c r="AD121" s="824"/>
      <c r="AE121" s="824"/>
      <c r="AF121" s="824"/>
      <c r="AG121" s="824"/>
      <c r="AH121" s="824"/>
      <c r="AI121" s="824"/>
      <c r="AJ121" s="824"/>
      <c r="AK121" s="1140">
        <f t="shared" si="99"/>
        <v>0</v>
      </c>
      <c r="AL121" s="1136"/>
      <c r="AM121" s="1005"/>
      <c r="AO121" s="1005"/>
      <c r="AQ121" s="1139">
        <f t="shared" si="93"/>
        <v>439312499.99999988</v>
      </c>
      <c r="AR121" s="1161">
        <f t="shared" si="94"/>
        <v>0</v>
      </c>
    </row>
    <row r="122" spans="2:44" ht="15.5" x14ac:dyDescent="0.35">
      <c r="B122" s="367">
        <v>17</v>
      </c>
      <c r="C122" s="367"/>
      <c r="D122" s="1004">
        <v>6272000100</v>
      </c>
      <c r="E122" s="438" t="s">
        <v>710</v>
      </c>
      <c r="F122" s="438" t="s">
        <v>711</v>
      </c>
      <c r="G122" s="438" t="s">
        <v>322</v>
      </c>
      <c r="H122" s="1004" t="s">
        <v>414</v>
      </c>
      <c r="I122" s="404" t="s">
        <v>709</v>
      </c>
      <c r="J122" s="824"/>
      <c r="K122" s="1139"/>
      <c r="L122" s="1139"/>
      <c r="M122" s="1139"/>
      <c r="N122" s="1139"/>
      <c r="O122" s="1139"/>
      <c r="P122" s="1139"/>
      <c r="Q122" s="1139"/>
      <c r="R122" s="1139"/>
      <c r="S122" s="1139"/>
      <c r="T122" s="1139"/>
      <c r="U122" s="1139"/>
      <c r="V122" s="1139"/>
      <c r="W122" s="1140">
        <f t="shared" si="95"/>
        <v>0</v>
      </c>
      <c r="X122" s="1136"/>
      <c r="Y122" s="824"/>
      <c r="Z122" s="824"/>
      <c r="AA122" s="824"/>
      <c r="AB122" s="824"/>
      <c r="AC122" s="824"/>
      <c r="AD122" s="824"/>
      <c r="AE122" s="824"/>
      <c r="AF122" s="824"/>
      <c r="AG122" s="824"/>
      <c r="AH122" s="824"/>
      <c r="AI122" s="824"/>
      <c r="AJ122" s="824"/>
      <c r="AK122" s="1140">
        <f t="shared" si="99"/>
        <v>0</v>
      </c>
      <c r="AL122" s="1136"/>
      <c r="AM122" s="1005"/>
      <c r="AO122" s="1005"/>
      <c r="AQ122" s="1139">
        <f t="shared" si="93"/>
        <v>0</v>
      </c>
      <c r="AR122" s="1161">
        <f t="shared" si="94"/>
        <v>0</v>
      </c>
    </row>
    <row r="123" spans="2:44" ht="15.5" x14ac:dyDescent="0.35">
      <c r="B123" s="367">
        <v>18</v>
      </c>
      <c r="C123" s="367"/>
      <c r="D123" s="1004">
        <v>6272000100</v>
      </c>
      <c r="E123" s="438" t="s">
        <v>710</v>
      </c>
      <c r="F123" s="438" t="s">
        <v>711</v>
      </c>
      <c r="G123" s="438" t="s">
        <v>713</v>
      </c>
      <c r="H123" s="1004" t="s">
        <v>414</v>
      </c>
      <c r="I123" s="404" t="s">
        <v>709</v>
      </c>
      <c r="J123" s="824"/>
      <c r="K123" s="1139">
        <f>SUM('Dinh muc'!$G$52:$G$53)*'3.Thanh pham'!F155</f>
        <v>0</v>
      </c>
      <c r="L123" s="1139">
        <f>SUM('Dinh muc'!$G$52:$G$53)*'3.Thanh pham'!G155</f>
        <v>0</v>
      </c>
      <c r="M123" s="1139">
        <f>SUM('Dinh muc'!$G$52:$G$53)*'3.Thanh pham'!H155</f>
        <v>0</v>
      </c>
      <c r="N123" s="1139">
        <f>SUM('Dinh muc'!$G$52:$G$53)*'3.Thanh pham'!I155</f>
        <v>0</v>
      </c>
      <c r="O123" s="1139">
        <f>SUM('Dinh muc'!$G$52:$G$53)*'3.Thanh pham'!J155</f>
        <v>0</v>
      </c>
      <c r="P123" s="1139">
        <f>SUM('Dinh muc'!$G$52:$G$53)*'3.Thanh pham'!K155</f>
        <v>37136550.000000007</v>
      </c>
      <c r="Q123" s="1139">
        <f>SUM('Dinh muc'!$G$52:$G$53)*'3.Thanh pham'!L155</f>
        <v>37136550.000000007</v>
      </c>
      <c r="R123" s="1139">
        <f>SUM('Dinh muc'!$G$52:$G$53)*'3.Thanh pham'!M155</f>
        <v>37136550.000000007</v>
      </c>
      <c r="S123" s="1139">
        <f>SUM('Dinh muc'!$G$52:$G$53)*'3.Thanh pham'!N155</f>
        <v>37136550.000000007</v>
      </c>
      <c r="T123" s="1139">
        <f>SUM('Dinh muc'!$G$52:$G$53)*'3.Thanh pham'!O155</f>
        <v>37136550.000000007</v>
      </c>
      <c r="U123" s="1139">
        <f>SUM('Dinh muc'!$G$52:$G$53)*'3.Thanh pham'!P155</f>
        <v>37136550.000000007</v>
      </c>
      <c r="V123" s="1139">
        <f>SUM('Dinh muc'!$G$52:$G$53)*'3.Thanh pham'!Q155</f>
        <v>37136550.000000007</v>
      </c>
      <c r="W123" s="1140">
        <f t="shared" si="95"/>
        <v>259955850.00000003</v>
      </c>
      <c r="X123" s="1136"/>
      <c r="Y123" s="824"/>
      <c r="Z123" s="824"/>
      <c r="AA123" s="824"/>
      <c r="AB123" s="824"/>
      <c r="AC123" s="824"/>
      <c r="AD123" s="824"/>
      <c r="AE123" s="824"/>
      <c r="AF123" s="824"/>
      <c r="AG123" s="824"/>
      <c r="AH123" s="824"/>
      <c r="AI123" s="824"/>
      <c r="AJ123" s="824"/>
      <c r="AK123" s="1140">
        <f t="shared" si="99"/>
        <v>0</v>
      </c>
      <c r="AL123" s="1136"/>
      <c r="AM123" s="1005"/>
      <c r="AO123" s="1005"/>
      <c r="AQ123" s="1139">
        <f t="shared" si="93"/>
        <v>259955850.00000003</v>
      </c>
      <c r="AR123" s="1161">
        <f t="shared" si="94"/>
        <v>0</v>
      </c>
    </row>
    <row r="124" spans="2:44" ht="15.5" x14ac:dyDescent="0.35">
      <c r="B124" s="367">
        <v>19</v>
      </c>
      <c r="C124" s="367"/>
      <c r="D124" s="1004">
        <v>6272002101</v>
      </c>
      <c r="E124" s="438" t="s">
        <v>714</v>
      </c>
      <c r="F124" s="438"/>
      <c r="G124" s="438"/>
      <c r="H124" s="1004"/>
      <c r="I124" s="404"/>
      <c r="J124" s="824"/>
      <c r="K124" s="1139"/>
      <c r="L124" s="1139"/>
      <c r="M124" s="1139"/>
      <c r="N124" s="1139"/>
      <c r="O124" s="1139"/>
      <c r="P124" s="1139"/>
      <c r="Q124" s="1139"/>
      <c r="R124" s="1139"/>
      <c r="S124" s="1139"/>
      <c r="T124" s="1139"/>
      <c r="U124" s="1139"/>
      <c r="V124" s="1139"/>
      <c r="W124" s="1140">
        <f t="shared" si="95"/>
        <v>0</v>
      </c>
      <c r="X124" s="1136"/>
      <c r="Y124" s="824"/>
      <c r="Z124" s="824"/>
      <c r="AA124" s="824"/>
      <c r="AB124" s="824"/>
      <c r="AC124" s="824"/>
      <c r="AD124" s="824"/>
      <c r="AE124" s="824"/>
      <c r="AF124" s="824"/>
      <c r="AG124" s="824"/>
      <c r="AH124" s="824"/>
      <c r="AI124" s="824"/>
      <c r="AJ124" s="824"/>
      <c r="AK124" s="1140"/>
      <c r="AL124" s="1136"/>
      <c r="AM124" s="1005"/>
      <c r="AO124" s="1005"/>
      <c r="AQ124" s="1139"/>
      <c r="AR124" s="1161"/>
    </row>
    <row r="125" spans="2:44" ht="15.5" x14ac:dyDescent="0.35">
      <c r="B125" s="367">
        <v>20</v>
      </c>
      <c r="C125" s="367"/>
      <c r="D125" s="1004">
        <v>6272003502</v>
      </c>
      <c r="E125" s="438" t="s">
        <v>715</v>
      </c>
      <c r="F125" s="438" t="s">
        <v>716</v>
      </c>
      <c r="G125" s="438" t="s">
        <v>717</v>
      </c>
      <c r="H125" s="1004" t="s">
        <v>454</v>
      </c>
      <c r="I125" s="404" t="s">
        <v>709</v>
      </c>
      <c r="J125" s="824"/>
      <c r="K125" s="1139">
        <f>'Dinh muc'!$G$54*'3.Thanh pham'!F$155</f>
        <v>0</v>
      </c>
      <c r="L125" s="1139">
        <f>'Dinh muc'!$G$54*'3.Thanh pham'!G$155</f>
        <v>0</v>
      </c>
      <c r="M125" s="1139">
        <f>'Dinh muc'!$G$54*'3.Thanh pham'!H$155</f>
        <v>0</v>
      </c>
      <c r="N125" s="1139">
        <f>'Dinh muc'!$G$54*'3.Thanh pham'!I$155</f>
        <v>0</v>
      </c>
      <c r="O125" s="1139">
        <f>'Dinh muc'!$G$54*'3.Thanh pham'!J$155</f>
        <v>0</v>
      </c>
      <c r="P125" s="1249">
        <f>'Dinh muc'!$G$54*'3.Thanh pham'!K$155</f>
        <v>13514850</v>
      </c>
      <c r="Q125" s="1249">
        <f>'Dinh muc'!$G$54*'3.Thanh pham'!L$155</f>
        <v>13514850</v>
      </c>
      <c r="R125" s="1249">
        <f>'Dinh muc'!$G$54*'3.Thanh pham'!M$155</f>
        <v>13514850</v>
      </c>
      <c r="S125" s="1249">
        <f>'Dinh muc'!$G$54*'3.Thanh pham'!N$155</f>
        <v>13514850</v>
      </c>
      <c r="T125" s="1249">
        <f>'Dinh muc'!$G$54*'3.Thanh pham'!O$155</f>
        <v>13514850</v>
      </c>
      <c r="U125" s="1249">
        <f>'Dinh muc'!$G$54*'3.Thanh pham'!P$155</f>
        <v>13514850</v>
      </c>
      <c r="V125" s="1249">
        <f>'Dinh muc'!$G$54*'3.Thanh pham'!Q$155</f>
        <v>13514850</v>
      </c>
      <c r="W125" s="1140">
        <f t="shared" si="95"/>
        <v>94603950</v>
      </c>
      <c r="X125" s="1136"/>
      <c r="Y125" s="824"/>
      <c r="Z125" s="824"/>
      <c r="AA125" s="824"/>
      <c r="AB125" s="824"/>
      <c r="AC125" s="824"/>
      <c r="AD125" s="824"/>
      <c r="AE125" s="824"/>
      <c r="AF125" s="824"/>
      <c r="AG125" s="824"/>
      <c r="AH125" s="824"/>
      <c r="AI125" s="824"/>
      <c r="AJ125" s="824"/>
      <c r="AK125" s="1140">
        <f t="shared" si="99"/>
        <v>0</v>
      </c>
      <c r="AL125" s="1136"/>
      <c r="AM125" s="1005"/>
      <c r="AN125" s="10"/>
      <c r="AO125" s="1005"/>
      <c r="AP125" s="10"/>
      <c r="AQ125" s="1137">
        <f t="shared" si="93"/>
        <v>94603950</v>
      </c>
      <c r="AR125" s="1160">
        <f t="shared" si="94"/>
        <v>0</v>
      </c>
    </row>
    <row r="126" spans="2:44" ht="15.5" x14ac:dyDescent="0.35">
      <c r="B126" s="372"/>
      <c r="C126" s="372"/>
      <c r="D126" s="373"/>
      <c r="E126" s="374"/>
      <c r="F126" s="374"/>
      <c r="G126" s="374"/>
      <c r="H126" s="373"/>
      <c r="I126" s="405"/>
      <c r="J126" s="376"/>
      <c r="K126" s="1145"/>
      <c r="L126" s="1145"/>
      <c r="M126" s="1145"/>
      <c r="N126" s="1145"/>
      <c r="O126" s="1145"/>
      <c r="P126" s="1145"/>
      <c r="Q126" s="1145"/>
      <c r="R126" s="1145"/>
      <c r="S126" s="1145"/>
      <c r="T126" s="1145"/>
      <c r="U126" s="1145"/>
      <c r="V126" s="1145"/>
      <c r="W126" s="1140">
        <f t="shared" si="95"/>
        <v>0</v>
      </c>
      <c r="X126" s="1136"/>
      <c r="Y126" s="376"/>
      <c r="Z126" s="376"/>
      <c r="AA126" s="376"/>
      <c r="AB126" s="376"/>
      <c r="AC126" s="376"/>
      <c r="AD126" s="376"/>
      <c r="AE126" s="376"/>
      <c r="AF126" s="376"/>
      <c r="AG126" s="376"/>
      <c r="AH126" s="376"/>
      <c r="AI126" s="376"/>
      <c r="AJ126" s="376"/>
      <c r="AK126" s="1146"/>
      <c r="AL126" s="1136"/>
      <c r="AM126" s="393"/>
      <c r="AO126" s="393"/>
      <c r="AQ126" s="1137">
        <f t="shared" si="93"/>
        <v>0</v>
      </c>
      <c r="AR126" s="1160">
        <f t="shared" si="94"/>
        <v>0</v>
      </c>
    </row>
    <row r="127" spans="2:44" ht="15.5" x14ac:dyDescent="0.35">
      <c r="B127" s="1181" t="s">
        <v>118</v>
      </c>
      <c r="C127" s="263"/>
      <c r="D127" s="178"/>
      <c r="E127" s="1173" t="s">
        <v>723</v>
      </c>
      <c r="F127" s="179"/>
      <c r="G127" s="273"/>
      <c r="H127" s="273"/>
      <c r="I127" s="407"/>
      <c r="J127" s="360">
        <f>SUM(J128:J156)</f>
        <v>0</v>
      </c>
      <c r="K127" s="1149">
        <f>SUM(K128:K156)</f>
        <v>464526594.13276589</v>
      </c>
      <c r="L127" s="1150">
        <f t="shared" ref="L127" si="100">SUM(L128:L156)</f>
        <v>464526594.13276589</v>
      </c>
      <c r="M127" s="1150">
        <f t="shared" ref="M127" si="101">SUM(M128:M156)</f>
        <v>464526594.13276589</v>
      </c>
      <c r="N127" s="1150">
        <f t="shared" ref="N127" si="102">SUM(N128:N156)</f>
        <v>464526594.13276589</v>
      </c>
      <c r="O127" s="1150">
        <f t="shared" ref="O127" si="103">SUM(O128:O156)</f>
        <v>464526594.13276589</v>
      </c>
      <c r="P127" s="1150">
        <f t="shared" ref="P127" si="104">SUM(P128:P156)</f>
        <v>511925666.07721031</v>
      </c>
      <c r="Q127" s="1150">
        <f t="shared" ref="Q127" si="105">SUM(Q128:Q156)</f>
        <v>511531025.24387699</v>
      </c>
      <c r="R127" s="1150">
        <f t="shared" ref="R127" si="106">SUM(R128:R156)</f>
        <v>511531025.24387699</v>
      </c>
      <c r="S127" s="1150">
        <f t="shared" ref="S127" si="107">SUM(S128:S156)</f>
        <v>512027999.41054368</v>
      </c>
      <c r="T127" s="1150">
        <f t="shared" ref="T127" si="108">SUM(T128:T156)</f>
        <v>511136384.41054368</v>
      </c>
      <c r="U127" s="1150">
        <f t="shared" ref="U127" si="109">SUM(U128:U156)</f>
        <v>511925666.07721031</v>
      </c>
      <c r="V127" s="1150">
        <f t="shared" ref="V127" si="110">SUM(V128:V156)</f>
        <v>511531025.24387699</v>
      </c>
      <c r="W127" s="1150">
        <f>SUM(W128:W156)</f>
        <v>5904241762.3709679</v>
      </c>
      <c r="X127" s="1133"/>
      <c r="Y127" s="360">
        <f>SUM(Y128:Y156)</f>
        <v>532483188</v>
      </c>
      <c r="Z127" s="270">
        <f t="shared" ref="Z127:AK127" si="111">SUM(Z128:Z156)</f>
        <v>532483188</v>
      </c>
      <c r="AA127" s="270">
        <f t="shared" si="111"/>
        <v>532483188</v>
      </c>
      <c r="AB127" s="270">
        <f t="shared" si="111"/>
        <v>532483188</v>
      </c>
      <c r="AC127" s="270">
        <f t="shared" si="111"/>
        <v>532483188</v>
      </c>
      <c r="AD127" s="270">
        <f t="shared" si="111"/>
        <v>532483188</v>
      </c>
      <c r="AE127" s="270">
        <f t="shared" si="111"/>
        <v>532483188</v>
      </c>
      <c r="AF127" s="270">
        <f t="shared" si="111"/>
        <v>532483188</v>
      </c>
      <c r="AG127" s="270">
        <f t="shared" si="111"/>
        <v>532483188</v>
      </c>
      <c r="AH127" s="270">
        <f t="shared" si="111"/>
        <v>532483188</v>
      </c>
      <c r="AI127" s="270">
        <f t="shared" si="111"/>
        <v>532483188</v>
      </c>
      <c r="AJ127" s="270">
        <f t="shared" si="111"/>
        <v>532483188</v>
      </c>
      <c r="AK127" s="1150">
        <f t="shared" si="111"/>
        <v>6389798256</v>
      </c>
      <c r="AL127" s="1133"/>
      <c r="AM127" s="360">
        <f t="shared" ref="AM127:AO127" si="112">SUM(AM128:AM156)</f>
        <v>2770076112</v>
      </c>
      <c r="AO127" s="360">
        <f t="shared" si="112"/>
        <v>0</v>
      </c>
      <c r="AQ127" s="1149">
        <f t="shared" si="93"/>
        <v>-485556493.62903214</v>
      </c>
      <c r="AR127" s="1163">
        <f t="shared" si="94"/>
        <v>-7.5989330832643476E-2</v>
      </c>
    </row>
    <row r="128" spans="2:44" ht="15.5" x14ac:dyDescent="0.35">
      <c r="B128" s="362">
        <v>1</v>
      </c>
      <c r="C128" s="362"/>
      <c r="D128" s="363">
        <v>6271002604</v>
      </c>
      <c r="E128" s="364" t="s">
        <v>488</v>
      </c>
      <c r="F128" s="364" t="s">
        <v>491</v>
      </c>
      <c r="G128" s="364" t="s">
        <v>488</v>
      </c>
      <c r="H128" s="363" t="s">
        <v>359</v>
      </c>
      <c r="I128" s="403" t="s">
        <v>701</v>
      </c>
      <c r="J128" s="366"/>
      <c r="K128" s="1134"/>
      <c r="L128" s="1134"/>
      <c r="M128" s="1134"/>
      <c r="N128" s="1134"/>
      <c r="O128" s="1134"/>
      <c r="P128" s="1134">
        <f>LUONG!K151</f>
        <v>16565710.833333334</v>
      </c>
      <c r="Q128" s="1134">
        <f>LUONG!L151</f>
        <v>16171070</v>
      </c>
      <c r="R128" s="1134">
        <f>LUONG!M151</f>
        <v>16171070</v>
      </c>
      <c r="S128" s="1134">
        <f>LUONG!N151</f>
        <v>16668044.166666666</v>
      </c>
      <c r="T128" s="1134">
        <f>LUONG!O151</f>
        <v>15776429.166666666</v>
      </c>
      <c r="U128" s="1134">
        <f>LUONG!P151</f>
        <v>16565710.833333334</v>
      </c>
      <c r="V128" s="1134">
        <f>LUONG!Q151</f>
        <v>16171070</v>
      </c>
      <c r="W128" s="1135">
        <f t="shared" ref="W128:W155" si="113">SUM(K128:V128)</f>
        <v>114089105</v>
      </c>
      <c r="X128" s="1136"/>
      <c r="Y128" s="366"/>
      <c r="Z128" s="366"/>
      <c r="AA128" s="366"/>
      <c r="AB128" s="366"/>
      <c r="AC128" s="366"/>
      <c r="AD128" s="366"/>
      <c r="AE128" s="366"/>
      <c r="AF128" s="366"/>
      <c r="AG128" s="366"/>
      <c r="AH128" s="366"/>
      <c r="AI128" s="366"/>
      <c r="AJ128" s="366"/>
      <c r="AK128" s="1135">
        <f t="shared" ref="AK128:AK155" si="114">SUM(Y128:AJ128)</f>
        <v>0</v>
      </c>
      <c r="AL128" s="1136"/>
      <c r="AM128" s="391"/>
      <c r="AO128" s="391"/>
      <c r="AQ128" s="1137">
        <f t="shared" si="93"/>
        <v>114089105</v>
      </c>
      <c r="AR128" s="1160">
        <f t="shared" si="94"/>
        <v>0</v>
      </c>
    </row>
    <row r="129" spans="2:44" ht="15.5" x14ac:dyDescent="0.35">
      <c r="B129" s="367">
        <v>2</v>
      </c>
      <c r="C129" s="367"/>
      <c r="D129" s="368">
        <v>6271002605</v>
      </c>
      <c r="E129" s="369" t="s">
        <v>490</v>
      </c>
      <c r="F129" s="369" t="s">
        <v>491</v>
      </c>
      <c r="G129" s="369" t="s">
        <v>490</v>
      </c>
      <c r="H129" s="368" t="s">
        <v>359</v>
      </c>
      <c r="I129" s="404" t="s">
        <v>701</v>
      </c>
      <c r="J129" s="371"/>
      <c r="K129" s="1137"/>
      <c r="L129" s="1137"/>
      <c r="M129" s="1137"/>
      <c r="N129" s="1137"/>
      <c r="O129" s="1137"/>
      <c r="P129" s="1137"/>
      <c r="Q129" s="1137"/>
      <c r="R129" s="1137"/>
      <c r="S129" s="1137"/>
      <c r="T129" s="1137"/>
      <c r="U129" s="1137"/>
      <c r="V129" s="1137"/>
      <c r="W129" s="1138">
        <f t="shared" si="113"/>
        <v>0</v>
      </c>
      <c r="X129" s="1136"/>
      <c r="Y129" s="366"/>
      <c r="Z129" s="366"/>
      <c r="AA129" s="366"/>
      <c r="AB129" s="366"/>
      <c r="AC129" s="366"/>
      <c r="AD129" s="366"/>
      <c r="AE129" s="366"/>
      <c r="AF129" s="366"/>
      <c r="AG129" s="366"/>
      <c r="AH129" s="371"/>
      <c r="AI129" s="371"/>
      <c r="AJ129" s="371"/>
      <c r="AK129" s="1138">
        <f t="shared" si="114"/>
        <v>0</v>
      </c>
      <c r="AL129" s="1136"/>
      <c r="AM129" s="392"/>
      <c r="AO129" s="392"/>
      <c r="AQ129" s="1137">
        <f t="shared" si="93"/>
        <v>0</v>
      </c>
      <c r="AR129" s="1160">
        <f t="shared" si="94"/>
        <v>0</v>
      </c>
    </row>
    <row r="130" spans="2:44" ht="15.5" x14ac:dyDescent="0.35">
      <c r="B130" s="367">
        <v>3</v>
      </c>
      <c r="C130" s="367"/>
      <c r="D130" s="368">
        <v>6271002802</v>
      </c>
      <c r="E130" s="369" t="s">
        <v>492</v>
      </c>
      <c r="F130" s="369" t="s">
        <v>493</v>
      </c>
      <c r="G130" s="369" t="s">
        <v>492</v>
      </c>
      <c r="H130" s="368" t="s">
        <v>359</v>
      </c>
      <c r="I130" s="404" t="s">
        <v>701</v>
      </c>
      <c r="J130" s="371"/>
      <c r="K130" s="1137"/>
      <c r="L130" s="1137"/>
      <c r="M130" s="1137"/>
      <c r="N130" s="1137"/>
      <c r="O130" s="1137"/>
      <c r="P130" s="1137"/>
      <c r="Q130" s="1137"/>
      <c r="R130" s="1137"/>
      <c r="S130" s="1137"/>
      <c r="T130" s="1137"/>
      <c r="U130" s="1137"/>
      <c r="V130" s="1137"/>
      <c r="W130" s="1138">
        <f t="shared" si="113"/>
        <v>0</v>
      </c>
      <c r="X130" s="1136"/>
      <c r="Y130" s="366"/>
      <c r="Z130" s="366"/>
      <c r="AA130" s="366"/>
      <c r="AB130" s="366"/>
      <c r="AC130" s="366"/>
      <c r="AD130" s="366"/>
      <c r="AE130" s="366"/>
      <c r="AF130" s="366"/>
      <c r="AG130" s="366"/>
      <c r="AH130" s="371"/>
      <c r="AI130" s="371"/>
      <c r="AJ130" s="371"/>
      <c r="AK130" s="1138">
        <f t="shared" si="114"/>
        <v>0</v>
      </c>
      <c r="AL130" s="1136"/>
      <c r="AM130" s="392"/>
      <c r="AO130" s="392"/>
      <c r="AQ130" s="1137">
        <f t="shared" si="93"/>
        <v>0</v>
      </c>
      <c r="AR130" s="1160">
        <f t="shared" si="94"/>
        <v>0</v>
      </c>
    </row>
    <row r="131" spans="2:44" ht="15.5" x14ac:dyDescent="0.35">
      <c r="B131" s="367">
        <v>4</v>
      </c>
      <c r="C131" s="367"/>
      <c r="D131" s="368">
        <v>6271002806</v>
      </c>
      <c r="E131" s="369" t="s">
        <v>501</v>
      </c>
      <c r="F131" s="369" t="s">
        <v>491</v>
      </c>
      <c r="G131" s="369" t="s">
        <v>501</v>
      </c>
      <c r="H131" s="368" t="s">
        <v>359</v>
      </c>
      <c r="I131" s="404" t="s">
        <v>701</v>
      </c>
      <c r="J131" s="371"/>
      <c r="K131" s="1137"/>
      <c r="L131" s="1137"/>
      <c r="M131" s="1137"/>
      <c r="N131" s="1137"/>
      <c r="O131" s="1137"/>
      <c r="P131" s="1137"/>
      <c r="Q131" s="1137"/>
      <c r="R131" s="1137"/>
      <c r="S131" s="1137"/>
      <c r="T131" s="1137"/>
      <c r="U131" s="1137"/>
      <c r="V131" s="1137"/>
      <c r="W131" s="1138">
        <f t="shared" si="113"/>
        <v>0</v>
      </c>
      <c r="X131" s="1136"/>
      <c r="Y131" s="366"/>
      <c r="Z131" s="366"/>
      <c r="AA131" s="366"/>
      <c r="AB131" s="366"/>
      <c r="AC131" s="366"/>
      <c r="AD131" s="366"/>
      <c r="AE131" s="366"/>
      <c r="AF131" s="366"/>
      <c r="AG131" s="366"/>
      <c r="AH131" s="371"/>
      <c r="AI131" s="371"/>
      <c r="AJ131" s="371"/>
      <c r="AK131" s="1138">
        <f t="shared" si="114"/>
        <v>0</v>
      </c>
      <c r="AL131" s="1136"/>
      <c r="AM131" s="392"/>
      <c r="AO131" s="392"/>
      <c r="AQ131" s="1137">
        <f t="shared" si="93"/>
        <v>0</v>
      </c>
      <c r="AR131" s="1160">
        <f t="shared" si="94"/>
        <v>0</v>
      </c>
    </row>
    <row r="132" spans="2:44" ht="15.5" x14ac:dyDescent="0.35">
      <c r="B132" s="367">
        <v>5</v>
      </c>
      <c r="C132" s="367"/>
      <c r="D132" s="368">
        <v>6271007202</v>
      </c>
      <c r="E132" s="369" t="s">
        <v>495</v>
      </c>
      <c r="F132" s="369" t="s">
        <v>493</v>
      </c>
      <c r="G132" s="369" t="s">
        <v>495</v>
      </c>
      <c r="H132" s="368" t="s">
        <v>359</v>
      </c>
      <c r="I132" s="404" t="s">
        <v>701</v>
      </c>
      <c r="J132" s="371"/>
      <c r="K132" s="1137"/>
      <c r="L132" s="1137"/>
      <c r="M132" s="1137"/>
      <c r="N132" s="1137"/>
      <c r="O132" s="1137"/>
      <c r="P132" s="1137"/>
      <c r="Q132" s="1137"/>
      <c r="R132" s="1137"/>
      <c r="S132" s="1137"/>
      <c r="T132" s="1137"/>
      <c r="U132" s="1137"/>
      <c r="V132" s="1137"/>
      <c r="W132" s="1138">
        <f t="shared" si="113"/>
        <v>0</v>
      </c>
      <c r="X132" s="1136"/>
      <c r="Y132" s="366"/>
      <c r="Z132" s="366"/>
      <c r="AA132" s="366"/>
      <c r="AB132" s="366"/>
      <c r="AC132" s="366"/>
      <c r="AD132" s="366"/>
      <c r="AE132" s="366"/>
      <c r="AF132" s="366"/>
      <c r="AG132" s="366"/>
      <c r="AH132" s="371"/>
      <c r="AI132" s="371"/>
      <c r="AJ132" s="371"/>
      <c r="AK132" s="1138">
        <f t="shared" si="114"/>
        <v>0</v>
      </c>
      <c r="AL132" s="1136"/>
      <c r="AM132" s="392"/>
      <c r="AO132" s="392"/>
      <c r="AQ132" s="1137">
        <f t="shared" si="93"/>
        <v>0</v>
      </c>
      <c r="AR132" s="1160">
        <f t="shared" si="94"/>
        <v>0</v>
      </c>
    </row>
    <row r="133" spans="2:44" ht="15.5" x14ac:dyDescent="0.35">
      <c r="B133" s="367">
        <v>6</v>
      </c>
      <c r="C133" s="367"/>
      <c r="D133" s="1004">
        <v>6271003202</v>
      </c>
      <c r="E133" s="438" t="s">
        <v>496</v>
      </c>
      <c r="F133" s="438" t="s">
        <v>493</v>
      </c>
      <c r="G133" s="438" t="s">
        <v>496</v>
      </c>
      <c r="H133" s="1004" t="s">
        <v>359</v>
      </c>
      <c r="I133" s="404" t="s">
        <v>701</v>
      </c>
      <c r="J133" s="824"/>
      <c r="K133" s="1139"/>
      <c r="L133" s="1139"/>
      <c r="M133" s="1139"/>
      <c r="N133" s="1139"/>
      <c r="O133" s="1139"/>
      <c r="P133" s="1139"/>
      <c r="Q133" s="1139"/>
      <c r="R133" s="1139"/>
      <c r="S133" s="1139"/>
      <c r="T133" s="1139"/>
      <c r="U133" s="1139"/>
      <c r="V133" s="1139"/>
      <c r="W133" s="1140">
        <f t="shared" si="113"/>
        <v>0</v>
      </c>
      <c r="X133" s="1136"/>
      <c r="Y133" s="1006"/>
      <c r="Z133" s="1006"/>
      <c r="AA133" s="1006"/>
      <c r="AB133" s="1006"/>
      <c r="AC133" s="1006"/>
      <c r="AD133" s="1006"/>
      <c r="AE133" s="1006"/>
      <c r="AF133" s="1006"/>
      <c r="AG133" s="1006"/>
      <c r="AH133" s="824"/>
      <c r="AI133" s="824"/>
      <c r="AJ133" s="824"/>
      <c r="AK133" s="1140">
        <f t="shared" si="114"/>
        <v>0</v>
      </c>
      <c r="AL133" s="1136"/>
      <c r="AM133" s="1005"/>
      <c r="AN133" s="10"/>
      <c r="AO133" s="1005"/>
      <c r="AP133" s="10"/>
      <c r="AQ133" s="1139">
        <f t="shared" si="93"/>
        <v>0</v>
      </c>
      <c r="AR133" s="1161">
        <f t="shared" si="94"/>
        <v>0</v>
      </c>
    </row>
    <row r="134" spans="2:44" ht="15.5" x14ac:dyDescent="0.35">
      <c r="B134" s="367">
        <v>7</v>
      </c>
      <c r="C134" s="367"/>
      <c r="D134" s="1004">
        <v>6271002603</v>
      </c>
      <c r="E134" s="438" t="s">
        <v>497</v>
      </c>
      <c r="F134" s="438" t="s">
        <v>491</v>
      </c>
      <c r="G134" s="438" t="s">
        <v>497</v>
      </c>
      <c r="H134" s="1004" t="s">
        <v>359</v>
      </c>
      <c r="I134" s="404" t="s">
        <v>701</v>
      </c>
      <c r="J134" s="824"/>
      <c r="K134" s="1139"/>
      <c r="L134" s="1139"/>
      <c r="M134" s="1139"/>
      <c r="N134" s="1139"/>
      <c r="O134" s="1139"/>
      <c r="P134" s="1139"/>
      <c r="Q134" s="1139"/>
      <c r="R134" s="1139"/>
      <c r="S134" s="1139"/>
      <c r="T134" s="1139"/>
      <c r="U134" s="1139"/>
      <c r="V134" s="1139"/>
      <c r="W134" s="1140">
        <f t="shared" si="113"/>
        <v>0</v>
      </c>
      <c r="X134" s="1136"/>
      <c r="Y134" s="1006"/>
      <c r="Z134" s="1006"/>
      <c r="AA134" s="1006"/>
      <c r="AB134" s="1006"/>
      <c r="AC134" s="1006"/>
      <c r="AD134" s="1006"/>
      <c r="AE134" s="1006"/>
      <c r="AF134" s="1006"/>
      <c r="AG134" s="1006"/>
      <c r="AH134" s="824"/>
      <c r="AI134" s="824"/>
      <c r="AJ134" s="824"/>
      <c r="AK134" s="1140">
        <f t="shared" si="114"/>
        <v>0</v>
      </c>
      <c r="AL134" s="1136"/>
      <c r="AM134" s="1005"/>
      <c r="AN134" s="10"/>
      <c r="AO134" s="1005"/>
      <c r="AP134" s="10"/>
      <c r="AQ134" s="1139">
        <f t="shared" si="93"/>
        <v>0</v>
      </c>
      <c r="AR134" s="1161">
        <f t="shared" si="94"/>
        <v>0</v>
      </c>
    </row>
    <row r="135" spans="2:44" ht="15.5" x14ac:dyDescent="0.35">
      <c r="B135" s="367">
        <v>8</v>
      </c>
      <c r="C135" s="367"/>
      <c r="D135" s="1004">
        <v>6271003401</v>
      </c>
      <c r="E135" s="438" t="s">
        <v>498</v>
      </c>
      <c r="F135" s="438" t="s">
        <v>493</v>
      </c>
      <c r="G135" s="438" t="s">
        <v>498</v>
      </c>
      <c r="H135" s="1004" t="s">
        <v>359</v>
      </c>
      <c r="I135" s="404" t="s">
        <v>701</v>
      </c>
      <c r="J135" s="824"/>
      <c r="K135" s="1139"/>
      <c r="L135" s="1139"/>
      <c r="M135" s="1139"/>
      <c r="N135" s="1139"/>
      <c r="O135" s="1139"/>
      <c r="P135" s="1139"/>
      <c r="Q135" s="1139"/>
      <c r="R135" s="1139"/>
      <c r="S135" s="1139"/>
      <c r="T135" s="1139"/>
      <c r="U135" s="1139"/>
      <c r="V135" s="1139"/>
      <c r="W135" s="1140">
        <f t="shared" si="113"/>
        <v>0</v>
      </c>
      <c r="X135" s="1136"/>
      <c r="Y135" s="1006"/>
      <c r="Z135" s="1006"/>
      <c r="AA135" s="1006"/>
      <c r="AB135" s="1006"/>
      <c r="AC135" s="1006"/>
      <c r="AD135" s="1006"/>
      <c r="AE135" s="1006"/>
      <c r="AF135" s="1006"/>
      <c r="AG135" s="1006"/>
      <c r="AH135" s="824"/>
      <c r="AI135" s="824"/>
      <c r="AJ135" s="824"/>
      <c r="AK135" s="1140">
        <f t="shared" si="114"/>
        <v>0</v>
      </c>
      <c r="AL135" s="1136"/>
      <c r="AM135" s="1005"/>
      <c r="AN135" s="10"/>
      <c r="AO135" s="1005"/>
      <c r="AP135" s="10"/>
      <c r="AQ135" s="1139">
        <f t="shared" si="93"/>
        <v>0</v>
      </c>
      <c r="AR135" s="1161">
        <f t="shared" si="94"/>
        <v>0</v>
      </c>
    </row>
    <row r="136" spans="2:44" ht="15.5" x14ac:dyDescent="0.35">
      <c r="B136" s="367">
        <v>9</v>
      </c>
      <c r="C136" s="367"/>
      <c r="D136" s="1004">
        <v>6271002703</v>
      </c>
      <c r="E136" s="438" t="s">
        <v>499</v>
      </c>
      <c r="F136" s="438" t="s">
        <v>491</v>
      </c>
      <c r="G136" s="438" t="s">
        <v>499</v>
      </c>
      <c r="H136" s="1004" t="s">
        <v>359</v>
      </c>
      <c r="I136" s="404" t="s">
        <v>701</v>
      </c>
      <c r="J136" s="824"/>
      <c r="K136" s="1139"/>
      <c r="L136" s="1139"/>
      <c r="M136" s="1139"/>
      <c r="N136" s="1139"/>
      <c r="O136" s="1139"/>
      <c r="P136" s="1139"/>
      <c r="Q136" s="1139"/>
      <c r="R136" s="1139"/>
      <c r="S136" s="1139"/>
      <c r="T136" s="1139"/>
      <c r="U136" s="1139"/>
      <c r="V136" s="1139"/>
      <c r="W136" s="1140">
        <f t="shared" si="113"/>
        <v>0</v>
      </c>
      <c r="X136" s="1136"/>
      <c r="Y136" s="1006"/>
      <c r="Z136" s="1006"/>
      <c r="AA136" s="1006"/>
      <c r="AB136" s="1006"/>
      <c r="AC136" s="1006"/>
      <c r="AD136" s="1006"/>
      <c r="AE136" s="1006"/>
      <c r="AF136" s="1006"/>
      <c r="AG136" s="1006"/>
      <c r="AH136" s="824"/>
      <c r="AI136" s="824"/>
      <c r="AJ136" s="824"/>
      <c r="AK136" s="1140">
        <f t="shared" si="114"/>
        <v>0</v>
      </c>
      <c r="AL136" s="1136"/>
      <c r="AM136" s="1005"/>
      <c r="AN136" s="10"/>
      <c r="AO136" s="1005"/>
      <c r="AP136" s="10"/>
      <c r="AQ136" s="1139">
        <f t="shared" si="93"/>
        <v>0</v>
      </c>
      <c r="AR136" s="1161">
        <f t="shared" si="94"/>
        <v>0</v>
      </c>
    </row>
    <row r="137" spans="2:44" ht="15.5" x14ac:dyDescent="0.35">
      <c r="B137" s="367">
        <v>10</v>
      </c>
      <c r="C137" s="367"/>
      <c r="D137" s="1004" t="s">
        <v>1311</v>
      </c>
      <c r="E137" s="438" t="s">
        <v>1312</v>
      </c>
      <c r="F137" s="438" t="s">
        <v>1313</v>
      </c>
      <c r="G137" s="438" t="s">
        <v>1312</v>
      </c>
      <c r="H137" s="1004" t="s">
        <v>359</v>
      </c>
      <c r="I137" s="404" t="s">
        <v>726</v>
      </c>
      <c r="J137" s="824"/>
      <c r="K137" s="1139"/>
      <c r="L137" s="1139"/>
      <c r="M137" s="1139"/>
      <c r="N137" s="1139"/>
      <c r="O137" s="1139"/>
      <c r="P137" s="1139"/>
      <c r="Q137" s="1139"/>
      <c r="R137" s="1139"/>
      <c r="S137" s="1139"/>
      <c r="T137" s="1139"/>
      <c r="U137" s="1139"/>
      <c r="V137" s="1139"/>
      <c r="W137" s="1140"/>
      <c r="X137" s="1136"/>
      <c r="Y137" s="1006"/>
      <c r="Z137" s="1006"/>
      <c r="AA137" s="1006"/>
      <c r="AB137" s="1006"/>
      <c r="AC137" s="1006"/>
      <c r="AD137" s="1006"/>
      <c r="AE137" s="1006"/>
      <c r="AF137" s="1006"/>
      <c r="AG137" s="1006"/>
      <c r="AH137" s="824"/>
      <c r="AI137" s="824"/>
      <c r="AJ137" s="824"/>
      <c r="AK137" s="1140"/>
      <c r="AL137" s="1136"/>
      <c r="AM137" s="1005"/>
      <c r="AN137" s="10"/>
      <c r="AO137" s="1005"/>
      <c r="AP137" s="10"/>
      <c r="AQ137" s="1139"/>
      <c r="AR137" s="1161"/>
    </row>
    <row r="138" spans="2:44" ht="15.5" x14ac:dyDescent="0.35">
      <c r="B138" s="367">
        <v>11</v>
      </c>
      <c r="C138" s="367"/>
      <c r="D138" s="1004">
        <v>6271003001</v>
      </c>
      <c r="E138" s="438" t="s">
        <v>702</v>
      </c>
      <c r="F138" s="438" t="s">
        <v>493</v>
      </c>
      <c r="G138" s="438" t="s">
        <v>702</v>
      </c>
      <c r="H138" s="1004" t="s">
        <v>359</v>
      </c>
      <c r="I138" s="404" t="s">
        <v>703</v>
      </c>
      <c r="J138" s="824"/>
      <c r="K138" s="1139"/>
      <c r="L138" s="1139"/>
      <c r="M138" s="1139"/>
      <c r="N138" s="1139"/>
      <c r="O138" s="1139"/>
      <c r="P138" s="1139"/>
      <c r="Q138" s="1139"/>
      <c r="R138" s="1139"/>
      <c r="S138" s="1139"/>
      <c r="T138" s="1139"/>
      <c r="U138" s="1139"/>
      <c r="V138" s="1139"/>
      <c r="W138" s="1140">
        <f t="shared" si="113"/>
        <v>0</v>
      </c>
      <c r="X138" s="1136"/>
      <c r="Y138" s="1006"/>
      <c r="Z138" s="1006"/>
      <c r="AA138" s="1006"/>
      <c r="AB138" s="1006"/>
      <c r="AC138" s="1006"/>
      <c r="AD138" s="1006"/>
      <c r="AE138" s="1006"/>
      <c r="AF138" s="1006"/>
      <c r="AG138" s="1006"/>
      <c r="AH138" s="824"/>
      <c r="AI138" s="824"/>
      <c r="AJ138" s="824"/>
      <c r="AK138" s="1140">
        <f t="shared" si="114"/>
        <v>0</v>
      </c>
      <c r="AL138" s="1136"/>
      <c r="AM138" s="1005"/>
      <c r="AO138" s="1005"/>
      <c r="AQ138" s="1139">
        <f t="shared" si="93"/>
        <v>0</v>
      </c>
      <c r="AR138" s="1161">
        <f t="shared" si="94"/>
        <v>0</v>
      </c>
    </row>
    <row r="139" spans="2:44" ht="15.5" x14ac:dyDescent="0.35">
      <c r="B139" s="367">
        <v>12</v>
      </c>
      <c r="C139" s="367"/>
      <c r="D139" s="1004" t="s">
        <v>763</v>
      </c>
      <c r="E139" s="438" t="s">
        <v>705</v>
      </c>
      <c r="F139" s="438" t="s">
        <v>493</v>
      </c>
      <c r="G139" s="438" t="s">
        <v>706</v>
      </c>
      <c r="H139" s="1004" t="s">
        <v>359</v>
      </c>
      <c r="I139" s="404" t="s">
        <v>703</v>
      </c>
      <c r="J139" s="824"/>
      <c r="K139" s="1139"/>
      <c r="L139" s="1139"/>
      <c r="M139" s="1139"/>
      <c r="N139" s="1139"/>
      <c r="O139" s="1139"/>
      <c r="P139" s="1139"/>
      <c r="Q139" s="1139"/>
      <c r="R139" s="1139"/>
      <c r="S139" s="1139"/>
      <c r="T139" s="1139"/>
      <c r="U139" s="1139"/>
      <c r="V139" s="1139"/>
      <c r="W139" s="1140"/>
      <c r="X139" s="1136"/>
      <c r="Y139" s="824"/>
      <c r="Z139" s="824"/>
      <c r="AA139" s="824"/>
      <c r="AB139" s="824"/>
      <c r="AC139" s="824"/>
      <c r="AD139" s="824"/>
      <c r="AE139" s="824"/>
      <c r="AF139" s="824"/>
      <c r="AG139" s="824"/>
      <c r="AH139" s="824"/>
      <c r="AI139" s="824"/>
      <c r="AJ139" s="824"/>
      <c r="AK139" s="1140"/>
      <c r="AL139" s="1136"/>
      <c r="AM139" s="1005"/>
      <c r="AO139" s="1005"/>
      <c r="AQ139" s="1139"/>
      <c r="AR139" s="1161"/>
    </row>
    <row r="140" spans="2:44" ht="15.5" x14ac:dyDescent="0.35">
      <c r="B140" s="367">
        <v>13</v>
      </c>
      <c r="C140" s="367"/>
      <c r="D140" s="1004">
        <v>6273000100</v>
      </c>
      <c r="E140" s="438" t="s">
        <v>724</v>
      </c>
      <c r="F140" s="438" t="s">
        <v>725</v>
      </c>
      <c r="G140" s="438" t="s">
        <v>724</v>
      </c>
      <c r="H140" s="1004" t="s">
        <v>414</v>
      </c>
      <c r="I140" s="404" t="s">
        <v>726</v>
      </c>
      <c r="J140" s="824"/>
      <c r="K140" s="1139"/>
      <c r="L140" s="1139"/>
      <c r="M140" s="1139"/>
      <c r="N140" s="1139"/>
      <c r="O140" s="1139"/>
      <c r="P140" s="1139"/>
      <c r="Q140" s="1139"/>
      <c r="R140" s="1139"/>
      <c r="S140" s="1139"/>
      <c r="T140" s="1139"/>
      <c r="U140" s="1139"/>
      <c r="V140" s="1139"/>
      <c r="W140" s="1140">
        <f t="shared" si="113"/>
        <v>0</v>
      </c>
      <c r="X140" s="1136"/>
      <c r="Y140" s="1006"/>
      <c r="Z140" s="1006"/>
      <c r="AA140" s="1006"/>
      <c r="AB140" s="1006"/>
      <c r="AC140" s="1006"/>
      <c r="AD140" s="1006"/>
      <c r="AE140" s="1006"/>
      <c r="AF140" s="1006"/>
      <c r="AG140" s="1006"/>
      <c r="AH140" s="824"/>
      <c r="AI140" s="824"/>
      <c r="AJ140" s="824"/>
      <c r="AK140" s="1140">
        <f t="shared" si="114"/>
        <v>0</v>
      </c>
      <c r="AL140" s="1136"/>
      <c r="AM140" s="1005"/>
      <c r="AO140" s="1005"/>
      <c r="AQ140" s="1139">
        <f t="shared" si="93"/>
        <v>0</v>
      </c>
      <c r="AR140" s="1161">
        <f t="shared" si="94"/>
        <v>0</v>
      </c>
    </row>
    <row r="141" spans="2:44" ht="15.5" x14ac:dyDescent="0.35">
      <c r="B141" s="367">
        <v>14</v>
      </c>
      <c r="C141" s="367"/>
      <c r="D141" s="1004">
        <v>6275001803</v>
      </c>
      <c r="E141" s="438" t="s">
        <v>727</v>
      </c>
      <c r="F141" s="438" t="s">
        <v>716</v>
      </c>
      <c r="G141" s="438" t="s">
        <v>727</v>
      </c>
      <c r="H141" s="1004" t="s">
        <v>414</v>
      </c>
      <c r="I141" s="404" t="s">
        <v>726</v>
      </c>
      <c r="J141" s="824"/>
      <c r="K141" s="1139">
        <f>'Dinh muc'!$G$51*'3.Thanh pham'!F$155</f>
        <v>0</v>
      </c>
      <c r="L141" s="1139">
        <f>'Dinh muc'!$G$51*'3.Thanh pham'!G$155</f>
        <v>0</v>
      </c>
      <c r="M141" s="1139">
        <f>'Dinh muc'!$G$51*'3.Thanh pham'!H$155</f>
        <v>0</v>
      </c>
      <c r="N141" s="1139">
        <f>'Dinh muc'!$G$51*'3.Thanh pham'!I$155</f>
        <v>0</v>
      </c>
      <c r="O141" s="1139">
        <f>'Dinh muc'!$G$51*'3.Thanh pham'!J$155</f>
        <v>0</v>
      </c>
      <c r="P141" s="1139">
        <f>'Dinh muc'!$G$51*'3.Thanh pham'!K$155</f>
        <v>13472250</v>
      </c>
      <c r="Q141" s="1139">
        <f>'Dinh muc'!$G$51*'3.Thanh pham'!L$155</f>
        <v>13472250</v>
      </c>
      <c r="R141" s="1139">
        <f>'Dinh muc'!$G$51*'3.Thanh pham'!M$155</f>
        <v>13472250</v>
      </c>
      <c r="S141" s="1139">
        <f>'Dinh muc'!$G$51*'3.Thanh pham'!N$155</f>
        <v>13472250</v>
      </c>
      <c r="T141" s="1139">
        <f>'Dinh muc'!$G$51*'3.Thanh pham'!O$155</f>
        <v>13472250</v>
      </c>
      <c r="U141" s="1139">
        <f>'Dinh muc'!$G$51*'3.Thanh pham'!P$155</f>
        <v>13472250</v>
      </c>
      <c r="V141" s="1139">
        <f>'Dinh muc'!$G$51*'3.Thanh pham'!Q$155</f>
        <v>13472250</v>
      </c>
      <c r="W141" s="1140">
        <f t="shared" si="113"/>
        <v>94305750</v>
      </c>
      <c r="X141" s="1136"/>
      <c r="Y141" s="1006"/>
      <c r="Z141" s="1006"/>
      <c r="AA141" s="1006"/>
      <c r="AB141" s="1006"/>
      <c r="AC141" s="1006"/>
      <c r="AD141" s="1006"/>
      <c r="AE141" s="1006"/>
      <c r="AF141" s="1006"/>
      <c r="AG141" s="1006"/>
      <c r="AH141" s="824"/>
      <c r="AI141" s="824"/>
      <c r="AJ141" s="824"/>
      <c r="AK141" s="1140">
        <f t="shared" si="114"/>
        <v>0</v>
      </c>
      <c r="AL141" s="1136"/>
      <c r="AM141" s="1005"/>
      <c r="AO141" s="1005"/>
      <c r="AQ141" s="1139">
        <f t="shared" si="93"/>
        <v>94305750</v>
      </c>
      <c r="AR141" s="1161">
        <f t="shared" si="94"/>
        <v>0</v>
      </c>
    </row>
    <row r="142" spans="2:44" ht="15.5" x14ac:dyDescent="0.35">
      <c r="B142" s="367">
        <v>15</v>
      </c>
      <c r="C142" s="367"/>
      <c r="D142" s="1004">
        <v>6277002804</v>
      </c>
      <c r="E142" s="438" t="s">
        <v>728</v>
      </c>
      <c r="F142" s="438" t="s">
        <v>729</v>
      </c>
      <c r="G142" s="438" t="s">
        <v>728</v>
      </c>
      <c r="H142" s="1004" t="s">
        <v>359</v>
      </c>
      <c r="I142" s="404" t="s">
        <v>726</v>
      </c>
      <c r="J142" s="824"/>
      <c r="K142" s="1139"/>
      <c r="L142" s="1139"/>
      <c r="M142" s="1139"/>
      <c r="N142" s="1139"/>
      <c r="O142" s="1139"/>
      <c r="P142" s="1139"/>
      <c r="Q142" s="1139"/>
      <c r="R142" s="1139"/>
      <c r="S142" s="1139"/>
      <c r="T142" s="1139"/>
      <c r="U142" s="1139"/>
      <c r="V142" s="1139"/>
      <c r="W142" s="1140">
        <f t="shared" si="113"/>
        <v>0</v>
      </c>
      <c r="X142" s="1136"/>
      <c r="Y142" s="1006"/>
      <c r="Z142" s="1006"/>
      <c r="AA142" s="1006"/>
      <c r="AB142" s="1006"/>
      <c r="AC142" s="1006"/>
      <c r="AD142" s="1006"/>
      <c r="AE142" s="1006"/>
      <c r="AF142" s="1006"/>
      <c r="AG142" s="1006"/>
      <c r="AH142" s="824"/>
      <c r="AI142" s="824"/>
      <c r="AJ142" s="824"/>
      <c r="AK142" s="1140">
        <f t="shared" si="114"/>
        <v>0</v>
      </c>
      <c r="AL142" s="1136"/>
      <c r="AM142" s="1005"/>
      <c r="AN142" s="10"/>
      <c r="AO142" s="1005"/>
      <c r="AP142" s="10"/>
      <c r="AQ142" s="1139">
        <f t="shared" si="93"/>
        <v>0</v>
      </c>
      <c r="AR142" s="1161">
        <f t="shared" si="94"/>
        <v>0</v>
      </c>
    </row>
    <row r="143" spans="2:44" ht="15.5" x14ac:dyDescent="0.35">
      <c r="B143" s="367">
        <v>16</v>
      </c>
      <c r="C143" s="367"/>
      <c r="D143" s="1004">
        <v>6277003702</v>
      </c>
      <c r="E143" s="438" t="s">
        <v>730</v>
      </c>
      <c r="F143" s="438" t="s">
        <v>731</v>
      </c>
      <c r="G143" s="438" t="s">
        <v>730</v>
      </c>
      <c r="H143" s="1004" t="s">
        <v>356</v>
      </c>
      <c r="I143" s="404" t="s">
        <v>703</v>
      </c>
      <c r="J143" s="824"/>
      <c r="K143" s="1139"/>
      <c r="L143" s="1139"/>
      <c r="M143" s="1139"/>
      <c r="N143" s="1139"/>
      <c r="O143" s="1139"/>
      <c r="P143" s="1139"/>
      <c r="Q143" s="1139"/>
      <c r="R143" s="1139"/>
      <c r="S143" s="1139"/>
      <c r="T143" s="1139"/>
      <c r="U143" s="1139"/>
      <c r="V143" s="1139"/>
      <c r="W143" s="1140">
        <f t="shared" si="113"/>
        <v>0</v>
      </c>
      <c r="X143" s="1136"/>
      <c r="Y143" s="1006"/>
      <c r="Z143" s="1006"/>
      <c r="AA143" s="1006"/>
      <c r="AB143" s="1006"/>
      <c r="AC143" s="1006"/>
      <c r="AD143" s="1006"/>
      <c r="AE143" s="1006"/>
      <c r="AF143" s="1006"/>
      <c r="AG143" s="1006"/>
      <c r="AH143" s="824"/>
      <c r="AI143" s="824"/>
      <c r="AJ143" s="824"/>
      <c r="AK143" s="1140">
        <f t="shared" si="114"/>
        <v>0</v>
      </c>
      <c r="AL143" s="1136"/>
      <c r="AM143" s="1005"/>
      <c r="AN143" s="10"/>
      <c r="AO143" s="1005"/>
      <c r="AP143" s="10"/>
      <c r="AQ143" s="1139">
        <f t="shared" si="93"/>
        <v>0</v>
      </c>
      <c r="AR143" s="1161">
        <f t="shared" si="94"/>
        <v>0</v>
      </c>
    </row>
    <row r="144" spans="2:44" ht="15.5" x14ac:dyDescent="0.35">
      <c r="B144" s="1172">
        <v>17</v>
      </c>
      <c r="C144" s="367"/>
      <c r="D144" s="1004">
        <v>6277005001</v>
      </c>
      <c r="E144" s="1176" t="s">
        <v>732</v>
      </c>
      <c r="F144" s="438" t="s">
        <v>733</v>
      </c>
      <c r="G144" s="438" t="s">
        <v>732</v>
      </c>
      <c r="H144" s="1004" t="s">
        <v>356</v>
      </c>
      <c r="I144" s="404" t="s">
        <v>709</v>
      </c>
      <c r="J144" s="824"/>
      <c r="K144" s="1139">
        <v>230839676</v>
      </c>
      <c r="L144" s="1139">
        <v>230839676</v>
      </c>
      <c r="M144" s="1139">
        <v>230839676</v>
      </c>
      <c r="N144" s="1139">
        <v>230839676</v>
      </c>
      <c r="O144" s="1139">
        <v>230839676</v>
      </c>
      <c r="P144" s="1139">
        <v>230839676</v>
      </c>
      <c r="Q144" s="1139">
        <v>230839676</v>
      </c>
      <c r="R144" s="1139">
        <v>230839676</v>
      </c>
      <c r="S144" s="1139">
        <v>230839676</v>
      </c>
      <c r="T144" s="1139">
        <v>230839676</v>
      </c>
      <c r="U144" s="1139">
        <v>230839676</v>
      </c>
      <c r="V144" s="1139">
        <v>230839676</v>
      </c>
      <c r="W144" s="1140">
        <f t="shared" si="113"/>
        <v>2770076112</v>
      </c>
      <c r="X144" s="1136"/>
      <c r="Y144" s="1006">
        <v>230839676</v>
      </c>
      <c r="Z144" s="1006">
        <v>230839676</v>
      </c>
      <c r="AA144" s="1006">
        <v>230839676</v>
      </c>
      <c r="AB144" s="1006">
        <v>230839676</v>
      </c>
      <c r="AC144" s="1006">
        <v>230839676</v>
      </c>
      <c r="AD144" s="1006">
        <v>230839676</v>
      </c>
      <c r="AE144" s="1006">
        <v>230839676</v>
      </c>
      <c r="AF144" s="1006">
        <v>230839676</v>
      </c>
      <c r="AG144" s="1006">
        <v>230839676</v>
      </c>
      <c r="AH144" s="1006">
        <v>230839676</v>
      </c>
      <c r="AI144" s="1006">
        <v>230839676</v>
      </c>
      <c r="AJ144" s="1006">
        <v>230839676</v>
      </c>
      <c r="AK144" s="1140">
        <f t="shared" si="114"/>
        <v>2770076112</v>
      </c>
      <c r="AL144" s="1136"/>
      <c r="AM144" s="1005">
        <f>5540152224/2</f>
        <v>2770076112</v>
      </c>
      <c r="AN144" s="10"/>
      <c r="AO144" s="1005"/>
      <c r="AP144" s="10"/>
      <c r="AQ144" s="1139">
        <f t="shared" si="93"/>
        <v>0</v>
      </c>
      <c r="AR144" s="1161">
        <f t="shared" si="94"/>
        <v>0</v>
      </c>
    </row>
    <row r="145" spans="2:44" ht="15.5" x14ac:dyDescent="0.35">
      <c r="B145" s="367">
        <v>18</v>
      </c>
      <c r="C145" s="367"/>
      <c r="D145" s="1004">
        <v>6278007201</v>
      </c>
      <c r="E145" s="438" t="s">
        <v>734</v>
      </c>
      <c r="F145" s="438" t="s">
        <v>729</v>
      </c>
      <c r="G145" s="438" t="s">
        <v>734</v>
      </c>
      <c r="H145" s="1004" t="s">
        <v>414</v>
      </c>
      <c r="I145" s="404" t="s">
        <v>726</v>
      </c>
      <c r="J145" s="824"/>
      <c r="K145" s="1139"/>
      <c r="L145" s="1139"/>
      <c r="M145" s="1139"/>
      <c r="N145" s="1139"/>
      <c r="O145" s="1139"/>
      <c r="P145" s="1139"/>
      <c r="Q145" s="1139"/>
      <c r="R145" s="1139"/>
      <c r="S145" s="1139"/>
      <c r="T145" s="1139"/>
      <c r="U145" s="1139"/>
      <c r="V145" s="1139"/>
      <c r="W145" s="1140">
        <f t="shared" si="113"/>
        <v>0</v>
      </c>
      <c r="X145" s="1136"/>
      <c r="Y145" s="1006"/>
      <c r="Z145" s="1006"/>
      <c r="AA145" s="1006"/>
      <c r="AB145" s="1006"/>
      <c r="AC145" s="1006"/>
      <c r="AD145" s="1006"/>
      <c r="AE145" s="1006"/>
      <c r="AF145" s="1006"/>
      <c r="AG145" s="1006"/>
      <c r="AH145" s="824"/>
      <c r="AI145" s="824"/>
      <c r="AJ145" s="824"/>
      <c r="AK145" s="1140">
        <f t="shared" si="114"/>
        <v>0</v>
      </c>
      <c r="AL145" s="1136"/>
      <c r="AM145" s="1005"/>
      <c r="AN145" s="10"/>
      <c r="AO145" s="1005"/>
      <c r="AP145" s="10"/>
      <c r="AQ145" s="1139">
        <f t="shared" si="93"/>
        <v>0</v>
      </c>
      <c r="AR145" s="1161">
        <f t="shared" si="94"/>
        <v>0</v>
      </c>
    </row>
    <row r="146" spans="2:44" ht="15.5" x14ac:dyDescent="0.35">
      <c r="B146" s="367">
        <v>19</v>
      </c>
      <c r="C146" s="367"/>
      <c r="D146" s="1004" t="s">
        <v>932</v>
      </c>
      <c r="E146" s="438" t="s">
        <v>940</v>
      </c>
      <c r="F146" s="438" t="s">
        <v>738</v>
      </c>
      <c r="G146" s="438" t="s">
        <v>2117</v>
      </c>
      <c r="H146" s="1004" t="s">
        <v>401</v>
      </c>
      <c r="I146" s="404" t="s">
        <v>726</v>
      </c>
      <c r="J146" s="824"/>
      <c r="K146" s="1139"/>
      <c r="L146" s="1139"/>
      <c r="M146" s="1139"/>
      <c r="N146" s="1139"/>
      <c r="O146" s="1139"/>
      <c r="P146" s="1139"/>
      <c r="Q146" s="1139"/>
      <c r="R146" s="1139"/>
      <c r="S146" s="1139"/>
      <c r="T146" s="1139"/>
      <c r="U146" s="1139"/>
      <c r="V146" s="1139"/>
      <c r="W146" s="1140"/>
      <c r="X146" s="1136"/>
      <c r="Y146" s="1006"/>
      <c r="Z146" s="1006"/>
      <c r="AA146" s="1006"/>
      <c r="AB146" s="1006"/>
      <c r="AC146" s="1006"/>
      <c r="AD146" s="1006"/>
      <c r="AE146" s="1006"/>
      <c r="AF146" s="1006"/>
      <c r="AG146" s="1006"/>
      <c r="AH146" s="824"/>
      <c r="AI146" s="824"/>
      <c r="AJ146" s="824"/>
      <c r="AK146" s="1140"/>
      <c r="AL146" s="1136"/>
      <c r="AM146" s="1005"/>
      <c r="AN146" s="10"/>
      <c r="AO146" s="1005"/>
      <c r="AP146" s="10"/>
      <c r="AQ146" s="1139"/>
      <c r="AR146" s="1161"/>
    </row>
    <row r="147" spans="2:44" ht="15.5" x14ac:dyDescent="0.35">
      <c r="B147" s="367">
        <v>20</v>
      </c>
      <c r="C147" s="367"/>
      <c r="D147" s="1004">
        <v>6273006501</v>
      </c>
      <c r="E147" s="438" t="s">
        <v>737</v>
      </c>
      <c r="F147" s="438" t="s">
        <v>738</v>
      </c>
      <c r="G147" s="438" t="s">
        <v>739</v>
      </c>
      <c r="H147" s="1004" t="s">
        <v>401</v>
      </c>
      <c r="I147" s="404" t="s">
        <v>703</v>
      </c>
      <c r="J147" s="824"/>
      <c r="K147" s="1139"/>
      <c r="L147" s="1139"/>
      <c r="M147" s="1139"/>
      <c r="N147" s="1139"/>
      <c r="O147" s="1139"/>
      <c r="P147" s="1139"/>
      <c r="Q147" s="1139"/>
      <c r="R147" s="1139"/>
      <c r="S147" s="1139"/>
      <c r="T147" s="1139"/>
      <c r="U147" s="1139"/>
      <c r="V147" s="1139"/>
      <c r="W147" s="1140">
        <f t="shared" si="113"/>
        <v>0</v>
      </c>
      <c r="X147" s="1136"/>
      <c r="Y147" s="1006"/>
      <c r="Z147" s="1006"/>
      <c r="AA147" s="1006"/>
      <c r="AB147" s="1006"/>
      <c r="AC147" s="1006"/>
      <c r="AD147" s="1006"/>
      <c r="AE147" s="1006"/>
      <c r="AF147" s="1006"/>
      <c r="AG147" s="1006"/>
      <c r="AH147" s="824"/>
      <c r="AI147" s="824"/>
      <c r="AJ147" s="824"/>
      <c r="AK147" s="1140">
        <f t="shared" si="114"/>
        <v>0</v>
      </c>
      <c r="AL147" s="1136"/>
      <c r="AM147" s="1005"/>
      <c r="AO147" s="1005"/>
      <c r="AQ147" s="1139">
        <f t="shared" si="93"/>
        <v>0</v>
      </c>
      <c r="AR147" s="1161">
        <f t="shared" si="94"/>
        <v>0</v>
      </c>
    </row>
    <row r="148" spans="2:44" ht="15.5" x14ac:dyDescent="0.35">
      <c r="B148" s="367">
        <v>21</v>
      </c>
      <c r="C148" s="367"/>
      <c r="D148" s="1004" t="s">
        <v>740</v>
      </c>
      <c r="E148" s="438" t="s">
        <v>741</v>
      </c>
      <c r="F148" s="438" t="s">
        <v>742</v>
      </c>
      <c r="G148" s="438" t="s">
        <v>741</v>
      </c>
      <c r="H148" s="1004" t="s">
        <v>356</v>
      </c>
      <c r="I148" s="404" t="s">
        <v>703</v>
      </c>
      <c r="J148" s="824"/>
      <c r="K148" s="1157"/>
      <c r="L148" s="1157"/>
      <c r="M148" s="1157"/>
      <c r="N148" s="1157"/>
      <c r="O148" s="1157"/>
      <c r="P148" s="1157"/>
      <c r="Q148" s="1157"/>
      <c r="R148" s="1157"/>
      <c r="S148" s="1157"/>
      <c r="T148" s="1157"/>
      <c r="U148" s="1157"/>
      <c r="V148" s="1157"/>
      <c r="W148" s="1140"/>
      <c r="X148" s="1136"/>
      <c r="Y148" s="1008"/>
      <c r="Z148" s="1008"/>
      <c r="AA148" s="1008"/>
      <c r="AB148" s="1008"/>
      <c r="AC148" s="1008"/>
      <c r="AD148" s="1008"/>
      <c r="AE148" s="1008"/>
      <c r="AF148" s="1008"/>
      <c r="AG148" s="1008"/>
      <c r="AH148" s="1008"/>
      <c r="AI148" s="1008"/>
      <c r="AJ148" s="1008"/>
      <c r="AK148" s="1140"/>
      <c r="AL148" s="1136"/>
      <c r="AM148" s="1005"/>
      <c r="AO148" s="1005"/>
      <c r="AQ148" s="1139"/>
      <c r="AR148" s="1161"/>
    </row>
    <row r="149" spans="2:44" ht="15.5" x14ac:dyDescent="0.35">
      <c r="B149" s="367">
        <v>22</v>
      </c>
      <c r="C149" s="367"/>
      <c r="D149" s="1004">
        <v>6277006501</v>
      </c>
      <c r="E149" s="438" t="s">
        <v>2116</v>
      </c>
      <c r="F149" s="438" t="s">
        <v>738</v>
      </c>
      <c r="G149" s="438" t="s">
        <v>743</v>
      </c>
      <c r="H149" s="1004" t="s">
        <v>401</v>
      </c>
      <c r="I149" s="404" t="s">
        <v>726</v>
      </c>
      <c r="J149" s="824"/>
      <c r="K149" s="1139"/>
      <c r="L149" s="1139"/>
      <c r="M149" s="1139"/>
      <c r="N149" s="1139"/>
      <c r="O149" s="1139"/>
      <c r="P149" s="1139"/>
      <c r="Q149" s="1139"/>
      <c r="R149" s="1139"/>
      <c r="S149" s="1139"/>
      <c r="T149" s="1139"/>
      <c r="U149" s="1139"/>
      <c r="V149" s="1139"/>
      <c r="W149" s="1140">
        <f t="shared" si="113"/>
        <v>0</v>
      </c>
      <c r="X149" s="1136"/>
      <c r="Y149" s="1006"/>
      <c r="Z149" s="1006"/>
      <c r="AA149" s="1006"/>
      <c r="AB149" s="1006"/>
      <c r="AC149" s="1006"/>
      <c r="AD149" s="1006"/>
      <c r="AE149" s="1006"/>
      <c r="AF149" s="1006"/>
      <c r="AG149" s="1006"/>
      <c r="AH149" s="824"/>
      <c r="AI149" s="824"/>
      <c r="AJ149" s="824"/>
      <c r="AK149" s="1140">
        <f t="shared" si="114"/>
        <v>0</v>
      </c>
      <c r="AL149" s="1136"/>
      <c r="AM149" s="1005"/>
      <c r="AO149" s="1005"/>
      <c r="AQ149" s="1139">
        <f t="shared" si="93"/>
        <v>0</v>
      </c>
      <c r="AR149" s="1161">
        <f t="shared" si="94"/>
        <v>0</v>
      </c>
    </row>
    <row r="150" spans="2:44" ht="15.5" x14ac:dyDescent="0.35">
      <c r="B150" s="367">
        <v>23</v>
      </c>
      <c r="C150" s="367"/>
      <c r="D150" s="1004">
        <v>6273002001</v>
      </c>
      <c r="E150" s="438" t="s">
        <v>745</v>
      </c>
      <c r="F150" s="438" t="s">
        <v>738</v>
      </c>
      <c r="G150" s="438" t="s">
        <v>746</v>
      </c>
      <c r="H150" s="1004" t="s">
        <v>379</v>
      </c>
      <c r="I150" s="404" t="s">
        <v>703</v>
      </c>
      <c r="J150" s="824"/>
      <c r="K150" s="1139"/>
      <c r="L150" s="1139"/>
      <c r="M150" s="1139"/>
      <c r="N150" s="1139"/>
      <c r="O150" s="1139"/>
      <c r="P150" s="1139"/>
      <c r="Q150" s="1139"/>
      <c r="R150" s="1139"/>
      <c r="S150" s="1139"/>
      <c r="T150" s="1139"/>
      <c r="U150" s="1139"/>
      <c r="V150" s="1139"/>
      <c r="W150" s="1140">
        <f t="shared" si="113"/>
        <v>0</v>
      </c>
      <c r="X150" s="1136"/>
      <c r="Y150" s="1006">
        <v>13113476</v>
      </c>
      <c r="Z150" s="1006">
        <v>13113476</v>
      </c>
      <c r="AA150" s="1006">
        <v>13113476</v>
      </c>
      <c r="AB150" s="1006">
        <v>13113476</v>
      </c>
      <c r="AC150" s="1006">
        <v>13113476</v>
      </c>
      <c r="AD150" s="1006">
        <v>13113476</v>
      </c>
      <c r="AE150" s="1006">
        <v>13113476</v>
      </c>
      <c r="AF150" s="1006">
        <v>13113476</v>
      </c>
      <c r="AG150" s="1006">
        <v>13113476</v>
      </c>
      <c r="AH150" s="1006">
        <v>13113476</v>
      </c>
      <c r="AI150" s="1006">
        <v>13113476</v>
      </c>
      <c r="AJ150" s="1006">
        <v>13113476</v>
      </c>
      <c r="AK150" s="1140">
        <f t="shared" si="114"/>
        <v>157361712</v>
      </c>
      <c r="AL150" s="1136"/>
      <c r="AM150" s="1005"/>
      <c r="AO150" s="1005"/>
      <c r="AQ150" s="1139">
        <f t="shared" si="93"/>
        <v>-157361712</v>
      </c>
      <c r="AR150" s="1161">
        <f t="shared" si="94"/>
        <v>-1</v>
      </c>
    </row>
    <row r="151" spans="2:44" ht="15.5" x14ac:dyDescent="0.35">
      <c r="B151" s="367">
        <v>24</v>
      </c>
      <c r="C151" s="367"/>
      <c r="D151" s="1004">
        <v>6277002204</v>
      </c>
      <c r="E151" s="438" t="s">
        <v>747</v>
      </c>
      <c r="F151" s="438" t="s">
        <v>738</v>
      </c>
      <c r="G151" s="438" t="s">
        <v>748</v>
      </c>
      <c r="H151" s="1004" t="s">
        <v>454</v>
      </c>
      <c r="I151" s="404" t="s">
        <v>703</v>
      </c>
      <c r="J151" s="824"/>
      <c r="K151" s="1139"/>
      <c r="L151" s="1139"/>
      <c r="M151" s="1139"/>
      <c r="N151" s="1139"/>
      <c r="O151" s="1139"/>
      <c r="P151" s="1139"/>
      <c r="Q151" s="1139"/>
      <c r="R151" s="1139"/>
      <c r="S151" s="1139"/>
      <c r="T151" s="1139"/>
      <c r="U151" s="1139"/>
      <c r="V151" s="1139"/>
      <c r="W151" s="1140">
        <f t="shared" si="113"/>
        <v>0</v>
      </c>
      <c r="X151" s="1136"/>
      <c r="Y151" s="1006"/>
      <c r="Z151" s="1006"/>
      <c r="AA151" s="1006"/>
      <c r="AB151" s="1006"/>
      <c r="AC151" s="1006"/>
      <c r="AD151" s="1006"/>
      <c r="AE151" s="1006"/>
      <c r="AF151" s="1006"/>
      <c r="AG151" s="1006"/>
      <c r="AH151" s="824"/>
      <c r="AI151" s="824"/>
      <c r="AJ151" s="824"/>
      <c r="AK151" s="1140">
        <f t="shared" si="114"/>
        <v>0</v>
      </c>
      <c r="AL151" s="1136"/>
      <c r="AM151" s="1005"/>
      <c r="AO151" s="1005"/>
      <c r="AQ151" s="1139">
        <f t="shared" si="93"/>
        <v>0</v>
      </c>
      <c r="AR151" s="1161">
        <f t="shared" si="94"/>
        <v>0</v>
      </c>
    </row>
    <row r="152" spans="2:44" ht="15.5" x14ac:dyDescent="0.35">
      <c r="B152" s="367">
        <v>25</v>
      </c>
      <c r="C152" s="367"/>
      <c r="D152" s="1004">
        <v>6277002301</v>
      </c>
      <c r="E152" s="438" t="s">
        <v>749</v>
      </c>
      <c r="F152" s="438" t="s">
        <v>750</v>
      </c>
      <c r="G152" s="438" t="s">
        <v>749</v>
      </c>
      <c r="H152" s="1004" t="s">
        <v>369</v>
      </c>
      <c r="I152" s="404" t="s">
        <v>703</v>
      </c>
      <c r="J152" s="824"/>
      <c r="K152" s="1139"/>
      <c r="L152" s="1139"/>
      <c r="M152" s="1139"/>
      <c r="N152" s="1139"/>
      <c r="O152" s="1139"/>
      <c r="P152" s="1139"/>
      <c r="Q152" s="1139"/>
      <c r="R152" s="1139"/>
      <c r="S152" s="1139"/>
      <c r="T152" s="1139"/>
      <c r="U152" s="1139"/>
      <c r="V152" s="1139"/>
      <c r="W152" s="1140">
        <f t="shared" si="113"/>
        <v>0</v>
      </c>
      <c r="X152" s="1136"/>
      <c r="Y152" s="1006"/>
      <c r="Z152" s="1006"/>
      <c r="AA152" s="1006"/>
      <c r="AB152" s="1006"/>
      <c r="AC152" s="1006"/>
      <c r="AD152" s="1006"/>
      <c r="AE152" s="1006"/>
      <c r="AF152" s="1006"/>
      <c r="AG152" s="1006"/>
      <c r="AH152" s="824"/>
      <c r="AI152" s="824"/>
      <c r="AJ152" s="824"/>
      <c r="AK152" s="1140">
        <f t="shared" si="114"/>
        <v>0</v>
      </c>
      <c r="AL152" s="1136"/>
      <c r="AM152" s="1005"/>
      <c r="AO152" s="1005"/>
      <c r="AQ152" s="1139">
        <f t="shared" si="93"/>
        <v>0</v>
      </c>
      <c r="AR152" s="1161">
        <f t="shared" si="94"/>
        <v>0</v>
      </c>
    </row>
    <row r="153" spans="2:44" ht="15.5" x14ac:dyDescent="0.35">
      <c r="B153" s="367">
        <v>26</v>
      </c>
      <c r="C153" s="367"/>
      <c r="D153" s="1004">
        <v>6273001908</v>
      </c>
      <c r="E153" s="438" t="s">
        <v>751</v>
      </c>
      <c r="F153" s="438" t="s">
        <v>725</v>
      </c>
      <c r="G153" s="438" t="s">
        <v>751</v>
      </c>
      <c r="H153" s="1004" t="s">
        <v>369</v>
      </c>
      <c r="I153" s="404" t="s">
        <v>703</v>
      </c>
      <c r="J153" s="824"/>
      <c r="K153" s="1139"/>
      <c r="L153" s="1139"/>
      <c r="M153" s="1139"/>
      <c r="N153" s="1139"/>
      <c r="O153" s="1139"/>
      <c r="P153" s="1139"/>
      <c r="Q153" s="1139"/>
      <c r="R153" s="1139"/>
      <c r="S153" s="1139"/>
      <c r="T153" s="1139"/>
      <c r="U153" s="1139"/>
      <c r="V153" s="1139"/>
      <c r="W153" s="1140">
        <f t="shared" si="113"/>
        <v>0</v>
      </c>
      <c r="X153" s="1136"/>
      <c r="Y153" s="1006"/>
      <c r="Z153" s="1006"/>
      <c r="AA153" s="1006"/>
      <c r="AB153" s="1006"/>
      <c r="AC153" s="1006"/>
      <c r="AD153" s="1006"/>
      <c r="AE153" s="1006"/>
      <c r="AF153" s="1006"/>
      <c r="AG153" s="1006"/>
      <c r="AH153" s="824"/>
      <c r="AI153" s="824"/>
      <c r="AJ153" s="824"/>
      <c r="AK153" s="1140">
        <f t="shared" si="114"/>
        <v>0</v>
      </c>
      <c r="AL153" s="1136"/>
      <c r="AM153" s="1005"/>
      <c r="AO153" s="1005"/>
      <c r="AQ153" s="1139">
        <f t="shared" si="93"/>
        <v>0</v>
      </c>
      <c r="AR153" s="1161">
        <f t="shared" si="94"/>
        <v>0</v>
      </c>
    </row>
    <row r="154" spans="2:44" ht="15.5" x14ac:dyDescent="0.35">
      <c r="B154" s="367">
        <v>27</v>
      </c>
      <c r="C154" s="367"/>
      <c r="D154" s="1009">
        <v>6277003803</v>
      </c>
      <c r="E154" s="1010" t="s">
        <v>754</v>
      </c>
      <c r="F154" s="438" t="s">
        <v>755</v>
      </c>
      <c r="G154" s="438" t="s">
        <v>754</v>
      </c>
      <c r="H154" s="1004"/>
      <c r="I154" s="404"/>
      <c r="J154" s="824"/>
      <c r="K154" s="1139"/>
      <c r="L154" s="1139"/>
      <c r="M154" s="1139"/>
      <c r="N154" s="1139"/>
      <c r="O154" s="1139"/>
      <c r="P154" s="1139"/>
      <c r="Q154" s="1139"/>
      <c r="R154" s="1139"/>
      <c r="S154" s="1139"/>
      <c r="T154" s="1139"/>
      <c r="U154" s="1139"/>
      <c r="V154" s="1139"/>
      <c r="W154" s="1140"/>
      <c r="X154" s="1136"/>
      <c r="Y154" s="1043"/>
      <c r="Z154" s="1043"/>
      <c r="AA154" s="1043"/>
      <c r="AB154" s="1043"/>
      <c r="AC154" s="1043"/>
      <c r="AD154" s="1043"/>
      <c r="AE154" s="1043"/>
      <c r="AF154" s="1043"/>
      <c r="AG154" s="1043"/>
      <c r="AH154" s="824"/>
      <c r="AI154" s="824"/>
      <c r="AJ154" s="824"/>
      <c r="AK154" s="1140"/>
      <c r="AL154" s="1136"/>
      <c r="AM154" s="1005"/>
      <c r="AO154" s="1005"/>
      <c r="AQ154" s="1139"/>
      <c r="AR154" s="1161"/>
    </row>
    <row r="155" spans="2:44" ht="15.5" x14ac:dyDescent="0.35">
      <c r="B155" s="1172">
        <v>28</v>
      </c>
      <c r="C155" s="367"/>
      <c r="D155" s="1004"/>
      <c r="E155" s="1176" t="s">
        <v>756</v>
      </c>
      <c r="F155" s="438" t="s">
        <v>757</v>
      </c>
      <c r="G155" s="438" t="s">
        <v>756</v>
      </c>
      <c r="H155" s="1004" t="s">
        <v>369</v>
      </c>
      <c r="I155" s="404" t="s">
        <v>758</v>
      </c>
      <c r="J155" s="824"/>
      <c r="K155" s="1139">
        <f>SUM(PB_TSCD!AF132:AF133)</f>
        <v>233686918.13276589</v>
      </c>
      <c r="L155" s="1139">
        <f>SUM(PB_TSCD!AG132:AG133)</f>
        <v>233686918.13276589</v>
      </c>
      <c r="M155" s="1139">
        <f>SUM(PB_TSCD!AH132:AH133)</f>
        <v>233686918.13276589</v>
      </c>
      <c r="N155" s="1139">
        <f>SUM(PB_TSCD!AI132:AI133)</f>
        <v>233686918.13276589</v>
      </c>
      <c r="O155" s="1139">
        <f>SUM(PB_TSCD!AJ132:AJ133)</f>
        <v>233686918.13276589</v>
      </c>
      <c r="P155" s="1139">
        <f>SUM(PB_TSCD!AK132:AK133)</f>
        <v>251048029.24387699</v>
      </c>
      <c r="Q155" s="1139">
        <f>SUM(PB_TSCD!AL132:AL133)</f>
        <v>251048029.24387699</v>
      </c>
      <c r="R155" s="1139">
        <f>SUM(PB_TSCD!AM132:AM133)</f>
        <v>251048029.24387699</v>
      </c>
      <c r="S155" s="1139">
        <f>SUM(PB_TSCD!AN132:AN133)</f>
        <v>251048029.24387699</v>
      </c>
      <c r="T155" s="1139">
        <f>SUM(PB_TSCD!AO132:AO133)</f>
        <v>251048029.24387699</v>
      </c>
      <c r="U155" s="1139">
        <f>SUM(PB_TSCD!AP132:AP133)</f>
        <v>251048029.24387699</v>
      </c>
      <c r="V155" s="1139">
        <f>SUM(PB_TSCD!AQ132:AQ133)</f>
        <v>251048029.24387699</v>
      </c>
      <c r="W155" s="1140">
        <f t="shared" si="113"/>
        <v>2925770795.3709679</v>
      </c>
      <c r="X155" s="1136"/>
      <c r="Y155" s="824">
        <v>288530036</v>
      </c>
      <c r="Z155" s="824">
        <v>288530036</v>
      </c>
      <c r="AA155" s="824">
        <v>288530036</v>
      </c>
      <c r="AB155" s="824">
        <v>288530036</v>
      </c>
      <c r="AC155" s="824">
        <v>288530036</v>
      </c>
      <c r="AD155" s="824">
        <v>288530036</v>
      </c>
      <c r="AE155" s="824">
        <v>288530036</v>
      </c>
      <c r="AF155" s="824">
        <v>288530036</v>
      </c>
      <c r="AG155" s="824">
        <v>288530036</v>
      </c>
      <c r="AH155" s="824">
        <v>288530036</v>
      </c>
      <c r="AI155" s="824">
        <v>288530036</v>
      </c>
      <c r="AJ155" s="824">
        <v>288530036</v>
      </c>
      <c r="AK155" s="1140">
        <f t="shared" si="114"/>
        <v>3462360432</v>
      </c>
      <c r="AL155" s="1136"/>
      <c r="AM155" s="1005"/>
      <c r="AN155" s="10"/>
      <c r="AO155" s="1005"/>
      <c r="AP155" s="10"/>
      <c r="AQ155" s="1139">
        <f t="shared" si="93"/>
        <v>-536589636.62903214</v>
      </c>
      <c r="AR155" s="1161">
        <f t="shared" si="94"/>
        <v>-0.15497798313247135</v>
      </c>
    </row>
    <row r="156" spans="2:44" ht="15.5" x14ac:dyDescent="0.35">
      <c r="B156" s="1177"/>
      <c r="C156" s="372"/>
      <c r="D156" s="373"/>
      <c r="E156" s="1179"/>
      <c r="F156" s="374"/>
      <c r="G156" s="374"/>
      <c r="H156" s="373"/>
      <c r="I156" s="405"/>
      <c r="J156" s="376"/>
      <c r="K156" s="1145"/>
      <c r="L156" s="1145"/>
      <c r="M156" s="1145"/>
      <c r="N156" s="1145"/>
      <c r="O156" s="1145"/>
      <c r="P156" s="1145"/>
      <c r="Q156" s="1145"/>
      <c r="R156" s="1145"/>
      <c r="S156" s="1145"/>
      <c r="T156" s="1145"/>
      <c r="U156" s="1145"/>
      <c r="V156" s="1145"/>
      <c r="W156" s="1146"/>
      <c r="X156" s="1136"/>
      <c r="Y156" s="376"/>
      <c r="Z156" s="376"/>
      <c r="AA156" s="376"/>
      <c r="AB156" s="376"/>
      <c r="AC156" s="376"/>
      <c r="AD156" s="376"/>
      <c r="AE156" s="376"/>
      <c r="AF156" s="376"/>
      <c r="AG156" s="376"/>
      <c r="AH156" s="376"/>
      <c r="AI156" s="376"/>
      <c r="AJ156" s="376"/>
      <c r="AK156" s="1146"/>
      <c r="AL156" s="1136"/>
      <c r="AM156" s="393"/>
      <c r="AO156" s="393"/>
      <c r="AQ156" s="1137">
        <f t="shared" si="93"/>
        <v>0</v>
      </c>
      <c r="AR156" s="1160">
        <f t="shared" si="94"/>
        <v>0</v>
      </c>
    </row>
    <row r="157" spans="2:44" ht="15.5" x14ac:dyDescent="0.35">
      <c r="B157" s="1183" t="s">
        <v>759</v>
      </c>
      <c r="C157" s="183"/>
      <c r="D157" s="182"/>
      <c r="E157" s="1188" t="s">
        <v>760</v>
      </c>
      <c r="F157" s="452"/>
      <c r="G157" s="453"/>
      <c r="H157" s="453"/>
      <c r="I157" s="454"/>
      <c r="J157" s="360">
        <f>J127+J105</f>
        <v>0</v>
      </c>
      <c r="K157" s="1149">
        <f t="shared" ref="K157:W157" si="115">K127+K105</f>
        <v>464526594.13276589</v>
      </c>
      <c r="L157" s="1149">
        <f t="shared" si="115"/>
        <v>464526594.13276589</v>
      </c>
      <c r="M157" s="1149">
        <f t="shared" si="115"/>
        <v>464526594.13276589</v>
      </c>
      <c r="N157" s="1149">
        <f t="shared" si="115"/>
        <v>464526594.13276589</v>
      </c>
      <c r="O157" s="1149">
        <f t="shared" si="115"/>
        <v>464526594.13276589</v>
      </c>
      <c r="P157" s="1149">
        <f t="shared" si="115"/>
        <v>975647687.14863884</v>
      </c>
      <c r="Q157" s="1149">
        <f t="shared" si="115"/>
        <v>975253046.31530547</v>
      </c>
      <c r="R157" s="1149">
        <f t="shared" si="115"/>
        <v>975253046.31530547</v>
      </c>
      <c r="S157" s="1149">
        <f t="shared" si="115"/>
        <v>975750020.48197222</v>
      </c>
      <c r="T157" s="1149">
        <f t="shared" si="115"/>
        <v>974858405.48197222</v>
      </c>
      <c r="U157" s="1149">
        <f t="shared" si="115"/>
        <v>975647687.14863884</v>
      </c>
      <c r="V157" s="1149">
        <f t="shared" si="115"/>
        <v>975253046.31530547</v>
      </c>
      <c r="W157" s="1149">
        <f t="shared" si="115"/>
        <v>9150295909.8709679</v>
      </c>
      <c r="X157" s="1133"/>
      <c r="Y157" s="360">
        <f t="shared" ref="Y157:AK157" si="116">Y127+Y105</f>
        <v>532483188</v>
      </c>
      <c r="Z157" s="360">
        <f t="shared" si="116"/>
        <v>662483188</v>
      </c>
      <c r="AA157" s="360">
        <f t="shared" si="116"/>
        <v>532483188</v>
      </c>
      <c r="AB157" s="360">
        <f t="shared" si="116"/>
        <v>532483188</v>
      </c>
      <c r="AC157" s="360">
        <f t="shared" si="116"/>
        <v>532483188</v>
      </c>
      <c r="AD157" s="360">
        <f t="shared" si="116"/>
        <v>532483188</v>
      </c>
      <c r="AE157" s="360">
        <f t="shared" si="116"/>
        <v>532483188</v>
      </c>
      <c r="AF157" s="360">
        <f t="shared" si="116"/>
        <v>532483188</v>
      </c>
      <c r="AG157" s="360">
        <f t="shared" si="116"/>
        <v>532483188</v>
      </c>
      <c r="AH157" s="360">
        <f t="shared" si="116"/>
        <v>532483188</v>
      </c>
      <c r="AI157" s="360">
        <f t="shared" si="116"/>
        <v>532483188</v>
      </c>
      <c r="AJ157" s="360">
        <f t="shared" si="116"/>
        <v>532483188</v>
      </c>
      <c r="AK157" s="1149">
        <f t="shared" si="116"/>
        <v>6519798256</v>
      </c>
      <c r="AL157" s="1133"/>
      <c r="AM157" s="360">
        <f t="shared" ref="AM157:AO157" si="117">AM127+AM105</f>
        <v>2770076112</v>
      </c>
      <c r="AO157" s="360">
        <f t="shared" si="117"/>
        <v>0</v>
      </c>
      <c r="AQ157" s="1149">
        <f t="shared" si="93"/>
        <v>2630497653.8709679</v>
      </c>
      <c r="AR157" s="1163">
        <f t="shared" si="94"/>
        <v>0.403463044496843</v>
      </c>
    </row>
    <row r="158" spans="2:44" ht="15.5" x14ac:dyDescent="0.35">
      <c r="K158" s="1153"/>
      <c r="L158" s="1153"/>
      <c r="M158" s="1153"/>
      <c r="N158" s="1153"/>
      <c r="O158" s="1153"/>
      <c r="P158" s="1153"/>
      <c r="Q158" s="1153"/>
      <c r="R158" s="1153"/>
      <c r="S158" s="1153"/>
      <c r="T158" s="1153"/>
      <c r="U158" s="1153"/>
      <c r="V158" s="1153"/>
      <c r="W158" s="1149">
        <f>W101+W157</f>
        <v>34638169272.603256</v>
      </c>
      <c r="X158" s="1136"/>
      <c r="AK158" s="1154"/>
      <c r="AL158" s="1136"/>
      <c r="AQ158" s="1154"/>
      <c r="AR158" s="1166"/>
    </row>
    <row r="159" spans="2:44" x14ac:dyDescent="0.35">
      <c r="B159" s="63" t="s">
        <v>2105</v>
      </c>
      <c r="C159" s="63"/>
      <c r="D159" s="85"/>
      <c r="E159" s="63"/>
      <c r="F159" s="63"/>
      <c r="G159" s="63"/>
      <c r="W159" s="390" t="s">
        <v>145</v>
      </c>
      <c r="AK159" s="390"/>
      <c r="AM159" s="390"/>
      <c r="AO159" s="390"/>
      <c r="AQ159" s="390"/>
      <c r="AR159" s="717"/>
    </row>
    <row r="160" spans="2:44" ht="58" x14ac:dyDescent="0.35">
      <c r="B160" s="172" t="s">
        <v>36</v>
      </c>
      <c r="C160" s="172" t="s">
        <v>697</v>
      </c>
      <c r="D160" s="173" t="s">
        <v>482</v>
      </c>
      <c r="E160" s="174" t="s">
        <v>483</v>
      </c>
      <c r="F160" s="175" t="s">
        <v>762</v>
      </c>
      <c r="G160" s="172" t="s">
        <v>146</v>
      </c>
      <c r="H160" s="172" t="s">
        <v>354</v>
      </c>
      <c r="I160" s="401" t="s">
        <v>699</v>
      </c>
      <c r="J160" s="116" t="s">
        <v>700</v>
      </c>
      <c r="K160" s="116" t="s">
        <v>149</v>
      </c>
      <c r="L160" s="116" t="s">
        <v>150</v>
      </c>
      <c r="M160" s="116" t="s">
        <v>151</v>
      </c>
      <c r="N160" s="116" t="s">
        <v>152</v>
      </c>
      <c r="O160" s="116" t="s">
        <v>153</v>
      </c>
      <c r="P160" s="116" t="s">
        <v>154</v>
      </c>
      <c r="Q160" s="116" t="s">
        <v>155</v>
      </c>
      <c r="R160" s="116" t="s">
        <v>156</v>
      </c>
      <c r="S160" s="116" t="s">
        <v>157</v>
      </c>
      <c r="T160" s="116" t="s">
        <v>158</v>
      </c>
      <c r="U160" s="116" t="s">
        <v>159</v>
      </c>
      <c r="V160" s="116" t="s">
        <v>160</v>
      </c>
      <c r="W160" s="116" t="s">
        <v>161</v>
      </c>
      <c r="Y160" s="714" t="s">
        <v>149</v>
      </c>
      <c r="Z160" s="714" t="s">
        <v>150</v>
      </c>
      <c r="AA160" s="714" t="s">
        <v>151</v>
      </c>
      <c r="AB160" s="714" t="s">
        <v>152</v>
      </c>
      <c r="AC160" s="714" t="s">
        <v>153</v>
      </c>
      <c r="AD160" s="714" t="s">
        <v>154</v>
      </c>
      <c r="AE160" s="714" t="s">
        <v>155</v>
      </c>
      <c r="AF160" s="714" t="s">
        <v>156</v>
      </c>
      <c r="AG160" s="714" t="s">
        <v>157</v>
      </c>
      <c r="AH160" s="714" t="s">
        <v>158</v>
      </c>
      <c r="AI160" s="714" t="s">
        <v>159</v>
      </c>
      <c r="AJ160" s="714" t="s">
        <v>160</v>
      </c>
      <c r="AK160" s="714" t="s">
        <v>148</v>
      </c>
      <c r="AM160" s="714" t="s">
        <v>526</v>
      </c>
      <c r="AO160" s="714" t="s">
        <v>527</v>
      </c>
      <c r="AQ160" s="715" t="s">
        <v>528</v>
      </c>
      <c r="AR160" s="718" t="s">
        <v>529</v>
      </c>
    </row>
    <row r="161" spans="1:44" x14ac:dyDescent="0.35">
      <c r="B161" s="177" t="s">
        <v>108</v>
      </c>
      <c r="C161" s="263"/>
      <c r="D161" s="178"/>
      <c r="E161" s="180" t="s">
        <v>176</v>
      </c>
      <c r="F161" s="179"/>
      <c r="G161" s="180"/>
      <c r="H161" s="180"/>
      <c r="I161" s="402"/>
      <c r="J161" s="181">
        <f>SUM(J162:J181)</f>
        <v>0</v>
      </c>
      <c r="K161" s="181">
        <f>SUM(K162:K181)</f>
        <v>0</v>
      </c>
      <c r="L161" s="181">
        <f t="shared" ref="L161:W161" si="118">SUM(L162:L181)</f>
        <v>0</v>
      </c>
      <c r="M161" s="181">
        <f t="shared" si="118"/>
        <v>0</v>
      </c>
      <c r="N161" s="181">
        <f t="shared" si="118"/>
        <v>0</v>
      </c>
      <c r="O161" s="181">
        <f t="shared" si="118"/>
        <v>0</v>
      </c>
      <c r="P161" s="181">
        <f t="shared" si="118"/>
        <v>0</v>
      </c>
      <c r="Q161" s="181">
        <f t="shared" si="118"/>
        <v>0</v>
      </c>
      <c r="R161" s="181">
        <f t="shared" si="118"/>
        <v>0</v>
      </c>
      <c r="S161" s="181">
        <f t="shared" si="118"/>
        <v>0</v>
      </c>
      <c r="T161" s="181">
        <f t="shared" si="118"/>
        <v>0</v>
      </c>
      <c r="U161" s="181">
        <f t="shared" si="118"/>
        <v>0</v>
      </c>
      <c r="V161" s="181">
        <f t="shared" si="118"/>
        <v>0</v>
      </c>
      <c r="W161" s="181">
        <f t="shared" si="118"/>
        <v>0</v>
      </c>
      <c r="Y161" s="181">
        <f>SUM(Y163:Y181)</f>
        <v>0</v>
      </c>
      <c r="Z161" s="181">
        <f t="shared" ref="Z161:AK161" si="119">SUM(Z162:Z181)</f>
        <v>0</v>
      </c>
      <c r="AA161" s="181">
        <f t="shared" si="119"/>
        <v>0</v>
      </c>
      <c r="AB161" s="181">
        <f t="shared" si="119"/>
        <v>0</v>
      </c>
      <c r="AC161" s="181">
        <f t="shared" si="119"/>
        <v>0</v>
      </c>
      <c r="AD161" s="181">
        <f t="shared" si="119"/>
        <v>0</v>
      </c>
      <c r="AE161" s="181">
        <f t="shared" si="119"/>
        <v>0</v>
      </c>
      <c r="AF161" s="181">
        <f t="shared" si="119"/>
        <v>0</v>
      </c>
      <c r="AG161" s="181">
        <f t="shared" si="119"/>
        <v>0</v>
      </c>
      <c r="AH161" s="181">
        <f t="shared" si="119"/>
        <v>0</v>
      </c>
      <c r="AI161" s="181">
        <f t="shared" si="119"/>
        <v>0</v>
      </c>
      <c r="AJ161" s="181">
        <f t="shared" si="119"/>
        <v>0</v>
      </c>
      <c r="AK161" s="181">
        <f t="shared" si="119"/>
        <v>0</v>
      </c>
      <c r="AM161" s="181">
        <f t="shared" ref="AM161" si="120">SUM(AM162:AM181)</f>
        <v>0</v>
      </c>
      <c r="AO161" s="181">
        <f t="shared" ref="AO161" si="121">SUM(AO162:AO181)</f>
        <v>0</v>
      </c>
      <c r="AQ161" s="360">
        <f t="shared" ref="AQ161:AQ178" si="122">IFERROR(W161-AK161,0)</f>
        <v>0</v>
      </c>
      <c r="AR161" s="720">
        <f t="shared" ref="AR161:AR178" si="123">IFERROR((W161/AK161)-1,0)</f>
        <v>0</v>
      </c>
    </row>
    <row r="162" spans="1:44" x14ac:dyDescent="0.35">
      <c r="B162" s="362">
        <v>1</v>
      </c>
      <c r="C162" s="362"/>
      <c r="D162" s="363">
        <v>6220002601</v>
      </c>
      <c r="E162" s="364" t="s">
        <v>504</v>
      </c>
      <c r="F162" s="364" t="s">
        <v>489</v>
      </c>
      <c r="G162" s="364" t="s">
        <v>504</v>
      </c>
      <c r="H162" s="363" t="s">
        <v>359</v>
      </c>
      <c r="I162" s="403" t="s">
        <v>701</v>
      </c>
      <c r="J162" s="366"/>
      <c r="K162" s="366"/>
      <c r="L162" s="366"/>
      <c r="M162" s="366"/>
      <c r="N162" s="366"/>
      <c r="O162" s="366"/>
      <c r="P162" s="366"/>
      <c r="Q162" s="366"/>
      <c r="R162" s="366"/>
      <c r="S162" s="366"/>
      <c r="T162" s="366"/>
      <c r="U162" s="366"/>
      <c r="V162" s="366"/>
      <c r="W162" s="391">
        <f t="shared" ref="W162:W171" si="124">SUM(K162:V162)</f>
        <v>0</v>
      </c>
      <c r="Z162" s="366"/>
      <c r="AA162" s="366"/>
      <c r="AB162" s="366"/>
      <c r="AC162" s="366"/>
      <c r="AD162" s="366"/>
      <c r="AE162" s="366"/>
      <c r="AF162" s="366"/>
      <c r="AG162" s="366"/>
      <c r="AH162" s="366"/>
      <c r="AI162" s="366"/>
      <c r="AJ162" s="366"/>
      <c r="AK162" s="391">
        <f t="shared" ref="AK162" si="125">SUM(Y162:AJ162)</f>
        <v>0</v>
      </c>
      <c r="AM162" s="391"/>
      <c r="AO162" s="391"/>
      <c r="AQ162" s="371">
        <f t="shared" si="122"/>
        <v>0</v>
      </c>
      <c r="AR162" s="719">
        <f t="shared" si="123"/>
        <v>0</v>
      </c>
    </row>
    <row r="163" spans="1:44" x14ac:dyDescent="0.35">
      <c r="B163" s="367">
        <v>2</v>
      </c>
      <c r="C163" s="367"/>
      <c r="D163" s="368">
        <v>6220002602</v>
      </c>
      <c r="E163" s="369" t="s">
        <v>505</v>
      </c>
      <c r="F163" s="369" t="s">
        <v>489</v>
      </c>
      <c r="G163" s="369" t="s">
        <v>505</v>
      </c>
      <c r="H163" s="368" t="s">
        <v>359</v>
      </c>
      <c r="I163" s="404" t="s">
        <v>701</v>
      </c>
      <c r="J163" s="371"/>
      <c r="K163" s="371"/>
      <c r="L163" s="371"/>
      <c r="M163" s="371"/>
      <c r="N163" s="371"/>
      <c r="O163" s="371"/>
      <c r="P163" s="371"/>
      <c r="Q163" s="371"/>
      <c r="R163" s="371"/>
      <c r="S163" s="371"/>
      <c r="T163" s="371"/>
      <c r="U163" s="371"/>
      <c r="V163" s="371"/>
      <c r="W163" s="392">
        <f t="shared" si="124"/>
        <v>0</v>
      </c>
      <c r="Y163" s="366"/>
      <c r="Z163" s="371"/>
      <c r="AA163" s="371"/>
      <c r="AB163" s="371"/>
      <c r="AC163" s="371"/>
      <c r="AD163" s="371"/>
      <c r="AE163" s="371"/>
      <c r="AF163" s="371"/>
      <c r="AG163" s="371"/>
      <c r="AH163" s="371"/>
      <c r="AI163" s="371"/>
      <c r="AJ163" s="371"/>
      <c r="AK163" s="392">
        <f>SUM(Y163:AJ163)</f>
        <v>0</v>
      </c>
      <c r="AM163" s="392"/>
      <c r="AO163" s="392"/>
      <c r="AQ163" s="371">
        <f t="shared" si="122"/>
        <v>0</v>
      </c>
      <c r="AR163" s="719">
        <f t="shared" si="123"/>
        <v>0</v>
      </c>
    </row>
    <row r="164" spans="1:44" x14ac:dyDescent="0.35">
      <c r="B164" s="367">
        <v>3</v>
      </c>
      <c r="C164" s="367"/>
      <c r="D164" s="368">
        <v>6220002802</v>
      </c>
      <c r="E164" s="369" t="s">
        <v>506</v>
      </c>
      <c r="F164" s="369" t="s">
        <v>493</v>
      </c>
      <c r="G164" s="369" t="s">
        <v>506</v>
      </c>
      <c r="H164" s="368" t="s">
        <v>359</v>
      </c>
      <c r="I164" s="404" t="s">
        <v>701</v>
      </c>
      <c r="J164" s="371"/>
      <c r="K164" s="371"/>
      <c r="L164" s="371"/>
      <c r="M164" s="371"/>
      <c r="N164" s="371"/>
      <c r="O164" s="371"/>
      <c r="P164" s="371"/>
      <c r="Q164" s="371"/>
      <c r="R164" s="371"/>
      <c r="S164" s="371"/>
      <c r="T164" s="371"/>
      <c r="U164" s="371"/>
      <c r="V164" s="371"/>
      <c r="W164" s="392">
        <f t="shared" si="124"/>
        <v>0</v>
      </c>
      <c r="Y164" s="371"/>
      <c r="Z164" s="371"/>
      <c r="AA164" s="371"/>
      <c r="AB164" s="371"/>
      <c r="AC164" s="371"/>
      <c r="AD164" s="371"/>
      <c r="AE164" s="371"/>
      <c r="AF164" s="371"/>
      <c r="AG164" s="371"/>
      <c r="AH164" s="371"/>
      <c r="AI164" s="371"/>
      <c r="AJ164" s="371"/>
      <c r="AK164" s="392">
        <f t="shared" ref="AK164:AK173" si="126">SUM(Y164:AJ164)</f>
        <v>0</v>
      </c>
      <c r="AM164" s="392"/>
      <c r="AO164" s="392"/>
      <c r="AQ164" s="371">
        <f t="shared" si="122"/>
        <v>0</v>
      </c>
      <c r="AR164" s="719">
        <f t="shared" si="123"/>
        <v>0</v>
      </c>
    </row>
    <row r="165" spans="1:44" x14ac:dyDescent="0.35">
      <c r="B165" s="367">
        <v>4</v>
      </c>
      <c r="C165" s="367"/>
      <c r="D165" s="368">
        <v>6220002806</v>
      </c>
      <c r="E165" s="369" t="s">
        <v>507</v>
      </c>
      <c r="F165" s="369" t="s">
        <v>489</v>
      </c>
      <c r="G165" s="369" t="s">
        <v>507</v>
      </c>
      <c r="H165" s="368" t="s">
        <v>359</v>
      </c>
      <c r="I165" s="404" t="s">
        <v>701</v>
      </c>
      <c r="J165" s="371"/>
      <c r="K165" s="371"/>
      <c r="L165" s="371"/>
      <c r="M165" s="371"/>
      <c r="N165" s="371"/>
      <c r="O165" s="371"/>
      <c r="P165" s="371"/>
      <c r="Q165" s="371"/>
      <c r="R165" s="371"/>
      <c r="S165" s="371"/>
      <c r="T165" s="371"/>
      <c r="U165" s="371"/>
      <c r="V165" s="371"/>
      <c r="W165" s="392">
        <f t="shared" si="124"/>
        <v>0</v>
      </c>
      <c r="Y165" s="371"/>
      <c r="Z165" s="371"/>
      <c r="AA165" s="371"/>
      <c r="AB165" s="371"/>
      <c r="AC165" s="371"/>
      <c r="AD165" s="371"/>
      <c r="AE165" s="371"/>
      <c r="AF165" s="371"/>
      <c r="AG165" s="371"/>
      <c r="AH165" s="371"/>
      <c r="AI165" s="371"/>
      <c r="AJ165" s="371"/>
      <c r="AK165" s="392">
        <f t="shared" si="126"/>
        <v>0</v>
      </c>
      <c r="AM165" s="392"/>
      <c r="AO165" s="392"/>
      <c r="AQ165" s="371">
        <f t="shared" si="122"/>
        <v>0</v>
      </c>
      <c r="AR165" s="719">
        <f t="shared" si="123"/>
        <v>0</v>
      </c>
    </row>
    <row r="166" spans="1:44" x14ac:dyDescent="0.35">
      <c r="B166" s="367">
        <v>5</v>
      </c>
      <c r="C166" s="367"/>
      <c r="D166" s="368">
        <v>6220007202</v>
      </c>
      <c r="E166" s="369" t="s">
        <v>495</v>
      </c>
      <c r="F166" s="369" t="s">
        <v>493</v>
      </c>
      <c r="G166" s="369" t="s">
        <v>495</v>
      </c>
      <c r="H166" s="368" t="s">
        <v>359</v>
      </c>
      <c r="I166" s="404" t="s">
        <v>701</v>
      </c>
      <c r="J166" s="371"/>
      <c r="K166" s="371"/>
      <c r="L166" s="371"/>
      <c r="M166" s="371"/>
      <c r="N166" s="371"/>
      <c r="O166" s="371"/>
      <c r="P166" s="371"/>
      <c r="Q166" s="371"/>
      <c r="R166" s="371"/>
      <c r="S166" s="371"/>
      <c r="T166" s="371"/>
      <c r="U166" s="371"/>
      <c r="V166" s="371"/>
      <c r="W166" s="392">
        <f t="shared" si="124"/>
        <v>0</v>
      </c>
      <c r="Y166" s="371"/>
      <c r="Z166" s="371"/>
      <c r="AA166" s="371"/>
      <c r="AB166" s="371"/>
      <c r="AC166" s="371"/>
      <c r="AD166" s="371"/>
      <c r="AE166" s="371"/>
      <c r="AF166" s="371"/>
      <c r="AG166" s="371"/>
      <c r="AH166" s="371"/>
      <c r="AI166" s="371"/>
      <c r="AJ166" s="371"/>
      <c r="AK166" s="392">
        <f t="shared" si="126"/>
        <v>0</v>
      </c>
      <c r="AM166" s="392"/>
      <c r="AO166" s="392"/>
      <c r="AQ166" s="371">
        <f t="shared" si="122"/>
        <v>0</v>
      </c>
      <c r="AR166" s="719">
        <f t="shared" si="123"/>
        <v>0</v>
      </c>
    </row>
    <row r="167" spans="1:44" x14ac:dyDescent="0.35">
      <c r="B167" s="367">
        <v>6</v>
      </c>
      <c r="C167" s="367"/>
      <c r="D167" s="368">
        <v>6220003201</v>
      </c>
      <c r="E167" s="369" t="s">
        <v>508</v>
      </c>
      <c r="F167" s="369" t="s">
        <v>493</v>
      </c>
      <c r="G167" s="369" t="s">
        <v>508</v>
      </c>
      <c r="H167" s="368" t="s">
        <v>359</v>
      </c>
      <c r="I167" s="404" t="s">
        <v>701</v>
      </c>
      <c r="J167" s="371"/>
      <c r="K167" s="371"/>
      <c r="L167" s="371"/>
      <c r="M167" s="371"/>
      <c r="N167" s="371"/>
      <c r="O167" s="371"/>
      <c r="P167" s="371"/>
      <c r="Q167" s="371"/>
      <c r="R167" s="371"/>
      <c r="S167" s="371"/>
      <c r="T167" s="371"/>
      <c r="U167" s="371"/>
      <c r="V167" s="371"/>
      <c r="W167" s="392">
        <f t="shared" si="124"/>
        <v>0</v>
      </c>
      <c r="Y167" s="371"/>
      <c r="Z167" s="371"/>
      <c r="AA167" s="371"/>
      <c r="AB167" s="371"/>
      <c r="AC167" s="371"/>
      <c r="AD167" s="371"/>
      <c r="AE167" s="371"/>
      <c r="AF167" s="371"/>
      <c r="AG167" s="371"/>
      <c r="AH167" s="371"/>
      <c r="AI167" s="371"/>
      <c r="AJ167" s="371"/>
      <c r="AK167" s="392">
        <f t="shared" si="126"/>
        <v>0</v>
      </c>
      <c r="AM167" s="392"/>
      <c r="AO167" s="392"/>
      <c r="AQ167" s="371">
        <f t="shared" si="122"/>
        <v>0</v>
      </c>
      <c r="AR167" s="719">
        <f t="shared" si="123"/>
        <v>0</v>
      </c>
    </row>
    <row r="168" spans="1:44" x14ac:dyDescent="0.35">
      <c r="B168" s="367">
        <v>7</v>
      </c>
      <c r="C168" s="367"/>
      <c r="D168" s="368">
        <v>6220002603</v>
      </c>
      <c r="E168" s="369" t="s">
        <v>509</v>
      </c>
      <c r="F168" s="369" t="s">
        <v>489</v>
      </c>
      <c r="G168" s="369" t="s">
        <v>509</v>
      </c>
      <c r="H168" s="368" t="s">
        <v>359</v>
      </c>
      <c r="I168" s="404" t="s">
        <v>701</v>
      </c>
      <c r="J168" s="371"/>
      <c r="K168" s="371"/>
      <c r="L168" s="371"/>
      <c r="M168" s="371"/>
      <c r="N168" s="371"/>
      <c r="O168" s="371"/>
      <c r="P168" s="371"/>
      <c r="Q168" s="371"/>
      <c r="R168" s="371"/>
      <c r="S168" s="371"/>
      <c r="T168" s="371"/>
      <c r="U168" s="371"/>
      <c r="V168" s="371"/>
      <c r="W168" s="392">
        <f t="shared" si="124"/>
        <v>0</v>
      </c>
      <c r="Y168" s="371"/>
      <c r="Z168" s="371"/>
      <c r="AA168" s="371"/>
      <c r="AB168" s="371"/>
      <c r="AC168" s="371"/>
      <c r="AD168" s="371"/>
      <c r="AE168" s="371"/>
      <c r="AF168" s="371"/>
      <c r="AG168" s="371"/>
      <c r="AH168" s="371"/>
      <c r="AI168" s="371"/>
      <c r="AJ168" s="371"/>
      <c r="AK168" s="392">
        <f t="shared" si="126"/>
        <v>0</v>
      </c>
      <c r="AM168" s="392"/>
      <c r="AO168" s="392"/>
      <c r="AQ168" s="371">
        <f t="shared" si="122"/>
        <v>0</v>
      </c>
      <c r="AR168" s="719">
        <f t="shared" si="123"/>
        <v>0</v>
      </c>
    </row>
    <row r="169" spans="1:44" x14ac:dyDescent="0.35">
      <c r="B169" s="367">
        <v>8</v>
      </c>
      <c r="C169" s="367"/>
      <c r="D169" s="368">
        <v>6220003401</v>
      </c>
      <c r="E169" s="369" t="s">
        <v>510</v>
      </c>
      <c r="F169" s="369" t="s">
        <v>493</v>
      </c>
      <c r="G169" s="369" t="s">
        <v>510</v>
      </c>
      <c r="H169" s="368" t="s">
        <v>359</v>
      </c>
      <c r="I169" s="404" t="s">
        <v>701</v>
      </c>
      <c r="J169" s="371"/>
      <c r="K169" s="371"/>
      <c r="L169" s="371"/>
      <c r="M169" s="371"/>
      <c r="N169" s="371"/>
      <c r="O169" s="371"/>
      <c r="P169" s="371"/>
      <c r="Q169" s="371"/>
      <c r="R169" s="371"/>
      <c r="S169" s="371"/>
      <c r="T169" s="371"/>
      <c r="U169" s="371"/>
      <c r="V169" s="371"/>
      <c r="W169" s="392">
        <f t="shared" si="124"/>
        <v>0</v>
      </c>
      <c r="Y169" s="371"/>
      <c r="Z169" s="371"/>
      <c r="AA169" s="371"/>
      <c r="AB169" s="371"/>
      <c r="AC169" s="371"/>
      <c r="AD169" s="371"/>
      <c r="AE169" s="371"/>
      <c r="AF169" s="371"/>
      <c r="AG169" s="371"/>
      <c r="AH169" s="371"/>
      <c r="AI169" s="371"/>
      <c r="AJ169" s="371"/>
      <c r="AK169" s="392">
        <f t="shared" si="126"/>
        <v>0</v>
      </c>
      <c r="AM169" s="392"/>
      <c r="AO169" s="392"/>
      <c r="AQ169" s="371">
        <f t="shared" si="122"/>
        <v>0</v>
      </c>
      <c r="AR169" s="719">
        <f t="shared" si="123"/>
        <v>0</v>
      </c>
    </row>
    <row r="170" spans="1:44" x14ac:dyDescent="0.35">
      <c r="B170" s="367">
        <v>9</v>
      </c>
      <c r="C170" s="367"/>
      <c r="D170" s="368">
        <v>6220002701</v>
      </c>
      <c r="E170" s="369" t="s">
        <v>511</v>
      </c>
      <c r="F170" s="369" t="s">
        <v>489</v>
      </c>
      <c r="G170" s="369" t="s">
        <v>511</v>
      </c>
      <c r="H170" s="368" t="s">
        <v>359</v>
      </c>
      <c r="I170" s="404" t="s">
        <v>701</v>
      </c>
      <c r="J170" s="371"/>
      <c r="K170" s="371"/>
      <c r="L170" s="371"/>
      <c r="M170" s="371"/>
      <c r="N170" s="371"/>
      <c r="O170" s="371"/>
      <c r="P170" s="371"/>
      <c r="Q170" s="371"/>
      <c r="R170" s="371"/>
      <c r="S170" s="371"/>
      <c r="T170" s="371"/>
      <c r="U170" s="371"/>
      <c r="V170" s="371"/>
      <c r="W170" s="392">
        <f t="shared" si="124"/>
        <v>0</v>
      </c>
      <c r="Y170" s="371"/>
      <c r="Z170" s="371"/>
      <c r="AA170" s="371"/>
      <c r="AB170" s="371"/>
      <c r="AC170" s="371"/>
      <c r="AD170" s="371"/>
      <c r="AE170" s="371"/>
      <c r="AF170" s="371"/>
      <c r="AG170" s="371"/>
      <c r="AH170" s="371"/>
      <c r="AI170" s="371"/>
      <c r="AJ170" s="371"/>
      <c r="AK170" s="392">
        <f t="shared" si="126"/>
        <v>0</v>
      </c>
      <c r="AM170" s="392"/>
      <c r="AO170" s="392"/>
      <c r="AQ170" s="371">
        <f t="shared" si="122"/>
        <v>0</v>
      </c>
      <c r="AR170" s="719">
        <f t="shared" si="123"/>
        <v>0</v>
      </c>
    </row>
    <row r="171" spans="1:44" x14ac:dyDescent="0.35">
      <c r="B171" s="367">
        <v>10</v>
      </c>
      <c r="C171" s="367"/>
      <c r="D171" s="368">
        <v>6220003001</v>
      </c>
      <c r="E171" s="369" t="s">
        <v>702</v>
      </c>
      <c r="F171" s="369" t="s">
        <v>493</v>
      </c>
      <c r="G171" s="369" t="s">
        <v>702</v>
      </c>
      <c r="H171" s="368" t="s">
        <v>359</v>
      </c>
      <c r="I171" s="404" t="s">
        <v>703</v>
      </c>
      <c r="J171" s="371"/>
      <c r="K171" s="371"/>
      <c r="L171" s="371"/>
      <c r="M171" s="371"/>
      <c r="N171" s="371"/>
      <c r="O171" s="371"/>
      <c r="P171" s="371"/>
      <c r="Q171" s="371"/>
      <c r="R171" s="371"/>
      <c r="S171" s="371"/>
      <c r="T171" s="371"/>
      <c r="U171" s="371"/>
      <c r="V171" s="371"/>
      <c r="W171" s="392">
        <f t="shared" si="124"/>
        <v>0</v>
      </c>
      <c r="Y171" s="371"/>
      <c r="Z171" s="371"/>
      <c r="AA171" s="371"/>
      <c r="AB171" s="371"/>
      <c r="AC171" s="371"/>
      <c r="AD171" s="371"/>
      <c r="AE171" s="371"/>
      <c r="AF171" s="371"/>
      <c r="AG171" s="371"/>
      <c r="AH171" s="371"/>
      <c r="AI171" s="371"/>
      <c r="AJ171" s="371"/>
      <c r="AK171" s="392">
        <f t="shared" si="126"/>
        <v>0</v>
      </c>
      <c r="AM171" s="392"/>
      <c r="AO171" s="392"/>
      <c r="AQ171" s="371">
        <f t="shared" si="122"/>
        <v>0</v>
      </c>
      <c r="AR171" s="719">
        <f t="shared" si="123"/>
        <v>0</v>
      </c>
    </row>
    <row r="172" spans="1:44" x14ac:dyDescent="0.35">
      <c r="A172" s="774"/>
      <c r="B172" s="771"/>
      <c r="C172" s="771"/>
      <c r="D172" s="377" t="s">
        <v>704</v>
      </c>
      <c r="E172" s="767" t="s">
        <v>705</v>
      </c>
      <c r="F172" s="767" t="s">
        <v>493</v>
      </c>
      <c r="G172" s="767" t="s">
        <v>706</v>
      </c>
      <c r="H172" s="377" t="s">
        <v>359</v>
      </c>
      <c r="I172" s="772" t="s">
        <v>703</v>
      </c>
      <c r="J172" s="770"/>
      <c r="K172" s="770">
        <f t="shared" ref="K172:V172" si="127">K192+K216</f>
        <v>0</v>
      </c>
      <c r="L172" s="770">
        <f t="shared" si="127"/>
        <v>0</v>
      </c>
      <c r="M172" s="770">
        <f t="shared" si="127"/>
        <v>0</v>
      </c>
      <c r="N172" s="770">
        <f t="shared" si="127"/>
        <v>0</v>
      </c>
      <c r="O172" s="770">
        <f t="shared" si="127"/>
        <v>0</v>
      </c>
      <c r="P172" s="770">
        <f t="shared" si="127"/>
        <v>0</v>
      </c>
      <c r="Q172" s="770">
        <f t="shared" si="127"/>
        <v>0</v>
      </c>
      <c r="R172" s="770">
        <f t="shared" si="127"/>
        <v>0</v>
      </c>
      <c r="S172" s="770">
        <f t="shared" si="127"/>
        <v>0</v>
      </c>
      <c r="T172" s="770">
        <f t="shared" si="127"/>
        <v>0</v>
      </c>
      <c r="U172" s="770">
        <f t="shared" si="127"/>
        <v>0</v>
      </c>
      <c r="V172" s="770">
        <f t="shared" si="127"/>
        <v>0</v>
      </c>
      <c r="W172" s="773">
        <f t="shared" ref="W172" si="128">SUM(K172:V172)</f>
        <v>0</v>
      </c>
      <c r="X172" s="774"/>
      <c r="Y172" s="770"/>
      <c r="Z172" s="770"/>
      <c r="AA172" s="770"/>
      <c r="AB172" s="770"/>
      <c r="AC172" s="770"/>
      <c r="AD172" s="770"/>
      <c r="AE172" s="770"/>
      <c r="AF172" s="770"/>
      <c r="AG172" s="770"/>
      <c r="AH172" s="770"/>
      <c r="AI172" s="770"/>
      <c r="AJ172" s="770"/>
      <c r="AK172" s="773">
        <f t="shared" si="126"/>
        <v>0</v>
      </c>
      <c r="AL172" s="774"/>
      <c r="AM172" s="773"/>
      <c r="AN172" s="774"/>
      <c r="AO172" s="773"/>
      <c r="AP172" s="774"/>
      <c r="AQ172" s="781">
        <f t="shared" si="122"/>
        <v>0</v>
      </c>
      <c r="AR172" s="782">
        <f t="shared" si="123"/>
        <v>0</v>
      </c>
    </row>
    <row r="173" spans="1:44" x14ac:dyDescent="0.35">
      <c r="B173" s="367">
        <v>11</v>
      </c>
      <c r="C173" s="367"/>
      <c r="D173" s="368">
        <v>6275001801</v>
      </c>
      <c r="E173" s="369" t="s">
        <v>707</v>
      </c>
      <c r="F173" s="369" t="s">
        <v>708</v>
      </c>
      <c r="G173" s="369" t="s">
        <v>707</v>
      </c>
      <c r="H173" s="368" t="s">
        <v>401</v>
      </c>
      <c r="I173" s="404" t="s">
        <v>709</v>
      </c>
      <c r="J173" s="371"/>
      <c r="K173" s="371"/>
      <c r="L173" s="371"/>
      <c r="M173" s="371"/>
      <c r="N173" s="371"/>
      <c r="O173" s="371"/>
      <c r="P173" s="371"/>
      <c r="Q173" s="371"/>
      <c r="R173" s="371"/>
      <c r="S173" s="371"/>
      <c r="T173" s="371"/>
      <c r="U173" s="371"/>
      <c r="V173" s="371"/>
      <c r="W173" s="392">
        <f t="shared" ref="W173" si="129">SUM(K173:V173)</f>
        <v>0</v>
      </c>
      <c r="Y173" s="371"/>
      <c r="Z173" s="371"/>
      <c r="AA173" s="371"/>
      <c r="AB173" s="371"/>
      <c r="AC173" s="371"/>
      <c r="AD173" s="371"/>
      <c r="AE173" s="371"/>
      <c r="AF173" s="371"/>
      <c r="AG173" s="371"/>
      <c r="AH173" s="371"/>
      <c r="AI173" s="371"/>
      <c r="AJ173" s="371"/>
      <c r="AK173" s="392">
        <f t="shared" si="126"/>
        <v>0</v>
      </c>
      <c r="AM173" s="392"/>
      <c r="AO173" s="392"/>
      <c r="AQ173" s="371">
        <f t="shared" si="122"/>
        <v>0</v>
      </c>
      <c r="AR173" s="719">
        <f t="shared" si="123"/>
        <v>0</v>
      </c>
    </row>
    <row r="174" spans="1:44" x14ac:dyDescent="0.35">
      <c r="B174" s="367">
        <v>12</v>
      </c>
      <c r="C174" s="367"/>
      <c r="D174" s="368">
        <v>6272000100</v>
      </c>
      <c r="E174" s="369" t="s">
        <v>710</v>
      </c>
      <c r="F174" s="369" t="s">
        <v>711</v>
      </c>
      <c r="G174" s="369" t="s">
        <v>341</v>
      </c>
      <c r="H174" s="368" t="s">
        <v>401</v>
      </c>
      <c r="I174" s="404" t="s">
        <v>709</v>
      </c>
      <c r="J174" s="371"/>
      <c r="K174" s="371"/>
      <c r="L174" s="371"/>
      <c r="M174" s="371"/>
      <c r="N174" s="371"/>
      <c r="O174" s="371"/>
      <c r="P174" s="371"/>
      <c r="Q174" s="371"/>
      <c r="R174" s="371"/>
      <c r="S174" s="371"/>
      <c r="T174" s="371"/>
      <c r="U174" s="371"/>
      <c r="V174" s="371"/>
      <c r="W174" s="392"/>
      <c r="Y174" s="371"/>
      <c r="Z174" s="371"/>
      <c r="AA174" s="371"/>
      <c r="AB174" s="371"/>
      <c r="AC174" s="371"/>
      <c r="AD174" s="371"/>
      <c r="AE174" s="371"/>
      <c r="AF174" s="371"/>
      <c r="AG174" s="371"/>
      <c r="AH174" s="371"/>
      <c r="AI174" s="371"/>
      <c r="AJ174" s="371"/>
      <c r="AK174" s="392"/>
      <c r="AM174" s="392"/>
      <c r="AO174" s="392"/>
      <c r="AQ174" s="371">
        <f t="shared" si="122"/>
        <v>0</v>
      </c>
      <c r="AR174" s="719">
        <f t="shared" si="123"/>
        <v>0</v>
      </c>
    </row>
    <row r="175" spans="1:44" x14ac:dyDescent="0.35">
      <c r="B175" s="367">
        <v>13</v>
      </c>
      <c r="C175" s="367"/>
      <c r="D175" s="368">
        <v>6272000100</v>
      </c>
      <c r="E175" s="369" t="s">
        <v>710</v>
      </c>
      <c r="F175" s="369" t="s">
        <v>711</v>
      </c>
      <c r="G175" s="369" t="s">
        <v>320</v>
      </c>
      <c r="H175" s="368" t="s">
        <v>414</v>
      </c>
      <c r="I175" s="404" t="s">
        <v>709</v>
      </c>
      <c r="J175" s="371"/>
      <c r="K175" s="371"/>
      <c r="L175" s="371"/>
      <c r="M175" s="371"/>
      <c r="N175" s="371"/>
      <c r="O175" s="371"/>
      <c r="P175" s="371"/>
      <c r="Q175" s="371"/>
      <c r="R175" s="371"/>
      <c r="S175" s="371"/>
      <c r="T175" s="371"/>
      <c r="U175" s="371"/>
      <c r="V175" s="371"/>
      <c r="W175" s="392">
        <f t="shared" ref="W175:W178" si="130">SUM(K175:V175)</f>
        <v>0</v>
      </c>
      <c r="Y175" s="371"/>
      <c r="Z175" s="371"/>
      <c r="AA175" s="371"/>
      <c r="AB175" s="371"/>
      <c r="AC175" s="371"/>
      <c r="AD175" s="371"/>
      <c r="AE175" s="371"/>
      <c r="AF175" s="371"/>
      <c r="AG175" s="371"/>
      <c r="AH175" s="371"/>
      <c r="AI175" s="371"/>
      <c r="AJ175" s="371"/>
      <c r="AK175" s="392">
        <f t="shared" ref="AK175:AK178" si="131">SUM(Y175:AJ175)</f>
        <v>0</v>
      </c>
      <c r="AM175" s="392"/>
      <c r="AO175" s="392"/>
      <c r="AQ175" s="371">
        <f t="shared" si="122"/>
        <v>0</v>
      </c>
      <c r="AR175" s="719">
        <f t="shared" si="123"/>
        <v>0</v>
      </c>
    </row>
    <row r="176" spans="1:44" x14ac:dyDescent="0.35">
      <c r="B176" s="367">
        <v>14</v>
      </c>
      <c r="C176" s="367"/>
      <c r="D176" s="368">
        <v>6272000100</v>
      </c>
      <c r="E176" s="369" t="s">
        <v>710</v>
      </c>
      <c r="F176" s="369" t="s">
        <v>711</v>
      </c>
      <c r="G176" s="369" t="s">
        <v>321</v>
      </c>
      <c r="H176" s="368" t="s">
        <v>414</v>
      </c>
      <c r="I176" s="404" t="s">
        <v>709</v>
      </c>
      <c r="J176" s="371"/>
      <c r="K176" s="371"/>
      <c r="L176" s="371"/>
      <c r="M176" s="371"/>
      <c r="N176" s="371"/>
      <c r="O176" s="371"/>
      <c r="P176" s="371"/>
      <c r="Q176" s="371"/>
      <c r="R176" s="371"/>
      <c r="S176" s="371"/>
      <c r="T176" s="371"/>
      <c r="U176" s="371"/>
      <c r="V176" s="371"/>
      <c r="W176" s="392">
        <f t="shared" si="130"/>
        <v>0</v>
      </c>
      <c r="Y176" s="371"/>
      <c r="Z176" s="371"/>
      <c r="AA176" s="371"/>
      <c r="AB176" s="371"/>
      <c r="AC176" s="371"/>
      <c r="AD176" s="371"/>
      <c r="AE176" s="371"/>
      <c r="AF176" s="371"/>
      <c r="AG176" s="371"/>
      <c r="AH176" s="371"/>
      <c r="AI176" s="371"/>
      <c r="AJ176" s="371"/>
      <c r="AK176" s="392">
        <f t="shared" si="131"/>
        <v>0</v>
      </c>
      <c r="AM176" s="392"/>
      <c r="AO176" s="392"/>
      <c r="AQ176" s="371">
        <f t="shared" si="122"/>
        <v>0</v>
      </c>
      <c r="AR176" s="719">
        <f t="shared" si="123"/>
        <v>0</v>
      </c>
    </row>
    <row r="177" spans="2:44" x14ac:dyDescent="0.35">
      <c r="B177" s="367">
        <v>15</v>
      </c>
      <c r="C177" s="367"/>
      <c r="D177" s="368">
        <v>6272000100</v>
      </c>
      <c r="E177" s="369" t="s">
        <v>710</v>
      </c>
      <c r="F177" s="369" t="s">
        <v>711</v>
      </c>
      <c r="G177" s="369" t="s">
        <v>322</v>
      </c>
      <c r="H177" s="368" t="s">
        <v>414</v>
      </c>
      <c r="I177" s="404" t="s">
        <v>709</v>
      </c>
      <c r="J177" s="371"/>
      <c r="K177" s="371"/>
      <c r="L177" s="371"/>
      <c r="M177" s="371"/>
      <c r="N177" s="371"/>
      <c r="O177" s="371"/>
      <c r="P177" s="371"/>
      <c r="Q177" s="371"/>
      <c r="R177" s="371"/>
      <c r="S177" s="371"/>
      <c r="T177" s="371"/>
      <c r="U177" s="371"/>
      <c r="V177" s="371"/>
      <c r="W177" s="392">
        <f t="shared" si="130"/>
        <v>0</v>
      </c>
      <c r="Y177" s="371"/>
      <c r="Z177" s="371"/>
      <c r="AA177" s="371"/>
      <c r="AB177" s="371"/>
      <c r="AC177" s="371"/>
      <c r="AD177" s="371"/>
      <c r="AE177" s="371"/>
      <c r="AF177" s="371"/>
      <c r="AG177" s="371"/>
      <c r="AH177" s="371"/>
      <c r="AI177" s="371"/>
      <c r="AJ177" s="371"/>
      <c r="AK177" s="392">
        <f t="shared" si="131"/>
        <v>0</v>
      </c>
      <c r="AM177" s="392"/>
      <c r="AO177" s="392"/>
      <c r="AQ177" s="371">
        <f t="shared" si="122"/>
        <v>0</v>
      </c>
      <c r="AR177" s="719">
        <f t="shared" si="123"/>
        <v>0</v>
      </c>
    </row>
    <row r="178" spans="2:44" x14ac:dyDescent="0.35">
      <c r="B178" s="367">
        <v>16</v>
      </c>
      <c r="C178" s="367"/>
      <c r="D178" s="368">
        <v>6272000100</v>
      </c>
      <c r="E178" s="369" t="s">
        <v>710</v>
      </c>
      <c r="F178" s="369" t="s">
        <v>711</v>
      </c>
      <c r="G178" s="369" t="s">
        <v>713</v>
      </c>
      <c r="H178" s="368" t="s">
        <v>414</v>
      </c>
      <c r="I178" s="404" t="s">
        <v>709</v>
      </c>
      <c r="J178" s="371"/>
      <c r="K178" s="371"/>
      <c r="L178" s="371"/>
      <c r="M178" s="371"/>
      <c r="N178" s="371"/>
      <c r="O178" s="371"/>
      <c r="P178" s="371"/>
      <c r="Q178" s="371"/>
      <c r="R178" s="371"/>
      <c r="S178" s="371"/>
      <c r="T178" s="371"/>
      <c r="U178" s="371"/>
      <c r="V178" s="371"/>
      <c r="W178" s="392">
        <f t="shared" si="130"/>
        <v>0</v>
      </c>
      <c r="Y178" s="371"/>
      <c r="Z178" s="371"/>
      <c r="AA178" s="371"/>
      <c r="AB178" s="371"/>
      <c r="AC178" s="371"/>
      <c r="AD178" s="371"/>
      <c r="AE178" s="371"/>
      <c r="AF178" s="371"/>
      <c r="AG178" s="371"/>
      <c r="AH178" s="371"/>
      <c r="AI178" s="371"/>
      <c r="AJ178" s="371"/>
      <c r="AK178" s="392">
        <f t="shared" si="131"/>
        <v>0</v>
      </c>
      <c r="AM178" s="392"/>
      <c r="AO178" s="392"/>
      <c r="AQ178" s="371">
        <f t="shared" si="122"/>
        <v>0</v>
      </c>
      <c r="AR178" s="719">
        <f t="shared" si="123"/>
        <v>0</v>
      </c>
    </row>
    <row r="179" spans="2:44" ht="15.5" x14ac:dyDescent="0.35">
      <c r="B179" s="367"/>
      <c r="C179" s="367"/>
      <c r="D179" s="780">
        <v>6272002101</v>
      </c>
      <c r="E179" s="779" t="s">
        <v>714</v>
      </c>
      <c r="F179" s="369"/>
      <c r="G179" s="369"/>
      <c r="H179" s="368"/>
      <c r="I179" s="404"/>
      <c r="J179" s="371"/>
      <c r="K179" s="1137"/>
      <c r="L179" s="1137"/>
      <c r="M179" s="1137"/>
      <c r="N179" s="1137"/>
      <c r="O179" s="1137"/>
      <c r="P179" s="1137"/>
      <c r="Q179" s="1137"/>
      <c r="R179" s="1137"/>
      <c r="S179" s="1137"/>
      <c r="T179" s="1137"/>
      <c r="U179" s="1137"/>
      <c r="V179" s="1137"/>
      <c r="W179" s="1138"/>
      <c r="X179" s="1136"/>
      <c r="Y179" s="371"/>
      <c r="Z179" s="371"/>
      <c r="AA179" s="371"/>
      <c r="AB179" s="371"/>
      <c r="AC179" s="371"/>
      <c r="AD179" s="371"/>
      <c r="AE179" s="371"/>
      <c r="AF179" s="371"/>
      <c r="AG179" s="371"/>
      <c r="AH179" s="371"/>
      <c r="AI179" s="371"/>
      <c r="AJ179" s="371"/>
      <c r="AK179" s="1138"/>
      <c r="AL179" s="1136"/>
      <c r="AM179" s="392"/>
      <c r="AO179" s="392"/>
      <c r="AQ179" s="1137"/>
      <c r="AR179" s="1160"/>
    </row>
    <row r="180" spans="2:44" x14ac:dyDescent="0.35">
      <c r="B180" s="367">
        <v>17</v>
      </c>
      <c r="C180" s="367"/>
      <c r="D180" s="368">
        <v>6272003502</v>
      </c>
      <c r="E180" s="369" t="s">
        <v>715</v>
      </c>
      <c r="F180" s="369" t="s">
        <v>716</v>
      </c>
      <c r="G180" s="369" t="s">
        <v>717</v>
      </c>
      <c r="H180" s="368" t="s">
        <v>454</v>
      </c>
      <c r="I180" s="404" t="s">
        <v>709</v>
      </c>
      <c r="J180" s="371"/>
      <c r="K180" s="371"/>
      <c r="L180" s="371"/>
      <c r="M180" s="371"/>
      <c r="N180" s="371"/>
      <c r="O180" s="371"/>
      <c r="P180" s="371"/>
      <c r="Q180" s="371"/>
      <c r="R180" s="371"/>
      <c r="S180" s="371"/>
      <c r="T180" s="371"/>
      <c r="U180" s="371"/>
      <c r="V180" s="371"/>
      <c r="W180" s="392">
        <f t="shared" ref="W180" si="132">SUM(K180:V180)</f>
        <v>0</v>
      </c>
      <c r="Y180" s="371"/>
      <c r="Z180" s="371"/>
      <c r="AA180" s="371"/>
      <c r="AB180" s="371"/>
      <c r="AC180" s="371"/>
      <c r="AD180" s="371"/>
      <c r="AE180" s="371"/>
      <c r="AF180" s="371"/>
      <c r="AG180" s="371"/>
      <c r="AH180" s="371"/>
      <c r="AI180" s="371"/>
      <c r="AJ180" s="371"/>
      <c r="AK180" s="392">
        <f t="shared" ref="AK180" si="133">SUM(Y180:AJ180)</f>
        <v>0</v>
      </c>
      <c r="AM180" s="392"/>
      <c r="AO180" s="392"/>
      <c r="AQ180" s="371">
        <f t="shared" ref="AQ180:AQ192" si="134">IFERROR(W180-AK180,0)</f>
        <v>0</v>
      </c>
      <c r="AR180" s="719">
        <f t="shared" ref="AR180:AR192" si="135">IFERROR((W180/AK180)-1,0)</f>
        <v>0</v>
      </c>
    </row>
    <row r="181" spans="2:44" x14ac:dyDescent="0.35">
      <c r="B181" s="372"/>
      <c r="C181" s="372"/>
      <c r="D181" s="373"/>
      <c r="E181" s="374"/>
      <c r="F181" s="374"/>
      <c r="G181" s="374"/>
      <c r="H181" s="373"/>
      <c r="I181" s="405"/>
      <c r="J181" s="376"/>
      <c r="K181" s="376"/>
      <c r="L181" s="376"/>
      <c r="M181" s="376"/>
      <c r="N181" s="376"/>
      <c r="O181" s="376"/>
      <c r="P181" s="376"/>
      <c r="Q181" s="376"/>
      <c r="R181" s="376"/>
      <c r="S181" s="376"/>
      <c r="T181" s="376"/>
      <c r="U181" s="376"/>
      <c r="V181" s="376"/>
      <c r="W181" s="393"/>
      <c r="Y181" s="376"/>
      <c r="Z181" s="376"/>
      <c r="AA181" s="376"/>
      <c r="AB181" s="376"/>
      <c r="AC181" s="376"/>
      <c r="AD181" s="376"/>
      <c r="AE181" s="376"/>
      <c r="AF181" s="376"/>
      <c r="AG181" s="376"/>
      <c r="AH181" s="376"/>
      <c r="AI181" s="376"/>
      <c r="AJ181" s="376"/>
      <c r="AK181" s="393"/>
      <c r="AM181" s="393"/>
      <c r="AO181" s="393"/>
      <c r="AQ181" s="371">
        <f t="shared" si="134"/>
        <v>0</v>
      </c>
      <c r="AR181" s="719">
        <f t="shared" si="135"/>
        <v>0</v>
      </c>
    </row>
    <row r="182" spans="2:44" x14ac:dyDescent="0.35">
      <c r="B182" s="274" t="s">
        <v>118</v>
      </c>
      <c r="C182" s="263"/>
      <c r="D182" s="178"/>
      <c r="E182" s="273" t="s">
        <v>723</v>
      </c>
      <c r="F182" s="179"/>
      <c r="G182" s="273"/>
      <c r="H182" s="273"/>
      <c r="I182" s="407"/>
      <c r="J182" s="360">
        <f>SUM(J183:J209)</f>
        <v>0</v>
      </c>
      <c r="K182" s="360">
        <f>SUM(K183:K209)</f>
        <v>0</v>
      </c>
      <c r="L182" s="270">
        <f t="shared" ref="L182:W182" si="136">SUM(L183:L209)</f>
        <v>0</v>
      </c>
      <c r="M182" s="270">
        <f t="shared" si="136"/>
        <v>0</v>
      </c>
      <c r="N182" s="270">
        <f t="shared" si="136"/>
        <v>0</v>
      </c>
      <c r="O182" s="270">
        <f t="shared" si="136"/>
        <v>0</v>
      </c>
      <c r="P182" s="270">
        <f t="shared" si="136"/>
        <v>0</v>
      </c>
      <c r="Q182" s="270">
        <f t="shared" si="136"/>
        <v>0</v>
      </c>
      <c r="R182" s="270">
        <f t="shared" si="136"/>
        <v>0</v>
      </c>
      <c r="S182" s="270">
        <f t="shared" si="136"/>
        <v>0</v>
      </c>
      <c r="T182" s="270">
        <f t="shared" si="136"/>
        <v>0</v>
      </c>
      <c r="U182" s="270">
        <f t="shared" si="136"/>
        <v>0</v>
      </c>
      <c r="V182" s="270">
        <f t="shared" si="136"/>
        <v>0</v>
      </c>
      <c r="W182" s="270">
        <f t="shared" si="136"/>
        <v>0</v>
      </c>
      <c r="Y182" s="360">
        <f>SUM(Y183:Y209)</f>
        <v>0</v>
      </c>
      <c r="Z182" s="270">
        <f t="shared" ref="Z182:AK182" si="137">SUM(Z183:Z209)</f>
        <v>0</v>
      </c>
      <c r="AA182" s="270">
        <f t="shared" si="137"/>
        <v>0</v>
      </c>
      <c r="AB182" s="270">
        <f t="shared" si="137"/>
        <v>0</v>
      </c>
      <c r="AC182" s="270">
        <f t="shared" si="137"/>
        <v>0</v>
      </c>
      <c r="AD182" s="270">
        <f t="shared" si="137"/>
        <v>0</v>
      </c>
      <c r="AE182" s="270">
        <f t="shared" si="137"/>
        <v>0</v>
      </c>
      <c r="AF182" s="270">
        <f t="shared" si="137"/>
        <v>0</v>
      </c>
      <c r="AG182" s="270">
        <f t="shared" si="137"/>
        <v>0</v>
      </c>
      <c r="AH182" s="270">
        <f t="shared" si="137"/>
        <v>0</v>
      </c>
      <c r="AI182" s="270">
        <f t="shared" si="137"/>
        <v>0</v>
      </c>
      <c r="AJ182" s="270">
        <f t="shared" si="137"/>
        <v>0</v>
      </c>
      <c r="AK182" s="270">
        <f t="shared" si="137"/>
        <v>0</v>
      </c>
      <c r="AM182" s="360">
        <f t="shared" ref="AM182" si="138">SUM(AM183:AM209)</f>
        <v>0</v>
      </c>
      <c r="AO182" s="360">
        <f t="shared" ref="AO182" si="139">SUM(AO183:AO209)</f>
        <v>0</v>
      </c>
      <c r="AQ182" s="360">
        <f t="shared" si="134"/>
        <v>0</v>
      </c>
      <c r="AR182" s="720">
        <f t="shared" si="135"/>
        <v>0</v>
      </c>
    </row>
    <row r="183" spans="2:44" x14ac:dyDescent="0.35">
      <c r="B183" s="362">
        <v>1</v>
      </c>
      <c r="C183" s="362"/>
      <c r="D183" s="363">
        <v>6271002604</v>
      </c>
      <c r="E183" s="364" t="s">
        <v>488</v>
      </c>
      <c r="F183" s="364" t="s">
        <v>491</v>
      </c>
      <c r="G183" s="364" t="s">
        <v>488</v>
      </c>
      <c r="H183" s="363" t="s">
        <v>359</v>
      </c>
      <c r="I183" s="403" t="s">
        <v>701</v>
      </c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91">
        <f t="shared" ref="W183:W192" si="140">SUM(K183:V183)</f>
        <v>0</v>
      </c>
      <c r="Y183" s="366"/>
      <c r="Z183" s="366"/>
      <c r="AA183" s="366"/>
      <c r="AB183" s="366"/>
      <c r="AC183" s="366"/>
      <c r="AD183" s="366"/>
      <c r="AE183" s="366"/>
      <c r="AF183" s="366"/>
      <c r="AG183" s="366"/>
      <c r="AH183" s="366"/>
      <c r="AI183" s="366"/>
      <c r="AJ183" s="366"/>
      <c r="AK183" s="391">
        <f t="shared" ref="AK183:AK192" si="141">SUM(Y183:AJ183)</f>
        <v>0</v>
      </c>
      <c r="AM183" s="391"/>
      <c r="AO183" s="391"/>
      <c r="AQ183" s="371">
        <f t="shared" si="134"/>
        <v>0</v>
      </c>
      <c r="AR183" s="719">
        <f t="shared" si="135"/>
        <v>0</v>
      </c>
    </row>
    <row r="184" spans="2:44" x14ac:dyDescent="0.35">
      <c r="B184" s="367">
        <v>2</v>
      </c>
      <c r="C184" s="367"/>
      <c r="D184" s="368">
        <v>6271002605</v>
      </c>
      <c r="E184" s="369" t="s">
        <v>490</v>
      </c>
      <c r="F184" s="369" t="s">
        <v>491</v>
      </c>
      <c r="G184" s="369" t="s">
        <v>490</v>
      </c>
      <c r="H184" s="368" t="s">
        <v>359</v>
      </c>
      <c r="I184" s="404" t="s">
        <v>701</v>
      </c>
      <c r="J184" s="371"/>
      <c r="K184" s="371"/>
      <c r="L184" s="371"/>
      <c r="M184" s="371"/>
      <c r="N184" s="371"/>
      <c r="O184" s="371"/>
      <c r="P184" s="371"/>
      <c r="Q184" s="371"/>
      <c r="R184" s="371"/>
      <c r="S184" s="371"/>
      <c r="T184" s="371"/>
      <c r="U184" s="371"/>
      <c r="V184" s="371"/>
      <c r="W184" s="392">
        <f t="shared" si="140"/>
        <v>0</v>
      </c>
      <c r="Y184" s="366"/>
      <c r="Z184" s="366"/>
      <c r="AA184" s="366"/>
      <c r="AB184" s="366"/>
      <c r="AC184" s="366"/>
      <c r="AD184" s="366"/>
      <c r="AE184" s="366"/>
      <c r="AF184" s="366"/>
      <c r="AG184" s="366"/>
      <c r="AH184" s="371"/>
      <c r="AI184" s="371"/>
      <c r="AJ184" s="371"/>
      <c r="AK184" s="392">
        <f t="shared" si="141"/>
        <v>0</v>
      </c>
      <c r="AM184" s="392"/>
      <c r="AO184" s="392"/>
      <c r="AQ184" s="371">
        <f t="shared" si="134"/>
        <v>0</v>
      </c>
      <c r="AR184" s="719">
        <f t="shared" si="135"/>
        <v>0</v>
      </c>
    </row>
    <row r="185" spans="2:44" x14ac:dyDescent="0.35">
      <c r="B185" s="367">
        <v>3</v>
      </c>
      <c r="C185" s="367"/>
      <c r="D185" s="368">
        <v>6271002802</v>
      </c>
      <c r="E185" s="369" t="s">
        <v>492</v>
      </c>
      <c r="F185" s="369" t="s">
        <v>493</v>
      </c>
      <c r="G185" s="369" t="s">
        <v>492</v>
      </c>
      <c r="H185" s="368" t="s">
        <v>359</v>
      </c>
      <c r="I185" s="404" t="s">
        <v>701</v>
      </c>
      <c r="J185" s="371"/>
      <c r="K185" s="371"/>
      <c r="L185" s="371"/>
      <c r="M185" s="371"/>
      <c r="N185" s="371"/>
      <c r="O185" s="371"/>
      <c r="P185" s="371"/>
      <c r="Q185" s="371"/>
      <c r="R185" s="371"/>
      <c r="S185" s="371"/>
      <c r="T185" s="371"/>
      <c r="U185" s="371"/>
      <c r="V185" s="371"/>
      <c r="W185" s="392">
        <f t="shared" si="140"/>
        <v>0</v>
      </c>
      <c r="Y185" s="366"/>
      <c r="Z185" s="366"/>
      <c r="AA185" s="366"/>
      <c r="AB185" s="366"/>
      <c r="AC185" s="366"/>
      <c r="AD185" s="366"/>
      <c r="AE185" s="366"/>
      <c r="AF185" s="366"/>
      <c r="AG185" s="366"/>
      <c r="AH185" s="371"/>
      <c r="AI185" s="371"/>
      <c r="AJ185" s="371"/>
      <c r="AK185" s="392">
        <f t="shared" si="141"/>
        <v>0</v>
      </c>
      <c r="AM185" s="392"/>
      <c r="AO185" s="392"/>
      <c r="AQ185" s="371">
        <f t="shared" si="134"/>
        <v>0</v>
      </c>
      <c r="AR185" s="719">
        <f t="shared" si="135"/>
        <v>0</v>
      </c>
    </row>
    <row r="186" spans="2:44" x14ac:dyDescent="0.35">
      <c r="B186" s="367">
        <v>4</v>
      </c>
      <c r="C186" s="367"/>
      <c r="D186" s="368">
        <v>6271002806</v>
      </c>
      <c r="E186" s="369" t="s">
        <v>501</v>
      </c>
      <c r="F186" s="369" t="s">
        <v>491</v>
      </c>
      <c r="G186" s="369" t="s">
        <v>501</v>
      </c>
      <c r="H186" s="368" t="s">
        <v>359</v>
      </c>
      <c r="I186" s="404" t="s">
        <v>701</v>
      </c>
      <c r="J186" s="371"/>
      <c r="K186" s="371"/>
      <c r="L186" s="371"/>
      <c r="M186" s="371"/>
      <c r="N186" s="371"/>
      <c r="O186" s="371"/>
      <c r="P186" s="371"/>
      <c r="Q186" s="371"/>
      <c r="R186" s="371"/>
      <c r="S186" s="371"/>
      <c r="T186" s="371"/>
      <c r="U186" s="371"/>
      <c r="V186" s="371"/>
      <c r="W186" s="392">
        <f t="shared" si="140"/>
        <v>0</v>
      </c>
      <c r="Y186" s="366"/>
      <c r="Z186" s="366"/>
      <c r="AA186" s="366"/>
      <c r="AB186" s="366"/>
      <c r="AC186" s="366"/>
      <c r="AD186" s="366"/>
      <c r="AE186" s="366"/>
      <c r="AF186" s="366"/>
      <c r="AG186" s="366"/>
      <c r="AH186" s="371"/>
      <c r="AI186" s="371"/>
      <c r="AJ186" s="371"/>
      <c r="AK186" s="392">
        <f t="shared" si="141"/>
        <v>0</v>
      </c>
      <c r="AM186" s="392"/>
      <c r="AO186" s="392"/>
      <c r="AQ186" s="371">
        <f t="shared" si="134"/>
        <v>0</v>
      </c>
      <c r="AR186" s="719">
        <f t="shared" si="135"/>
        <v>0</v>
      </c>
    </row>
    <row r="187" spans="2:44" x14ac:dyDescent="0.35">
      <c r="B187" s="367">
        <v>5</v>
      </c>
      <c r="C187" s="367"/>
      <c r="D187" s="368">
        <v>6271007202</v>
      </c>
      <c r="E187" s="369" t="s">
        <v>495</v>
      </c>
      <c r="F187" s="369" t="s">
        <v>493</v>
      </c>
      <c r="G187" s="369" t="s">
        <v>495</v>
      </c>
      <c r="H187" s="368" t="s">
        <v>359</v>
      </c>
      <c r="I187" s="404" t="s">
        <v>701</v>
      </c>
      <c r="J187" s="371"/>
      <c r="K187" s="371"/>
      <c r="L187" s="371"/>
      <c r="M187" s="371"/>
      <c r="N187" s="371"/>
      <c r="O187" s="371"/>
      <c r="P187" s="371"/>
      <c r="Q187" s="371"/>
      <c r="R187" s="371"/>
      <c r="S187" s="371"/>
      <c r="T187" s="371"/>
      <c r="U187" s="371"/>
      <c r="V187" s="371"/>
      <c r="W187" s="392">
        <f t="shared" si="140"/>
        <v>0</v>
      </c>
      <c r="Y187" s="366"/>
      <c r="Z187" s="366"/>
      <c r="AA187" s="366"/>
      <c r="AB187" s="366"/>
      <c r="AC187" s="366"/>
      <c r="AD187" s="366"/>
      <c r="AE187" s="366"/>
      <c r="AF187" s="366"/>
      <c r="AG187" s="366"/>
      <c r="AH187" s="371"/>
      <c r="AI187" s="371"/>
      <c r="AJ187" s="371"/>
      <c r="AK187" s="392">
        <f t="shared" si="141"/>
        <v>0</v>
      </c>
      <c r="AM187" s="392"/>
      <c r="AO187" s="392"/>
      <c r="AQ187" s="371">
        <f t="shared" si="134"/>
        <v>0</v>
      </c>
      <c r="AR187" s="719">
        <f t="shared" si="135"/>
        <v>0</v>
      </c>
    </row>
    <row r="188" spans="2:44" x14ac:dyDescent="0.35">
      <c r="B188" s="367">
        <v>6</v>
      </c>
      <c r="C188" s="367"/>
      <c r="D188" s="368">
        <v>6271003202</v>
      </c>
      <c r="E188" s="369" t="s">
        <v>496</v>
      </c>
      <c r="F188" s="369" t="s">
        <v>493</v>
      </c>
      <c r="G188" s="369" t="s">
        <v>496</v>
      </c>
      <c r="H188" s="368" t="s">
        <v>359</v>
      </c>
      <c r="I188" s="404" t="s">
        <v>701</v>
      </c>
      <c r="J188" s="371"/>
      <c r="K188" s="371"/>
      <c r="L188" s="371"/>
      <c r="M188" s="371"/>
      <c r="N188" s="371"/>
      <c r="O188" s="371"/>
      <c r="P188" s="371"/>
      <c r="Q188" s="371"/>
      <c r="R188" s="371"/>
      <c r="S188" s="371"/>
      <c r="T188" s="371"/>
      <c r="U188" s="371"/>
      <c r="V188" s="371"/>
      <c r="W188" s="392">
        <f t="shared" si="140"/>
        <v>0</v>
      </c>
      <c r="Y188" s="366"/>
      <c r="Z188" s="366"/>
      <c r="AA188" s="366"/>
      <c r="AB188" s="366"/>
      <c r="AC188" s="366"/>
      <c r="AD188" s="366"/>
      <c r="AE188" s="366"/>
      <c r="AF188" s="366"/>
      <c r="AG188" s="366"/>
      <c r="AH188" s="371"/>
      <c r="AI188" s="371"/>
      <c r="AJ188" s="371"/>
      <c r="AK188" s="392">
        <f t="shared" si="141"/>
        <v>0</v>
      </c>
      <c r="AM188" s="392"/>
      <c r="AO188" s="392"/>
      <c r="AQ188" s="371">
        <f t="shared" si="134"/>
        <v>0</v>
      </c>
      <c r="AR188" s="719">
        <f t="shared" si="135"/>
        <v>0</v>
      </c>
    </row>
    <row r="189" spans="2:44" x14ac:dyDescent="0.35">
      <c r="B189" s="367">
        <v>7</v>
      </c>
      <c r="C189" s="367"/>
      <c r="D189" s="368">
        <v>6271002603</v>
      </c>
      <c r="E189" s="369" t="s">
        <v>497</v>
      </c>
      <c r="F189" s="369" t="s">
        <v>491</v>
      </c>
      <c r="G189" s="369" t="s">
        <v>497</v>
      </c>
      <c r="H189" s="368" t="s">
        <v>359</v>
      </c>
      <c r="I189" s="404" t="s">
        <v>701</v>
      </c>
      <c r="J189" s="371"/>
      <c r="K189" s="371"/>
      <c r="L189" s="371"/>
      <c r="M189" s="371"/>
      <c r="N189" s="371"/>
      <c r="O189" s="371"/>
      <c r="P189" s="371"/>
      <c r="Q189" s="371"/>
      <c r="R189" s="371"/>
      <c r="S189" s="371"/>
      <c r="T189" s="371"/>
      <c r="U189" s="371"/>
      <c r="V189" s="371"/>
      <c r="W189" s="392">
        <f t="shared" si="140"/>
        <v>0</v>
      </c>
      <c r="Y189" s="366"/>
      <c r="Z189" s="366"/>
      <c r="AA189" s="366"/>
      <c r="AB189" s="366"/>
      <c r="AC189" s="366"/>
      <c r="AD189" s="366"/>
      <c r="AE189" s="366"/>
      <c r="AF189" s="366"/>
      <c r="AG189" s="366"/>
      <c r="AH189" s="371"/>
      <c r="AI189" s="371"/>
      <c r="AJ189" s="371"/>
      <c r="AK189" s="392">
        <f t="shared" si="141"/>
        <v>0</v>
      </c>
      <c r="AM189" s="392"/>
      <c r="AO189" s="392"/>
      <c r="AQ189" s="371">
        <f t="shared" si="134"/>
        <v>0</v>
      </c>
      <c r="AR189" s="719">
        <f t="shared" si="135"/>
        <v>0</v>
      </c>
    </row>
    <row r="190" spans="2:44" x14ac:dyDescent="0.35">
      <c r="B190" s="367">
        <v>8</v>
      </c>
      <c r="C190" s="367"/>
      <c r="D190" s="368">
        <v>6271003401</v>
      </c>
      <c r="E190" s="369" t="s">
        <v>498</v>
      </c>
      <c r="F190" s="369" t="s">
        <v>493</v>
      </c>
      <c r="G190" s="369" t="s">
        <v>498</v>
      </c>
      <c r="H190" s="368" t="s">
        <v>359</v>
      </c>
      <c r="I190" s="404" t="s">
        <v>701</v>
      </c>
      <c r="J190" s="371"/>
      <c r="K190" s="371"/>
      <c r="L190" s="371"/>
      <c r="M190" s="371"/>
      <c r="N190" s="371"/>
      <c r="O190" s="371"/>
      <c r="P190" s="371"/>
      <c r="Q190" s="371"/>
      <c r="R190" s="371"/>
      <c r="S190" s="371"/>
      <c r="T190" s="371"/>
      <c r="U190" s="371"/>
      <c r="V190" s="371"/>
      <c r="W190" s="392">
        <f t="shared" si="140"/>
        <v>0</v>
      </c>
      <c r="Y190" s="366"/>
      <c r="Z190" s="366"/>
      <c r="AA190" s="366"/>
      <c r="AB190" s="366"/>
      <c r="AC190" s="366"/>
      <c r="AD190" s="366"/>
      <c r="AE190" s="366"/>
      <c r="AF190" s="366"/>
      <c r="AG190" s="366"/>
      <c r="AH190" s="371"/>
      <c r="AI190" s="371"/>
      <c r="AJ190" s="371"/>
      <c r="AK190" s="392">
        <f t="shared" si="141"/>
        <v>0</v>
      </c>
      <c r="AM190" s="392"/>
      <c r="AO190" s="392"/>
      <c r="AQ190" s="371">
        <f t="shared" si="134"/>
        <v>0</v>
      </c>
      <c r="AR190" s="719">
        <f t="shared" si="135"/>
        <v>0</v>
      </c>
    </row>
    <row r="191" spans="2:44" x14ac:dyDescent="0.35">
      <c r="B191" s="367">
        <v>9</v>
      </c>
      <c r="C191" s="367"/>
      <c r="D191" s="368">
        <v>6271002703</v>
      </c>
      <c r="E191" s="369" t="s">
        <v>499</v>
      </c>
      <c r="F191" s="369" t="s">
        <v>491</v>
      </c>
      <c r="G191" s="369" t="s">
        <v>499</v>
      </c>
      <c r="H191" s="368" t="s">
        <v>359</v>
      </c>
      <c r="I191" s="404" t="s">
        <v>701</v>
      </c>
      <c r="J191" s="371"/>
      <c r="K191" s="371"/>
      <c r="L191" s="371"/>
      <c r="M191" s="371"/>
      <c r="N191" s="371"/>
      <c r="O191" s="371"/>
      <c r="P191" s="371"/>
      <c r="Q191" s="371"/>
      <c r="R191" s="371"/>
      <c r="S191" s="371"/>
      <c r="T191" s="371"/>
      <c r="U191" s="371"/>
      <c r="V191" s="371"/>
      <c r="W191" s="392">
        <f t="shared" si="140"/>
        <v>0</v>
      </c>
      <c r="Y191" s="366"/>
      <c r="Z191" s="366"/>
      <c r="AA191" s="366"/>
      <c r="AB191" s="366"/>
      <c r="AC191" s="366"/>
      <c r="AD191" s="366"/>
      <c r="AE191" s="366"/>
      <c r="AF191" s="366"/>
      <c r="AG191" s="366"/>
      <c r="AH191" s="371"/>
      <c r="AI191" s="371"/>
      <c r="AJ191" s="371"/>
      <c r="AK191" s="392">
        <f t="shared" si="141"/>
        <v>0</v>
      </c>
      <c r="AM191" s="392"/>
      <c r="AO191" s="392"/>
      <c r="AQ191" s="371">
        <f t="shared" si="134"/>
        <v>0</v>
      </c>
      <c r="AR191" s="719">
        <f t="shared" si="135"/>
        <v>0</v>
      </c>
    </row>
    <row r="192" spans="2:44" x14ac:dyDescent="0.35">
      <c r="B192" s="367">
        <v>10</v>
      </c>
      <c r="C192" s="367"/>
      <c r="D192" s="368">
        <v>6271003001</v>
      </c>
      <c r="E192" s="369" t="s">
        <v>702</v>
      </c>
      <c r="F192" s="369" t="s">
        <v>493</v>
      </c>
      <c r="G192" s="369" t="s">
        <v>702</v>
      </c>
      <c r="H192" s="368" t="s">
        <v>359</v>
      </c>
      <c r="I192" s="404" t="s">
        <v>703</v>
      </c>
      <c r="J192" s="371"/>
      <c r="K192" s="371"/>
      <c r="L192" s="371"/>
      <c r="M192" s="371"/>
      <c r="N192" s="371"/>
      <c r="O192" s="371"/>
      <c r="P192" s="371"/>
      <c r="Q192" s="371"/>
      <c r="R192" s="371"/>
      <c r="S192" s="371"/>
      <c r="T192" s="371"/>
      <c r="U192" s="371"/>
      <c r="V192" s="371"/>
      <c r="W192" s="392">
        <f t="shared" si="140"/>
        <v>0</v>
      </c>
      <c r="Y192" s="366"/>
      <c r="Z192" s="366"/>
      <c r="AA192" s="366"/>
      <c r="AB192" s="366"/>
      <c r="AC192" s="366"/>
      <c r="AD192" s="366"/>
      <c r="AE192" s="366"/>
      <c r="AF192" s="366"/>
      <c r="AG192" s="366"/>
      <c r="AH192" s="371"/>
      <c r="AI192" s="371"/>
      <c r="AJ192" s="371"/>
      <c r="AK192" s="392">
        <f t="shared" si="141"/>
        <v>0</v>
      </c>
      <c r="AM192" s="392"/>
      <c r="AO192" s="392"/>
      <c r="AQ192" s="371">
        <f t="shared" si="134"/>
        <v>0</v>
      </c>
      <c r="AR192" s="719">
        <f t="shared" si="135"/>
        <v>0</v>
      </c>
    </row>
    <row r="193" spans="1:44" x14ac:dyDescent="0.35">
      <c r="A193" s="774"/>
      <c r="B193" s="771"/>
      <c r="C193" s="771"/>
      <c r="D193" s="377" t="s">
        <v>763</v>
      </c>
      <c r="E193" s="767" t="s">
        <v>705</v>
      </c>
      <c r="F193" s="767" t="s">
        <v>493</v>
      </c>
      <c r="G193" s="767" t="s">
        <v>706</v>
      </c>
      <c r="H193" s="377" t="s">
        <v>359</v>
      </c>
      <c r="I193" s="772" t="s">
        <v>703</v>
      </c>
      <c r="J193" s="770"/>
      <c r="K193" s="770"/>
      <c r="L193" s="770"/>
      <c r="M193" s="770"/>
      <c r="N193" s="770"/>
      <c r="O193" s="770"/>
      <c r="P193" s="770"/>
      <c r="Q193" s="770"/>
      <c r="R193" s="770"/>
      <c r="S193" s="770"/>
      <c r="T193" s="770"/>
      <c r="U193" s="770"/>
      <c r="V193" s="770"/>
      <c r="W193" s="773"/>
      <c r="X193" s="774"/>
      <c r="Y193" s="770"/>
      <c r="Z193" s="770"/>
      <c r="AA193" s="770"/>
      <c r="AB193" s="770"/>
      <c r="AC193" s="770"/>
      <c r="AD193" s="770"/>
      <c r="AE193" s="770"/>
      <c r="AF193" s="770"/>
      <c r="AG193" s="770"/>
      <c r="AH193" s="770"/>
      <c r="AI193" s="770"/>
      <c r="AJ193" s="770"/>
      <c r="AK193" s="773"/>
      <c r="AL193" s="774"/>
      <c r="AM193" s="773"/>
      <c r="AN193" s="774"/>
      <c r="AO193" s="773"/>
      <c r="AP193" s="774"/>
      <c r="AQ193" s="770"/>
      <c r="AR193" s="775"/>
    </row>
    <row r="194" spans="1:44" x14ac:dyDescent="0.35">
      <c r="B194" s="367">
        <v>11</v>
      </c>
      <c r="C194" s="367"/>
      <c r="D194" s="368">
        <v>6273000100</v>
      </c>
      <c r="E194" s="369" t="s">
        <v>724</v>
      </c>
      <c r="F194" s="369" t="s">
        <v>725</v>
      </c>
      <c r="G194" s="369" t="s">
        <v>724</v>
      </c>
      <c r="H194" s="368" t="s">
        <v>414</v>
      </c>
      <c r="I194" s="404" t="s">
        <v>726</v>
      </c>
      <c r="J194" s="371"/>
      <c r="K194" s="371"/>
      <c r="L194" s="371"/>
      <c r="M194" s="371"/>
      <c r="N194" s="371"/>
      <c r="O194" s="371"/>
      <c r="P194" s="371"/>
      <c r="Q194" s="371"/>
      <c r="R194" s="371"/>
      <c r="S194" s="371"/>
      <c r="T194" s="371"/>
      <c r="U194" s="371"/>
      <c r="V194" s="371"/>
      <c r="W194" s="392">
        <f t="shared" ref="W194:W200" si="142">SUM(K194:V194)</f>
        <v>0</v>
      </c>
      <c r="Y194" s="366"/>
      <c r="Z194" s="366"/>
      <c r="AA194" s="366"/>
      <c r="AB194" s="366"/>
      <c r="AC194" s="366"/>
      <c r="AD194" s="366"/>
      <c r="AE194" s="366"/>
      <c r="AF194" s="366"/>
      <c r="AG194" s="366"/>
      <c r="AH194" s="371"/>
      <c r="AI194" s="371"/>
      <c r="AJ194" s="371"/>
      <c r="AK194" s="392">
        <f t="shared" ref="AK194:AK200" si="143">SUM(Y194:AJ194)</f>
        <v>0</v>
      </c>
      <c r="AM194" s="392"/>
      <c r="AO194" s="392"/>
      <c r="AQ194" s="371">
        <f t="shared" ref="AQ194:AQ200" si="144">IFERROR(W194-AK194,0)</f>
        <v>0</v>
      </c>
      <c r="AR194" s="719">
        <f t="shared" ref="AR194:AR200" si="145">IFERROR((W194/AK194)-1,0)</f>
        <v>0</v>
      </c>
    </row>
    <row r="195" spans="1:44" x14ac:dyDescent="0.35">
      <c r="B195" s="367">
        <v>12</v>
      </c>
      <c r="C195" s="367"/>
      <c r="D195" s="368">
        <v>6275001803</v>
      </c>
      <c r="E195" s="369" t="s">
        <v>727</v>
      </c>
      <c r="F195" s="369" t="s">
        <v>716</v>
      </c>
      <c r="G195" s="369" t="s">
        <v>727</v>
      </c>
      <c r="H195" s="368" t="s">
        <v>414</v>
      </c>
      <c r="I195" s="404" t="s">
        <v>726</v>
      </c>
      <c r="J195" s="371"/>
      <c r="K195" s="371"/>
      <c r="L195" s="371"/>
      <c r="M195" s="371"/>
      <c r="N195" s="371"/>
      <c r="O195" s="371"/>
      <c r="P195" s="371"/>
      <c r="Q195" s="371"/>
      <c r="R195" s="371"/>
      <c r="S195" s="371"/>
      <c r="T195" s="371"/>
      <c r="U195" s="371"/>
      <c r="V195" s="371"/>
      <c r="W195" s="392">
        <f t="shared" si="142"/>
        <v>0</v>
      </c>
      <c r="Y195" s="366"/>
      <c r="Z195" s="366"/>
      <c r="AA195" s="366"/>
      <c r="AB195" s="366"/>
      <c r="AC195" s="366"/>
      <c r="AD195" s="366"/>
      <c r="AE195" s="366"/>
      <c r="AF195" s="366"/>
      <c r="AG195" s="366"/>
      <c r="AH195" s="371"/>
      <c r="AI195" s="371"/>
      <c r="AJ195" s="371"/>
      <c r="AK195" s="392">
        <f t="shared" si="143"/>
        <v>0</v>
      </c>
      <c r="AM195" s="392"/>
      <c r="AO195" s="392"/>
      <c r="AQ195" s="371">
        <f t="shared" si="144"/>
        <v>0</v>
      </c>
      <c r="AR195" s="719">
        <f t="shared" si="145"/>
        <v>0</v>
      </c>
    </row>
    <row r="196" spans="1:44" x14ac:dyDescent="0.35">
      <c r="B196" s="367">
        <v>13</v>
      </c>
      <c r="C196" s="367"/>
      <c r="D196" s="368">
        <v>6277002804</v>
      </c>
      <c r="E196" s="369" t="s">
        <v>728</v>
      </c>
      <c r="F196" s="369" t="s">
        <v>729</v>
      </c>
      <c r="G196" s="369" t="s">
        <v>728</v>
      </c>
      <c r="H196" s="368" t="s">
        <v>359</v>
      </c>
      <c r="I196" s="404" t="s">
        <v>726</v>
      </c>
      <c r="J196" s="371"/>
      <c r="K196" s="371"/>
      <c r="L196" s="371"/>
      <c r="M196" s="371"/>
      <c r="N196" s="371"/>
      <c r="O196" s="371"/>
      <c r="P196" s="371"/>
      <c r="Q196" s="371"/>
      <c r="R196" s="371"/>
      <c r="S196" s="371"/>
      <c r="T196" s="371"/>
      <c r="U196" s="371"/>
      <c r="V196" s="371"/>
      <c r="W196" s="392">
        <f t="shared" si="142"/>
        <v>0</v>
      </c>
      <c r="Y196" s="366"/>
      <c r="Z196" s="366"/>
      <c r="AA196" s="366"/>
      <c r="AB196" s="366"/>
      <c r="AC196" s="366"/>
      <c r="AD196" s="366"/>
      <c r="AE196" s="366"/>
      <c r="AF196" s="366"/>
      <c r="AG196" s="366"/>
      <c r="AH196" s="371"/>
      <c r="AI196" s="371"/>
      <c r="AJ196" s="371"/>
      <c r="AK196" s="392">
        <f t="shared" si="143"/>
        <v>0</v>
      </c>
      <c r="AM196" s="392"/>
      <c r="AO196" s="392"/>
      <c r="AQ196" s="371">
        <f t="shared" si="144"/>
        <v>0</v>
      </c>
      <c r="AR196" s="719">
        <f t="shared" si="145"/>
        <v>0</v>
      </c>
    </row>
    <row r="197" spans="1:44" x14ac:dyDescent="0.35">
      <c r="B197" s="367">
        <v>14</v>
      </c>
      <c r="C197" s="367"/>
      <c r="D197" s="368">
        <v>6277003702</v>
      </c>
      <c r="E197" s="369" t="s">
        <v>730</v>
      </c>
      <c r="F197" s="369" t="s">
        <v>731</v>
      </c>
      <c r="G197" s="369" t="s">
        <v>730</v>
      </c>
      <c r="H197" s="368" t="s">
        <v>356</v>
      </c>
      <c r="I197" s="404" t="s">
        <v>703</v>
      </c>
      <c r="J197" s="371"/>
      <c r="K197" s="371"/>
      <c r="L197" s="371"/>
      <c r="M197" s="371"/>
      <c r="N197" s="371"/>
      <c r="O197" s="371"/>
      <c r="P197" s="371"/>
      <c r="Q197" s="371"/>
      <c r="R197" s="371"/>
      <c r="S197" s="371"/>
      <c r="T197" s="371"/>
      <c r="U197" s="371"/>
      <c r="V197" s="371"/>
      <c r="W197" s="392">
        <f t="shared" si="142"/>
        <v>0</v>
      </c>
      <c r="Y197" s="366"/>
      <c r="Z197" s="366"/>
      <c r="AA197" s="366"/>
      <c r="AB197" s="366"/>
      <c r="AC197" s="366"/>
      <c r="AD197" s="366"/>
      <c r="AE197" s="366"/>
      <c r="AF197" s="366"/>
      <c r="AG197" s="366"/>
      <c r="AH197" s="371"/>
      <c r="AI197" s="371"/>
      <c r="AJ197" s="371"/>
      <c r="AK197" s="392">
        <f t="shared" si="143"/>
        <v>0</v>
      </c>
      <c r="AM197" s="392"/>
      <c r="AO197" s="392"/>
      <c r="AQ197" s="371">
        <f t="shared" si="144"/>
        <v>0</v>
      </c>
      <c r="AR197" s="719">
        <f t="shared" si="145"/>
        <v>0</v>
      </c>
    </row>
    <row r="198" spans="1:44" x14ac:dyDescent="0.35">
      <c r="B198" s="367">
        <v>15</v>
      </c>
      <c r="C198" s="367"/>
      <c r="D198" s="368">
        <v>6277005001</v>
      </c>
      <c r="E198" s="369" t="s">
        <v>732</v>
      </c>
      <c r="F198" s="369" t="s">
        <v>733</v>
      </c>
      <c r="G198" s="369" t="s">
        <v>732</v>
      </c>
      <c r="H198" s="368" t="s">
        <v>356</v>
      </c>
      <c r="I198" s="404" t="s">
        <v>709</v>
      </c>
      <c r="J198" s="371"/>
      <c r="K198" s="371"/>
      <c r="L198" s="371"/>
      <c r="M198" s="371"/>
      <c r="N198" s="371"/>
      <c r="O198" s="371"/>
      <c r="P198" s="371"/>
      <c r="Q198" s="371"/>
      <c r="R198" s="371"/>
      <c r="S198" s="371"/>
      <c r="T198" s="371"/>
      <c r="U198" s="371"/>
      <c r="V198" s="371"/>
      <c r="W198" s="392">
        <f t="shared" si="142"/>
        <v>0</v>
      </c>
      <c r="Y198" s="366"/>
      <c r="Z198" s="366"/>
      <c r="AA198" s="366"/>
      <c r="AB198" s="366"/>
      <c r="AC198" s="366"/>
      <c r="AD198" s="366"/>
      <c r="AE198" s="366"/>
      <c r="AF198" s="366"/>
      <c r="AG198" s="366"/>
      <c r="AH198" s="366"/>
      <c r="AI198" s="366"/>
      <c r="AJ198" s="366"/>
      <c r="AK198" s="392">
        <f t="shared" si="143"/>
        <v>0</v>
      </c>
      <c r="AM198" s="392"/>
      <c r="AO198" s="392"/>
      <c r="AQ198" s="371">
        <f t="shared" si="144"/>
        <v>0</v>
      </c>
      <c r="AR198" s="719">
        <f t="shared" si="145"/>
        <v>0</v>
      </c>
    </row>
    <row r="199" spans="1:44" x14ac:dyDescent="0.35">
      <c r="B199" s="367">
        <v>16</v>
      </c>
      <c r="C199" s="367"/>
      <c r="D199" s="368">
        <v>6278007201</v>
      </c>
      <c r="E199" s="369" t="s">
        <v>734</v>
      </c>
      <c r="F199" s="369" t="s">
        <v>729</v>
      </c>
      <c r="G199" s="369" t="s">
        <v>734</v>
      </c>
      <c r="H199" s="368" t="s">
        <v>414</v>
      </c>
      <c r="I199" s="404" t="s">
        <v>726</v>
      </c>
      <c r="J199" s="371"/>
      <c r="K199" s="371"/>
      <c r="L199" s="371"/>
      <c r="M199" s="371"/>
      <c r="N199" s="371"/>
      <c r="O199" s="371"/>
      <c r="P199" s="371"/>
      <c r="Q199" s="371"/>
      <c r="R199" s="371"/>
      <c r="S199" s="371"/>
      <c r="T199" s="371"/>
      <c r="U199" s="371"/>
      <c r="V199" s="371"/>
      <c r="W199" s="392">
        <f t="shared" si="142"/>
        <v>0</v>
      </c>
      <c r="Y199" s="366"/>
      <c r="Z199" s="366"/>
      <c r="AA199" s="366"/>
      <c r="AB199" s="366"/>
      <c r="AC199" s="366"/>
      <c r="AD199" s="366"/>
      <c r="AE199" s="366"/>
      <c r="AF199" s="366"/>
      <c r="AG199" s="366"/>
      <c r="AH199" s="371"/>
      <c r="AI199" s="371"/>
      <c r="AJ199" s="371"/>
      <c r="AK199" s="392">
        <f t="shared" si="143"/>
        <v>0</v>
      </c>
      <c r="AM199" s="392"/>
      <c r="AO199" s="392"/>
      <c r="AQ199" s="371">
        <f t="shared" si="144"/>
        <v>0</v>
      </c>
      <c r="AR199" s="719">
        <f t="shared" si="145"/>
        <v>0</v>
      </c>
    </row>
    <row r="200" spans="1:44" x14ac:dyDescent="0.35">
      <c r="B200" s="367">
        <v>17</v>
      </c>
      <c r="C200" s="367"/>
      <c r="D200" s="368">
        <v>6273006501</v>
      </c>
      <c r="E200" s="369" t="s">
        <v>737</v>
      </c>
      <c r="F200" s="369" t="s">
        <v>738</v>
      </c>
      <c r="G200" s="369" t="s">
        <v>739</v>
      </c>
      <c r="H200" s="368" t="s">
        <v>401</v>
      </c>
      <c r="I200" s="404" t="s">
        <v>703</v>
      </c>
      <c r="J200" s="371"/>
      <c r="K200" s="371"/>
      <c r="L200" s="371"/>
      <c r="M200" s="371"/>
      <c r="N200" s="371"/>
      <c r="O200" s="371"/>
      <c r="P200" s="371"/>
      <c r="Q200" s="371"/>
      <c r="R200" s="371"/>
      <c r="S200" s="371"/>
      <c r="T200" s="371"/>
      <c r="U200" s="371"/>
      <c r="V200" s="371"/>
      <c r="W200" s="392">
        <f t="shared" si="142"/>
        <v>0</v>
      </c>
      <c r="Y200" s="366"/>
      <c r="Z200" s="366"/>
      <c r="AA200" s="366"/>
      <c r="AB200" s="366"/>
      <c r="AC200" s="366"/>
      <c r="AD200" s="366"/>
      <c r="AE200" s="366"/>
      <c r="AF200" s="366"/>
      <c r="AG200" s="366"/>
      <c r="AH200" s="371"/>
      <c r="AI200" s="371"/>
      <c r="AJ200" s="371"/>
      <c r="AK200" s="392">
        <f t="shared" si="143"/>
        <v>0</v>
      </c>
      <c r="AM200" s="392"/>
      <c r="AO200" s="392"/>
      <c r="AQ200" s="371">
        <f t="shared" si="144"/>
        <v>0</v>
      </c>
      <c r="AR200" s="719">
        <f t="shared" si="145"/>
        <v>0</v>
      </c>
    </row>
    <row r="201" spans="1:44" x14ac:dyDescent="0.35">
      <c r="A201" s="774"/>
      <c r="B201" s="771"/>
      <c r="C201" s="771"/>
      <c r="D201" s="377" t="s">
        <v>740</v>
      </c>
      <c r="E201" s="767" t="s">
        <v>741</v>
      </c>
      <c r="F201" s="767" t="s">
        <v>742</v>
      </c>
      <c r="G201" s="767" t="s">
        <v>741</v>
      </c>
      <c r="H201" s="377" t="s">
        <v>356</v>
      </c>
      <c r="I201" s="772" t="s">
        <v>703</v>
      </c>
      <c r="J201" s="770"/>
      <c r="K201" s="783"/>
      <c r="L201" s="783"/>
      <c r="M201" s="783"/>
      <c r="N201" s="783"/>
      <c r="O201" s="783"/>
      <c r="P201" s="783"/>
      <c r="Q201" s="783"/>
      <c r="R201" s="783"/>
      <c r="S201" s="783"/>
      <c r="T201" s="783"/>
      <c r="U201" s="783"/>
      <c r="V201" s="783"/>
      <c r="W201" s="773"/>
      <c r="X201" s="774"/>
      <c r="Y201" s="783"/>
      <c r="Z201" s="783"/>
      <c r="AA201" s="783"/>
      <c r="AB201" s="783"/>
      <c r="AC201" s="783"/>
      <c r="AD201" s="783"/>
      <c r="AE201" s="783"/>
      <c r="AF201" s="783"/>
      <c r="AG201" s="783"/>
      <c r="AH201" s="783"/>
      <c r="AI201" s="783"/>
      <c r="AJ201" s="783"/>
      <c r="AK201" s="773"/>
      <c r="AL201" s="774"/>
      <c r="AM201" s="773"/>
      <c r="AN201" s="774"/>
      <c r="AO201" s="773"/>
      <c r="AP201" s="774"/>
      <c r="AQ201" s="770"/>
      <c r="AR201" s="775"/>
    </row>
    <row r="202" spans="1:44" x14ac:dyDescent="0.35">
      <c r="B202" s="367">
        <v>18</v>
      </c>
      <c r="C202" s="367"/>
      <c r="D202" s="368">
        <v>6277006501</v>
      </c>
      <c r="E202" s="369" t="s">
        <v>737</v>
      </c>
      <c r="F202" s="369" t="s">
        <v>738</v>
      </c>
      <c r="G202" s="369" t="s">
        <v>743</v>
      </c>
      <c r="H202" s="368" t="s">
        <v>401</v>
      </c>
      <c r="I202" s="404" t="s">
        <v>726</v>
      </c>
      <c r="J202" s="371"/>
      <c r="K202" s="371"/>
      <c r="L202" s="371"/>
      <c r="M202" s="371"/>
      <c r="N202" s="371"/>
      <c r="O202" s="371"/>
      <c r="P202" s="371"/>
      <c r="Q202" s="371"/>
      <c r="R202" s="371"/>
      <c r="S202" s="371"/>
      <c r="T202" s="371"/>
      <c r="U202" s="371"/>
      <c r="V202" s="371"/>
      <c r="W202" s="392">
        <f t="shared" ref="W202:W206" si="146">SUM(K202:V202)</f>
        <v>0</v>
      </c>
      <c r="Y202" s="366"/>
      <c r="Z202" s="366"/>
      <c r="AA202" s="366"/>
      <c r="AB202" s="366"/>
      <c r="AC202" s="366"/>
      <c r="AD202" s="366"/>
      <c r="AE202" s="366"/>
      <c r="AF202" s="366"/>
      <c r="AG202" s="366"/>
      <c r="AH202" s="371"/>
      <c r="AI202" s="371"/>
      <c r="AJ202" s="371"/>
      <c r="AK202" s="392">
        <f t="shared" ref="AK202:AK206" si="147">SUM(Y202:AJ202)</f>
        <v>0</v>
      </c>
      <c r="AM202" s="392"/>
      <c r="AO202" s="392"/>
      <c r="AQ202" s="371">
        <f t="shared" ref="AQ202:AQ206" si="148">IFERROR(W202-AK202,0)</f>
        <v>0</v>
      </c>
      <c r="AR202" s="719">
        <f t="shared" ref="AR202:AR206" si="149">IFERROR((W202/AK202)-1,0)</f>
        <v>0</v>
      </c>
    </row>
    <row r="203" spans="1:44" x14ac:dyDescent="0.35">
      <c r="B203" s="367">
        <v>19</v>
      </c>
      <c r="C203" s="367"/>
      <c r="D203" s="368">
        <v>6273002001</v>
      </c>
      <c r="E203" s="369" t="s">
        <v>745</v>
      </c>
      <c r="F203" s="369" t="s">
        <v>738</v>
      </c>
      <c r="G203" s="369" t="s">
        <v>746</v>
      </c>
      <c r="H203" s="368" t="s">
        <v>379</v>
      </c>
      <c r="I203" s="404" t="s">
        <v>703</v>
      </c>
      <c r="J203" s="371"/>
      <c r="K203" s="371"/>
      <c r="L203" s="371"/>
      <c r="M203" s="371"/>
      <c r="N203" s="371"/>
      <c r="O203" s="371"/>
      <c r="P203" s="371"/>
      <c r="Q203" s="371"/>
      <c r="R203" s="371"/>
      <c r="S203" s="371"/>
      <c r="T203" s="371"/>
      <c r="U203" s="371"/>
      <c r="V203" s="371"/>
      <c r="W203" s="392">
        <f t="shared" si="146"/>
        <v>0</v>
      </c>
      <c r="Y203" s="366"/>
      <c r="Z203" s="366"/>
      <c r="AA203" s="366"/>
      <c r="AB203" s="366"/>
      <c r="AC203" s="366"/>
      <c r="AD203" s="366"/>
      <c r="AE203" s="366"/>
      <c r="AF203" s="366"/>
      <c r="AG203" s="366"/>
      <c r="AH203" s="366"/>
      <c r="AI203" s="366"/>
      <c r="AJ203" s="366"/>
      <c r="AK203" s="392">
        <f t="shared" si="147"/>
        <v>0</v>
      </c>
      <c r="AM203" s="392"/>
      <c r="AO203" s="392"/>
      <c r="AQ203" s="371">
        <f t="shared" si="148"/>
        <v>0</v>
      </c>
      <c r="AR203" s="719">
        <f t="shared" si="149"/>
        <v>0</v>
      </c>
    </row>
    <row r="204" spans="1:44" x14ac:dyDescent="0.35">
      <c r="B204" s="367">
        <v>20</v>
      </c>
      <c r="C204" s="367"/>
      <c r="D204" s="368">
        <v>6277002204</v>
      </c>
      <c r="E204" s="369" t="s">
        <v>747</v>
      </c>
      <c r="F204" s="369" t="s">
        <v>738</v>
      </c>
      <c r="G204" s="369" t="s">
        <v>748</v>
      </c>
      <c r="H204" s="368" t="s">
        <v>454</v>
      </c>
      <c r="I204" s="404" t="s">
        <v>703</v>
      </c>
      <c r="J204" s="371"/>
      <c r="K204" s="371"/>
      <c r="L204" s="371"/>
      <c r="M204" s="371"/>
      <c r="N204" s="371"/>
      <c r="O204" s="371"/>
      <c r="P204" s="371"/>
      <c r="Q204" s="371"/>
      <c r="R204" s="371"/>
      <c r="S204" s="371"/>
      <c r="T204" s="371"/>
      <c r="U204" s="371"/>
      <c r="V204" s="371"/>
      <c r="W204" s="392">
        <f t="shared" si="146"/>
        <v>0</v>
      </c>
      <c r="Y204" s="366"/>
      <c r="Z204" s="366"/>
      <c r="AA204" s="366"/>
      <c r="AB204" s="366"/>
      <c r="AC204" s="366"/>
      <c r="AD204" s="366"/>
      <c r="AE204" s="366"/>
      <c r="AF204" s="366"/>
      <c r="AG204" s="366"/>
      <c r="AH204" s="371"/>
      <c r="AI204" s="371"/>
      <c r="AJ204" s="371"/>
      <c r="AK204" s="392">
        <f t="shared" si="147"/>
        <v>0</v>
      </c>
      <c r="AM204" s="392"/>
      <c r="AO204" s="392"/>
      <c r="AQ204" s="371">
        <f t="shared" si="148"/>
        <v>0</v>
      </c>
      <c r="AR204" s="719">
        <f t="shared" si="149"/>
        <v>0</v>
      </c>
    </row>
    <row r="205" spans="1:44" x14ac:dyDescent="0.35">
      <c r="B205" s="367">
        <v>21</v>
      </c>
      <c r="C205" s="367"/>
      <c r="D205" s="377">
        <v>6277002301</v>
      </c>
      <c r="E205" s="369" t="s">
        <v>749</v>
      </c>
      <c r="F205" s="369" t="s">
        <v>750</v>
      </c>
      <c r="G205" s="369" t="s">
        <v>749</v>
      </c>
      <c r="H205" s="368" t="s">
        <v>369</v>
      </c>
      <c r="I205" s="404" t="s">
        <v>703</v>
      </c>
      <c r="J205" s="371"/>
      <c r="K205" s="371"/>
      <c r="L205" s="371"/>
      <c r="M205" s="371"/>
      <c r="N205" s="371"/>
      <c r="O205" s="371"/>
      <c r="P205" s="371"/>
      <c r="Q205" s="371"/>
      <c r="R205" s="371"/>
      <c r="S205" s="371"/>
      <c r="T205" s="371"/>
      <c r="U205" s="371"/>
      <c r="V205" s="371"/>
      <c r="W205" s="392">
        <f t="shared" si="146"/>
        <v>0</v>
      </c>
      <c r="Y205" s="366"/>
      <c r="Z205" s="366"/>
      <c r="AA205" s="366"/>
      <c r="AB205" s="366"/>
      <c r="AC205" s="366"/>
      <c r="AD205" s="366"/>
      <c r="AE205" s="366"/>
      <c r="AF205" s="366"/>
      <c r="AG205" s="366"/>
      <c r="AH205" s="371"/>
      <c r="AI205" s="371"/>
      <c r="AJ205" s="371"/>
      <c r="AK205" s="392">
        <f t="shared" si="147"/>
        <v>0</v>
      </c>
      <c r="AM205" s="392"/>
      <c r="AO205" s="392"/>
      <c r="AQ205" s="371">
        <f t="shared" si="148"/>
        <v>0</v>
      </c>
      <c r="AR205" s="719">
        <f t="shared" si="149"/>
        <v>0</v>
      </c>
    </row>
    <row r="206" spans="1:44" x14ac:dyDescent="0.35">
      <c r="B206" s="367">
        <v>22</v>
      </c>
      <c r="C206" s="367"/>
      <c r="D206" s="368">
        <v>6273001908</v>
      </c>
      <c r="E206" s="369" t="s">
        <v>751</v>
      </c>
      <c r="F206" s="369" t="s">
        <v>725</v>
      </c>
      <c r="G206" s="369" t="s">
        <v>751</v>
      </c>
      <c r="H206" s="368" t="s">
        <v>369</v>
      </c>
      <c r="I206" s="404" t="s">
        <v>703</v>
      </c>
      <c r="J206" s="371"/>
      <c r="K206" s="371"/>
      <c r="L206" s="371"/>
      <c r="M206" s="371"/>
      <c r="N206" s="371"/>
      <c r="O206" s="371"/>
      <c r="P206" s="371"/>
      <c r="Q206" s="371"/>
      <c r="R206" s="371"/>
      <c r="S206" s="371"/>
      <c r="T206" s="371"/>
      <c r="U206" s="371"/>
      <c r="V206" s="371"/>
      <c r="W206" s="392">
        <f t="shared" si="146"/>
        <v>0</v>
      </c>
      <c r="Y206" s="366"/>
      <c r="Z206" s="366"/>
      <c r="AA206" s="366"/>
      <c r="AB206" s="366"/>
      <c r="AC206" s="366"/>
      <c r="AD206" s="366"/>
      <c r="AE206" s="366"/>
      <c r="AF206" s="366"/>
      <c r="AG206" s="366"/>
      <c r="AH206" s="371"/>
      <c r="AI206" s="371"/>
      <c r="AJ206" s="371"/>
      <c r="AK206" s="392">
        <f t="shared" si="147"/>
        <v>0</v>
      </c>
      <c r="AM206" s="392"/>
      <c r="AO206" s="392"/>
      <c r="AQ206" s="371">
        <f t="shared" si="148"/>
        <v>0</v>
      </c>
      <c r="AR206" s="719">
        <f t="shared" si="149"/>
        <v>0</v>
      </c>
    </row>
    <row r="207" spans="1:44" x14ac:dyDescent="0.35">
      <c r="B207" s="367">
        <v>23</v>
      </c>
      <c r="C207" s="367"/>
      <c r="D207" s="777">
        <v>6277003803</v>
      </c>
      <c r="E207" s="778" t="s">
        <v>754</v>
      </c>
      <c r="F207" s="779" t="s">
        <v>755</v>
      </c>
      <c r="G207" s="779" t="s">
        <v>754</v>
      </c>
      <c r="H207" s="780"/>
      <c r="I207" s="404"/>
      <c r="J207" s="371"/>
      <c r="K207" s="371"/>
      <c r="L207" s="371"/>
      <c r="M207" s="371"/>
      <c r="N207" s="371"/>
      <c r="O207" s="371"/>
      <c r="P207" s="371"/>
      <c r="Q207" s="371"/>
      <c r="R207" s="371"/>
      <c r="S207" s="371"/>
      <c r="T207" s="371"/>
      <c r="U207" s="371"/>
      <c r="V207" s="371"/>
      <c r="W207" s="392"/>
      <c r="Y207" s="776"/>
      <c r="Z207" s="776"/>
      <c r="AA207" s="776"/>
      <c r="AB207" s="776"/>
      <c r="AC207" s="776"/>
      <c r="AD207" s="776"/>
      <c r="AE207" s="776"/>
      <c r="AF207" s="776"/>
      <c r="AG207" s="776"/>
      <c r="AH207" s="371"/>
      <c r="AI207" s="371"/>
      <c r="AJ207" s="371"/>
      <c r="AK207" s="392"/>
      <c r="AM207" s="392"/>
      <c r="AO207" s="392"/>
      <c r="AQ207" s="371"/>
      <c r="AR207" s="719"/>
    </row>
    <row r="208" spans="1:44" x14ac:dyDescent="0.35">
      <c r="B208" s="367">
        <v>24</v>
      </c>
      <c r="C208" s="367"/>
      <c r="D208" s="368"/>
      <c r="E208" s="369" t="s">
        <v>756</v>
      </c>
      <c r="F208" s="369" t="s">
        <v>757</v>
      </c>
      <c r="G208" s="369" t="s">
        <v>756</v>
      </c>
      <c r="H208" s="368" t="s">
        <v>369</v>
      </c>
      <c r="I208" s="404" t="s">
        <v>758</v>
      </c>
      <c r="J208" s="371"/>
      <c r="K208" s="371"/>
      <c r="L208" s="371"/>
      <c r="M208" s="371"/>
      <c r="N208" s="371"/>
      <c r="O208" s="371"/>
      <c r="P208" s="371"/>
      <c r="Q208" s="371"/>
      <c r="R208" s="371"/>
      <c r="S208" s="371"/>
      <c r="T208" s="371"/>
      <c r="U208" s="371"/>
      <c r="V208" s="371"/>
      <c r="W208" s="392">
        <f t="shared" ref="W208" si="150">SUM(K208:V208)</f>
        <v>0</v>
      </c>
      <c r="Y208" s="371"/>
      <c r="Z208" s="371"/>
      <c r="AA208" s="371"/>
      <c r="AB208" s="371"/>
      <c r="AC208" s="371"/>
      <c r="AD208" s="371"/>
      <c r="AE208" s="371"/>
      <c r="AF208" s="371"/>
      <c r="AG208" s="371"/>
      <c r="AH208" s="371"/>
      <c r="AI208" s="371"/>
      <c r="AJ208" s="371"/>
      <c r="AK208" s="392">
        <f t="shared" ref="AK208" si="151">SUM(Y208:AJ208)</f>
        <v>0</v>
      </c>
      <c r="AM208" s="392"/>
      <c r="AO208" s="392"/>
      <c r="AQ208" s="371">
        <f t="shared" ref="AQ208:AQ210" si="152">IFERROR(W208-AK208,0)</f>
        <v>0</v>
      </c>
      <c r="AR208" s="719">
        <f t="shared" ref="AR208:AR210" si="153">IFERROR((W208/AK208)-1,0)</f>
        <v>0</v>
      </c>
    </row>
    <row r="209" spans="2:44" x14ac:dyDescent="0.35">
      <c r="B209" s="372"/>
      <c r="C209" s="372"/>
      <c r="D209" s="373"/>
      <c r="E209" s="374"/>
      <c r="F209" s="374"/>
      <c r="G209" s="374"/>
      <c r="H209" s="373"/>
      <c r="I209" s="405"/>
      <c r="J209" s="376"/>
      <c r="K209" s="376"/>
      <c r="L209" s="376"/>
      <c r="M209" s="376"/>
      <c r="N209" s="376"/>
      <c r="O209" s="376"/>
      <c r="P209" s="376"/>
      <c r="Q209" s="376"/>
      <c r="R209" s="376"/>
      <c r="S209" s="376"/>
      <c r="T209" s="376"/>
      <c r="U209" s="376"/>
      <c r="V209" s="376"/>
      <c r="W209" s="393"/>
      <c r="Y209" s="376"/>
      <c r="Z209" s="376"/>
      <c r="AA209" s="376"/>
      <c r="AB209" s="376"/>
      <c r="AC209" s="376"/>
      <c r="AD209" s="376"/>
      <c r="AE209" s="376"/>
      <c r="AF209" s="376"/>
      <c r="AG209" s="376"/>
      <c r="AH209" s="376"/>
      <c r="AI209" s="376"/>
      <c r="AJ209" s="376"/>
      <c r="AK209" s="393"/>
      <c r="AM209" s="393"/>
      <c r="AO209" s="393"/>
      <c r="AQ209" s="371">
        <f t="shared" si="152"/>
        <v>0</v>
      </c>
      <c r="AR209" s="719">
        <f t="shared" si="153"/>
        <v>0</v>
      </c>
    </row>
    <row r="210" spans="2:44" x14ac:dyDescent="0.35">
      <c r="B210" s="183" t="s">
        <v>759</v>
      </c>
      <c r="C210" s="183"/>
      <c r="D210" s="182"/>
      <c r="E210" s="449" t="s">
        <v>760</v>
      </c>
      <c r="F210" s="452"/>
      <c r="G210" s="453"/>
      <c r="H210" s="453"/>
      <c r="I210" s="454"/>
      <c r="J210" s="360">
        <f>J182+J161</f>
        <v>0</v>
      </c>
      <c r="K210" s="360">
        <f t="shared" ref="K210:W210" si="154">K182+K161</f>
        <v>0</v>
      </c>
      <c r="L210" s="360">
        <f t="shared" si="154"/>
        <v>0</v>
      </c>
      <c r="M210" s="360">
        <f t="shared" si="154"/>
        <v>0</v>
      </c>
      <c r="N210" s="360">
        <f t="shared" si="154"/>
        <v>0</v>
      </c>
      <c r="O210" s="360">
        <f t="shared" si="154"/>
        <v>0</v>
      </c>
      <c r="P210" s="360">
        <f t="shared" si="154"/>
        <v>0</v>
      </c>
      <c r="Q210" s="360">
        <f t="shared" si="154"/>
        <v>0</v>
      </c>
      <c r="R210" s="360">
        <f t="shared" si="154"/>
        <v>0</v>
      </c>
      <c r="S210" s="360">
        <f t="shared" si="154"/>
        <v>0</v>
      </c>
      <c r="T210" s="360">
        <f t="shared" si="154"/>
        <v>0</v>
      </c>
      <c r="U210" s="360">
        <f t="shared" si="154"/>
        <v>0</v>
      </c>
      <c r="V210" s="360">
        <f t="shared" si="154"/>
        <v>0</v>
      </c>
      <c r="W210" s="360">
        <f t="shared" si="154"/>
        <v>0</v>
      </c>
      <c r="Y210" s="360">
        <f t="shared" ref="Y210:AK210" si="155">Y182+Y161</f>
        <v>0</v>
      </c>
      <c r="Z210" s="360">
        <f t="shared" si="155"/>
        <v>0</v>
      </c>
      <c r="AA210" s="360">
        <f t="shared" si="155"/>
        <v>0</v>
      </c>
      <c r="AB210" s="360">
        <f t="shared" si="155"/>
        <v>0</v>
      </c>
      <c r="AC210" s="360">
        <f t="shared" si="155"/>
        <v>0</v>
      </c>
      <c r="AD210" s="360">
        <f t="shared" si="155"/>
        <v>0</v>
      </c>
      <c r="AE210" s="360">
        <f t="shared" si="155"/>
        <v>0</v>
      </c>
      <c r="AF210" s="360">
        <f t="shared" si="155"/>
        <v>0</v>
      </c>
      <c r="AG210" s="360">
        <f t="shared" si="155"/>
        <v>0</v>
      </c>
      <c r="AH210" s="360">
        <f t="shared" si="155"/>
        <v>0</v>
      </c>
      <c r="AI210" s="360">
        <f t="shared" si="155"/>
        <v>0</v>
      </c>
      <c r="AJ210" s="360">
        <f t="shared" si="155"/>
        <v>0</v>
      </c>
      <c r="AK210" s="360">
        <f t="shared" si="155"/>
        <v>0</v>
      </c>
      <c r="AM210" s="360">
        <f t="shared" ref="AM210" si="156">AM182+AM161</f>
        <v>0</v>
      </c>
      <c r="AO210" s="360">
        <f t="shared" ref="AO210" si="157">AO182+AO161</f>
        <v>0</v>
      </c>
      <c r="AQ210" s="360">
        <f t="shared" si="152"/>
        <v>0</v>
      </c>
      <c r="AR210" s="720">
        <f t="shared" si="153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AR16"/>
  <sheetViews>
    <sheetView topLeftCell="F1" workbookViewId="0">
      <selection activeCell="L19" sqref="L19"/>
    </sheetView>
  </sheetViews>
  <sheetFormatPr defaultRowHeight="14.5" x14ac:dyDescent="0.35"/>
  <sheetData>
    <row r="1" spans="2:44" x14ac:dyDescent="0.35">
      <c r="B1" s="167"/>
      <c r="C1" s="167"/>
      <c r="D1" s="167"/>
      <c r="E1" s="167"/>
      <c r="F1" s="167"/>
      <c r="G1" s="168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8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8"/>
      <c r="AM1" s="18"/>
      <c r="AO1" s="18"/>
    </row>
    <row r="2" spans="2:44" x14ac:dyDescent="0.35">
      <c r="B2" s="13"/>
      <c r="C2" s="13"/>
      <c r="D2" s="13"/>
      <c r="E2" s="1"/>
      <c r="F2" s="1"/>
      <c r="G2" s="1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8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8"/>
      <c r="AM2" s="18"/>
      <c r="AO2" s="18"/>
    </row>
    <row r="3" spans="2:44" x14ac:dyDescent="0.35">
      <c r="B3" s="63" t="s">
        <v>969</v>
      </c>
      <c r="C3" s="63"/>
      <c r="D3" s="63"/>
      <c r="E3" s="63"/>
      <c r="F3" s="63"/>
      <c r="G3" s="63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390" t="s">
        <v>145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390"/>
      <c r="AM3" s="390"/>
      <c r="AO3" s="390"/>
    </row>
    <row r="4" spans="2:44" ht="65" x14ac:dyDescent="0.35">
      <c r="B4" s="172" t="s">
        <v>36</v>
      </c>
      <c r="C4" s="172" t="s">
        <v>697</v>
      </c>
      <c r="D4" s="173" t="s">
        <v>482</v>
      </c>
      <c r="E4" s="492" t="s">
        <v>483</v>
      </c>
      <c r="F4" s="189" t="s">
        <v>484</v>
      </c>
      <c r="G4" s="172" t="s">
        <v>698</v>
      </c>
      <c r="H4" s="172" t="s">
        <v>354</v>
      </c>
      <c r="I4" s="176" t="s">
        <v>699</v>
      </c>
      <c r="J4" s="116" t="s">
        <v>700</v>
      </c>
      <c r="K4" s="116" t="s">
        <v>149</v>
      </c>
      <c r="L4" s="116" t="s">
        <v>150</v>
      </c>
      <c r="M4" s="116" t="s">
        <v>151</v>
      </c>
      <c r="N4" s="116" t="s">
        <v>152</v>
      </c>
      <c r="O4" s="116" t="s">
        <v>153</v>
      </c>
      <c r="P4" s="116" t="s">
        <v>154</v>
      </c>
      <c r="Q4" s="116" t="s">
        <v>155</v>
      </c>
      <c r="R4" s="116" t="s">
        <v>156</v>
      </c>
      <c r="S4" s="116" t="s">
        <v>157</v>
      </c>
      <c r="T4" s="116" t="s">
        <v>158</v>
      </c>
      <c r="U4" s="116" t="s">
        <v>159</v>
      </c>
      <c r="V4" s="116" t="s">
        <v>160</v>
      </c>
      <c r="W4" s="116" t="s">
        <v>2147</v>
      </c>
      <c r="Y4" s="714" t="s">
        <v>149</v>
      </c>
      <c r="Z4" s="714" t="s">
        <v>150</v>
      </c>
      <c r="AA4" s="714" t="s">
        <v>151</v>
      </c>
      <c r="AB4" s="714" t="s">
        <v>152</v>
      </c>
      <c r="AC4" s="714" t="s">
        <v>153</v>
      </c>
      <c r="AD4" s="714" t="s">
        <v>154</v>
      </c>
      <c r="AE4" s="714" t="s">
        <v>155</v>
      </c>
      <c r="AF4" s="714" t="s">
        <v>156</v>
      </c>
      <c r="AG4" s="714" t="s">
        <v>157</v>
      </c>
      <c r="AH4" s="800" t="s">
        <v>158</v>
      </c>
      <c r="AI4" s="800" t="s">
        <v>159</v>
      </c>
      <c r="AJ4" s="800" t="s">
        <v>160</v>
      </c>
      <c r="AK4" s="714" t="s">
        <v>148</v>
      </c>
      <c r="AM4" s="714" t="s">
        <v>526</v>
      </c>
      <c r="AO4" s="714" t="s">
        <v>527</v>
      </c>
      <c r="AQ4" s="721" t="s">
        <v>528</v>
      </c>
      <c r="AR4" s="722" t="s">
        <v>529</v>
      </c>
    </row>
    <row r="5" spans="2:44" x14ac:dyDescent="0.35">
      <c r="B5" s="362">
        <v>1</v>
      </c>
      <c r="C5" s="362"/>
      <c r="D5" s="364" t="s">
        <v>910</v>
      </c>
      <c r="E5" s="363" t="s">
        <v>951</v>
      </c>
      <c r="F5" s="364" t="s">
        <v>970</v>
      </c>
      <c r="G5" s="378" t="s">
        <v>971</v>
      </c>
      <c r="H5" s="378" t="s">
        <v>454</v>
      </c>
      <c r="I5" s="379" t="s">
        <v>709</v>
      </c>
      <c r="J5" s="379"/>
      <c r="K5" s="366">
        <f>'Dinh muc'!$G$18*('3.Thanh pham'!F$97)</f>
        <v>190000000</v>
      </c>
      <c r="L5" s="366">
        <f>'Dinh muc'!$G$18*('3.Thanh pham'!G$97)</f>
        <v>147777777.77777776</v>
      </c>
      <c r="M5" s="366">
        <f>'Dinh muc'!$G$18*('3.Thanh pham'!H$97)</f>
        <v>211111111.1111111</v>
      </c>
      <c r="N5" s="366">
        <f>'Dinh muc'!$G$18*('3.Thanh pham'!I$97)</f>
        <v>232222222.22222221</v>
      </c>
      <c r="O5" s="366">
        <f>'Dinh muc'!$G$18*('3.Thanh pham'!J$97)</f>
        <v>231635555.55555555</v>
      </c>
      <c r="P5" s="366">
        <f>'Dinh muc'!$G$18*('3.Thanh pham'!K$97)</f>
        <v>22782222.22222222</v>
      </c>
      <c r="Q5" s="366">
        <f>'Dinh muc'!$G$18*('3.Thanh pham'!L$97)</f>
        <v>22782222.22222222</v>
      </c>
      <c r="R5" s="366">
        <f>'Dinh muc'!$G$18*('3.Thanh pham'!M$97)</f>
        <v>22782222.22222222</v>
      </c>
      <c r="S5" s="366">
        <f>'Dinh muc'!$G$18*('3.Thanh pham'!N$97)</f>
        <v>22782222.22222222</v>
      </c>
      <c r="T5" s="366">
        <f>'Dinh muc'!$G$18*('3.Thanh pham'!O$97)</f>
        <v>22782222.22222222</v>
      </c>
      <c r="U5" s="366">
        <f>'Dinh muc'!$G$18*('3.Thanh pham'!P$97)</f>
        <v>22782222.22222222</v>
      </c>
      <c r="V5" s="366">
        <f>'Dinh muc'!$G$18*('3.Thanh pham'!Q$97)</f>
        <v>22782222.22222222</v>
      </c>
      <c r="W5" s="394">
        <f>SUM(K5:V5)</f>
        <v>1172222222.2222226</v>
      </c>
      <c r="Y5" s="366">
        <v>91100000</v>
      </c>
      <c r="Z5" s="366">
        <v>139700000</v>
      </c>
      <c r="AA5" s="366">
        <v>291900000</v>
      </c>
      <c r="AB5" s="366">
        <v>255100000</v>
      </c>
      <c r="AC5" s="366">
        <v>287700000</v>
      </c>
      <c r="AD5" s="366">
        <v>330500000</v>
      </c>
      <c r="AE5" s="366">
        <v>365500000</v>
      </c>
      <c r="AF5" s="366">
        <v>358900000</v>
      </c>
      <c r="AG5" s="366">
        <v>327900000</v>
      </c>
      <c r="AH5" s="366">
        <v>237051733.33333331</v>
      </c>
      <c r="AI5" s="366">
        <v>237051733.33333331</v>
      </c>
      <c r="AJ5" s="366">
        <v>237051733.33333331</v>
      </c>
      <c r="AK5" s="394">
        <f>SUM(Y5:AJ5)</f>
        <v>3159455200.0000005</v>
      </c>
      <c r="AM5" s="394">
        <v>1908089700</v>
      </c>
      <c r="AO5" s="394">
        <v>1657669600</v>
      </c>
      <c r="AQ5" s="366">
        <f>IFERROR(W5-AK5,0)</f>
        <v>-1987232977.7777779</v>
      </c>
      <c r="AR5" s="716">
        <f>IFERROR((W5/AK5)-1,0)</f>
        <v>-0.62897963477303853</v>
      </c>
    </row>
    <row r="6" spans="2:44" x14ac:dyDescent="0.35">
      <c r="B6" s="372">
        <v>2</v>
      </c>
      <c r="C6" s="372"/>
      <c r="D6" s="374" t="s">
        <v>910</v>
      </c>
      <c r="E6" s="373" t="s">
        <v>951</v>
      </c>
      <c r="F6" s="374" t="s">
        <v>970</v>
      </c>
      <c r="G6" s="380" t="s">
        <v>972</v>
      </c>
      <c r="H6" s="380" t="s">
        <v>454</v>
      </c>
      <c r="I6" s="381" t="s">
        <v>709</v>
      </c>
      <c r="J6" s="381"/>
      <c r="K6" s="376">
        <f>'Dinh muc'!$G$37*'3.Thanh pham'!F$136</f>
        <v>75168000</v>
      </c>
      <c r="L6" s="376">
        <f>'Dinh muc'!$G$37*'3.Thanh pham'!G$136</f>
        <v>58464000</v>
      </c>
      <c r="M6" s="376">
        <f>'Dinh muc'!$G$37*'3.Thanh pham'!H$136</f>
        <v>83520000</v>
      </c>
      <c r="N6" s="376">
        <f>'Dinh muc'!$G$37*'3.Thanh pham'!I$136</f>
        <v>91872000</v>
      </c>
      <c r="O6" s="376">
        <f>'Dinh muc'!$G$37*'3.Thanh pham'!J$136</f>
        <v>92030399.999999985</v>
      </c>
      <c r="P6" s="376">
        <f>'Dinh muc'!$G$37*'3.Thanh pham'!K$136</f>
        <v>92188800</v>
      </c>
      <c r="Q6" s="376">
        <f>'Dinh muc'!$G$37*'3.Thanh pham'!L$136</f>
        <v>92188800</v>
      </c>
      <c r="R6" s="376">
        <f>'Dinh muc'!$G$37*'3.Thanh pham'!M$136</f>
        <v>92188800</v>
      </c>
      <c r="S6" s="376">
        <f>'Dinh muc'!$G$37*'3.Thanh pham'!N$136</f>
        <v>92188800</v>
      </c>
      <c r="T6" s="376">
        <f>'Dinh muc'!$G$37*'3.Thanh pham'!O$136</f>
        <v>92188800</v>
      </c>
      <c r="U6" s="376">
        <f>'Dinh muc'!$G$37*'3.Thanh pham'!P$136</f>
        <v>92188800</v>
      </c>
      <c r="V6" s="376">
        <f>'Dinh muc'!$G$37*'3.Thanh pham'!Q$136</f>
        <v>92188800</v>
      </c>
      <c r="W6" s="395">
        <f>SUM(K6:V6)</f>
        <v>1046376000</v>
      </c>
      <c r="Y6" s="376"/>
      <c r="Z6" s="376"/>
      <c r="AA6" s="376"/>
      <c r="AB6" s="376"/>
      <c r="AC6" s="376"/>
      <c r="AD6" s="376"/>
      <c r="AE6" s="376"/>
      <c r="AF6" s="376"/>
      <c r="AG6" s="376"/>
      <c r="AH6" s="376"/>
      <c r="AI6" s="376"/>
      <c r="AJ6" s="376"/>
      <c r="AK6" s="395">
        <f>SUM(Y6:AJ6)</f>
        <v>0</v>
      </c>
      <c r="AM6" s="395"/>
      <c r="AO6" s="395"/>
      <c r="AQ6" s="366">
        <f>IFERROR(W6-AK6,0)</f>
        <v>1046376000</v>
      </c>
      <c r="AR6" s="716">
        <f>IFERROR((W6/AK6)-1,0)</f>
        <v>0</v>
      </c>
    </row>
    <row r="7" spans="2:44" x14ac:dyDescent="0.35">
      <c r="B7" s="271">
        <v>3</v>
      </c>
      <c r="C7" s="271"/>
      <c r="D7" s="266"/>
      <c r="E7" s="373" t="s">
        <v>951</v>
      </c>
      <c r="F7" s="374" t="s">
        <v>970</v>
      </c>
      <c r="G7" s="380" t="s">
        <v>2202</v>
      </c>
      <c r="H7" s="380" t="s">
        <v>454</v>
      </c>
      <c r="I7" s="381" t="s">
        <v>709</v>
      </c>
      <c r="J7" s="478"/>
      <c r="K7" s="272">
        <f>'Dinh muc'!$G$55*'3.Thanh pham'!F155</f>
        <v>0</v>
      </c>
      <c r="L7" s="272">
        <f>'Dinh muc'!$G$55*'3.Thanh pham'!G155</f>
        <v>0</v>
      </c>
      <c r="M7" s="272">
        <f>'Dinh muc'!$G$55*'3.Thanh pham'!H155</f>
        <v>0</v>
      </c>
      <c r="N7" s="272">
        <f>'Dinh muc'!$G$55*'3.Thanh pham'!I155</f>
        <v>0</v>
      </c>
      <c r="O7" s="272">
        <f>'Dinh muc'!$G$55*'3.Thanh pham'!J155</f>
        <v>0</v>
      </c>
      <c r="P7" s="272">
        <f>'Dinh muc'!$G$55*'3.Thanh pham'!K155</f>
        <v>176193600</v>
      </c>
      <c r="Q7" s="272">
        <f>'Dinh muc'!$G$55*'3.Thanh pham'!L155</f>
        <v>176193600</v>
      </c>
      <c r="R7" s="272">
        <f>'Dinh muc'!$G$55*'3.Thanh pham'!M155</f>
        <v>176193600</v>
      </c>
      <c r="S7" s="272">
        <f>'Dinh muc'!$G$55*'3.Thanh pham'!N155</f>
        <v>176193600</v>
      </c>
      <c r="T7" s="272">
        <f>'Dinh muc'!$G$55*'3.Thanh pham'!O155</f>
        <v>176193600</v>
      </c>
      <c r="U7" s="272">
        <f>'Dinh muc'!$G$55*'3.Thanh pham'!P155</f>
        <v>176193600</v>
      </c>
      <c r="V7" s="272">
        <f>'Dinh muc'!$G$55*'3.Thanh pham'!Q155</f>
        <v>176193600</v>
      </c>
      <c r="W7" s="395">
        <f>SUM(K7:V7)</f>
        <v>1233355200</v>
      </c>
      <c r="Y7" s="272"/>
      <c r="Z7" s="272"/>
      <c r="AA7" s="272"/>
      <c r="AB7" s="272"/>
      <c r="AC7" s="272"/>
      <c r="AD7" s="272"/>
      <c r="AE7" s="272"/>
      <c r="AF7" s="272"/>
      <c r="AG7" s="272"/>
      <c r="AH7" s="272"/>
      <c r="AI7" s="272"/>
      <c r="AJ7" s="272"/>
      <c r="AK7" s="479"/>
      <c r="AM7" s="479"/>
      <c r="AO7" s="479"/>
      <c r="AQ7" s="366">
        <f>IFERROR(W7-AK7,0)</f>
        <v>1233355200</v>
      </c>
      <c r="AR7" s="716">
        <f>IFERROR((W7/AK7)-1,0)</f>
        <v>0</v>
      </c>
    </row>
    <row r="8" spans="2:44" x14ac:dyDescent="0.35">
      <c r="B8" s="183"/>
      <c r="C8" s="183"/>
      <c r="D8" s="182"/>
      <c r="E8" s="183"/>
      <c r="F8" s="183"/>
      <c r="G8" s="449" t="s">
        <v>973</v>
      </c>
      <c r="H8" s="182"/>
      <c r="I8" s="969"/>
      <c r="J8" s="360">
        <f>SUM(J5:J6)</f>
        <v>0</v>
      </c>
      <c r="K8" s="360">
        <f>SUM(K5:K7)</f>
        <v>265168000</v>
      </c>
      <c r="L8" s="360">
        <f t="shared" ref="L8:W8" si="0">SUM(L5:L7)</f>
        <v>206241777.77777776</v>
      </c>
      <c r="M8" s="360">
        <f t="shared" si="0"/>
        <v>294631111.1111111</v>
      </c>
      <c r="N8" s="360">
        <f t="shared" si="0"/>
        <v>324094222.22222221</v>
      </c>
      <c r="O8" s="360">
        <f t="shared" si="0"/>
        <v>323665955.55555552</v>
      </c>
      <c r="P8" s="360">
        <f>SUM(P5:P7)</f>
        <v>291164622.22222221</v>
      </c>
      <c r="Q8" s="360">
        <f t="shared" si="0"/>
        <v>291164622.22222221</v>
      </c>
      <c r="R8" s="360">
        <f t="shared" si="0"/>
        <v>291164622.22222221</v>
      </c>
      <c r="S8" s="360">
        <f t="shared" si="0"/>
        <v>291164622.22222221</v>
      </c>
      <c r="T8" s="360">
        <f t="shared" si="0"/>
        <v>291164622.22222221</v>
      </c>
      <c r="U8" s="360">
        <f t="shared" si="0"/>
        <v>291164622.22222221</v>
      </c>
      <c r="V8" s="360">
        <f t="shared" si="0"/>
        <v>291164622.22222221</v>
      </c>
      <c r="W8" s="360">
        <f t="shared" si="0"/>
        <v>3451953422.2222223</v>
      </c>
      <c r="Y8" s="360">
        <f>SUM(Y5:Y7)</f>
        <v>91100000</v>
      </c>
      <c r="Z8" s="360">
        <f t="shared" ref="Z8:AK8" si="1">SUM(Z5:Z7)</f>
        <v>139700000</v>
      </c>
      <c r="AA8" s="360">
        <f t="shared" si="1"/>
        <v>291900000</v>
      </c>
      <c r="AB8" s="360">
        <f t="shared" si="1"/>
        <v>255100000</v>
      </c>
      <c r="AC8" s="360">
        <f t="shared" si="1"/>
        <v>287700000</v>
      </c>
      <c r="AD8" s="360">
        <f t="shared" si="1"/>
        <v>330500000</v>
      </c>
      <c r="AE8" s="360">
        <f t="shared" si="1"/>
        <v>365500000</v>
      </c>
      <c r="AF8" s="360">
        <f t="shared" si="1"/>
        <v>358900000</v>
      </c>
      <c r="AG8" s="360">
        <f t="shared" si="1"/>
        <v>327900000</v>
      </c>
      <c r="AH8" s="360">
        <f t="shared" si="1"/>
        <v>237051733.33333331</v>
      </c>
      <c r="AI8" s="360">
        <f t="shared" si="1"/>
        <v>237051733.33333331</v>
      </c>
      <c r="AJ8" s="360">
        <f t="shared" si="1"/>
        <v>237051733.33333331</v>
      </c>
      <c r="AK8" s="360">
        <f t="shared" si="1"/>
        <v>3159455200.0000005</v>
      </c>
      <c r="AM8" s="360">
        <f t="shared" ref="AM8" si="2">SUM(AM5:AM7)</f>
        <v>1908089700</v>
      </c>
      <c r="AO8" s="360">
        <f t="shared" ref="AO8" si="3">SUM(AO5:AO7)</f>
        <v>1657669600</v>
      </c>
      <c r="AQ8" s="360">
        <f>IFERROR(W8-AK8,0)</f>
        <v>292498222.22222185</v>
      </c>
      <c r="AR8" s="720">
        <f>IFERROR((W8/AK8)-1,0)</f>
        <v>9.2578689586173546E-2</v>
      </c>
    </row>
    <row r="9" spans="2:44" x14ac:dyDescent="0.35">
      <c r="X9" s="10"/>
    </row>
    <row r="10" spans="2:44" x14ac:dyDescent="0.35">
      <c r="B10" s="63" t="s">
        <v>974</v>
      </c>
      <c r="C10" s="63"/>
      <c r="D10" s="63"/>
      <c r="E10" s="63"/>
      <c r="F10" s="63"/>
      <c r="G10" s="63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390" t="s">
        <v>145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390"/>
      <c r="AM10" s="390"/>
      <c r="AO10" s="390"/>
    </row>
    <row r="11" spans="2:44" ht="65" x14ac:dyDescent="0.35">
      <c r="B11" s="172" t="s">
        <v>36</v>
      </c>
      <c r="C11" s="172" t="s">
        <v>697</v>
      </c>
      <c r="D11" s="173" t="s">
        <v>482</v>
      </c>
      <c r="E11" s="492" t="s">
        <v>483</v>
      </c>
      <c r="F11" s="189" t="s">
        <v>484</v>
      </c>
      <c r="G11" s="172" t="s">
        <v>698</v>
      </c>
      <c r="H11" s="172" t="s">
        <v>354</v>
      </c>
      <c r="I11" s="176" t="s">
        <v>699</v>
      </c>
      <c r="J11" s="116" t="s">
        <v>700</v>
      </c>
      <c r="K11" s="116" t="s">
        <v>149</v>
      </c>
      <c r="L11" s="116" t="s">
        <v>150</v>
      </c>
      <c r="M11" s="116" t="s">
        <v>151</v>
      </c>
      <c r="N11" s="116" t="s">
        <v>152</v>
      </c>
      <c r="O11" s="116" t="s">
        <v>153</v>
      </c>
      <c r="P11" s="116" t="s">
        <v>154</v>
      </c>
      <c r="Q11" s="116" t="s">
        <v>155</v>
      </c>
      <c r="R11" s="116" t="s">
        <v>156</v>
      </c>
      <c r="S11" s="116" t="s">
        <v>157</v>
      </c>
      <c r="T11" s="116" t="s">
        <v>158</v>
      </c>
      <c r="U11" s="116" t="s">
        <v>159</v>
      </c>
      <c r="V11" s="116" t="s">
        <v>160</v>
      </c>
      <c r="W11" s="116" t="s">
        <v>161</v>
      </c>
      <c r="Y11" s="714" t="s">
        <v>149</v>
      </c>
      <c r="Z11" s="714" t="s">
        <v>150</v>
      </c>
      <c r="AA11" s="714" t="s">
        <v>151</v>
      </c>
      <c r="AB11" s="714" t="s">
        <v>152</v>
      </c>
      <c r="AC11" s="714" t="s">
        <v>153</v>
      </c>
      <c r="AD11" s="714" t="s">
        <v>154</v>
      </c>
      <c r="AE11" s="714" t="s">
        <v>155</v>
      </c>
      <c r="AF11" s="714" t="s">
        <v>156</v>
      </c>
      <c r="AG11" s="714" t="s">
        <v>157</v>
      </c>
      <c r="AH11" s="714" t="s">
        <v>158</v>
      </c>
      <c r="AI11" s="714" t="s">
        <v>159</v>
      </c>
      <c r="AJ11" s="714" t="s">
        <v>160</v>
      </c>
      <c r="AK11" s="714" t="s">
        <v>148</v>
      </c>
      <c r="AM11" s="714" t="s">
        <v>526</v>
      </c>
      <c r="AO11" s="714" t="s">
        <v>527</v>
      </c>
      <c r="AQ11" s="721" t="s">
        <v>528</v>
      </c>
      <c r="AR11" s="722" t="s">
        <v>529</v>
      </c>
    </row>
    <row r="12" spans="2:44" x14ac:dyDescent="0.35">
      <c r="B12" s="362">
        <v>1</v>
      </c>
      <c r="C12" s="362"/>
      <c r="D12" s="364" t="s">
        <v>910</v>
      </c>
      <c r="E12" s="363" t="s">
        <v>951</v>
      </c>
      <c r="F12" s="364" t="s">
        <v>970</v>
      </c>
      <c r="G12" s="378" t="s">
        <v>975</v>
      </c>
      <c r="H12" s="378" t="s">
        <v>454</v>
      </c>
      <c r="I12" s="379" t="s">
        <v>709</v>
      </c>
      <c r="J12" s="379"/>
      <c r="K12" s="366"/>
      <c r="L12" s="366"/>
      <c r="M12" s="366"/>
      <c r="N12" s="366"/>
      <c r="O12" s="366"/>
      <c r="P12" s="366"/>
      <c r="Q12" s="366"/>
      <c r="R12" s="366"/>
      <c r="S12" s="366"/>
      <c r="T12" s="366"/>
      <c r="U12" s="366"/>
      <c r="V12" s="366"/>
      <c r="W12" s="394"/>
      <c r="Y12" s="366"/>
      <c r="Z12" s="366"/>
      <c r="AA12" s="366"/>
      <c r="AB12" s="366"/>
      <c r="AC12" s="366"/>
      <c r="AD12" s="366"/>
      <c r="AE12" s="366"/>
      <c r="AF12" s="366"/>
      <c r="AG12" s="366"/>
      <c r="AH12" s="366"/>
      <c r="AI12" s="366"/>
      <c r="AJ12" s="366"/>
      <c r="AK12" s="394">
        <f t="shared" ref="AK12:AK13" si="4">SUM(Y12:AJ12)</f>
        <v>0</v>
      </c>
      <c r="AM12" s="394"/>
      <c r="AO12" s="394"/>
      <c r="AQ12" s="366">
        <f t="shared" ref="AQ12:AQ13" si="5">IFERROR(W12-AK12,0)</f>
        <v>0</v>
      </c>
      <c r="AR12" s="716">
        <f t="shared" ref="AR12:AR13" si="6">IFERROR((W12/AK12)-1,0)</f>
        <v>0</v>
      </c>
    </row>
    <row r="13" spans="2:44" x14ac:dyDescent="0.35">
      <c r="B13" s="372"/>
      <c r="C13" s="372"/>
      <c r="D13" s="374"/>
      <c r="E13" s="373"/>
      <c r="F13" s="374"/>
      <c r="G13" s="380"/>
      <c r="H13" s="380"/>
      <c r="I13" s="381"/>
      <c r="J13" s="381"/>
      <c r="K13" s="376"/>
      <c r="L13" s="376"/>
      <c r="M13" s="376"/>
      <c r="N13" s="376"/>
      <c r="O13" s="376"/>
      <c r="P13" s="376"/>
      <c r="Q13" s="376"/>
      <c r="R13" s="376"/>
      <c r="S13" s="376"/>
      <c r="T13" s="376"/>
      <c r="U13" s="376"/>
      <c r="V13" s="376"/>
      <c r="W13" s="395"/>
      <c r="Y13" s="376"/>
      <c r="Z13" s="376"/>
      <c r="AA13" s="376"/>
      <c r="AB13" s="376"/>
      <c r="AC13" s="376"/>
      <c r="AD13" s="376"/>
      <c r="AE13" s="376"/>
      <c r="AF13" s="376"/>
      <c r="AG13" s="376"/>
      <c r="AH13" s="376"/>
      <c r="AI13" s="376"/>
      <c r="AJ13" s="376"/>
      <c r="AK13" s="394">
        <f t="shared" si="4"/>
        <v>0</v>
      </c>
      <c r="AM13" s="395"/>
      <c r="AO13" s="395"/>
      <c r="AQ13" s="366">
        <f t="shared" si="5"/>
        <v>0</v>
      </c>
      <c r="AR13" s="716">
        <f t="shared" si="6"/>
        <v>0</v>
      </c>
    </row>
    <row r="14" spans="2:44" x14ac:dyDescent="0.35">
      <c r="B14" s="183"/>
      <c r="C14" s="183"/>
      <c r="D14" s="182"/>
      <c r="E14" s="183"/>
      <c r="F14" s="183"/>
      <c r="G14" s="449" t="s">
        <v>973</v>
      </c>
      <c r="H14" s="182"/>
      <c r="I14" s="969"/>
      <c r="J14" s="360">
        <f>SUM(J12:J13)</f>
        <v>0</v>
      </c>
      <c r="K14" s="360">
        <f t="shared" ref="K14:W14" si="7">SUM(K12:K13)</f>
        <v>0</v>
      </c>
      <c r="L14" s="360">
        <f>SUM(L12:L13)</f>
        <v>0</v>
      </c>
      <c r="M14" s="360">
        <f t="shared" si="7"/>
        <v>0</v>
      </c>
      <c r="N14" s="360">
        <f t="shared" si="7"/>
        <v>0</v>
      </c>
      <c r="O14" s="360">
        <f t="shared" si="7"/>
        <v>0</v>
      </c>
      <c r="P14" s="360">
        <f t="shared" si="7"/>
        <v>0</v>
      </c>
      <c r="Q14" s="360">
        <f t="shared" si="7"/>
        <v>0</v>
      </c>
      <c r="R14" s="360">
        <f t="shared" si="7"/>
        <v>0</v>
      </c>
      <c r="S14" s="360">
        <f t="shared" si="7"/>
        <v>0</v>
      </c>
      <c r="T14" s="360">
        <f t="shared" si="7"/>
        <v>0</v>
      </c>
      <c r="U14" s="360">
        <f t="shared" si="7"/>
        <v>0</v>
      </c>
      <c r="V14" s="360">
        <f t="shared" si="7"/>
        <v>0</v>
      </c>
      <c r="W14" s="360">
        <f t="shared" si="7"/>
        <v>0</v>
      </c>
      <c r="Y14" s="360">
        <f t="shared" ref="Y14" si="8">SUM(Y12:Y13)</f>
        <v>0</v>
      </c>
      <c r="Z14" s="360">
        <f>SUM(Z12:Z13)</f>
        <v>0</v>
      </c>
      <c r="AA14" s="360">
        <f t="shared" ref="AA14:AK14" si="9">SUM(AA12:AA13)</f>
        <v>0</v>
      </c>
      <c r="AB14" s="360">
        <f t="shared" si="9"/>
        <v>0</v>
      </c>
      <c r="AC14" s="360">
        <f t="shared" si="9"/>
        <v>0</v>
      </c>
      <c r="AD14" s="360">
        <f t="shared" si="9"/>
        <v>0</v>
      </c>
      <c r="AE14" s="360">
        <f t="shared" si="9"/>
        <v>0</v>
      </c>
      <c r="AF14" s="360">
        <f t="shared" si="9"/>
        <v>0</v>
      </c>
      <c r="AG14" s="360">
        <f t="shared" si="9"/>
        <v>0</v>
      </c>
      <c r="AH14" s="360">
        <f t="shared" si="9"/>
        <v>0</v>
      </c>
      <c r="AI14" s="360">
        <f t="shared" si="9"/>
        <v>0</v>
      </c>
      <c r="AJ14" s="360">
        <f t="shared" si="9"/>
        <v>0</v>
      </c>
      <c r="AK14" s="360">
        <f t="shared" si="9"/>
        <v>0</v>
      </c>
      <c r="AM14" s="360">
        <f t="shared" ref="AM14" si="10">SUM(AM12:AM13)</f>
        <v>0</v>
      </c>
      <c r="AO14" s="360">
        <f t="shared" ref="AO14" si="11">SUM(AO12:AO13)</f>
        <v>0</v>
      </c>
      <c r="AQ14" s="360">
        <f>IFERROR(W14-AK14,0)</f>
        <v>0</v>
      </c>
      <c r="AR14" s="720">
        <f>IFERROR((W14/AK14)-1,0)</f>
        <v>0</v>
      </c>
    </row>
    <row r="15" spans="2:44" x14ac:dyDescent="0.35">
      <c r="X15" s="10"/>
    </row>
    <row r="16" spans="2:44" x14ac:dyDescent="0.35">
      <c r="X16" s="1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S77"/>
  <sheetViews>
    <sheetView topLeftCell="N54" workbookViewId="0"/>
  </sheetViews>
  <sheetFormatPr defaultRowHeight="14.5" x14ac:dyDescent="0.35"/>
  <sheetData>
    <row r="1" spans="2:45" ht="16" x14ac:dyDescent="0.35">
      <c r="B1" s="92"/>
      <c r="C1" s="92"/>
      <c r="D1" s="792"/>
      <c r="E1" s="92"/>
      <c r="F1" s="92"/>
    </row>
    <row r="3" spans="2:45" x14ac:dyDescent="0.35">
      <c r="B3" s="64" t="s">
        <v>976</v>
      </c>
      <c r="C3" s="64"/>
      <c r="D3" s="793"/>
      <c r="E3" s="64"/>
      <c r="F3" s="64"/>
      <c r="W3" s="89" t="s">
        <v>145</v>
      </c>
      <c r="AK3" s="89"/>
      <c r="AM3" s="89"/>
      <c r="AO3" s="89"/>
      <c r="AQ3" s="89"/>
      <c r="AR3" s="89"/>
    </row>
    <row r="4" spans="2:45" ht="58" x14ac:dyDescent="0.35">
      <c r="B4" s="172" t="s">
        <v>36</v>
      </c>
      <c r="C4" s="172" t="s">
        <v>697</v>
      </c>
      <c r="D4" s="794" t="s">
        <v>482</v>
      </c>
      <c r="E4" s="174" t="s">
        <v>483</v>
      </c>
      <c r="F4" s="189" t="s">
        <v>484</v>
      </c>
      <c r="G4" s="172" t="s">
        <v>698</v>
      </c>
      <c r="H4" s="172" t="s">
        <v>354</v>
      </c>
      <c r="I4" s="399" t="s">
        <v>699</v>
      </c>
      <c r="J4" s="116" t="s">
        <v>700</v>
      </c>
      <c r="K4" s="116" t="s">
        <v>149</v>
      </c>
      <c r="L4" s="116" t="s">
        <v>150</v>
      </c>
      <c r="M4" s="116" t="s">
        <v>151</v>
      </c>
      <c r="N4" s="116" t="s">
        <v>152</v>
      </c>
      <c r="O4" s="116" t="s">
        <v>153</v>
      </c>
      <c r="P4" s="116" t="s">
        <v>154</v>
      </c>
      <c r="Q4" s="116" t="s">
        <v>155</v>
      </c>
      <c r="R4" s="116" t="s">
        <v>156</v>
      </c>
      <c r="S4" s="116" t="s">
        <v>157</v>
      </c>
      <c r="T4" s="116" t="s">
        <v>158</v>
      </c>
      <c r="U4" s="116" t="s">
        <v>159</v>
      </c>
      <c r="V4" s="116" t="s">
        <v>160</v>
      </c>
      <c r="W4" s="116" t="s">
        <v>2147</v>
      </c>
      <c r="Y4" s="714" t="s">
        <v>149</v>
      </c>
      <c r="Z4" s="714" t="s">
        <v>150</v>
      </c>
      <c r="AA4" s="714" t="s">
        <v>151</v>
      </c>
      <c r="AB4" s="714" t="s">
        <v>152</v>
      </c>
      <c r="AC4" s="714" t="s">
        <v>153</v>
      </c>
      <c r="AD4" s="714" t="s">
        <v>154</v>
      </c>
      <c r="AE4" s="714" t="s">
        <v>155</v>
      </c>
      <c r="AF4" s="714" t="s">
        <v>156</v>
      </c>
      <c r="AG4" s="714" t="s">
        <v>157</v>
      </c>
      <c r="AH4" s="714" t="s">
        <v>158</v>
      </c>
      <c r="AI4" s="714" t="s">
        <v>159</v>
      </c>
      <c r="AJ4" s="714" t="s">
        <v>160</v>
      </c>
      <c r="AK4" s="714" t="s">
        <v>148</v>
      </c>
      <c r="AM4" s="714" t="s">
        <v>526</v>
      </c>
      <c r="AO4" s="714" t="s">
        <v>527</v>
      </c>
      <c r="AQ4" s="721" t="s">
        <v>528</v>
      </c>
      <c r="AR4" s="722" t="s">
        <v>529</v>
      </c>
      <c r="AS4" s="1202"/>
    </row>
    <row r="5" spans="2:45" x14ac:dyDescent="0.35">
      <c r="B5" s="382">
        <v>1</v>
      </c>
      <c r="C5" s="382"/>
      <c r="D5" s="795">
        <v>6421002604</v>
      </c>
      <c r="E5" s="364" t="s">
        <v>488</v>
      </c>
      <c r="F5" s="364" t="s">
        <v>489</v>
      </c>
      <c r="G5" s="364" t="s">
        <v>488</v>
      </c>
      <c r="H5" s="364" t="s">
        <v>359</v>
      </c>
      <c r="I5" s="365" t="s">
        <v>701</v>
      </c>
      <c r="J5" s="383"/>
      <c r="K5" s="383">
        <f>SUMIFS(LUONG!F:F,LUONG!$C:$C,CPQL!$D5)</f>
        <v>212078000</v>
      </c>
      <c r="L5" s="383">
        <f>SUMIFS(LUONG!G:G,LUONG!$C:$C,CPQL!$D5)</f>
        <v>215825616</v>
      </c>
      <c r="M5" s="383">
        <f>SUMIFS(LUONG!H:H,LUONG!$C:$C,CPQL!$D5)</f>
        <v>197862768</v>
      </c>
      <c r="N5" s="383">
        <f>SUMIFS(LUONG!I:I,LUONG!$C:$C,CPQL!$D5)</f>
        <v>218625616</v>
      </c>
      <c r="O5" s="383">
        <f>SUMIFS(LUONG!J:J,LUONG!$C:$C,CPQL!$D5)</f>
        <v>204970384</v>
      </c>
      <c r="P5" s="383">
        <f>SUMIFS(LUONG!K:K,LUONG!$C:$C,CPQL!$D5)</f>
        <v>218905616</v>
      </c>
      <c r="Q5" s="383">
        <f>SUMIFS(LUONG!L:L,LUONG!$C:$C,CPQL!$D5)</f>
        <v>212358000</v>
      </c>
      <c r="R5" s="383">
        <f>SUMIFS(LUONG!M:M,LUONG!$C:$C,CPQL!$D5)</f>
        <v>212358000</v>
      </c>
      <c r="S5" s="383">
        <f>SUMIFS(LUONG!N:N,LUONG!$C:$C,CPQL!$D5)</f>
        <v>218345616</v>
      </c>
      <c r="T5" s="383">
        <f>SUMIFS(LUONG!O:O,LUONG!$C:$C,CPQL!$D5)</f>
        <v>205250384</v>
      </c>
      <c r="U5" s="383">
        <f>SUMIFS(LUONG!P:P,LUONG!$C:$C,CPQL!$D5)</f>
        <v>219185616</v>
      </c>
      <c r="V5" s="383">
        <f>SUMIFS(LUONG!Q:Q,LUONG!$C:$C,CPQL!$D5)</f>
        <v>212078000</v>
      </c>
      <c r="W5" s="384">
        <f>SUM(K5:V5)</f>
        <v>2547843616</v>
      </c>
      <c r="Y5" s="383">
        <v>164782468</v>
      </c>
      <c r="Z5" s="383">
        <v>149883801</v>
      </c>
      <c r="AA5" s="383">
        <v>133581875</v>
      </c>
      <c r="AB5" s="383">
        <v>141037837</v>
      </c>
      <c r="AC5" s="383">
        <v>123370953</v>
      </c>
      <c r="AD5" s="383">
        <v>119478530</v>
      </c>
      <c r="AE5" s="383">
        <v>114583953</v>
      </c>
      <c r="AF5" s="383">
        <v>114621145</v>
      </c>
      <c r="AG5" s="383">
        <v>118333491</v>
      </c>
      <c r="AH5" s="768">
        <v>139933491</v>
      </c>
      <c r="AI5" s="768">
        <v>139933491</v>
      </c>
      <c r="AJ5" s="768">
        <v>139933491</v>
      </c>
      <c r="AK5" s="384">
        <f>SUM(Y5:AJ5)</f>
        <v>1599474526</v>
      </c>
      <c r="AM5" s="384">
        <v>1203453453</v>
      </c>
      <c r="AO5" s="384">
        <v>1805938745</v>
      </c>
      <c r="AQ5" s="366">
        <f>IFERROR(W5-AK5,0)</f>
        <v>948369090</v>
      </c>
      <c r="AR5" s="716">
        <f>IFERROR((W5/AK5)-1,0)</f>
        <v>0.59292541055449099</v>
      </c>
      <c r="AS5" s="1203">
        <f>W5+AK5</f>
        <v>4147318142</v>
      </c>
    </row>
    <row r="6" spans="2:45" x14ac:dyDescent="0.35">
      <c r="B6" s="385">
        <v>2</v>
      </c>
      <c r="C6" s="385"/>
      <c r="D6" s="796">
        <v>6421002605</v>
      </c>
      <c r="E6" s="368" t="s">
        <v>490</v>
      </c>
      <c r="F6" s="369" t="s">
        <v>491</v>
      </c>
      <c r="G6" s="368" t="s">
        <v>490</v>
      </c>
      <c r="H6" s="369" t="s">
        <v>359</v>
      </c>
      <c r="I6" s="370" t="s">
        <v>701</v>
      </c>
      <c r="J6" s="383"/>
      <c r="K6" s="386">
        <f>SUMIFS(LUONG!F:F,LUONG!$C:$C,CPQL!$D6)</f>
        <v>16213176</v>
      </c>
      <c r="L6" s="386">
        <f>SUMIFS(LUONG!G:G,LUONG!$C:$C,CPQL!$D6)</f>
        <v>16213176</v>
      </c>
      <c r="M6" s="386">
        <f>SUMIFS(LUONG!H:H,LUONG!$C:$C,CPQL!$D6)</f>
        <v>16213176</v>
      </c>
      <c r="N6" s="386">
        <f>SUMIFS(LUONG!I:I,LUONG!$C:$C,CPQL!$D6)</f>
        <v>16213176</v>
      </c>
      <c r="O6" s="386">
        <f>SUMIFS(LUONG!J:J,LUONG!$C:$C,CPQL!$D6)</f>
        <v>16213176</v>
      </c>
      <c r="P6" s="386">
        <f>SUMIFS(LUONG!K:K,LUONG!$C:$C,CPQL!$D6)</f>
        <v>16213176</v>
      </c>
      <c r="Q6" s="386">
        <f>SUMIFS(LUONG!L:L,LUONG!$C:$C,CPQL!$D6)</f>
        <v>16213176</v>
      </c>
      <c r="R6" s="386">
        <f>SUMIFS(LUONG!M:M,LUONG!$C:$C,CPQL!$D6)</f>
        <v>16213176</v>
      </c>
      <c r="S6" s="386">
        <f>SUMIFS(LUONG!N:N,LUONG!$C:$C,CPQL!$D6)</f>
        <v>16213176</v>
      </c>
      <c r="T6" s="386">
        <f>SUMIFS(LUONG!O:O,LUONG!$C:$C,CPQL!$D6)</f>
        <v>16213176</v>
      </c>
      <c r="U6" s="386">
        <f>SUMIFS(LUONG!P:P,LUONG!$C:$C,CPQL!$D6)</f>
        <v>16213176</v>
      </c>
      <c r="V6" s="386">
        <f>SUMIFS(LUONG!Q:Q,LUONG!$C:$C,CPQL!$D6)</f>
        <v>16213176</v>
      </c>
      <c r="W6" s="396">
        <f t="shared" ref="W6:W63" si="0">SUM(K6:V6)</f>
        <v>194558112</v>
      </c>
      <c r="Y6" s="383">
        <v>6146917</v>
      </c>
      <c r="Z6" s="383">
        <v>5638917</v>
      </c>
      <c r="AA6" s="383">
        <v>5638917</v>
      </c>
      <c r="AB6" s="383">
        <v>5638917</v>
      </c>
      <c r="AC6" s="383">
        <v>31763917</v>
      </c>
      <c r="AD6" s="383">
        <v>10863917</v>
      </c>
      <c r="AE6" s="383">
        <v>10863917</v>
      </c>
      <c r="AF6" s="383">
        <v>10863917</v>
      </c>
      <c r="AG6" s="383">
        <v>10863917</v>
      </c>
      <c r="AH6" s="768">
        <v>10863917</v>
      </c>
      <c r="AI6" s="768">
        <v>10863917</v>
      </c>
      <c r="AJ6" s="768">
        <v>10863917</v>
      </c>
      <c r="AK6" s="396">
        <f t="shared" ref="AK6:AK60" si="1">SUM(Y6:AJ6)</f>
        <v>130875004</v>
      </c>
      <c r="AM6" s="396">
        <v>121230500</v>
      </c>
      <c r="AO6" s="396">
        <v>150300000</v>
      </c>
      <c r="AQ6" s="386">
        <f t="shared" ref="AQ6:AQ64" si="2">IFERROR(W6-AK6,0)</f>
        <v>63683108</v>
      </c>
      <c r="AR6" s="741">
        <f t="shared" ref="AR6:AR64" si="3">IFERROR((W6/AK6)-1,0)</f>
        <v>0.4865948886618563</v>
      </c>
      <c r="AS6" s="1203">
        <f t="shared" ref="AS6:AS64" si="4">W6+AK6</f>
        <v>325433116</v>
      </c>
    </row>
    <row r="7" spans="2:45" x14ac:dyDescent="0.35">
      <c r="B7" s="385">
        <v>3</v>
      </c>
      <c r="C7" s="385"/>
      <c r="D7" s="796">
        <v>6421002802</v>
      </c>
      <c r="E7" s="369" t="s">
        <v>492</v>
      </c>
      <c r="F7" s="369" t="s">
        <v>493</v>
      </c>
      <c r="G7" s="369" t="s">
        <v>492</v>
      </c>
      <c r="H7" s="369" t="s">
        <v>359</v>
      </c>
      <c r="I7" s="370" t="s">
        <v>701</v>
      </c>
      <c r="J7" s="383"/>
      <c r="K7" s="386">
        <f>SUMIFS(LUONG!F:F,LUONG!$C:$C,CPQL!$D7)</f>
        <v>9425000</v>
      </c>
      <c r="L7" s="386">
        <f>SUMIFS(LUONG!G:G,LUONG!$C:$C,CPQL!$D7)</f>
        <v>7025000</v>
      </c>
      <c r="M7" s="386">
        <f>SUMIFS(LUONG!H:H,LUONG!$C:$C,CPQL!$D7)</f>
        <v>7025000</v>
      </c>
      <c r="N7" s="386">
        <f>SUMIFS(LUONG!I:I,LUONG!$C:$C,CPQL!$D7)</f>
        <v>7025000</v>
      </c>
      <c r="O7" s="386">
        <f>SUMIFS(LUONG!J:J,LUONG!$C:$C,CPQL!$D7)</f>
        <v>11825000</v>
      </c>
      <c r="P7" s="386">
        <f>SUMIFS(LUONG!K:K,LUONG!$C:$C,CPQL!$D7)</f>
        <v>7025000</v>
      </c>
      <c r="Q7" s="386">
        <f>SUMIFS(LUONG!L:L,LUONG!$C:$C,CPQL!$D7)</f>
        <v>7025000</v>
      </c>
      <c r="R7" s="386">
        <f>SUMIFS(LUONG!M:M,LUONG!$C:$C,CPQL!$D7)</f>
        <v>7025000</v>
      </c>
      <c r="S7" s="386">
        <f>SUMIFS(LUONG!N:N,LUONG!$C:$C,CPQL!$D7)</f>
        <v>9425000</v>
      </c>
      <c r="T7" s="386">
        <f>SUMIFS(LUONG!O:O,LUONG!$C:$C,CPQL!$D7)</f>
        <v>7025000</v>
      </c>
      <c r="U7" s="386">
        <f>SUMIFS(LUONG!P:P,LUONG!$C:$C,CPQL!$D7)</f>
        <v>7025000</v>
      </c>
      <c r="V7" s="386">
        <f>SUMIFS(LUONG!Q:Q,LUONG!$C:$C,CPQL!$D7)</f>
        <v>7025000</v>
      </c>
      <c r="W7" s="396">
        <f t="shared" si="0"/>
        <v>93900000</v>
      </c>
      <c r="Y7" s="383">
        <v>0</v>
      </c>
      <c r="Z7" s="383">
        <v>0</v>
      </c>
      <c r="AA7" s="383">
        <v>0</v>
      </c>
      <c r="AB7" s="383">
        <v>0</v>
      </c>
      <c r="AC7" s="383">
        <v>0</v>
      </c>
      <c r="AD7" s="383">
        <v>0</v>
      </c>
      <c r="AE7" s="383">
        <v>0</v>
      </c>
      <c r="AF7" s="383">
        <v>0</v>
      </c>
      <c r="AG7" s="383">
        <v>0</v>
      </c>
      <c r="AH7" s="768"/>
      <c r="AI7" s="768"/>
      <c r="AJ7" s="768"/>
      <c r="AK7" s="396">
        <f t="shared" si="1"/>
        <v>0</v>
      </c>
      <c r="AM7" s="396">
        <v>0</v>
      </c>
      <c r="AO7" s="396">
        <v>0</v>
      </c>
      <c r="AQ7" s="386">
        <f t="shared" si="2"/>
        <v>93900000</v>
      </c>
      <c r="AR7" s="741">
        <f t="shared" si="3"/>
        <v>0</v>
      </c>
      <c r="AS7" s="1203">
        <f t="shared" si="4"/>
        <v>93900000</v>
      </c>
    </row>
    <row r="8" spans="2:45" x14ac:dyDescent="0.35">
      <c r="B8" s="385">
        <v>4</v>
      </c>
      <c r="C8" s="385"/>
      <c r="D8" s="796">
        <v>6421002806</v>
      </c>
      <c r="E8" s="368" t="s">
        <v>494</v>
      </c>
      <c r="F8" s="369" t="s">
        <v>491</v>
      </c>
      <c r="G8" s="368" t="s">
        <v>501</v>
      </c>
      <c r="H8" s="369" t="s">
        <v>359</v>
      </c>
      <c r="I8" s="370" t="s">
        <v>701</v>
      </c>
      <c r="J8" s="383"/>
      <c r="K8" s="823">
        <f>SUMIFS(LUONG!F:F,LUONG!$C:$C,CPQL!$D8)</f>
        <v>21409955</v>
      </c>
      <c r="L8" s="823">
        <f>SUMIFS(LUONG!G:G,LUONG!$C:$C,CPQL!$D8)</f>
        <v>21409955</v>
      </c>
      <c r="M8" s="823">
        <f>SUMIFS(LUONG!H:H,LUONG!$C:$C,CPQL!$D8)</f>
        <v>21409955</v>
      </c>
      <c r="N8" s="823">
        <f>SUMIFS(LUONG!I:I,LUONG!$C:$C,CPQL!$D8)</f>
        <v>21409955</v>
      </c>
      <c r="O8" s="823">
        <f>SUMIFS(LUONG!J:J,LUONG!$C:$C,CPQL!$D8)</f>
        <v>21409955</v>
      </c>
      <c r="P8" s="823">
        <f>SUMIFS(LUONG!K:K,LUONG!$C:$C,CPQL!$D8)</f>
        <v>21409955</v>
      </c>
      <c r="Q8" s="823">
        <f>SUMIFS(LUONG!L:L,LUONG!$C:$C,CPQL!$D8)</f>
        <v>21409955</v>
      </c>
      <c r="R8" s="823">
        <f>SUMIFS(LUONG!M:M,LUONG!$C:$C,CPQL!$D8)</f>
        <v>21409955</v>
      </c>
      <c r="S8" s="823">
        <f>SUMIFS(LUONG!N:N,LUONG!$C:$C,CPQL!$D8)</f>
        <v>21409955</v>
      </c>
      <c r="T8" s="823">
        <f>SUMIFS(LUONG!O:O,LUONG!$C:$C,CPQL!$D8)</f>
        <v>21409955</v>
      </c>
      <c r="U8" s="823">
        <f>SUMIFS(LUONG!P:P,LUONG!$C:$C,CPQL!$D8)</f>
        <v>21409955</v>
      </c>
      <c r="V8" s="823">
        <f>SUMIFS(LUONG!Q:Q,LUONG!$C:$C,CPQL!$D8)</f>
        <v>21409955</v>
      </c>
      <c r="W8" s="1094">
        <f t="shared" si="0"/>
        <v>256919460</v>
      </c>
      <c r="Y8" s="383">
        <v>74603389</v>
      </c>
      <c r="Z8" s="383">
        <v>14860654</v>
      </c>
      <c r="AA8" s="383">
        <v>14860654</v>
      </c>
      <c r="AB8" s="383">
        <v>14860654</v>
      </c>
      <c r="AC8" s="383">
        <v>-11264346</v>
      </c>
      <c r="AD8" s="383">
        <v>9635654</v>
      </c>
      <c r="AE8" s="383">
        <v>9635654</v>
      </c>
      <c r="AF8" s="383">
        <v>9635654</v>
      </c>
      <c r="AG8" s="383">
        <v>9635654</v>
      </c>
      <c r="AH8" s="768">
        <v>9635654</v>
      </c>
      <c r="AI8" s="768">
        <v>9635654</v>
      </c>
      <c r="AJ8" s="768">
        <v>9635654</v>
      </c>
      <c r="AK8" s="1094">
        <f t="shared" si="1"/>
        <v>175370583</v>
      </c>
      <c r="AM8" s="396">
        <v>34209047</v>
      </c>
      <c r="AO8" s="396">
        <v>116916575</v>
      </c>
      <c r="AQ8" s="386">
        <f t="shared" si="2"/>
        <v>81548877</v>
      </c>
      <c r="AR8" s="741">
        <f t="shared" si="3"/>
        <v>0.46500887209800745</v>
      </c>
      <c r="AS8" s="1203">
        <f t="shared" si="4"/>
        <v>432290043</v>
      </c>
    </row>
    <row r="9" spans="2:45" x14ac:dyDescent="0.35">
      <c r="B9" s="385">
        <v>5</v>
      </c>
      <c r="C9" s="385"/>
      <c r="D9" s="796">
        <v>6421007202</v>
      </c>
      <c r="E9" s="369" t="s">
        <v>495</v>
      </c>
      <c r="F9" s="369" t="s">
        <v>493</v>
      </c>
      <c r="G9" s="369" t="s">
        <v>495</v>
      </c>
      <c r="H9" s="369" t="s">
        <v>359</v>
      </c>
      <c r="I9" s="370" t="s">
        <v>701</v>
      </c>
      <c r="J9" s="383"/>
      <c r="K9" s="823">
        <v>336187</v>
      </c>
      <c r="L9" s="823">
        <v>2536187</v>
      </c>
      <c r="M9" s="823">
        <v>2536187</v>
      </c>
      <c r="N9" s="823">
        <v>2536187</v>
      </c>
      <c r="O9" s="823">
        <v>2536187</v>
      </c>
      <c r="P9" s="823">
        <v>2536187</v>
      </c>
      <c r="Q9" s="823">
        <v>2536187</v>
      </c>
      <c r="R9" s="823">
        <v>2536187</v>
      </c>
      <c r="S9" s="823">
        <v>2536187</v>
      </c>
      <c r="T9" s="823">
        <v>2536187</v>
      </c>
      <c r="U9" s="823">
        <v>2536187</v>
      </c>
      <c r="V9" s="823">
        <v>2536187</v>
      </c>
      <c r="W9" s="1094">
        <f>SUM(K9:V9)</f>
        <v>28234244</v>
      </c>
      <c r="Y9" s="383">
        <v>0</v>
      </c>
      <c r="Z9" s="383">
        <v>0</v>
      </c>
      <c r="AA9" s="383">
        <v>0</v>
      </c>
      <c r="AB9" s="383">
        <v>0</v>
      </c>
      <c r="AC9" s="383">
        <v>0</v>
      </c>
      <c r="AD9" s="383">
        <v>0</v>
      </c>
      <c r="AE9" s="383">
        <v>0</v>
      </c>
      <c r="AF9" s="383">
        <v>0</v>
      </c>
      <c r="AG9" s="383">
        <v>0</v>
      </c>
      <c r="AH9" s="769"/>
      <c r="AI9" s="769"/>
      <c r="AJ9" s="769"/>
      <c r="AK9" s="1094">
        <f t="shared" si="1"/>
        <v>0</v>
      </c>
      <c r="AM9" s="396">
        <v>0</v>
      </c>
      <c r="AO9" s="396">
        <v>0</v>
      </c>
      <c r="AQ9" s="386">
        <f t="shared" si="2"/>
        <v>28234244</v>
      </c>
      <c r="AR9" s="741">
        <f t="shared" si="3"/>
        <v>0</v>
      </c>
      <c r="AS9" s="1203">
        <f t="shared" si="4"/>
        <v>28234244</v>
      </c>
    </row>
    <row r="10" spans="2:45" x14ac:dyDescent="0.35">
      <c r="B10" s="385">
        <v>6</v>
      </c>
      <c r="C10" s="385"/>
      <c r="D10" s="796">
        <v>6421003202</v>
      </c>
      <c r="E10" s="368" t="s">
        <v>496</v>
      </c>
      <c r="F10" s="369" t="s">
        <v>493</v>
      </c>
      <c r="G10" s="368" t="s">
        <v>496</v>
      </c>
      <c r="H10" s="369" t="s">
        <v>359</v>
      </c>
      <c r="I10" s="370" t="s">
        <v>701</v>
      </c>
      <c r="J10" s="383"/>
      <c r="K10" s="823">
        <f>SUMIFS(LUONG!F:F,LUONG!$C:$C,CPQL!$D10)</f>
        <v>12175000</v>
      </c>
      <c r="L10" s="823">
        <f>SUMIFS(LUONG!G:G,LUONG!$C:$C,CPQL!$D10)</f>
        <v>10492000</v>
      </c>
      <c r="M10" s="823">
        <f>SUMIFS(LUONG!H:H,LUONG!$C:$C,CPQL!$D10)</f>
        <v>11714000</v>
      </c>
      <c r="N10" s="823">
        <f>SUMIFS(LUONG!I:I,LUONG!$C:$C,CPQL!$D10)</f>
        <v>13047000</v>
      </c>
      <c r="O10" s="823">
        <f>SUMIFS(LUONG!J:J,LUONG!$C:$C,CPQL!$D10)</f>
        <v>10792000</v>
      </c>
      <c r="P10" s="823">
        <f>SUMIFS(LUONG!K:K,LUONG!$C:$C,CPQL!$D10)</f>
        <v>13072000</v>
      </c>
      <c r="Q10" s="823">
        <f>SUMIFS(LUONG!L:L,LUONG!$C:$C,CPQL!$D10)</f>
        <v>12661000</v>
      </c>
      <c r="R10" s="823">
        <f>SUMIFS(LUONG!M:M,LUONG!$C:$C,CPQL!$D10)</f>
        <v>12661000</v>
      </c>
      <c r="S10" s="823">
        <f>SUMIFS(LUONG!N:N,LUONG!$C:$C,CPQL!$D10)</f>
        <v>12100000</v>
      </c>
      <c r="T10" s="823">
        <f>SUMIFS(LUONG!O:O,LUONG!$C:$C,CPQL!$D10)</f>
        <v>12200000</v>
      </c>
      <c r="U10" s="823">
        <f>SUMIFS(LUONG!P:P,LUONG!$C:$C,CPQL!$D10)</f>
        <v>13097000</v>
      </c>
      <c r="V10" s="823">
        <f>SUMIFS(LUONG!Q:Q,LUONG!$C:$C,CPQL!$D10)</f>
        <v>12636000</v>
      </c>
      <c r="W10" s="1094">
        <f t="shared" si="0"/>
        <v>146647000</v>
      </c>
      <c r="Y10" s="383">
        <v>5825000</v>
      </c>
      <c r="Z10" s="383">
        <v>5850000</v>
      </c>
      <c r="AA10" s="383">
        <v>5650000</v>
      </c>
      <c r="AB10" s="383">
        <v>4625000</v>
      </c>
      <c r="AC10" s="383">
        <v>5150000</v>
      </c>
      <c r="AD10" s="383">
        <v>5050000</v>
      </c>
      <c r="AE10" s="383">
        <v>5075000</v>
      </c>
      <c r="AF10" s="383">
        <v>5150000</v>
      </c>
      <c r="AG10" s="383">
        <v>4775000</v>
      </c>
      <c r="AH10" s="769">
        <v>5650000</v>
      </c>
      <c r="AI10" s="769">
        <v>5650000</v>
      </c>
      <c r="AJ10" s="769">
        <v>5650000</v>
      </c>
      <c r="AK10" s="1094">
        <f t="shared" si="1"/>
        <v>64100000</v>
      </c>
      <c r="AM10" s="396">
        <v>84375000</v>
      </c>
      <c r="AO10" s="396">
        <v>67485000</v>
      </c>
      <c r="AQ10" s="386">
        <f t="shared" si="2"/>
        <v>82547000</v>
      </c>
      <c r="AR10" s="741">
        <f t="shared" si="3"/>
        <v>1.2877847113884555</v>
      </c>
      <c r="AS10" s="1203">
        <f t="shared" si="4"/>
        <v>210747000</v>
      </c>
    </row>
    <row r="11" spans="2:45" x14ac:dyDescent="0.35">
      <c r="B11" s="385">
        <v>7</v>
      </c>
      <c r="C11" s="385"/>
      <c r="D11" s="796">
        <v>6421002603</v>
      </c>
      <c r="E11" s="369" t="s">
        <v>497</v>
      </c>
      <c r="F11" s="369" t="s">
        <v>491</v>
      </c>
      <c r="G11" s="369" t="s">
        <v>497</v>
      </c>
      <c r="H11" s="369" t="s">
        <v>359</v>
      </c>
      <c r="I11" s="370" t="s">
        <v>701</v>
      </c>
      <c r="J11" s="383"/>
      <c r="K11" s="823">
        <f>SUMIFS(LUONG!F:F,LUONG!$C:$C,CPQL!$D11)</f>
        <v>2126700</v>
      </c>
      <c r="L11" s="823">
        <f>SUMIFS(LUONG!G:G,LUONG!$C:$C,CPQL!$D11)</f>
        <v>2126700</v>
      </c>
      <c r="M11" s="823">
        <f>SUMIFS(LUONG!H:H,LUONG!$C:$C,CPQL!$D11)</f>
        <v>2126700</v>
      </c>
      <c r="N11" s="823">
        <f>SUMIFS(LUONG!I:I,LUONG!$C:$C,CPQL!$D11)</f>
        <v>2126700</v>
      </c>
      <c r="O11" s="823">
        <f>SUMIFS(LUONG!J:J,LUONG!$C:$C,CPQL!$D11)</f>
        <v>2126700</v>
      </c>
      <c r="P11" s="823">
        <f>SUMIFS(LUONG!K:K,LUONG!$C:$C,CPQL!$D11)</f>
        <v>2126700</v>
      </c>
      <c r="Q11" s="823">
        <f>SUMIFS(LUONG!L:L,LUONG!$C:$C,CPQL!$D11)</f>
        <v>2126700</v>
      </c>
      <c r="R11" s="823">
        <f>SUMIFS(LUONG!M:M,LUONG!$C:$C,CPQL!$D11)</f>
        <v>2126700</v>
      </c>
      <c r="S11" s="823">
        <f>SUMIFS(LUONG!N:N,LUONG!$C:$C,CPQL!$D11)</f>
        <v>2126700</v>
      </c>
      <c r="T11" s="823">
        <f>SUMIFS(LUONG!O:O,LUONG!$C:$C,CPQL!$D11)</f>
        <v>2126700</v>
      </c>
      <c r="U11" s="823">
        <f>SUMIFS(LUONG!P:P,LUONG!$C:$C,CPQL!$D11)</f>
        <v>2126700</v>
      </c>
      <c r="V11" s="823">
        <f>SUMIFS(LUONG!Q:Q,LUONG!$C:$C,CPQL!$D11)</f>
        <v>2126700</v>
      </c>
      <c r="W11" s="1094">
        <f t="shared" si="0"/>
        <v>25520400</v>
      </c>
      <c r="Y11" s="383">
        <v>0</v>
      </c>
      <c r="Z11" s="383">
        <v>0</v>
      </c>
      <c r="AA11" s="383">
        <v>0</v>
      </c>
      <c r="AB11" s="383">
        <v>0</v>
      </c>
      <c r="AC11" s="383">
        <v>0</v>
      </c>
      <c r="AD11" s="383">
        <v>0</v>
      </c>
      <c r="AE11" s="383">
        <v>0</v>
      </c>
      <c r="AF11" s="383">
        <v>0</v>
      </c>
      <c r="AG11" s="383">
        <v>0</v>
      </c>
      <c r="AH11" s="769"/>
      <c r="AI11" s="769"/>
      <c r="AJ11" s="769"/>
      <c r="AK11" s="1094">
        <f t="shared" si="1"/>
        <v>0</v>
      </c>
      <c r="AM11" s="396">
        <v>0</v>
      </c>
      <c r="AO11" s="396">
        <v>0</v>
      </c>
      <c r="AQ11" s="386">
        <f t="shared" si="2"/>
        <v>25520400</v>
      </c>
      <c r="AR11" s="741">
        <f t="shared" si="3"/>
        <v>0</v>
      </c>
      <c r="AS11" s="1203">
        <f t="shared" si="4"/>
        <v>25520400</v>
      </c>
    </row>
    <row r="12" spans="2:45" x14ac:dyDescent="0.35">
      <c r="B12" s="385">
        <v>8</v>
      </c>
      <c r="C12" s="385"/>
      <c r="D12" s="796">
        <v>6421003401</v>
      </c>
      <c r="E12" s="368" t="s">
        <v>498</v>
      </c>
      <c r="F12" s="369" t="s">
        <v>493</v>
      </c>
      <c r="G12" s="368" t="s">
        <v>498</v>
      </c>
      <c r="H12" s="369" t="s">
        <v>359</v>
      </c>
      <c r="I12" s="370" t="s">
        <v>701</v>
      </c>
      <c r="J12" s="383"/>
      <c r="K12" s="386">
        <f>SUMIFS(LUONG!F:F,LUONG!$C:$C,CPQL!$D12)</f>
        <v>43537530</v>
      </c>
      <c r="L12" s="386">
        <f>SUMIFS(LUONG!G:G,LUONG!$C:$C,CPQL!$D12)</f>
        <v>43537530</v>
      </c>
      <c r="M12" s="386">
        <f>SUMIFS(LUONG!H:H,LUONG!$C:$C,CPQL!$D12)</f>
        <v>43537530</v>
      </c>
      <c r="N12" s="386">
        <f>SUMIFS(LUONG!I:I,LUONG!$C:$C,CPQL!$D12)</f>
        <v>43537530</v>
      </c>
      <c r="O12" s="386">
        <f>SUMIFS(LUONG!J:J,LUONG!$C:$C,CPQL!$D12)</f>
        <v>43537530</v>
      </c>
      <c r="P12" s="386">
        <f>SUMIFS(LUONG!K:K,LUONG!$C:$C,CPQL!$D12)</f>
        <v>43537530</v>
      </c>
      <c r="Q12" s="386">
        <f>SUMIFS(LUONG!L:L,LUONG!$C:$C,CPQL!$D12)</f>
        <v>43537530</v>
      </c>
      <c r="R12" s="386">
        <f>SUMIFS(LUONG!M:M,LUONG!$C:$C,CPQL!$D12)</f>
        <v>43537530</v>
      </c>
      <c r="S12" s="386">
        <f>SUMIFS(LUONG!N:N,LUONG!$C:$C,CPQL!$D12)</f>
        <v>43537530</v>
      </c>
      <c r="T12" s="386">
        <f>SUMIFS(LUONG!O:O,LUONG!$C:$C,CPQL!$D12)</f>
        <v>43537530</v>
      </c>
      <c r="U12" s="386">
        <f>SUMIFS(LUONG!P:P,LUONG!$C:$C,CPQL!$D12)</f>
        <v>43537530</v>
      </c>
      <c r="V12" s="386">
        <f>SUMIFS(LUONG!Q:Q,LUONG!$C:$C,CPQL!$D12)</f>
        <v>43537530</v>
      </c>
      <c r="W12" s="396">
        <f t="shared" si="0"/>
        <v>522450360</v>
      </c>
      <c r="Y12" s="383">
        <v>27260420</v>
      </c>
      <c r="Z12" s="383">
        <v>27260420</v>
      </c>
      <c r="AA12" s="383">
        <v>26026670</v>
      </c>
      <c r="AB12" s="383">
        <v>20950670</v>
      </c>
      <c r="AC12" s="383">
        <v>20950670</v>
      </c>
      <c r="AD12" s="383">
        <v>20950670</v>
      </c>
      <c r="AE12" s="383">
        <v>20950670</v>
      </c>
      <c r="AF12" s="383">
        <v>20950670</v>
      </c>
      <c r="AG12" s="383">
        <v>20950670</v>
      </c>
      <c r="AH12" s="769">
        <v>26026670</v>
      </c>
      <c r="AI12" s="769">
        <v>26026670</v>
      </c>
      <c r="AJ12" s="769">
        <v>26026670</v>
      </c>
      <c r="AK12" s="396">
        <f t="shared" si="1"/>
        <v>284331540</v>
      </c>
      <c r="AM12" s="396">
        <v>240638640</v>
      </c>
      <c r="AO12" s="396">
        <v>282837750</v>
      </c>
      <c r="AQ12" s="386">
        <f t="shared" si="2"/>
        <v>238118820</v>
      </c>
      <c r="AR12" s="741">
        <f t="shared" si="3"/>
        <v>0.8374688928284213</v>
      </c>
      <c r="AS12" s="1203">
        <f t="shared" si="4"/>
        <v>806781900</v>
      </c>
    </row>
    <row r="13" spans="2:45" x14ac:dyDescent="0.35">
      <c r="B13" s="385">
        <v>9</v>
      </c>
      <c r="C13" s="385"/>
      <c r="D13" s="796">
        <v>6421002703</v>
      </c>
      <c r="E13" s="369" t="s">
        <v>499</v>
      </c>
      <c r="F13" s="369" t="s">
        <v>491</v>
      </c>
      <c r="G13" s="369" t="s">
        <v>499</v>
      </c>
      <c r="H13" s="369" t="s">
        <v>359</v>
      </c>
      <c r="I13" s="370" t="s">
        <v>701</v>
      </c>
      <c r="J13" s="383"/>
      <c r="K13" s="823">
        <f>SUMIFS(LUONG!F:F,LUONG!$C:$C,CPQL!$D13)</f>
        <v>7380923</v>
      </c>
      <c r="L13" s="823">
        <f>SUMIFS(LUONG!G:G,LUONG!$C:$C,CPQL!$D13)</f>
        <v>6408185</v>
      </c>
      <c r="M13" s="823">
        <f>SUMIFS(LUONG!H:H,LUONG!$C:$C,CPQL!$D13)</f>
        <v>7112677</v>
      </c>
      <c r="N13" s="823">
        <f>SUMIFS(LUONG!I:I,LUONG!$C:$C,CPQL!$D13)</f>
        <v>8085415</v>
      </c>
      <c r="O13" s="823">
        <f>SUMIFS(LUONG!J:J,LUONG!$C:$C,CPQL!$D13)</f>
        <v>6408185</v>
      </c>
      <c r="P13" s="823">
        <f>SUMIFS(LUONG!K:K,LUONG!$C:$C,CPQL!$D13)</f>
        <v>8085415</v>
      </c>
      <c r="Q13" s="823">
        <f>SUMIFS(LUONG!L:L,LUONG!$C:$C,CPQL!$D13)</f>
        <v>7817169</v>
      </c>
      <c r="R13" s="823">
        <f>SUMIFS(LUONG!M:M,LUONG!$C:$C,CPQL!$D13)</f>
        <v>7817169</v>
      </c>
      <c r="S13" s="823">
        <f>SUMIFS(LUONG!N:N,LUONG!$C:$C,CPQL!$D13)</f>
        <v>7599045</v>
      </c>
      <c r="T13" s="823">
        <f>SUMIFS(LUONG!O:O,LUONG!$C:$C,CPQL!$D13)</f>
        <v>7380923</v>
      </c>
      <c r="U13" s="823">
        <f>SUMIFS(LUONG!P:P,LUONG!$C:$C,CPQL!$D13)</f>
        <v>8085415</v>
      </c>
      <c r="V13" s="823">
        <f>SUMIFS(LUONG!Q:Q,LUONG!$C:$C,CPQL!$D13)</f>
        <v>7817169</v>
      </c>
      <c r="W13" s="396">
        <f t="shared" si="0"/>
        <v>89997690</v>
      </c>
      <c r="Y13" s="383">
        <v>0</v>
      </c>
      <c r="Z13" s="383">
        <v>0</v>
      </c>
      <c r="AA13" s="383">
        <v>0</v>
      </c>
      <c r="AB13" s="383">
        <v>0</v>
      </c>
      <c r="AC13" s="383">
        <v>0</v>
      </c>
      <c r="AD13" s="383">
        <v>0</v>
      </c>
      <c r="AE13" s="383">
        <v>0</v>
      </c>
      <c r="AF13" s="383">
        <v>0</v>
      </c>
      <c r="AG13" s="383">
        <v>0</v>
      </c>
      <c r="AH13" s="769"/>
      <c r="AI13" s="769"/>
      <c r="AJ13" s="769"/>
      <c r="AK13" s="396">
        <f t="shared" si="1"/>
        <v>0</v>
      </c>
      <c r="AM13" s="396">
        <v>0</v>
      </c>
      <c r="AO13" s="396">
        <v>0</v>
      </c>
      <c r="AQ13" s="386">
        <f t="shared" si="2"/>
        <v>89997690</v>
      </c>
      <c r="AR13" s="741">
        <f t="shared" si="3"/>
        <v>0</v>
      </c>
      <c r="AS13" s="1203">
        <f t="shared" si="4"/>
        <v>89997690</v>
      </c>
    </row>
    <row r="14" spans="2:45" x14ac:dyDescent="0.35">
      <c r="B14" s="385">
        <v>10</v>
      </c>
      <c r="C14" s="385"/>
      <c r="D14" s="796" t="s">
        <v>835</v>
      </c>
      <c r="E14" s="369" t="s">
        <v>702</v>
      </c>
      <c r="F14" s="369" t="s">
        <v>493</v>
      </c>
      <c r="G14" s="387" t="s">
        <v>702</v>
      </c>
      <c r="H14" s="369" t="s">
        <v>359</v>
      </c>
      <c r="I14" s="370" t="s">
        <v>703</v>
      </c>
      <c r="J14" s="383"/>
      <c r="K14" s="824">
        <v>116666.66666666667</v>
      </c>
      <c r="L14" s="824">
        <v>116666.66666666667</v>
      </c>
      <c r="M14" s="824">
        <v>116666.66666666667</v>
      </c>
      <c r="N14" s="824">
        <v>116666.66666666667</v>
      </c>
      <c r="O14" s="824">
        <v>116666.66666666667</v>
      </c>
      <c r="P14" s="824">
        <v>116666.66666666667</v>
      </c>
      <c r="Q14" s="824">
        <v>116666.66666666667</v>
      </c>
      <c r="R14" s="824">
        <v>116666.66666666667</v>
      </c>
      <c r="S14" s="824">
        <v>116666.66666666667</v>
      </c>
      <c r="T14" s="824">
        <v>116666.66666666667</v>
      </c>
      <c r="U14" s="824">
        <v>116666.66666666667</v>
      </c>
      <c r="V14" s="824">
        <v>116666.66666666667</v>
      </c>
      <c r="W14" s="396">
        <f t="shared" si="0"/>
        <v>1400000.0000000002</v>
      </c>
      <c r="Y14" s="383">
        <v>0</v>
      </c>
      <c r="Z14" s="383">
        <v>0</v>
      </c>
      <c r="AA14" s="383">
        <v>0</v>
      </c>
      <c r="AB14" s="383">
        <v>0</v>
      </c>
      <c r="AC14" s="383">
        <v>0</v>
      </c>
      <c r="AD14" s="383">
        <v>0</v>
      </c>
      <c r="AE14" s="383">
        <v>0</v>
      </c>
      <c r="AF14" s="383">
        <v>0</v>
      </c>
      <c r="AG14" s="383">
        <v>0</v>
      </c>
      <c r="AH14" s="769"/>
      <c r="AI14" s="769"/>
      <c r="AJ14" s="769"/>
      <c r="AK14" s="396">
        <f t="shared" si="1"/>
        <v>0</v>
      </c>
      <c r="AM14" s="396">
        <v>0</v>
      </c>
      <c r="AO14" s="396">
        <v>324000</v>
      </c>
      <c r="AQ14" s="386">
        <f t="shared" si="2"/>
        <v>1400000.0000000002</v>
      </c>
      <c r="AR14" s="741">
        <f t="shared" si="3"/>
        <v>0</v>
      </c>
      <c r="AS14" s="1203">
        <f t="shared" si="4"/>
        <v>1400000.0000000002</v>
      </c>
    </row>
    <row r="15" spans="2:45" x14ac:dyDescent="0.35">
      <c r="B15" s="385">
        <v>11</v>
      </c>
      <c r="C15" s="385"/>
      <c r="D15" s="796" t="s">
        <v>833</v>
      </c>
      <c r="E15" s="369" t="s">
        <v>705</v>
      </c>
      <c r="F15" s="369" t="s">
        <v>493</v>
      </c>
      <c r="G15" s="370" t="str">
        <f>E15</f>
        <v>Chi phí y tế, BH sức khỏe</v>
      </c>
      <c r="H15" s="369" t="s">
        <v>359</v>
      </c>
      <c r="I15" s="370" t="s">
        <v>703</v>
      </c>
      <c r="J15" s="383"/>
      <c r="K15" s="824">
        <v>4965627.4000000004</v>
      </c>
      <c r="L15" s="824">
        <v>4612632.4000000004</v>
      </c>
      <c r="M15" s="824">
        <v>4459458.4000000004</v>
      </c>
      <c r="N15" s="824">
        <v>4287041.4000000004</v>
      </c>
      <c r="O15" s="824">
        <v>4287040.9000000004</v>
      </c>
      <c r="P15" s="824">
        <v>4287040.7</v>
      </c>
      <c r="Q15" s="824">
        <v>4287040.5</v>
      </c>
      <c r="R15" s="824">
        <v>4287040.3</v>
      </c>
      <c r="S15" s="824">
        <v>2000000</v>
      </c>
      <c r="T15" s="824">
        <v>4333333.333333334</v>
      </c>
      <c r="U15" s="824">
        <v>4333333.333333334</v>
      </c>
      <c r="V15" s="824">
        <v>4333333.333333334</v>
      </c>
      <c r="W15" s="396">
        <f t="shared" si="0"/>
        <v>50472922.000000007</v>
      </c>
      <c r="Y15" s="383">
        <v>1318860</v>
      </c>
      <c r="Z15" s="383">
        <v>1671860</v>
      </c>
      <c r="AA15" s="383">
        <v>1825030</v>
      </c>
      <c r="AB15" s="383">
        <v>2588954</v>
      </c>
      <c r="AC15" s="383">
        <v>1926577</v>
      </c>
      <c r="AD15" s="383">
        <v>2128177</v>
      </c>
      <c r="AE15" s="383">
        <v>1926577</v>
      </c>
      <c r="AF15" s="383">
        <v>1926577</v>
      </c>
      <c r="AG15" s="383">
        <v>8612027</v>
      </c>
      <c r="AH15" s="769">
        <v>8612027</v>
      </c>
      <c r="AI15" s="769">
        <v>8612027</v>
      </c>
      <c r="AJ15" s="769">
        <v>8612027</v>
      </c>
      <c r="AK15" s="396">
        <f t="shared" si="1"/>
        <v>49760720</v>
      </c>
      <c r="AM15" s="396">
        <v>13901852</v>
      </c>
      <c r="AO15" s="396">
        <v>29563578</v>
      </c>
      <c r="AQ15" s="386">
        <f t="shared" si="2"/>
        <v>712202.00000000745</v>
      </c>
      <c r="AR15" s="741">
        <f t="shared" si="3"/>
        <v>1.4312534063012139E-2</v>
      </c>
      <c r="AS15" s="1203">
        <f t="shared" si="4"/>
        <v>100233642</v>
      </c>
    </row>
    <row r="16" spans="2:45" x14ac:dyDescent="0.35">
      <c r="B16" s="385">
        <v>12</v>
      </c>
      <c r="C16" s="385"/>
      <c r="D16" s="796">
        <v>6422003502</v>
      </c>
      <c r="E16" s="369" t="s">
        <v>715</v>
      </c>
      <c r="F16" s="369" t="s">
        <v>977</v>
      </c>
      <c r="G16" s="370" t="str">
        <f>E16</f>
        <v>Chi phí xăng dầu xe du lịch, xe gắn máy, xe nâng</v>
      </c>
      <c r="H16" s="369" t="s">
        <v>359</v>
      </c>
      <c r="I16" s="370" t="s">
        <v>726</v>
      </c>
      <c r="J16" s="383"/>
      <c r="K16" s="824">
        <v>0</v>
      </c>
      <c r="L16" s="824">
        <v>0</v>
      </c>
      <c r="M16" s="824">
        <v>0</v>
      </c>
      <c r="N16" s="824">
        <v>0</v>
      </c>
      <c r="O16" s="824">
        <v>0</v>
      </c>
      <c r="P16" s="824">
        <v>0</v>
      </c>
      <c r="Q16" s="824">
        <v>0</v>
      </c>
      <c r="R16" s="824">
        <v>0</v>
      </c>
      <c r="S16" s="824">
        <v>0</v>
      </c>
      <c r="T16" s="824">
        <v>0</v>
      </c>
      <c r="U16" s="824">
        <v>0</v>
      </c>
      <c r="V16" s="824">
        <v>0</v>
      </c>
      <c r="W16" s="396">
        <f t="shared" si="0"/>
        <v>0</v>
      </c>
      <c r="Y16" s="383">
        <v>0</v>
      </c>
      <c r="Z16" s="383">
        <v>0</v>
      </c>
      <c r="AA16" s="383">
        <v>0</v>
      </c>
      <c r="AB16" s="383">
        <v>0</v>
      </c>
      <c r="AC16" s="383">
        <v>0</v>
      </c>
      <c r="AD16" s="383">
        <v>0</v>
      </c>
      <c r="AE16" s="383">
        <v>0</v>
      </c>
      <c r="AF16" s="383">
        <v>0</v>
      </c>
      <c r="AG16" s="383">
        <v>0</v>
      </c>
      <c r="AH16" s="769"/>
      <c r="AI16" s="769"/>
      <c r="AJ16" s="769"/>
      <c r="AK16" s="396">
        <f t="shared" si="1"/>
        <v>0</v>
      </c>
      <c r="AM16" s="396">
        <v>20820524</v>
      </c>
      <c r="AO16" s="396">
        <v>123448172</v>
      </c>
      <c r="AQ16" s="386">
        <f t="shared" si="2"/>
        <v>0</v>
      </c>
      <c r="AR16" s="741">
        <f t="shared" si="3"/>
        <v>0</v>
      </c>
      <c r="AS16" s="1203">
        <f t="shared" si="4"/>
        <v>0</v>
      </c>
    </row>
    <row r="17" spans="2:45" x14ac:dyDescent="0.35">
      <c r="B17" s="385">
        <v>13</v>
      </c>
      <c r="C17" s="385"/>
      <c r="D17" s="796">
        <v>6423003002</v>
      </c>
      <c r="E17" s="369" t="s">
        <v>872</v>
      </c>
      <c r="F17" s="369" t="s">
        <v>725</v>
      </c>
      <c r="G17" s="370" t="str">
        <f t="shared" ref="G17:G18" si="5">E17</f>
        <v>Chi phí đồ BHLĐ</v>
      </c>
      <c r="H17" s="369" t="s">
        <v>359</v>
      </c>
      <c r="I17" s="370" t="s">
        <v>703</v>
      </c>
      <c r="J17" s="383"/>
      <c r="K17" s="824">
        <v>0</v>
      </c>
      <c r="L17" s="824">
        <v>0</v>
      </c>
      <c r="M17" s="824">
        <v>0</v>
      </c>
      <c r="N17" s="824">
        <v>0</v>
      </c>
      <c r="O17" s="824">
        <v>0</v>
      </c>
      <c r="P17" s="824">
        <v>0</v>
      </c>
      <c r="Q17" s="824">
        <v>0</v>
      </c>
      <c r="R17" s="824">
        <v>0</v>
      </c>
      <c r="S17" s="824">
        <v>0</v>
      </c>
      <c r="T17" s="824">
        <v>0</v>
      </c>
      <c r="U17" s="824">
        <v>0</v>
      </c>
      <c r="V17" s="824">
        <v>0</v>
      </c>
      <c r="W17" s="396">
        <f t="shared" si="0"/>
        <v>0</v>
      </c>
      <c r="Y17" s="383">
        <v>0</v>
      </c>
      <c r="Z17" s="383">
        <v>0</v>
      </c>
      <c r="AA17" s="383">
        <v>0</v>
      </c>
      <c r="AB17" s="383">
        <v>0</v>
      </c>
      <c r="AC17" s="383">
        <v>0</v>
      </c>
      <c r="AD17" s="383">
        <v>0</v>
      </c>
      <c r="AE17" s="383">
        <v>0</v>
      </c>
      <c r="AF17" s="383">
        <v>0</v>
      </c>
      <c r="AG17" s="383">
        <v>0</v>
      </c>
      <c r="AH17" s="769"/>
      <c r="AI17" s="769"/>
      <c r="AJ17" s="769"/>
      <c r="AK17" s="396">
        <f t="shared" si="1"/>
        <v>0</v>
      </c>
      <c r="AM17" s="396">
        <v>0</v>
      </c>
      <c r="AO17" s="396">
        <v>540000</v>
      </c>
      <c r="AQ17" s="386">
        <f t="shared" si="2"/>
        <v>0</v>
      </c>
      <c r="AR17" s="741">
        <f t="shared" si="3"/>
        <v>0</v>
      </c>
      <c r="AS17" s="1203">
        <f t="shared" si="4"/>
        <v>0</v>
      </c>
    </row>
    <row r="18" spans="2:45" x14ac:dyDescent="0.35">
      <c r="B18" s="385">
        <v>14</v>
      </c>
      <c r="C18" s="385"/>
      <c r="D18" s="796">
        <v>6423002402</v>
      </c>
      <c r="E18" s="369" t="s">
        <v>978</v>
      </c>
      <c r="F18" s="369" t="s">
        <v>725</v>
      </c>
      <c r="G18" s="370" t="str">
        <f t="shared" si="5"/>
        <v>Chi phí CCDC, thiết bị - Phục vụ quản lý</v>
      </c>
      <c r="H18" s="369" t="s">
        <v>359</v>
      </c>
      <c r="I18" s="370" t="s">
        <v>726</v>
      </c>
      <c r="J18" s="383"/>
      <c r="K18" s="824">
        <v>4598018</v>
      </c>
      <c r="L18" s="824">
        <v>4598018</v>
      </c>
      <c r="M18" s="824">
        <v>4598018</v>
      </c>
      <c r="N18" s="824">
        <v>4598018</v>
      </c>
      <c r="O18" s="824">
        <v>4598018</v>
      </c>
      <c r="P18" s="824">
        <v>4598018</v>
      </c>
      <c r="Q18" s="824">
        <v>2598018</v>
      </c>
      <c r="R18" s="824">
        <v>2473018</v>
      </c>
      <c r="S18" s="824">
        <v>2141768</v>
      </c>
      <c r="T18" s="824">
        <v>2141768</v>
      </c>
      <c r="U18" s="824">
        <v>2141768</v>
      </c>
      <c r="V18" s="824">
        <v>2141768</v>
      </c>
      <c r="W18" s="396">
        <f t="shared" si="0"/>
        <v>41226216</v>
      </c>
      <c r="Y18" s="383">
        <v>7937494</v>
      </c>
      <c r="Z18" s="383">
        <v>8805546</v>
      </c>
      <c r="AA18" s="383">
        <v>9378612</v>
      </c>
      <c r="AB18" s="383">
        <v>8395783</v>
      </c>
      <c r="AC18" s="383">
        <v>8082783</v>
      </c>
      <c r="AD18" s="383">
        <v>5162450</v>
      </c>
      <c r="AE18" s="383">
        <v>10163828</v>
      </c>
      <c r="AF18" s="383">
        <v>7729826</v>
      </c>
      <c r="AG18" s="383">
        <v>18271742</v>
      </c>
      <c r="AH18" s="769">
        <v>18271742</v>
      </c>
      <c r="AI18" s="769">
        <v>18271742</v>
      </c>
      <c r="AJ18" s="769">
        <v>18271742</v>
      </c>
      <c r="AK18" s="396">
        <f t="shared" si="1"/>
        <v>138743290</v>
      </c>
      <c r="AM18" s="396">
        <v>94708150</v>
      </c>
      <c r="AO18" s="396">
        <v>144130511</v>
      </c>
      <c r="AQ18" s="386">
        <f t="shared" si="2"/>
        <v>-97517074</v>
      </c>
      <c r="AR18" s="741">
        <f t="shared" si="3"/>
        <v>-0.70285974910930826</v>
      </c>
      <c r="AS18" s="1203">
        <f t="shared" si="4"/>
        <v>179969506</v>
      </c>
    </row>
    <row r="19" spans="2:45" x14ac:dyDescent="0.35">
      <c r="B19" s="385">
        <v>15</v>
      </c>
      <c r="C19" s="385"/>
      <c r="D19" s="1092" t="s">
        <v>834</v>
      </c>
      <c r="E19" s="438" t="s">
        <v>899</v>
      </c>
      <c r="F19" s="438" t="s">
        <v>711</v>
      </c>
      <c r="G19" s="370" t="s">
        <v>899</v>
      </c>
      <c r="H19" s="438" t="s">
        <v>359</v>
      </c>
      <c r="I19" s="370" t="s">
        <v>726</v>
      </c>
      <c r="J19" s="1093"/>
      <c r="K19" s="824">
        <v>5000000</v>
      </c>
      <c r="L19" s="824">
        <v>5000000</v>
      </c>
      <c r="M19" s="824">
        <v>5000000</v>
      </c>
      <c r="N19" s="824">
        <v>5000000</v>
      </c>
      <c r="O19" s="824">
        <v>5000000</v>
      </c>
      <c r="P19" s="824">
        <v>5000000</v>
      </c>
      <c r="Q19" s="824">
        <v>5000000</v>
      </c>
      <c r="R19" s="824">
        <v>5000000</v>
      </c>
      <c r="S19" s="824">
        <v>5000000</v>
      </c>
      <c r="T19" s="824">
        <v>5000000</v>
      </c>
      <c r="U19" s="824">
        <v>5000000</v>
      </c>
      <c r="V19" s="824">
        <v>5000000</v>
      </c>
      <c r="W19" s="1094">
        <f t="shared" si="0"/>
        <v>60000000</v>
      </c>
      <c r="Y19" s="1093">
        <v>6077500</v>
      </c>
      <c r="Z19" s="1093">
        <v>5254500</v>
      </c>
      <c r="AA19" s="1093">
        <v>5961357</v>
      </c>
      <c r="AB19" s="1093">
        <v>4496800</v>
      </c>
      <c r="AC19" s="1093">
        <v>5122500</v>
      </c>
      <c r="AD19" s="1093">
        <v>4703000</v>
      </c>
      <c r="AE19" s="1093">
        <v>8017600</v>
      </c>
      <c r="AF19" s="1093">
        <v>6988500</v>
      </c>
      <c r="AG19" s="1093">
        <v>3296701</v>
      </c>
      <c r="AH19" s="823">
        <v>3296701</v>
      </c>
      <c r="AI19" s="823">
        <v>3296701</v>
      </c>
      <c r="AJ19" s="823">
        <v>3296701</v>
      </c>
      <c r="AK19" s="1094">
        <f t="shared" si="1"/>
        <v>59808561</v>
      </c>
      <c r="AM19" s="1094">
        <v>55456891</v>
      </c>
      <c r="AO19" s="1094">
        <v>55107500</v>
      </c>
      <c r="AQ19" s="823">
        <f t="shared" si="2"/>
        <v>191439</v>
      </c>
      <c r="AR19" s="1095">
        <f t="shared" si="3"/>
        <v>3.2008628329980304E-3</v>
      </c>
      <c r="AS19" s="1203">
        <f t="shared" si="4"/>
        <v>119808561</v>
      </c>
    </row>
    <row r="20" spans="2:45" x14ac:dyDescent="0.35">
      <c r="B20" s="385">
        <v>16</v>
      </c>
      <c r="C20" s="385"/>
      <c r="D20" s="1092">
        <v>6423006501</v>
      </c>
      <c r="E20" s="438" t="s">
        <v>979</v>
      </c>
      <c r="F20" s="438" t="s">
        <v>738</v>
      </c>
      <c r="G20" s="370" t="s">
        <v>980</v>
      </c>
      <c r="H20" s="370" t="s">
        <v>401</v>
      </c>
      <c r="I20" s="370" t="s">
        <v>703</v>
      </c>
      <c r="J20" s="1093"/>
      <c r="K20" s="824">
        <v>0</v>
      </c>
      <c r="L20" s="824">
        <v>0</v>
      </c>
      <c r="M20" s="824">
        <v>800000</v>
      </c>
      <c r="N20" s="824">
        <v>800000</v>
      </c>
      <c r="O20" s="824">
        <v>800000</v>
      </c>
      <c r="P20" s="824">
        <v>800000</v>
      </c>
      <c r="Q20" s="824">
        <v>800000</v>
      </c>
      <c r="R20" s="824">
        <v>800000</v>
      </c>
      <c r="S20" s="824">
        <v>0</v>
      </c>
      <c r="T20" s="824">
        <v>800000</v>
      </c>
      <c r="U20" s="824">
        <v>800000</v>
      </c>
      <c r="V20" s="824">
        <v>800000</v>
      </c>
      <c r="W20" s="1094">
        <f t="shared" si="0"/>
        <v>7200000</v>
      </c>
      <c r="Y20" s="1093">
        <v>0</v>
      </c>
      <c r="Z20" s="1093">
        <v>0</v>
      </c>
      <c r="AA20" s="1093">
        <v>0</v>
      </c>
      <c r="AB20" s="1093">
        <v>0</v>
      </c>
      <c r="AC20" s="1093">
        <v>0</v>
      </c>
      <c r="AD20" s="1093">
        <v>0</v>
      </c>
      <c r="AE20" s="1093">
        <v>0</v>
      </c>
      <c r="AF20" s="1093">
        <v>0</v>
      </c>
      <c r="AG20" s="1093">
        <v>0</v>
      </c>
      <c r="AH20" s="823">
        <v>0</v>
      </c>
      <c r="AI20" s="823">
        <v>0</v>
      </c>
      <c r="AJ20" s="823">
        <v>0</v>
      </c>
      <c r="AK20" s="1094">
        <f t="shared" si="1"/>
        <v>0</v>
      </c>
      <c r="AM20" s="1094">
        <v>0</v>
      </c>
      <c r="AO20" s="1094">
        <v>0</v>
      </c>
      <c r="AQ20" s="823">
        <f t="shared" si="2"/>
        <v>7200000</v>
      </c>
      <c r="AR20" s="1095">
        <f t="shared" si="3"/>
        <v>0</v>
      </c>
      <c r="AS20" s="1203">
        <f t="shared" si="4"/>
        <v>7200000</v>
      </c>
    </row>
    <row r="21" spans="2:45" x14ac:dyDescent="0.35">
      <c r="B21" s="385">
        <v>17</v>
      </c>
      <c r="C21" s="385"/>
      <c r="D21" s="1092">
        <v>6425006101</v>
      </c>
      <c r="E21" s="438" t="s">
        <v>981</v>
      </c>
      <c r="F21" s="438" t="s">
        <v>982</v>
      </c>
      <c r="G21" s="370" t="str">
        <f>E21</f>
        <v>Chi phí công chứng, sao y, thuế khác</v>
      </c>
      <c r="H21" s="370" t="s">
        <v>369</v>
      </c>
      <c r="I21" s="370" t="s">
        <v>726</v>
      </c>
      <c r="J21" s="1093"/>
      <c r="K21" s="824">
        <v>3000000</v>
      </c>
      <c r="L21" s="824">
        <v>0</v>
      </c>
      <c r="M21" s="824">
        <v>0</v>
      </c>
      <c r="N21" s="824">
        <v>0</v>
      </c>
      <c r="O21" s="824">
        <v>0</v>
      </c>
      <c r="P21" s="824">
        <v>0</v>
      </c>
      <c r="Q21" s="824">
        <v>0</v>
      </c>
      <c r="R21" s="824">
        <v>0</v>
      </c>
      <c r="S21" s="824">
        <v>0</v>
      </c>
      <c r="T21" s="824">
        <v>0</v>
      </c>
      <c r="U21" s="824">
        <v>0</v>
      </c>
      <c r="V21" s="824">
        <v>0</v>
      </c>
      <c r="W21" s="1094">
        <f t="shared" si="0"/>
        <v>3000000</v>
      </c>
      <c r="Y21" s="1093">
        <v>3000000</v>
      </c>
      <c r="Z21" s="1093">
        <v>0</v>
      </c>
      <c r="AA21" s="1093">
        <v>0</v>
      </c>
      <c r="AB21" s="1093">
        <v>0</v>
      </c>
      <c r="AC21" s="1093">
        <v>0</v>
      </c>
      <c r="AD21" s="1093">
        <v>0</v>
      </c>
      <c r="AE21" s="1093">
        <v>0</v>
      </c>
      <c r="AF21" s="1093">
        <v>0</v>
      </c>
      <c r="AG21" s="1093">
        <v>0</v>
      </c>
      <c r="AH21" s="823">
        <v>0</v>
      </c>
      <c r="AI21" s="823">
        <v>0</v>
      </c>
      <c r="AJ21" s="823">
        <v>0</v>
      </c>
      <c r="AK21" s="1094">
        <f t="shared" si="1"/>
        <v>3000000</v>
      </c>
      <c r="AM21" s="1094">
        <v>3000000</v>
      </c>
      <c r="AO21" s="1094">
        <v>3100000</v>
      </c>
      <c r="AQ21" s="823">
        <f t="shared" si="2"/>
        <v>0</v>
      </c>
      <c r="AR21" s="1095">
        <f t="shared" si="3"/>
        <v>0</v>
      </c>
      <c r="AS21" s="1203">
        <f t="shared" si="4"/>
        <v>6000000</v>
      </c>
    </row>
    <row r="22" spans="2:45" x14ac:dyDescent="0.35">
      <c r="B22" s="385">
        <v>18</v>
      </c>
      <c r="C22" s="385"/>
      <c r="D22" s="1092">
        <v>6426007001</v>
      </c>
      <c r="E22" s="438" t="s">
        <v>983</v>
      </c>
      <c r="F22" s="438" t="s">
        <v>984</v>
      </c>
      <c r="G22" s="370" t="str">
        <f>E22</f>
        <v>Dự phòng nợ khó đòi</v>
      </c>
      <c r="H22" s="370" t="s">
        <v>369</v>
      </c>
      <c r="I22" s="370" t="s">
        <v>726</v>
      </c>
      <c r="J22" s="1093"/>
      <c r="K22" s="824">
        <v>0</v>
      </c>
      <c r="L22" s="824">
        <v>0</v>
      </c>
      <c r="M22" s="824">
        <v>0</v>
      </c>
      <c r="N22" s="824">
        <v>0</v>
      </c>
      <c r="O22" s="824">
        <v>0</v>
      </c>
      <c r="P22" s="824">
        <v>0</v>
      </c>
      <c r="Q22" s="824">
        <v>0</v>
      </c>
      <c r="R22" s="824">
        <v>0</v>
      </c>
      <c r="S22" s="824">
        <v>0</v>
      </c>
      <c r="T22" s="824">
        <v>0</v>
      </c>
      <c r="U22" s="824">
        <v>0</v>
      </c>
      <c r="V22" s="824">
        <v>0</v>
      </c>
      <c r="W22" s="1094">
        <f t="shared" si="0"/>
        <v>0</v>
      </c>
      <c r="Y22" s="1093">
        <v>0</v>
      </c>
      <c r="Z22" s="1093">
        <v>0</v>
      </c>
      <c r="AA22" s="1093">
        <v>0</v>
      </c>
      <c r="AB22" s="1093">
        <v>0</v>
      </c>
      <c r="AC22" s="1093">
        <v>0</v>
      </c>
      <c r="AD22" s="1093">
        <v>0</v>
      </c>
      <c r="AE22" s="1093">
        <v>0</v>
      </c>
      <c r="AF22" s="1093">
        <v>0</v>
      </c>
      <c r="AG22" s="1093">
        <v>0</v>
      </c>
      <c r="AH22" s="823">
        <v>0</v>
      </c>
      <c r="AI22" s="823">
        <v>0</v>
      </c>
      <c r="AJ22" s="823">
        <v>0</v>
      </c>
      <c r="AK22" s="1094">
        <f t="shared" si="1"/>
        <v>0</v>
      </c>
      <c r="AM22" s="1094">
        <v>0</v>
      </c>
      <c r="AO22" s="1094">
        <v>0</v>
      </c>
      <c r="AQ22" s="823">
        <f t="shared" si="2"/>
        <v>0</v>
      </c>
      <c r="AR22" s="1095">
        <f t="shared" si="3"/>
        <v>0</v>
      </c>
      <c r="AS22" s="1203">
        <f t="shared" si="4"/>
        <v>0</v>
      </c>
    </row>
    <row r="23" spans="2:45" x14ac:dyDescent="0.35">
      <c r="B23" s="385">
        <v>19</v>
      </c>
      <c r="C23" s="385"/>
      <c r="D23" s="1092" t="s">
        <v>839</v>
      </c>
      <c r="E23" s="438" t="s">
        <v>985</v>
      </c>
      <c r="F23" s="438" t="s">
        <v>716</v>
      </c>
      <c r="G23" s="370" t="s">
        <v>986</v>
      </c>
      <c r="H23" s="370" t="s">
        <v>401</v>
      </c>
      <c r="I23" s="370" t="s">
        <v>726</v>
      </c>
      <c r="J23" s="1093"/>
      <c r="K23" s="824">
        <v>2293200</v>
      </c>
      <c r="L23" s="824">
        <v>2293200</v>
      </c>
      <c r="M23" s="824">
        <v>2293200</v>
      </c>
      <c r="N23" s="824">
        <v>2293200</v>
      </c>
      <c r="O23" s="824">
        <v>2293200</v>
      </c>
      <c r="P23" s="824">
        <v>2293200</v>
      </c>
      <c r="Q23" s="824">
        <v>2293200</v>
      </c>
      <c r="R23" s="824">
        <v>2293200</v>
      </c>
      <c r="S23" s="824">
        <v>2293200</v>
      </c>
      <c r="T23" s="824">
        <v>2293200</v>
      </c>
      <c r="U23" s="824">
        <v>2293200</v>
      </c>
      <c r="V23" s="824">
        <v>2293200</v>
      </c>
      <c r="W23" s="1094">
        <f t="shared" si="0"/>
        <v>27518400</v>
      </c>
      <c r="Y23" s="1093">
        <v>0</v>
      </c>
      <c r="Z23" s="1093">
        <v>0</v>
      </c>
      <c r="AA23" s="1093">
        <v>0</v>
      </c>
      <c r="AB23" s="1093">
        <v>0</v>
      </c>
      <c r="AC23" s="1093">
        <v>0</v>
      </c>
      <c r="AD23" s="1093">
        <v>0</v>
      </c>
      <c r="AE23" s="1093">
        <v>0</v>
      </c>
      <c r="AF23" s="1093">
        <v>0</v>
      </c>
      <c r="AG23" s="1093">
        <v>0</v>
      </c>
      <c r="AH23" s="823">
        <v>0</v>
      </c>
      <c r="AI23" s="823">
        <v>0</v>
      </c>
      <c r="AJ23" s="823">
        <v>0</v>
      </c>
      <c r="AK23" s="1094">
        <f t="shared" si="1"/>
        <v>0</v>
      </c>
      <c r="AM23" s="1094">
        <v>0</v>
      </c>
      <c r="AO23" s="1094">
        <v>26865900</v>
      </c>
      <c r="AQ23" s="823">
        <f t="shared" si="2"/>
        <v>27518400</v>
      </c>
      <c r="AR23" s="1095">
        <f t="shared" si="3"/>
        <v>0</v>
      </c>
      <c r="AS23" s="1203">
        <f t="shared" si="4"/>
        <v>27518400</v>
      </c>
    </row>
    <row r="24" spans="2:45" x14ac:dyDescent="0.35">
      <c r="B24" s="385">
        <v>20</v>
      </c>
      <c r="C24" s="385"/>
      <c r="D24" s="1092" t="s">
        <v>847</v>
      </c>
      <c r="E24" s="438" t="s">
        <v>746</v>
      </c>
      <c r="F24" s="438" t="s">
        <v>738</v>
      </c>
      <c r="G24" s="370" t="str">
        <f>E24</f>
        <v>Chi phí xây dựng, sửa chữa nhà xưởng, văn phòng</v>
      </c>
      <c r="H24" s="370" t="s">
        <v>379</v>
      </c>
      <c r="I24" s="370" t="s">
        <v>703</v>
      </c>
      <c r="J24" s="1093"/>
      <c r="K24" s="824">
        <v>4368125</v>
      </c>
      <c r="L24" s="824">
        <v>1368125</v>
      </c>
      <c r="M24" s="824">
        <v>4368125</v>
      </c>
      <c r="N24" s="824">
        <v>3599236.111111111</v>
      </c>
      <c r="O24" s="824">
        <v>1911736.111111111</v>
      </c>
      <c r="P24" s="824">
        <v>3911736.111111111</v>
      </c>
      <c r="Q24" s="824">
        <v>2911736.111111111</v>
      </c>
      <c r="R24" s="824">
        <v>1911736.111111111</v>
      </c>
      <c r="S24" s="824">
        <v>3911736.111111111</v>
      </c>
      <c r="T24" s="824">
        <v>1911736.111111111</v>
      </c>
      <c r="U24" s="824">
        <v>1911736.111111111</v>
      </c>
      <c r="V24" s="824">
        <v>3911736.111111111</v>
      </c>
      <c r="W24" s="1094">
        <f t="shared" si="0"/>
        <v>35997500.000000007</v>
      </c>
      <c r="Y24" s="1093">
        <v>992343</v>
      </c>
      <c r="Z24" s="1093">
        <v>2017349</v>
      </c>
      <c r="AA24" s="1093">
        <v>1704815</v>
      </c>
      <c r="AB24" s="1093">
        <v>1709641</v>
      </c>
      <c r="AC24" s="1093">
        <v>2277141</v>
      </c>
      <c r="AD24" s="1093">
        <v>3177141</v>
      </c>
      <c r="AE24" s="1093">
        <v>2277141</v>
      </c>
      <c r="AF24" s="1093">
        <v>2277141</v>
      </c>
      <c r="AG24" s="1093">
        <v>2360486</v>
      </c>
      <c r="AH24" s="823">
        <v>2360486</v>
      </c>
      <c r="AI24" s="823">
        <v>2360486</v>
      </c>
      <c r="AJ24" s="823">
        <v>2360486</v>
      </c>
      <c r="AK24" s="1094">
        <f t="shared" si="1"/>
        <v>25874656</v>
      </c>
      <c r="AM24" s="1094">
        <v>6600000</v>
      </c>
      <c r="AO24" s="1094">
        <v>18040500</v>
      </c>
      <c r="AQ24" s="823">
        <f t="shared" si="2"/>
        <v>10122844.000000007</v>
      </c>
      <c r="AR24" s="1095">
        <f t="shared" si="3"/>
        <v>0.39122622538440743</v>
      </c>
      <c r="AS24" s="1203">
        <f t="shared" si="4"/>
        <v>61872156.000000007</v>
      </c>
    </row>
    <row r="25" spans="2:45" x14ac:dyDescent="0.35">
      <c r="B25" s="385">
        <v>21</v>
      </c>
      <c r="C25" s="385"/>
      <c r="D25" s="1092">
        <v>6427002301</v>
      </c>
      <c r="E25" s="438" t="s">
        <v>749</v>
      </c>
      <c r="F25" s="438" t="s">
        <v>750</v>
      </c>
      <c r="G25" s="370" t="str">
        <f>E25</f>
        <v>Chi phí bảo hiểm tài sản</v>
      </c>
      <c r="H25" s="370" t="s">
        <v>369</v>
      </c>
      <c r="I25" s="370" t="s">
        <v>703</v>
      </c>
      <c r="J25" s="1093"/>
      <c r="K25" s="824">
        <v>0</v>
      </c>
      <c r="L25" s="824">
        <v>0</v>
      </c>
      <c r="M25" s="824">
        <v>0</v>
      </c>
      <c r="N25" s="824">
        <v>0</v>
      </c>
      <c r="O25" s="824">
        <v>0</v>
      </c>
      <c r="P25" s="824">
        <v>0</v>
      </c>
      <c r="Q25" s="824">
        <v>0</v>
      </c>
      <c r="R25" s="824">
        <v>0</v>
      </c>
      <c r="S25" s="824">
        <v>0</v>
      </c>
      <c r="T25" s="824">
        <v>0</v>
      </c>
      <c r="U25" s="824">
        <v>0</v>
      </c>
      <c r="V25" s="824">
        <v>0</v>
      </c>
      <c r="W25" s="1094">
        <f t="shared" si="0"/>
        <v>0</v>
      </c>
      <c r="Y25" s="1093">
        <v>0</v>
      </c>
      <c r="Z25" s="1093">
        <v>0</v>
      </c>
      <c r="AA25" s="1093">
        <v>0</v>
      </c>
      <c r="AB25" s="1093">
        <v>0</v>
      </c>
      <c r="AC25" s="1093">
        <v>0</v>
      </c>
      <c r="AD25" s="1093">
        <v>0</v>
      </c>
      <c r="AE25" s="1093">
        <v>0</v>
      </c>
      <c r="AF25" s="1093">
        <v>0</v>
      </c>
      <c r="AG25" s="1093">
        <v>0</v>
      </c>
      <c r="AH25" s="823">
        <v>0</v>
      </c>
      <c r="AI25" s="823">
        <v>0</v>
      </c>
      <c r="AJ25" s="823">
        <v>0</v>
      </c>
      <c r="AK25" s="1094">
        <f t="shared" si="1"/>
        <v>0</v>
      </c>
      <c r="AM25" s="1094">
        <v>0</v>
      </c>
      <c r="AO25" s="1094">
        <v>58948706</v>
      </c>
      <c r="AQ25" s="823">
        <f t="shared" si="2"/>
        <v>0</v>
      </c>
      <c r="AR25" s="1095">
        <f t="shared" si="3"/>
        <v>0</v>
      </c>
      <c r="AS25" s="1203">
        <f t="shared" si="4"/>
        <v>0</v>
      </c>
    </row>
    <row r="26" spans="2:45" x14ac:dyDescent="0.35">
      <c r="B26" s="385">
        <v>22</v>
      </c>
      <c r="C26" s="385"/>
      <c r="D26" s="1092" t="s">
        <v>837</v>
      </c>
      <c r="E26" s="438" t="s">
        <v>728</v>
      </c>
      <c r="F26" s="438" t="s">
        <v>729</v>
      </c>
      <c r="G26" s="370" t="str">
        <f>E26</f>
        <v>Tiền nước uống</v>
      </c>
      <c r="H26" s="438" t="s">
        <v>359</v>
      </c>
      <c r="I26" s="370" t="s">
        <v>726</v>
      </c>
      <c r="J26" s="1093"/>
      <c r="K26" s="824">
        <v>2105000</v>
      </c>
      <c r="L26" s="824">
        <v>2105000</v>
      </c>
      <c r="M26" s="824">
        <v>2105000</v>
      </c>
      <c r="N26" s="824">
        <v>2105000</v>
      </c>
      <c r="O26" s="824">
        <v>2105000</v>
      </c>
      <c r="P26" s="824">
        <v>2105000</v>
      </c>
      <c r="Q26" s="824">
        <v>2105000</v>
      </c>
      <c r="R26" s="824">
        <v>2105000</v>
      </c>
      <c r="S26" s="824">
        <v>2105000</v>
      </c>
      <c r="T26" s="824">
        <v>2105000</v>
      </c>
      <c r="U26" s="824">
        <v>2105000</v>
      </c>
      <c r="V26" s="824">
        <v>2105000</v>
      </c>
      <c r="W26" s="1094">
        <f t="shared" si="0"/>
        <v>25260000</v>
      </c>
      <c r="Y26" s="1093">
        <v>1231915</v>
      </c>
      <c r="Z26" s="1093">
        <v>1099149</v>
      </c>
      <c r="AA26" s="1093">
        <v>1231915</v>
      </c>
      <c r="AB26" s="1093">
        <v>1231915</v>
      </c>
      <c r="AC26" s="1093">
        <v>900000</v>
      </c>
      <c r="AD26" s="1093">
        <v>1231915</v>
      </c>
      <c r="AE26" s="1093">
        <v>1231915</v>
      </c>
      <c r="AF26" s="1093">
        <v>1231915</v>
      </c>
      <c r="AG26" s="1093">
        <v>1099149</v>
      </c>
      <c r="AH26" s="823">
        <v>1099149</v>
      </c>
      <c r="AI26" s="823">
        <v>1099149</v>
      </c>
      <c r="AJ26" s="823">
        <v>1099149</v>
      </c>
      <c r="AK26" s="1094">
        <f t="shared" si="1"/>
        <v>13787235</v>
      </c>
      <c r="AM26" s="1094">
        <v>11922129</v>
      </c>
      <c r="AO26" s="1094">
        <v>7311406</v>
      </c>
      <c r="AQ26" s="823">
        <f t="shared" si="2"/>
        <v>11472765</v>
      </c>
      <c r="AR26" s="1095">
        <f t="shared" si="3"/>
        <v>0.8321295023984141</v>
      </c>
      <c r="AS26" s="1203">
        <f t="shared" si="4"/>
        <v>39047235</v>
      </c>
    </row>
    <row r="27" spans="2:45" x14ac:dyDescent="0.35">
      <c r="B27" s="385">
        <v>23</v>
      </c>
      <c r="C27" s="385"/>
      <c r="D27" s="1092">
        <v>6427003302</v>
      </c>
      <c r="E27" s="438" t="s">
        <v>877</v>
      </c>
      <c r="F27" s="438" t="s">
        <v>987</v>
      </c>
      <c r="G27" s="370" t="str">
        <f t="shared" ref="G27:G28" si="6">E27</f>
        <v>Chi phí đào tạo</v>
      </c>
      <c r="H27" s="438" t="s">
        <v>359</v>
      </c>
      <c r="I27" s="370" t="s">
        <v>726</v>
      </c>
      <c r="J27" s="1093"/>
      <c r="K27" s="824">
        <v>1000000</v>
      </c>
      <c r="L27" s="824">
        <v>1000000</v>
      </c>
      <c r="M27" s="824">
        <v>1000000</v>
      </c>
      <c r="N27" s="824">
        <v>1000000</v>
      </c>
      <c r="O27" s="824">
        <v>1000000</v>
      </c>
      <c r="P27" s="824">
        <v>3166666.6666666665</v>
      </c>
      <c r="Q27" s="824">
        <v>3166666.6666666665</v>
      </c>
      <c r="R27" s="824">
        <v>3166666.6666666665</v>
      </c>
      <c r="S27" s="824">
        <v>3166666.6666666665</v>
      </c>
      <c r="T27" s="824">
        <v>3166666.6666666665</v>
      </c>
      <c r="U27" s="824">
        <v>3166666.6666666665</v>
      </c>
      <c r="V27" s="824">
        <v>3166666.6666666665</v>
      </c>
      <c r="W27" s="1094">
        <f t="shared" si="0"/>
        <v>27166666.666666668</v>
      </c>
      <c r="Y27" s="1093">
        <v>416667</v>
      </c>
      <c r="Z27" s="1093">
        <v>416667</v>
      </c>
      <c r="AA27" s="1093">
        <v>0</v>
      </c>
      <c r="AB27" s="1093">
        <v>1000000</v>
      </c>
      <c r="AC27" s="1093">
        <v>1000000</v>
      </c>
      <c r="AD27" s="1093">
        <v>1000000</v>
      </c>
      <c r="AE27" s="1093">
        <v>1000000</v>
      </c>
      <c r="AF27" s="1093">
        <v>1000000</v>
      </c>
      <c r="AG27" s="1093">
        <v>1000000</v>
      </c>
      <c r="AH27" s="823">
        <v>1000000</v>
      </c>
      <c r="AI27" s="823">
        <v>1000000</v>
      </c>
      <c r="AJ27" s="823">
        <v>1000000</v>
      </c>
      <c r="AK27" s="1094">
        <f t="shared" si="1"/>
        <v>9833334</v>
      </c>
      <c r="AM27" s="1094">
        <v>4166670</v>
      </c>
      <c r="AO27" s="1094">
        <v>14000000</v>
      </c>
      <c r="AQ27" s="823">
        <f t="shared" si="2"/>
        <v>17333332.666666668</v>
      </c>
      <c r="AR27" s="1095">
        <f t="shared" si="3"/>
        <v>1.762711677104293</v>
      </c>
      <c r="AS27" s="1203">
        <f t="shared" si="4"/>
        <v>37000000.666666672</v>
      </c>
    </row>
    <row r="28" spans="2:45" x14ac:dyDescent="0.35">
      <c r="B28" s="385">
        <v>24</v>
      </c>
      <c r="C28" s="385"/>
      <c r="D28" s="1092">
        <v>6427003301</v>
      </c>
      <c r="E28" s="438" t="s">
        <v>988</v>
      </c>
      <c r="F28" s="438" t="s">
        <v>989</v>
      </c>
      <c r="G28" s="370" t="str">
        <f t="shared" si="6"/>
        <v>Chi phí tuyển dụng</v>
      </c>
      <c r="H28" s="438" t="s">
        <v>359</v>
      </c>
      <c r="I28" s="370" t="s">
        <v>726</v>
      </c>
      <c r="J28" s="1093"/>
      <c r="K28" s="824">
        <v>0</v>
      </c>
      <c r="L28" s="824">
        <v>0</v>
      </c>
      <c r="M28" s="824">
        <v>0</v>
      </c>
      <c r="N28" s="824">
        <v>0</v>
      </c>
      <c r="O28" s="824">
        <v>0</v>
      </c>
      <c r="P28" s="824">
        <v>0</v>
      </c>
      <c r="Q28" s="824">
        <v>0</v>
      </c>
      <c r="R28" s="824">
        <v>0</v>
      </c>
      <c r="S28" s="824">
        <v>0</v>
      </c>
      <c r="T28" s="824">
        <v>0</v>
      </c>
      <c r="U28" s="824">
        <v>0</v>
      </c>
      <c r="V28" s="824">
        <v>0</v>
      </c>
      <c r="W28" s="1094">
        <f t="shared" si="0"/>
        <v>0</v>
      </c>
      <c r="Y28" s="1093">
        <v>0</v>
      </c>
      <c r="Z28" s="1093">
        <v>0</v>
      </c>
      <c r="AA28" s="1093">
        <v>0</v>
      </c>
      <c r="AB28" s="1093">
        <v>0</v>
      </c>
      <c r="AC28" s="1093">
        <v>0</v>
      </c>
      <c r="AD28" s="1093">
        <v>0</v>
      </c>
      <c r="AE28" s="1093">
        <v>0</v>
      </c>
      <c r="AF28" s="1093">
        <v>0</v>
      </c>
      <c r="AG28" s="1093">
        <v>0</v>
      </c>
      <c r="AH28" s="823">
        <v>0</v>
      </c>
      <c r="AI28" s="823">
        <v>0</v>
      </c>
      <c r="AJ28" s="823">
        <v>0</v>
      </c>
      <c r="AK28" s="1094">
        <f t="shared" si="1"/>
        <v>0</v>
      </c>
      <c r="AM28" s="1094">
        <v>0</v>
      </c>
      <c r="AO28" s="1094">
        <v>0</v>
      </c>
      <c r="AQ28" s="823">
        <f t="shared" si="2"/>
        <v>0</v>
      </c>
      <c r="AR28" s="1095">
        <f t="shared" si="3"/>
        <v>0</v>
      </c>
      <c r="AS28" s="1203">
        <f t="shared" si="4"/>
        <v>0</v>
      </c>
    </row>
    <row r="29" spans="2:45" x14ac:dyDescent="0.35">
      <c r="B29" s="385">
        <v>25</v>
      </c>
      <c r="C29" s="385"/>
      <c r="D29" s="1092" t="s">
        <v>843</v>
      </c>
      <c r="E29" s="438" t="s">
        <v>936</v>
      </c>
      <c r="F29" s="438" t="s">
        <v>493</v>
      </c>
      <c r="G29" s="370" t="s">
        <v>842</v>
      </c>
      <c r="H29" s="438" t="s">
        <v>359</v>
      </c>
      <c r="I29" s="370" t="s">
        <v>726</v>
      </c>
      <c r="J29" s="1093"/>
      <c r="K29" s="824">
        <v>46720000</v>
      </c>
      <c r="L29" s="824">
        <v>46720000</v>
      </c>
      <c r="M29" s="824">
        <v>46720000</v>
      </c>
      <c r="N29" s="824">
        <v>46720000</v>
      </c>
      <c r="O29" s="824">
        <v>46720000</v>
      </c>
      <c r="P29" s="824">
        <v>46720000</v>
      </c>
      <c r="Q29" s="824">
        <v>46720000</v>
      </c>
      <c r="R29" s="824">
        <v>46720000</v>
      </c>
      <c r="S29" s="824">
        <v>46720000</v>
      </c>
      <c r="T29" s="824">
        <v>46720000</v>
      </c>
      <c r="U29" s="824">
        <v>46720000</v>
      </c>
      <c r="V29" s="824">
        <v>46720000</v>
      </c>
      <c r="W29" s="1094">
        <f t="shared" si="0"/>
        <v>560640000</v>
      </c>
      <c r="Y29" s="1093">
        <v>34466185</v>
      </c>
      <c r="Z29" s="1093">
        <v>28413177</v>
      </c>
      <c r="AA29" s="1093">
        <v>34194570</v>
      </c>
      <c r="AB29" s="1093">
        <v>36252471</v>
      </c>
      <c r="AC29" s="1093">
        <v>33332061</v>
      </c>
      <c r="AD29" s="1093">
        <v>46978162</v>
      </c>
      <c r="AE29" s="1093">
        <v>42963174</v>
      </c>
      <c r="AF29" s="1093">
        <v>44814615</v>
      </c>
      <c r="AG29" s="1093">
        <v>46810053</v>
      </c>
      <c r="AH29" s="823">
        <v>46810053</v>
      </c>
      <c r="AI29" s="823">
        <v>46810053</v>
      </c>
      <c r="AJ29" s="823">
        <v>46810053</v>
      </c>
      <c r="AK29" s="1094">
        <f t="shared" si="1"/>
        <v>488654627</v>
      </c>
      <c r="AM29" s="1094">
        <v>414180629</v>
      </c>
      <c r="AO29" s="1094">
        <v>295343568</v>
      </c>
      <c r="AQ29" s="823">
        <f t="shared" si="2"/>
        <v>71985373</v>
      </c>
      <c r="AR29" s="1095">
        <f t="shared" si="3"/>
        <v>0.14731339687079226</v>
      </c>
      <c r="AS29" s="1203">
        <f t="shared" si="4"/>
        <v>1049294627</v>
      </c>
    </row>
    <row r="30" spans="2:45" x14ac:dyDescent="0.35">
      <c r="B30" s="385">
        <v>26</v>
      </c>
      <c r="C30" s="385"/>
      <c r="D30" s="1092">
        <v>6427003703</v>
      </c>
      <c r="E30" s="438" t="s">
        <v>990</v>
      </c>
      <c r="F30" s="438" t="s">
        <v>493</v>
      </c>
      <c r="G30" s="370" t="str">
        <f>E30</f>
        <v>Chi phí gởi xe du lịch, xe gắn máy</v>
      </c>
      <c r="H30" s="438" t="s">
        <v>359</v>
      </c>
      <c r="I30" s="370" t="s">
        <v>726</v>
      </c>
      <c r="J30" s="1093"/>
      <c r="K30" s="824">
        <v>0</v>
      </c>
      <c r="L30" s="824">
        <v>0</v>
      </c>
      <c r="M30" s="824">
        <v>0</v>
      </c>
      <c r="N30" s="824">
        <v>0</v>
      </c>
      <c r="O30" s="824">
        <v>0</v>
      </c>
      <c r="P30" s="824">
        <v>0</v>
      </c>
      <c r="Q30" s="824">
        <v>0</v>
      </c>
      <c r="R30" s="824">
        <v>0</v>
      </c>
      <c r="S30" s="824">
        <v>0</v>
      </c>
      <c r="T30" s="824">
        <v>0</v>
      </c>
      <c r="U30" s="824">
        <v>0</v>
      </c>
      <c r="V30" s="824">
        <v>0</v>
      </c>
      <c r="W30" s="1094">
        <f t="shared" si="0"/>
        <v>0</v>
      </c>
      <c r="Y30" s="1093">
        <v>0</v>
      </c>
      <c r="Z30" s="1093">
        <v>0</v>
      </c>
      <c r="AA30" s="1093">
        <v>0</v>
      </c>
      <c r="AB30" s="1093">
        <v>0</v>
      </c>
      <c r="AC30" s="1093">
        <v>0</v>
      </c>
      <c r="AD30" s="1093">
        <v>0</v>
      </c>
      <c r="AE30" s="1093">
        <v>0</v>
      </c>
      <c r="AF30" s="1093">
        <v>0</v>
      </c>
      <c r="AG30" s="1093">
        <v>0</v>
      </c>
      <c r="AH30" s="823"/>
      <c r="AI30" s="823"/>
      <c r="AJ30" s="823"/>
      <c r="AK30" s="1094">
        <f t="shared" si="1"/>
        <v>0</v>
      </c>
      <c r="AM30" s="1094">
        <v>0</v>
      </c>
      <c r="AO30" s="1094">
        <v>0</v>
      </c>
      <c r="AQ30" s="823">
        <f t="shared" si="2"/>
        <v>0</v>
      </c>
      <c r="AR30" s="1095">
        <f t="shared" si="3"/>
        <v>0</v>
      </c>
      <c r="AS30" s="1203">
        <f t="shared" si="4"/>
        <v>0</v>
      </c>
    </row>
    <row r="31" spans="2:45" x14ac:dyDescent="0.35">
      <c r="B31" s="385">
        <v>27</v>
      </c>
      <c r="C31" s="385"/>
      <c r="D31" s="1092">
        <v>6427003801</v>
      </c>
      <c r="E31" s="438" t="s">
        <v>991</v>
      </c>
      <c r="F31" s="438" t="s">
        <v>992</v>
      </c>
      <c r="G31" s="370" t="str">
        <f>E31</f>
        <v>Phí cầu đường xe</v>
      </c>
      <c r="H31" s="438" t="s">
        <v>359</v>
      </c>
      <c r="I31" s="370" t="s">
        <v>726</v>
      </c>
      <c r="J31" s="1093"/>
      <c r="K31" s="824">
        <v>0</v>
      </c>
      <c r="L31" s="824">
        <v>0</v>
      </c>
      <c r="M31" s="824">
        <v>0</v>
      </c>
      <c r="N31" s="824">
        <v>0</v>
      </c>
      <c r="O31" s="824">
        <v>0</v>
      </c>
      <c r="P31" s="824">
        <v>0</v>
      </c>
      <c r="Q31" s="824">
        <v>0</v>
      </c>
      <c r="R31" s="824">
        <v>0</v>
      </c>
      <c r="S31" s="824">
        <v>0</v>
      </c>
      <c r="T31" s="824">
        <v>0</v>
      </c>
      <c r="U31" s="824">
        <v>0</v>
      </c>
      <c r="V31" s="824">
        <v>0</v>
      </c>
      <c r="W31" s="1094">
        <f t="shared" si="0"/>
        <v>0</v>
      </c>
      <c r="Y31" s="1093">
        <v>0</v>
      </c>
      <c r="Z31" s="1093">
        <v>0</v>
      </c>
      <c r="AA31" s="1093">
        <v>0</v>
      </c>
      <c r="AB31" s="1093">
        <v>0</v>
      </c>
      <c r="AC31" s="1093">
        <v>0</v>
      </c>
      <c r="AD31" s="1093">
        <v>0</v>
      </c>
      <c r="AE31" s="1093">
        <v>0</v>
      </c>
      <c r="AF31" s="1093">
        <v>0</v>
      </c>
      <c r="AG31" s="1093">
        <v>0</v>
      </c>
      <c r="AH31" s="823"/>
      <c r="AI31" s="823"/>
      <c r="AJ31" s="823"/>
      <c r="AK31" s="1094">
        <f t="shared" si="1"/>
        <v>0</v>
      </c>
      <c r="AM31" s="1094">
        <v>9135850</v>
      </c>
      <c r="AO31" s="1094">
        <v>50830603</v>
      </c>
      <c r="AQ31" s="823">
        <f t="shared" si="2"/>
        <v>0</v>
      </c>
      <c r="AR31" s="1095">
        <f t="shared" si="3"/>
        <v>0</v>
      </c>
      <c r="AS31" s="1203">
        <f t="shared" si="4"/>
        <v>0</v>
      </c>
    </row>
    <row r="32" spans="2:45" x14ac:dyDescent="0.35">
      <c r="B32" s="385">
        <v>28</v>
      </c>
      <c r="C32" s="385"/>
      <c r="D32" s="1092">
        <v>6427003802</v>
      </c>
      <c r="E32" s="438" t="s">
        <v>993</v>
      </c>
      <c r="F32" s="438" t="s">
        <v>755</v>
      </c>
      <c r="G32" s="370" t="str">
        <f>E32</f>
        <v>Phí đăng kiểm, kiểm định xe</v>
      </c>
      <c r="H32" s="438" t="s">
        <v>359</v>
      </c>
      <c r="I32" s="370" t="s">
        <v>703</v>
      </c>
      <c r="J32" s="1093"/>
      <c r="K32" s="824">
        <v>0</v>
      </c>
      <c r="L32" s="824">
        <v>0</v>
      </c>
      <c r="M32" s="824">
        <v>0</v>
      </c>
      <c r="N32" s="824">
        <v>0</v>
      </c>
      <c r="O32" s="824">
        <v>0</v>
      </c>
      <c r="P32" s="824">
        <v>0</v>
      </c>
      <c r="Q32" s="824">
        <v>0</v>
      </c>
      <c r="R32" s="824">
        <v>0</v>
      </c>
      <c r="S32" s="824">
        <v>0</v>
      </c>
      <c r="T32" s="824">
        <v>0</v>
      </c>
      <c r="U32" s="824">
        <v>0</v>
      </c>
      <c r="V32" s="824">
        <v>0</v>
      </c>
      <c r="W32" s="1094">
        <f t="shared" si="0"/>
        <v>0</v>
      </c>
      <c r="Y32" s="1093">
        <v>0</v>
      </c>
      <c r="Z32" s="1093">
        <v>0</v>
      </c>
      <c r="AA32" s="1093">
        <v>0</v>
      </c>
      <c r="AB32" s="1093">
        <v>0</v>
      </c>
      <c r="AC32" s="1093">
        <v>0</v>
      </c>
      <c r="AD32" s="1093">
        <v>0</v>
      </c>
      <c r="AE32" s="1093">
        <v>0</v>
      </c>
      <c r="AF32" s="1093">
        <v>0</v>
      </c>
      <c r="AG32" s="1093">
        <v>0</v>
      </c>
      <c r="AH32" s="823"/>
      <c r="AI32" s="823"/>
      <c r="AJ32" s="823"/>
      <c r="AK32" s="1094">
        <f t="shared" si="1"/>
        <v>0</v>
      </c>
      <c r="AM32" s="1094">
        <v>0</v>
      </c>
      <c r="AO32" s="1094">
        <v>0</v>
      </c>
      <c r="AQ32" s="823">
        <f t="shared" si="2"/>
        <v>0</v>
      </c>
      <c r="AR32" s="1095">
        <f t="shared" si="3"/>
        <v>0</v>
      </c>
      <c r="AS32" s="1203">
        <f t="shared" si="4"/>
        <v>0</v>
      </c>
    </row>
    <row r="33" spans="2:45" x14ac:dyDescent="0.35">
      <c r="B33" s="385">
        <v>29</v>
      </c>
      <c r="C33" s="385"/>
      <c r="D33" s="1092">
        <v>6427004104</v>
      </c>
      <c r="E33" s="438" t="s">
        <v>994</v>
      </c>
      <c r="F33" s="438" t="s">
        <v>995</v>
      </c>
      <c r="G33" s="370" t="str">
        <f>E33</f>
        <v>Chi phí ấn phẩm: Catalogue, tờ rơi</v>
      </c>
      <c r="H33" s="438" t="s">
        <v>359</v>
      </c>
      <c r="I33" s="370" t="s">
        <v>726</v>
      </c>
      <c r="J33" s="1093"/>
      <c r="K33" s="824">
        <v>0</v>
      </c>
      <c r="L33" s="824">
        <v>0</v>
      </c>
      <c r="M33" s="824">
        <v>0</v>
      </c>
      <c r="N33" s="824">
        <v>0</v>
      </c>
      <c r="O33" s="824">
        <v>0</v>
      </c>
      <c r="P33" s="824">
        <v>0</v>
      </c>
      <c r="Q33" s="824">
        <v>0</v>
      </c>
      <c r="R33" s="824">
        <v>0</v>
      </c>
      <c r="S33" s="824">
        <v>0</v>
      </c>
      <c r="T33" s="824">
        <v>0</v>
      </c>
      <c r="U33" s="824">
        <v>0</v>
      </c>
      <c r="V33" s="824">
        <v>0</v>
      </c>
      <c r="W33" s="1094">
        <f t="shared" si="0"/>
        <v>0</v>
      </c>
      <c r="Y33" s="1093">
        <v>0</v>
      </c>
      <c r="Z33" s="1093">
        <v>0</v>
      </c>
      <c r="AA33" s="1093">
        <v>0</v>
      </c>
      <c r="AB33" s="1093">
        <v>0</v>
      </c>
      <c r="AC33" s="1093">
        <v>0</v>
      </c>
      <c r="AD33" s="1093">
        <v>0</v>
      </c>
      <c r="AE33" s="1093">
        <v>0</v>
      </c>
      <c r="AF33" s="1093">
        <v>0</v>
      </c>
      <c r="AG33" s="1093">
        <v>0</v>
      </c>
      <c r="AH33" s="823"/>
      <c r="AI33" s="823"/>
      <c r="AJ33" s="823"/>
      <c r="AK33" s="1094">
        <f t="shared" si="1"/>
        <v>0</v>
      </c>
      <c r="AM33" s="1094">
        <v>0</v>
      </c>
      <c r="AO33" s="1094">
        <v>0</v>
      </c>
      <c r="AQ33" s="823">
        <f t="shared" si="2"/>
        <v>0</v>
      </c>
      <c r="AR33" s="1095">
        <f t="shared" si="3"/>
        <v>0</v>
      </c>
      <c r="AS33" s="1203">
        <f t="shared" si="4"/>
        <v>0</v>
      </c>
    </row>
    <row r="34" spans="2:45" x14ac:dyDescent="0.35">
      <c r="B34" s="385">
        <v>30</v>
      </c>
      <c r="C34" s="385"/>
      <c r="D34" s="1092">
        <v>6427004301</v>
      </c>
      <c r="E34" s="438" t="s">
        <v>996</v>
      </c>
      <c r="F34" s="438" t="s">
        <v>493</v>
      </c>
      <c r="G34" s="370" t="str">
        <f>E34</f>
        <v>Chi phí nghỉ mát, du lịch</v>
      </c>
      <c r="H34" s="438" t="s">
        <v>359</v>
      </c>
      <c r="I34" s="370" t="s">
        <v>726</v>
      </c>
      <c r="J34" s="1093"/>
      <c r="K34" s="824">
        <v>0</v>
      </c>
      <c r="L34" s="824">
        <v>0</v>
      </c>
      <c r="M34" s="824">
        <v>0</v>
      </c>
      <c r="N34" s="824">
        <v>0</v>
      </c>
      <c r="O34" s="824">
        <v>0</v>
      </c>
      <c r="P34" s="824">
        <v>165000000</v>
      </c>
      <c r="Q34" s="824">
        <v>0</v>
      </c>
      <c r="R34" s="824">
        <v>0</v>
      </c>
      <c r="S34" s="824">
        <v>0</v>
      </c>
      <c r="T34" s="824">
        <v>0</v>
      </c>
      <c r="U34" s="824">
        <v>0</v>
      </c>
      <c r="V34" s="824">
        <v>0</v>
      </c>
      <c r="W34" s="1094">
        <f t="shared" si="0"/>
        <v>165000000</v>
      </c>
      <c r="Y34" s="1093">
        <v>0</v>
      </c>
      <c r="Z34" s="1093">
        <v>0</v>
      </c>
      <c r="AA34" s="1093">
        <v>0</v>
      </c>
      <c r="AB34" s="1093">
        <v>0</v>
      </c>
      <c r="AC34" s="1093">
        <v>0</v>
      </c>
      <c r="AD34" s="1093">
        <v>0</v>
      </c>
      <c r="AE34" s="1093">
        <v>0</v>
      </c>
      <c r="AF34" s="1093">
        <v>0</v>
      </c>
      <c r="AG34" s="1093">
        <v>0</v>
      </c>
      <c r="AH34" s="823"/>
      <c r="AI34" s="823"/>
      <c r="AJ34" s="823"/>
      <c r="AK34" s="1094">
        <f t="shared" si="1"/>
        <v>0</v>
      </c>
      <c r="AM34" s="1094">
        <v>0</v>
      </c>
      <c r="AO34" s="1094">
        <v>0</v>
      </c>
      <c r="AQ34" s="823">
        <f t="shared" si="2"/>
        <v>165000000</v>
      </c>
      <c r="AR34" s="1095">
        <f t="shared" si="3"/>
        <v>0</v>
      </c>
      <c r="AS34" s="1203">
        <f t="shared" si="4"/>
        <v>165000000</v>
      </c>
    </row>
    <row r="35" spans="2:45" x14ac:dyDescent="0.35">
      <c r="B35" s="385">
        <v>31</v>
      </c>
      <c r="C35" s="385"/>
      <c r="D35" s="1092">
        <v>6427004601</v>
      </c>
      <c r="E35" s="438" t="s">
        <v>997</v>
      </c>
      <c r="F35" s="438" t="s">
        <v>987</v>
      </c>
      <c r="G35" s="370" t="s">
        <v>998</v>
      </c>
      <c r="H35" s="438" t="s">
        <v>359</v>
      </c>
      <c r="I35" s="370" t="s">
        <v>726</v>
      </c>
      <c r="J35" s="1093"/>
      <c r="K35" s="824">
        <v>0</v>
      </c>
      <c r="L35" s="824">
        <v>0</v>
      </c>
      <c r="M35" s="824">
        <v>0</v>
      </c>
      <c r="N35" s="824">
        <v>0</v>
      </c>
      <c r="O35" s="824">
        <v>0</v>
      </c>
      <c r="P35" s="824">
        <v>0</v>
      </c>
      <c r="Q35" s="824">
        <v>0</v>
      </c>
      <c r="R35" s="824">
        <v>0</v>
      </c>
      <c r="S35" s="824">
        <v>0</v>
      </c>
      <c r="T35" s="824">
        <v>0</v>
      </c>
      <c r="U35" s="824">
        <v>0</v>
      </c>
      <c r="V35" s="824">
        <v>0</v>
      </c>
      <c r="W35" s="1094">
        <f t="shared" si="0"/>
        <v>0</v>
      </c>
      <c r="Y35" s="1093">
        <v>0</v>
      </c>
      <c r="Z35" s="1093">
        <v>0</v>
      </c>
      <c r="AA35" s="1093">
        <v>0</v>
      </c>
      <c r="AB35" s="1093">
        <v>0</v>
      </c>
      <c r="AC35" s="1093">
        <v>0</v>
      </c>
      <c r="AD35" s="1093">
        <v>0</v>
      </c>
      <c r="AE35" s="1093">
        <v>0</v>
      </c>
      <c r="AF35" s="1093">
        <v>0</v>
      </c>
      <c r="AG35" s="1093">
        <v>0</v>
      </c>
      <c r="AH35" s="823"/>
      <c r="AI35" s="823"/>
      <c r="AJ35" s="823"/>
      <c r="AK35" s="1094">
        <f t="shared" si="1"/>
        <v>0</v>
      </c>
      <c r="AM35" s="1094">
        <v>0</v>
      </c>
      <c r="AO35" s="1094">
        <v>0</v>
      </c>
      <c r="AQ35" s="823">
        <f t="shared" si="2"/>
        <v>0</v>
      </c>
      <c r="AR35" s="1095">
        <f t="shared" si="3"/>
        <v>0</v>
      </c>
      <c r="AS35" s="1203">
        <f t="shared" si="4"/>
        <v>0</v>
      </c>
    </row>
    <row r="36" spans="2:45" x14ac:dyDescent="0.35">
      <c r="B36" s="385">
        <v>32</v>
      </c>
      <c r="C36" s="385"/>
      <c r="D36" s="1092">
        <v>6427004603</v>
      </c>
      <c r="E36" s="438" t="s">
        <v>999</v>
      </c>
      <c r="F36" s="438" t="s">
        <v>995</v>
      </c>
      <c r="G36" s="370" t="str">
        <f>E36</f>
        <v>Chi phí hội nghị khách hàng</v>
      </c>
      <c r="H36" s="370" t="s">
        <v>356</v>
      </c>
      <c r="I36" s="370" t="s">
        <v>726</v>
      </c>
      <c r="J36" s="1093"/>
      <c r="K36" s="824">
        <v>0</v>
      </c>
      <c r="L36" s="824">
        <v>0</v>
      </c>
      <c r="M36" s="824">
        <v>0</v>
      </c>
      <c r="N36" s="824">
        <v>0</v>
      </c>
      <c r="O36" s="824">
        <v>0</v>
      </c>
      <c r="P36" s="824">
        <v>0</v>
      </c>
      <c r="Q36" s="824">
        <v>0</v>
      </c>
      <c r="R36" s="824">
        <v>0</v>
      </c>
      <c r="S36" s="824">
        <v>0</v>
      </c>
      <c r="T36" s="824">
        <v>0</v>
      </c>
      <c r="U36" s="824">
        <v>0</v>
      </c>
      <c r="V36" s="824">
        <v>0</v>
      </c>
      <c r="W36" s="1094">
        <f t="shared" si="0"/>
        <v>0</v>
      </c>
      <c r="Y36" s="1093">
        <v>0</v>
      </c>
      <c r="Z36" s="1093">
        <v>0</v>
      </c>
      <c r="AA36" s="1093">
        <v>0</v>
      </c>
      <c r="AB36" s="1093">
        <v>0</v>
      </c>
      <c r="AC36" s="1093">
        <v>0</v>
      </c>
      <c r="AD36" s="1093">
        <v>0</v>
      </c>
      <c r="AE36" s="1093">
        <v>0</v>
      </c>
      <c r="AF36" s="1093">
        <v>0</v>
      </c>
      <c r="AG36" s="1093">
        <v>0</v>
      </c>
      <c r="AH36" s="823"/>
      <c r="AI36" s="823"/>
      <c r="AJ36" s="823"/>
      <c r="AK36" s="1094">
        <f t="shared" si="1"/>
        <v>0</v>
      </c>
      <c r="AM36" s="1094">
        <v>0</v>
      </c>
      <c r="AO36" s="1094">
        <v>42402000</v>
      </c>
      <c r="AQ36" s="823">
        <f t="shared" si="2"/>
        <v>0</v>
      </c>
      <c r="AR36" s="1095">
        <f t="shared" si="3"/>
        <v>0</v>
      </c>
      <c r="AS36" s="1203">
        <f t="shared" si="4"/>
        <v>0</v>
      </c>
    </row>
    <row r="37" spans="2:45" x14ac:dyDescent="0.35">
      <c r="B37" s="385">
        <v>33</v>
      </c>
      <c r="C37" s="385"/>
      <c r="D37" s="1092">
        <v>6427004702</v>
      </c>
      <c r="E37" s="438" t="s">
        <v>1000</v>
      </c>
      <c r="F37" s="438" t="s">
        <v>995</v>
      </c>
      <c r="G37" s="370" t="str">
        <f>E37</f>
        <v>Tài trợ thương hiệu Duy Tân</v>
      </c>
      <c r="H37" s="370" t="s">
        <v>356</v>
      </c>
      <c r="I37" s="370" t="s">
        <v>726</v>
      </c>
      <c r="J37" s="1093"/>
      <c r="K37" s="824">
        <v>0</v>
      </c>
      <c r="L37" s="824">
        <v>0</v>
      </c>
      <c r="M37" s="824">
        <v>0</v>
      </c>
      <c r="N37" s="824">
        <v>0</v>
      </c>
      <c r="O37" s="824">
        <v>0</v>
      </c>
      <c r="P37" s="824">
        <v>0</v>
      </c>
      <c r="Q37" s="824">
        <v>0</v>
      </c>
      <c r="R37" s="824">
        <v>0</v>
      </c>
      <c r="S37" s="824">
        <v>0</v>
      </c>
      <c r="T37" s="824">
        <v>0</v>
      </c>
      <c r="U37" s="824">
        <v>0</v>
      </c>
      <c r="V37" s="824">
        <v>0</v>
      </c>
      <c r="W37" s="1094">
        <f t="shared" si="0"/>
        <v>0</v>
      </c>
      <c r="Y37" s="1093">
        <v>0</v>
      </c>
      <c r="Z37" s="1093">
        <v>0</v>
      </c>
      <c r="AA37" s="1093">
        <v>0</v>
      </c>
      <c r="AB37" s="1093">
        <v>0</v>
      </c>
      <c r="AC37" s="1093">
        <v>0</v>
      </c>
      <c r="AD37" s="1093">
        <v>0</v>
      </c>
      <c r="AE37" s="1093">
        <v>0</v>
      </c>
      <c r="AF37" s="1093">
        <v>0</v>
      </c>
      <c r="AG37" s="1093">
        <v>0</v>
      </c>
      <c r="AH37" s="823"/>
      <c r="AI37" s="823"/>
      <c r="AJ37" s="823"/>
      <c r="AK37" s="1094">
        <f t="shared" si="1"/>
        <v>0</v>
      </c>
      <c r="AM37" s="1094">
        <v>0</v>
      </c>
      <c r="AO37" s="1094">
        <v>0</v>
      </c>
      <c r="AQ37" s="823">
        <f t="shared" si="2"/>
        <v>0</v>
      </c>
      <c r="AR37" s="1095">
        <f t="shared" si="3"/>
        <v>0</v>
      </c>
      <c r="AS37" s="1203">
        <f t="shared" si="4"/>
        <v>0</v>
      </c>
    </row>
    <row r="38" spans="2:45" x14ac:dyDescent="0.35">
      <c r="B38" s="385">
        <v>34</v>
      </c>
      <c r="C38" s="385"/>
      <c r="D38" s="1092">
        <v>6427004804</v>
      </c>
      <c r="E38" s="438" t="s">
        <v>1001</v>
      </c>
      <c r="F38" s="438" t="s">
        <v>1002</v>
      </c>
      <c r="G38" s="370" t="str">
        <f>E38</f>
        <v>Chi phí bưu phẩm</v>
      </c>
      <c r="H38" s="438" t="s">
        <v>359</v>
      </c>
      <c r="I38" s="370" t="s">
        <v>726</v>
      </c>
      <c r="J38" s="1093"/>
      <c r="K38" s="824">
        <v>0</v>
      </c>
      <c r="L38" s="824">
        <v>0</v>
      </c>
      <c r="M38" s="824">
        <v>0</v>
      </c>
      <c r="N38" s="824">
        <v>0</v>
      </c>
      <c r="O38" s="824">
        <v>0</v>
      </c>
      <c r="P38" s="824">
        <v>0</v>
      </c>
      <c r="Q38" s="824">
        <v>0</v>
      </c>
      <c r="R38" s="824">
        <v>0</v>
      </c>
      <c r="S38" s="824">
        <v>0</v>
      </c>
      <c r="T38" s="824">
        <v>0</v>
      </c>
      <c r="U38" s="824">
        <v>0</v>
      </c>
      <c r="V38" s="824">
        <v>0</v>
      </c>
      <c r="W38" s="1094">
        <f t="shared" si="0"/>
        <v>0</v>
      </c>
      <c r="Y38" s="1093">
        <v>201041</v>
      </c>
      <c r="Z38" s="1093">
        <v>191100</v>
      </c>
      <c r="AA38" s="1093">
        <v>163800</v>
      </c>
      <c r="AB38" s="1093">
        <v>0</v>
      </c>
      <c r="AC38" s="1093">
        <v>645100</v>
      </c>
      <c r="AD38" s="1093">
        <v>225700</v>
      </c>
      <c r="AE38" s="1093">
        <v>298900</v>
      </c>
      <c r="AF38" s="1093">
        <v>507500</v>
      </c>
      <c r="AG38" s="1093">
        <v>429400</v>
      </c>
      <c r="AH38" s="823"/>
      <c r="AI38" s="823"/>
      <c r="AJ38" s="823"/>
      <c r="AK38" s="1094">
        <f t="shared" si="1"/>
        <v>2662541</v>
      </c>
      <c r="AM38" s="1094">
        <v>2792188</v>
      </c>
      <c r="AO38" s="1094">
        <v>4402500</v>
      </c>
      <c r="AQ38" s="823">
        <f t="shared" si="2"/>
        <v>-2662541</v>
      </c>
      <c r="AR38" s="1095">
        <f t="shared" si="3"/>
        <v>-1</v>
      </c>
      <c r="AS38" s="1203">
        <f t="shared" si="4"/>
        <v>2662541</v>
      </c>
    </row>
    <row r="39" spans="2:45" x14ac:dyDescent="0.35">
      <c r="B39" s="385">
        <v>35</v>
      </c>
      <c r="C39" s="385"/>
      <c r="D39" s="1092">
        <v>6427004901</v>
      </c>
      <c r="E39" s="438" t="s">
        <v>1003</v>
      </c>
      <c r="F39" s="438" t="s">
        <v>1002</v>
      </c>
      <c r="G39" s="370" t="str">
        <f>E39</f>
        <v>Điện thoại bàn</v>
      </c>
      <c r="H39" s="438" t="s">
        <v>359</v>
      </c>
      <c r="I39" s="370" t="s">
        <v>726</v>
      </c>
      <c r="J39" s="1093"/>
      <c r="K39" s="824">
        <v>0</v>
      </c>
      <c r="L39" s="824">
        <v>0</v>
      </c>
      <c r="M39" s="824">
        <v>0</v>
      </c>
      <c r="N39" s="824">
        <v>0</v>
      </c>
      <c r="O39" s="824">
        <v>0</v>
      </c>
      <c r="P39" s="824">
        <v>0</v>
      </c>
      <c r="Q39" s="824">
        <v>0</v>
      </c>
      <c r="R39" s="824">
        <v>0</v>
      </c>
      <c r="S39" s="824">
        <v>0</v>
      </c>
      <c r="T39" s="824">
        <v>0</v>
      </c>
      <c r="U39" s="824">
        <v>0</v>
      </c>
      <c r="V39" s="824">
        <v>0</v>
      </c>
      <c r="W39" s="1094">
        <f t="shared" si="0"/>
        <v>0</v>
      </c>
      <c r="Y39" s="1093">
        <v>20000</v>
      </c>
      <c r="Z39" s="1093">
        <v>20000</v>
      </c>
      <c r="AA39" s="1093">
        <v>20000</v>
      </c>
      <c r="AB39" s="1093">
        <v>20800</v>
      </c>
      <c r="AC39" s="1093">
        <v>20341</v>
      </c>
      <c r="AD39" s="1093">
        <v>21945</v>
      </c>
      <c r="AE39" s="1093">
        <v>22747</v>
      </c>
      <c r="AF39" s="1093">
        <v>20268</v>
      </c>
      <c r="AG39" s="1093">
        <v>20000</v>
      </c>
      <c r="AH39" s="823"/>
      <c r="AI39" s="823"/>
      <c r="AJ39" s="823"/>
      <c r="AK39" s="1094">
        <f t="shared" si="1"/>
        <v>186101</v>
      </c>
      <c r="AM39" s="1094">
        <v>264906</v>
      </c>
      <c r="AO39" s="1094">
        <v>463395</v>
      </c>
      <c r="AQ39" s="823">
        <f t="shared" si="2"/>
        <v>-186101</v>
      </c>
      <c r="AR39" s="1095">
        <f t="shared" si="3"/>
        <v>-1</v>
      </c>
      <c r="AS39" s="1203">
        <f t="shared" si="4"/>
        <v>186101</v>
      </c>
    </row>
    <row r="40" spans="2:45" x14ac:dyDescent="0.35">
      <c r="B40" s="385">
        <v>36</v>
      </c>
      <c r="C40" s="385"/>
      <c r="D40" s="1092" t="s">
        <v>845</v>
      </c>
      <c r="E40" s="438" t="s">
        <v>1004</v>
      </c>
      <c r="F40" s="438" t="s">
        <v>493</v>
      </c>
      <c r="G40" s="370" t="str">
        <f>E40</f>
        <v>Điện thoại di động</v>
      </c>
      <c r="H40" s="438" t="s">
        <v>359</v>
      </c>
      <c r="I40" s="370" t="s">
        <v>726</v>
      </c>
      <c r="J40" s="1093"/>
      <c r="K40" s="824">
        <v>250000</v>
      </c>
      <c r="L40" s="824">
        <v>250000</v>
      </c>
      <c r="M40" s="824">
        <v>250000</v>
      </c>
      <c r="N40" s="824">
        <v>250000</v>
      </c>
      <c r="O40" s="824">
        <v>250000</v>
      </c>
      <c r="P40" s="824">
        <v>250000</v>
      </c>
      <c r="Q40" s="824">
        <v>250000</v>
      </c>
      <c r="R40" s="824">
        <v>250000</v>
      </c>
      <c r="S40" s="824">
        <v>250000</v>
      </c>
      <c r="T40" s="824">
        <v>250000</v>
      </c>
      <c r="U40" s="824">
        <v>250000</v>
      </c>
      <c r="V40" s="824">
        <v>250000</v>
      </c>
      <c r="W40" s="1094">
        <f t="shared" si="0"/>
        <v>3000000</v>
      </c>
      <c r="Y40" s="1093">
        <v>0</v>
      </c>
      <c r="Z40" s="1093">
        <v>0</v>
      </c>
      <c r="AA40" s="1093">
        <v>0</v>
      </c>
      <c r="AB40" s="1093">
        <v>0</v>
      </c>
      <c r="AC40" s="1093">
        <v>0</v>
      </c>
      <c r="AD40" s="1093">
        <v>0</v>
      </c>
      <c r="AE40" s="1093">
        <v>0</v>
      </c>
      <c r="AF40" s="1093">
        <v>0</v>
      </c>
      <c r="AG40" s="1093">
        <v>0</v>
      </c>
      <c r="AH40" s="823"/>
      <c r="AI40" s="823"/>
      <c r="AJ40" s="823"/>
      <c r="AK40" s="1094">
        <f t="shared" si="1"/>
        <v>0</v>
      </c>
      <c r="AM40" s="1094">
        <v>0</v>
      </c>
      <c r="AO40" s="1094">
        <v>0</v>
      </c>
      <c r="AQ40" s="823">
        <f t="shared" si="2"/>
        <v>3000000</v>
      </c>
      <c r="AR40" s="1095">
        <f t="shared" si="3"/>
        <v>0</v>
      </c>
      <c r="AS40" s="1203">
        <f t="shared" si="4"/>
        <v>3000000</v>
      </c>
    </row>
    <row r="41" spans="2:45" x14ac:dyDescent="0.35">
      <c r="B41" s="385">
        <v>37</v>
      </c>
      <c r="C41" s="385"/>
      <c r="D41" s="1092" t="s">
        <v>844</v>
      </c>
      <c r="E41" s="438" t="s">
        <v>880</v>
      </c>
      <c r="F41" s="438" t="s">
        <v>1002</v>
      </c>
      <c r="G41" s="370" t="s">
        <v>1005</v>
      </c>
      <c r="H41" s="438" t="s">
        <v>359</v>
      </c>
      <c r="I41" s="370" t="s">
        <v>726</v>
      </c>
      <c r="J41" s="1093"/>
      <c r="K41" s="824">
        <v>1520000</v>
      </c>
      <c r="L41" s="824">
        <v>1520000</v>
      </c>
      <c r="M41" s="824">
        <v>1520000</v>
      </c>
      <c r="N41" s="824">
        <v>1600000</v>
      </c>
      <c r="O41" s="824">
        <v>1600000</v>
      </c>
      <c r="P41" s="824">
        <v>1600000</v>
      </c>
      <c r="Q41" s="824">
        <v>1600000</v>
      </c>
      <c r="R41" s="824">
        <v>1600000</v>
      </c>
      <c r="S41" s="824">
        <v>1600000</v>
      </c>
      <c r="T41" s="824">
        <v>1600000</v>
      </c>
      <c r="U41" s="824">
        <v>1600000</v>
      </c>
      <c r="V41" s="824">
        <v>1600000</v>
      </c>
      <c r="W41" s="1094">
        <f t="shared" si="0"/>
        <v>18960000</v>
      </c>
      <c r="Y41" s="1093">
        <v>1440000</v>
      </c>
      <c r="Z41" s="1093">
        <v>1440000</v>
      </c>
      <c r="AA41" s="1093">
        <v>1440000</v>
      </c>
      <c r="AB41" s="1093">
        <v>1440000</v>
      </c>
      <c r="AC41" s="1093">
        <v>1440000</v>
      </c>
      <c r="AD41" s="1093">
        <v>1440000</v>
      </c>
      <c r="AE41" s="1093">
        <v>1440000</v>
      </c>
      <c r="AF41" s="1093">
        <v>1440000</v>
      </c>
      <c r="AG41" s="1093">
        <v>1440000</v>
      </c>
      <c r="AH41" s="823">
        <v>1440000</v>
      </c>
      <c r="AI41" s="823">
        <v>1440000</v>
      </c>
      <c r="AJ41" s="823">
        <v>1440000</v>
      </c>
      <c r="AK41" s="1094">
        <f t="shared" si="1"/>
        <v>17280000</v>
      </c>
      <c r="AM41" s="1094">
        <v>17280000</v>
      </c>
      <c r="AO41" s="1094">
        <v>18000006</v>
      </c>
      <c r="AQ41" s="823">
        <f t="shared" si="2"/>
        <v>1680000</v>
      </c>
      <c r="AR41" s="1095">
        <f t="shared" si="3"/>
        <v>9.7222222222222321E-2</v>
      </c>
      <c r="AS41" s="1203">
        <f t="shared" si="4"/>
        <v>36240000</v>
      </c>
    </row>
    <row r="42" spans="2:45" x14ac:dyDescent="0.35">
      <c r="B42" s="385">
        <v>38</v>
      </c>
      <c r="C42" s="385"/>
      <c r="D42" s="1092">
        <v>6427005001</v>
      </c>
      <c r="E42" s="438" t="s">
        <v>732</v>
      </c>
      <c r="F42" s="438" t="s">
        <v>733</v>
      </c>
      <c r="G42" s="370" t="str">
        <f>E42</f>
        <v>Chi phí thuê nhà, văn phòng, xưởng, kho</v>
      </c>
      <c r="H42" s="370" t="s">
        <v>356</v>
      </c>
      <c r="I42" s="370" t="s">
        <v>726</v>
      </c>
      <c r="J42" s="1093"/>
      <c r="K42" s="824">
        <v>0</v>
      </c>
      <c r="L42" s="824">
        <v>0</v>
      </c>
      <c r="M42" s="824">
        <v>0</v>
      </c>
      <c r="N42" s="824">
        <v>0</v>
      </c>
      <c r="O42" s="824">
        <v>0</v>
      </c>
      <c r="P42" s="824">
        <v>0</v>
      </c>
      <c r="Q42" s="824">
        <v>0</v>
      </c>
      <c r="R42" s="824">
        <v>0</v>
      </c>
      <c r="S42" s="824">
        <v>0</v>
      </c>
      <c r="T42" s="824">
        <v>0</v>
      </c>
      <c r="U42" s="824">
        <v>0</v>
      </c>
      <c r="V42" s="824">
        <v>0</v>
      </c>
      <c r="W42" s="1094">
        <f t="shared" si="0"/>
        <v>0</v>
      </c>
      <c r="Y42" s="1093">
        <v>0</v>
      </c>
      <c r="Z42" s="1093">
        <v>0</v>
      </c>
      <c r="AA42" s="1093">
        <v>0</v>
      </c>
      <c r="AB42" s="1093">
        <v>0</v>
      </c>
      <c r="AC42" s="1093">
        <v>0</v>
      </c>
      <c r="AD42" s="1093">
        <v>0</v>
      </c>
      <c r="AE42" s="1093">
        <v>0</v>
      </c>
      <c r="AF42" s="1093">
        <v>0</v>
      </c>
      <c r="AG42" s="1093">
        <v>0</v>
      </c>
      <c r="AH42" s="823"/>
      <c r="AI42" s="823"/>
      <c r="AJ42" s="823"/>
      <c r="AK42" s="1094">
        <f t="shared" si="1"/>
        <v>0</v>
      </c>
      <c r="AM42" s="1094">
        <v>0</v>
      </c>
      <c r="AO42" s="1094">
        <v>452761600</v>
      </c>
      <c r="AQ42" s="823">
        <f>IFERROR(W42-AK42,0)</f>
        <v>0</v>
      </c>
      <c r="AR42" s="1095">
        <f t="shared" si="3"/>
        <v>0</v>
      </c>
      <c r="AS42" s="1203">
        <f t="shared" si="4"/>
        <v>0</v>
      </c>
    </row>
    <row r="43" spans="2:45" x14ac:dyDescent="0.35">
      <c r="B43" s="385">
        <v>39</v>
      </c>
      <c r="C43" s="385"/>
      <c r="D43" s="1092">
        <v>6427005102</v>
      </c>
      <c r="E43" s="438" t="s">
        <v>928</v>
      </c>
      <c r="F43" s="438" t="s">
        <v>711</v>
      </c>
      <c r="G43" s="370" t="str">
        <f>E43</f>
        <v>Chi phí mực in, mực photo</v>
      </c>
      <c r="H43" s="438" t="s">
        <v>359</v>
      </c>
      <c r="I43" s="370" t="s">
        <v>726</v>
      </c>
      <c r="J43" s="1093"/>
      <c r="K43" s="824">
        <v>0</v>
      </c>
      <c r="L43" s="824">
        <v>0</v>
      </c>
      <c r="M43" s="824">
        <v>0</v>
      </c>
      <c r="N43" s="824">
        <v>0</v>
      </c>
      <c r="O43" s="824">
        <v>0</v>
      </c>
      <c r="P43" s="824">
        <v>0</v>
      </c>
      <c r="Q43" s="824">
        <v>0</v>
      </c>
      <c r="R43" s="824">
        <v>0</v>
      </c>
      <c r="S43" s="824">
        <v>0</v>
      </c>
      <c r="T43" s="824">
        <v>0</v>
      </c>
      <c r="U43" s="824">
        <v>0</v>
      </c>
      <c r="V43" s="824">
        <v>0</v>
      </c>
      <c r="W43" s="1094">
        <f t="shared" si="0"/>
        <v>0</v>
      </c>
      <c r="Y43" s="1093">
        <v>0</v>
      </c>
      <c r="Z43" s="1093">
        <v>0</v>
      </c>
      <c r="AA43" s="1093">
        <v>0</v>
      </c>
      <c r="AB43" s="1093">
        <v>0</v>
      </c>
      <c r="AC43" s="1093">
        <v>0</v>
      </c>
      <c r="AD43" s="1093">
        <v>0</v>
      </c>
      <c r="AE43" s="1093">
        <v>0</v>
      </c>
      <c r="AF43" s="1093">
        <v>0</v>
      </c>
      <c r="AG43" s="1093">
        <v>0</v>
      </c>
      <c r="AH43" s="823"/>
      <c r="AI43" s="823"/>
      <c r="AJ43" s="823"/>
      <c r="AK43" s="1094">
        <f t="shared" si="1"/>
        <v>0</v>
      </c>
      <c r="AM43" s="1094">
        <v>2600000</v>
      </c>
      <c r="AO43" s="1094">
        <v>10917228</v>
      </c>
      <c r="AQ43" s="823">
        <f t="shared" si="2"/>
        <v>0</v>
      </c>
      <c r="AR43" s="1095">
        <f t="shared" si="3"/>
        <v>0</v>
      </c>
      <c r="AS43" s="1203">
        <f t="shared" si="4"/>
        <v>0</v>
      </c>
    </row>
    <row r="44" spans="2:45" x14ac:dyDescent="0.35">
      <c r="B44" s="385">
        <v>40</v>
      </c>
      <c r="C44" s="385"/>
      <c r="D44" s="1092">
        <v>6427005501</v>
      </c>
      <c r="E44" s="438" t="s">
        <v>961</v>
      </c>
      <c r="F44" s="438" t="s">
        <v>1006</v>
      </c>
      <c r="G44" s="370" t="str">
        <f>E44</f>
        <v>Chi phí ngân hàng</v>
      </c>
      <c r="H44" s="438" t="s">
        <v>359</v>
      </c>
      <c r="I44" s="370" t="s">
        <v>726</v>
      </c>
      <c r="J44" s="1093"/>
      <c r="K44" s="824">
        <v>700000</v>
      </c>
      <c r="L44" s="824">
        <v>700000</v>
      </c>
      <c r="M44" s="824">
        <v>700000</v>
      </c>
      <c r="N44" s="824">
        <v>700000</v>
      </c>
      <c r="O44" s="824">
        <v>700000</v>
      </c>
      <c r="P44" s="824">
        <v>700000</v>
      </c>
      <c r="Q44" s="824">
        <v>700000</v>
      </c>
      <c r="R44" s="824">
        <v>700000</v>
      </c>
      <c r="S44" s="824">
        <v>700000</v>
      </c>
      <c r="T44" s="824">
        <v>700000</v>
      </c>
      <c r="U44" s="824">
        <v>700000</v>
      </c>
      <c r="V44" s="824">
        <v>700000</v>
      </c>
      <c r="W44" s="1094">
        <f t="shared" si="0"/>
        <v>8400000</v>
      </c>
      <c r="Y44" s="1093">
        <v>173364</v>
      </c>
      <c r="Z44" s="1093">
        <v>165727</v>
      </c>
      <c r="AA44" s="1093">
        <v>225545</v>
      </c>
      <c r="AB44" s="1093">
        <v>224909</v>
      </c>
      <c r="AC44" s="1093">
        <v>232545</v>
      </c>
      <c r="AD44" s="1093">
        <v>257364</v>
      </c>
      <c r="AE44" s="1093">
        <v>267545</v>
      </c>
      <c r="AF44" s="1093">
        <v>291091</v>
      </c>
      <c r="AG44" s="1093">
        <v>3418121</v>
      </c>
      <c r="AH44" s="823"/>
      <c r="AI44" s="823"/>
      <c r="AJ44" s="823"/>
      <c r="AK44" s="1094">
        <f t="shared" si="1"/>
        <v>5256211</v>
      </c>
      <c r="AM44" s="1094">
        <v>4757384</v>
      </c>
      <c r="AO44" s="1094">
        <v>871276</v>
      </c>
      <c r="AQ44" s="823">
        <f t="shared" si="2"/>
        <v>3143789</v>
      </c>
      <c r="AR44" s="1095">
        <f t="shared" si="3"/>
        <v>0.5981093605260519</v>
      </c>
      <c r="AS44" s="1203">
        <f t="shared" si="4"/>
        <v>13656211</v>
      </c>
    </row>
    <row r="45" spans="2:45" x14ac:dyDescent="0.35">
      <c r="B45" s="385">
        <v>41</v>
      </c>
      <c r="C45" s="385"/>
      <c r="D45" s="1092">
        <v>6427005601</v>
      </c>
      <c r="E45" s="438" t="s">
        <v>1007</v>
      </c>
      <c r="F45" s="438" t="s">
        <v>1008</v>
      </c>
      <c r="G45" s="370" t="s">
        <v>1007</v>
      </c>
      <c r="H45" s="370" t="s">
        <v>356</v>
      </c>
      <c r="I45" s="370" t="s">
        <v>726</v>
      </c>
      <c r="J45" s="1093"/>
      <c r="K45" s="824">
        <v>5500000</v>
      </c>
      <c r="L45" s="824">
        <v>1500000</v>
      </c>
      <c r="M45" s="824">
        <v>31500000</v>
      </c>
      <c r="N45" s="824">
        <v>25500000</v>
      </c>
      <c r="O45" s="824">
        <v>21500000</v>
      </c>
      <c r="P45" s="824">
        <v>1500000</v>
      </c>
      <c r="Q45" s="824">
        <v>1500000</v>
      </c>
      <c r="R45" s="824">
        <v>31500000</v>
      </c>
      <c r="S45" s="824">
        <v>5500000</v>
      </c>
      <c r="T45" s="824">
        <v>1500000</v>
      </c>
      <c r="U45" s="824">
        <v>1500000</v>
      </c>
      <c r="V45" s="824">
        <v>1500000</v>
      </c>
      <c r="W45" s="1094">
        <f t="shared" si="0"/>
        <v>130000000</v>
      </c>
      <c r="Y45" s="1093">
        <v>1980000</v>
      </c>
      <c r="Z45" s="1093">
        <v>1405516</v>
      </c>
      <c r="AA45" s="1093">
        <v>2483380</v>
      </c>
      <c r="AB45" s="1093">
        <v>0</v>
      </c>
      <c r="AC45" s="1093">
        <v>0</v>
      </c>
      <c r="AD45" s="1093">
        <v>0</v>
      </c>
      <c r="AE45" s="1093">
        <v>6848316</v>
      </c>
      <c r="AF45" s="1093">
        <v>1084454</v>
      </c>
      <c r="AG45" s="1093">
        <v>0</v>
      </c>
      <c r="AH45" s="823"/>
      <c r="AI45" s="823"/>
      <c r="AJ45" s="823"/>
      <c r="AK45" s="1094">
        <f t="shared" si="1"/>
        <v>13801666</v>
      </c>
      <c r="AM45" s="1094">
        <v>1294000</v>
      </c>
      <c r="AO45" s="1094">
        <v>12368081</v>
      </c>
      <c r="AQ45" s="823">
        <f t="shared" si="2"/>
        <v>116198334</v>
      </c>
      <c r="AR45" s="1095">
        <f t="shared" si="3"/>
        <v>8.4191527312717174</v>
      </c>
      <c r="AS45" s="1203">
        <f t="shared" si="4"/>
        <v>143801666</v>
      </c>
    </row>
    <row r="46" spans="2:45" x14ac:dyDescent="0.35">
      <c r="B46" s="385">
        <v>42</v>
      </c>
      <c r="C46" s="385"/>
      <c r="D46" s="1092">
        <v>6427005602</v>
      </c>
      <c r="E46" s="438" t="s">
        <v>1009</v>
      </c>
      <c r="F46" s="438" t="s">
        <v>493</v>
      </c>
      <c r="G46" s="370" t="str">
        <f>E46</f>
        <v>Chi phí tiệc, phúc lợi</v>
      </c>
      <c r="H46" s="438" t="s">
        <v>359</v>
      </c>
      <c r="I46" s="370" t="s">
        <v>726</v>
      </c>
      <c r="J46" s="1093"/>
      <c r="K46" s="824">
        <v>55100000</v>
      </c>
      <c r="L46" s="824">
        <v>0</v>
      </c>
      <c r="M46" s="824">
        <v>0</v>
      </c>
      <c r="N46" s="824">
        <v>0</v>
      </c>
      <c r="O46" s="824">
        <v>0</v>
      </c>
      <c r="P46" s="824">
        <v>0</v>
      </c>
      <c r="Q46" s="824">
        <v>0</v>
      </c>
      <c r="R46" s="824">
        <v>0</v>
      </c>
      <c r="S46" s="824">
        <v>0</v>
      </c>
      <c r="T46" s="824">
        <v>0</v>
      </c>
      <c r="U46" s="824">
        <v>0</v>
      </c>
      <c r="V46" s="824">
        <v>0</v>
      </c>
      <c r="W46" s="1094">
        <f t="shared" si="0"/>
        <v>55100000</v>
      </c>
      <c r="Y46" s="1093">
        <v>18918000</v>
      </c>
      <c r="Z46" s="1093">
        <v>0</v>
      </c>
      <c r="AA46" s="1093">
        <v>0</v>
      </c>
      <c r="AB46" s="1093">
        <v>0</v>
      </c>
      <c r="AC46" s="1093">
        <v>0</v>
      </c>
      <c r="AD46" s="1093">
        <v>0</v>
      </c>
      <c r="AE46" s="1093">
        <v>0</v>
      </c>
      <c r="AF46" s="1093">
        <v>0</v>
      </c>
      <c r="AG46" s="1093">
        <v>0</v>
      </c>
      <c r="AH46" s="823"/>
      <c r="AI46" s="823"/>
      <c r="AJ46" s="823"/>
      <c r="AK46" s="1094">
        <f t="shared" si="1"/>
        <v>18918000</v>
      </c>
      <c r="AM46" s="1094">
        <v>10000000</v>
      </c>
      <c r="AO46" s="1094">
        <v>0</v>
      </c>
      <c r="AQ46" s="823">
        <f t="shared" si="2"/>
        <v>36182000</v>
      </c>
      <c r="AR46" s="1095">
        <f t="shared" si="3"/>
        <v>1.9125700391161855</v>
      </c>
      <c r="AS46" s="1203">
        <f t="shared" si="4"/>
        <v>74018000</v>
      </c>
    </row>
    <row r="47" spans="2:45" x14ac:dyDescent="0.35">
      <c r="B47" s="385">
        <v>43</v>
      </c>
      <c r="C47" s="385"/>
      <c r="D47" s="1092">
        <v>6427005701</v>
      </c>
      <c r="E47" s="438" t="s">
        <v>941</v>
      </c>
      <c r="F47" s="438" t="s">
        <v>1010</v>
      </c>
      <c r="G47" s="370" t="str">
        <f>E47</f>
        <v>Vé bay, tàu, xe, taxi</v>
      </c>
      <c r="H47" s="438" t="s">
        <v>359</v>
      </c>
      <c r="I47" s="370" t="s">
        <v>726</v>
      </c>
      <c r="J47" s="1093"/>
      <c r="K47" s="824">
        <v>1500000</v>
      </c>
      <c r="L47" s="824">
        <v>1500000</v>
      </c>
      <c r="M47" s="824">
        <v>1500000</v>
      </c>
      <c r="N47" s="824">
        <v>1500000</v>
      </c>
      <c r="O47" s="824">
        <v>1500000</v>
      </c>
      <c r="P47" s="824">
        <v>1500000</v>
      </c>
      <c r="Q47" s="824">
        <v>1500000</v>
      </c>
      <c r="R47" s="824">
        <v>1500000</v>
      </c>
      <c r="S47" s="824">
        <v>1500000</v>
      </c>
      <c r="T47" s="824">
        <v>1500000</v>
      </c>
      <c r="U47" s="824">
        <v>1500000</v>
      </c>
      <c r="V47" s="824">
        <v>1500000</v>
      </c>
      <c r="W47" s="1094">
        <f t="shared" si="0"/>
        <v>18000000</v>
      </c>
      <c r="Y47" s="1093">
        <v>0</v>
      </c>
      <c r="Z47" s="1093">
        <v>0</v>
      </c>
      <c r="AA47" s="1093">
        <v>0</v>
      </c>
      <c r="AB47" s="1093">
        <v>0</v>
      </c>
      <c r="AC47" s="1093">
        <v>0</v>
      </c>
      <c r="AD47" s="1093">
        <v>11962370</v>
      </c>
      <c r="AE47" s="1093">
        <v>-3700224</v>
      </c>
      <c r="AF47" s="1093">
        <v>540000</v>
      </c>
      <c r="AG47" s="1093">
        <v>277236</v>
      </c>
      <c r="AH47" s="823"/>
      <c r="AI47" s="823"/>
      <c r="AJ47" s="823"/>
      <c r="AK47" s="1094">
        <f t="shared" si="1"/>
        <v>9079382</v>
      </c>
      <c r="AM47" s="1094">
        <v>3405131</v>
      </c>
      <c r="AO47" s="1094">
        <v>22167909</v>
      </c>
      <c r="AQ47" s="823">
        <f t="shared" si="2"/>
        <v>8920618</v>
      </c>
      <c r="AR47" s="1095">
        <f t="shared" si="3"/>
        <v>0.98251378783269616</v>
      </c>
      <c r="AS47" s="1203">
        <f t="shared" si="4"/>
        <v>27079382</v>
      </c>
    </row>
    <row r="48" spans="2:45" x14ac:dyDescent="0.35">
      <c r="B48" s="385">
        <v>44</v>
      </c>
      <c r="C48" s="385"/>
      <c r="D48" s="1092">
        <v>6427005702</v>
      </c>
      <c r="E48" s="438" t="s">
        <v>945</v>
      </c>
      <c r="F48" s="438" t="s">
        <v>1011</v>
      </c>
      <c r="G48" s="370" t="s">
        <v>1012</v>
      </c>
      <c r="H48" s="438" t="s">
        <v>359</v>
      </c>
      <c r="I48" s="370" t="s">
        <v>726</v>
      </c>
      <c r="J48" s="1093"/>
      <c r="K48" s="824">
        <v>0</v>
      </c>
      <c r="L48" s="824">
        <v>0</v>
      </c>
      <c r="M48" s="824">
        <v>0</v>
      </c>
      <c r="N48" s="824">
        <v>0</v>
      </c>
      <c r="O48" s="824">
        <v>0</v>
      </c>
      <c r="P48" s="824">
        <v>0</v>
      </c>
      <c r="Q48" s="824">
        <v>0</v>
      </c>
      <c r="R48" s="824">
        <v>0</v>
      </c>
      <c r="S48" s="824">
        <v>0</v>
      </c>
      <c r="T48" s="824">
        <v>0</v>
      </c>
      <c r="U48" s="824">
        <v>0</v>
      </c>
      <c r="V48" s="824">
        <v>0</v>
      </c>
      <c r="W48" s="1094">
        <f t="shared" si="0"/>
        <v>0</v>
      </c>
      <c r="Y48" s="1093">
        <v>0</v>
      </c>
      <c r="Z48" s="1093">
        <v>0</v>
      </c>
      <c r="AA48" s="1093">
        <v>0</v>
      </c>
      <c r="AB48" s="1093">
        <v>0</v>
      </c>
      <c r="AC48" s="1093">
        <v>0</v>
      </c>
      <c r="AD48" s="1093">
        <v>0</v>
      </c>
      <c r="AE48" s="1093">
        <v>1740741</v>
      </c>
      <c r="AF48" s="1093">
        <v>0</v>
      </c>
      <c r="AG48" s="1093">
        <v>730000</v>
      </c>
      <c r="AH48" s="823">
        <v>730000</v>
      </c>
      <c r="AI48" s="823">
        <v>730000</v>
      </c>
      <c r="AJ48" s="823">
        <v>730000</v>
      </c>
      <c r="AK48" s="1094">
        <f t="shared" si="1"/>
        <v>4660741</v>
      </c>
      <c r="AM48" s="1094">
        <v>2436241</v>
      </c>
      <c r="AO48" s="1094">
        <v>16581612</v>
      </c>
      <c r="AQ48" s="823">
        <f t="shared" si="2"/>
        <v>-4660741</v>
      </c>
      <c r="AR48" s="1095">
        <f t="shared" si="3"/>
        <v>-1</v>
      </c>
      <c r="AS48" s="1203">
        <f t="shared" si="4"/>
        <v>4660741</v>
      </c>
    </row>
    <row r="49" spans="2:45" x14ac:dyDescent="0.35">
      <c r="B49" s="385">
        <v>45</v>
      </c>
      <c r="C49" s="385"/>
      <c r="D49" s="1092" t="s">
        <v>840</v>
      </c>
      <c r="E49" s="438" t="s">
        <v>1013</v>
      </c>
      <c r="F49" s="438" t="s">
        <v>1014</v>
      </c>
      <c r="G49" s="370" t="s">
        <v>1015</v>
      </c>
      <c r="H49" s="370" t="s">
        <v>356</v>
      </c>
      <c r="I49" s="370" t="s">
        <v>703</v>
      </c>
      <c r="J49" s="1093"/>
      <c r="K49" s="824">
        <v>36000000</v>
      </c>
      <c r="L49" s="824">
        <v>36000000</v>
      </c>
      <c r="M49" s="824">
        <v>36000000</v>
      </c>
      <c r="N49" s="824">
        <v>36000000</v>
      </c>
      <c r="O49" s="824">
        <v>36000000</v>
      </c>
      <c r="P49" s="824">
        <v>36000000</v>
      </c>
      <c r="Q49" s="824">
        <v>36000000</v>
      </c>
      <c r="R49" s="824">
        <v>36000000</v>
      </c>
      <c r="S49" s="824">
        <v>36000000</v>
      </c>
      <c r="T49" s="824">
        <v>36000000</v>
      </c>
      <c r="U49" s="824">
        <v>36000000</v>
      </c>
      <c r="V49" s="824">
        <v>36000000</v>
      </c>
      <c r="W49" s="1094">
        <f t="shared" si="0"/>
        <v>432000000</v>
      </c>
      <c r="Y49" s="1093">
        <v>25500000</v>
      </c>
      <c r="Z49" s="1093">
        <v>25500000</v>
      </c>
      <c r="AA49" s="1093">
        <v>26733860</v>
      </c>
      <c r="AB49" s="1093">
        <v>25500000</v>
      </c>
      <c r="AC49" s="1093">
        <v>25500000</v>
      </c>
      <c r="AD49" s="1093">
        <v>25500000</v>
      </c>
      <c r="AE49" s="1093">
        <v>25500000</v>
      </c>
      <c r="AF49" s="1093">
        <v>30983880</v>
      </c>
      <c r="AG49" s="1093">
        <v>42500000</v>
      </c>
      <c r="AH49" s="823">
        <v>42500000</v>
      </c>
      <c r="AI49" s="823">
        <v>42500000</v>
      </c>
      <c r="AJ49" s="823">
        <v>42500000</v>
      </c>
      <c r="AK49" s="1094">
        <f t="shared" si="1"/>
        <v>380717740</v>
      </c>
      <c r="AM49" s="1094">
        <v>32000000</v>
      </c>
      <c r="AO49" s="1094">
        <v>0</v>
      </c>
      <c r="AQ49" s="823">
        <f t="shared" si="2"/>
        <v>51282260</v>
      </c>
      <c r="AR49" s="1095">
        <f t="shared" si="3"/>
        <v>0.13469889792894851</v>
      </c>
      <c r="AS49" s="1203">
        <f t="shared" si="4"/>
        <v>812717740</v>
      </c>
    </row>
    <row r="50" spans="2:45" x14ac:dyDescent="0.35">
      <c r="B50" s="385">
        <v>46</v>
      </c>
      <c r="C50" s="385"/>
      <c r="D50" s="1092">
        <v>6427005802</v>
      </c>
      <c r="E50" s="438" t="s">
        <v>1016</v>
      </c>
      <c r="F50" s="438" t="s">
        <v>1017</v>
      </c>
      <c r="G50" s="370" t="str">
        <f t="shared" ref="G50:G58" si="7">E50</f>
        <v>Chi phí kiểm toán</v>
      </c>
      <c r="H50" s="370" t="s">
        <v>369</v>
      </c>
      <c r="I50" s="370" t="s">
        <v>726</v>
      </c>
      <c r="J50" s="1093"/>
      <c r="K50" s="824">
        <v>0</v>
      </c>
      <c r="L50" s="824">
        <v>0</v>
      </c>
      <c r="M50" s="824">
        <v>0</v>
      </c>
      <c r="N50" s="824">
        <v>0</v>
      </c>
      <c r="O50" s="824">
        <v>0</v>
      </c>
      <c r="P50" s="824">
        <v>0</v>
      </c>
      <c r="Q50" s="824">
        <v>0</v>
      </c>
      <c r="R50" s="824">
        <v>0</v>
      </c>
      <c r="S50" s="824">
        <v>0</v>
      </c>
      <c r="T50" s="824">
        <v>0</v>
      </c>
      <c r="U50" s="824">
        <v>0</v>
      </c>
      <c r="V50" s="824">
        <v>0</v>
      </c>
      <c r="W50" s="1094">
        <f t="shared" si="0"/>
        <v>0</v>
      </c>
      <c r="Y50" s="1093">
        <v>0</v>
      </c>
      <c r="Z50" s="1093">
        <v>0</v>
      </c>
      <c r="AA50" s="1093">
        <v>0</v>
      </c>
      <c r="AB50" s="1093">
        <v>0</v>
      </c>
      <c r="AC50" s="1093">
        <v>0</v>
      </c>
      <c r="AD50" s="1093">
        <v>0</v>
      </c>
      <c r="AE50" s="1093">
        <v>0</v>
      </c>
      <c r="AF50" s="1093">
        <v>0</v>
      </c>
      <c r="AG50" s="1093">
        <v>0</v>
      </c>
      <c r="AH50" s="823"/>
      <c r="AI50" s="823"/>
      <c r="AJ50" s="823"/>
      <c r="AK50" s="1094">
        <f t="shared" si="1"/>
        <v>0</v>
      </c>
      <c r="AM50" s="1094">
        <v>0</v>
      </c>
      <c r="AO50" s="1094">
        <v>0</v>
      </c>
      <c r="AQ50" s="823">
        <f t="shared" si="2"/>
        <v>0</v>
      </c>
      <c r="AR50" s="1095">
        <f t="shared" si="3"/>
        <v>0</v>
      </c>
      <c r="AS50" s="1203">
        <f t="shared" si="4"/>
        <v>0</v>
      </c>
    </row>
    <row r="51" spans="2:45" x14ac:dyDescent="0.35">
      <c r="B51" s="385">
        <v>47</v>
      </c>
      <c r="C51" s="385"/>
      <c r="D51" s="1092">
        <v>6427005803</v>
      </c>
      <c r="E51" s="438" t="s">
        <v>1018</v>
      </c>
      <c r="F51" s="438" t="s">
        <v>729</v>
      </c>
      <c r="G51" s="370" t="str">
        <f t="shared" si="7"/>
        <v>Chi phí trang trí văn phòng</v>
      </c>
      <c r="H51" s="438" t="s">
        <v>359</v>
      </c>
      <c r="I51" s="370" t="s">
        <v>726</v>
      </c>
      <c r="J51" s="1093"/>
      <c r="K51" s="824">
        <v>0</v>
      </c>
      <c r="L51" s="824">
        <v>0</v>
      </c>
      <c r="M51" s="824">
        <v>0</v>
      </c>
      <c r="N51" s="824">
        <v>0</v>
      </c>
      <c r="O51" s="824">
        <v>0</v>
      </c>
      <c r="P51" s="824">
        <v>0</v>
      </c>
      <c r="Q51" s="824">
        <v>0</v>
      </c>
      <c r="R51" s="824">
        <v>0</v>
      </c>
      <c r="S51" s="824">
        <v>0</v>
      </c>
      <c r="T51" s="824">
        <v>0</v>
      </c>
      <c r="U51" s="824">
        <v>0</v>
      </c>
      <c r="V51" s="824">
        <v>0</v>
      </c>
      <c r="W51" s="1094">
        <f t="shared" si="0"/>
        <v>0</v>
      </c>
      <c r="Y51" s="1093">
        <v>0</v>
      </c>
      <c r="Z51" s="1093">
        <v>0</v>
      </c>
      <c r="AA51" s="1093">
        <v>0</v>
      </c>
      <c r="AB51" s="1093">
        <v>0</v>
      </c>
      <c r="AC51" s="1093">
        <v>0</v>
      </c>
      <c r="AD51" s="1093">
        <v>0</v>
      </c>
      <c r="AE51" s="1093">
        <v>0</v>
      </c>
      <c r="AF51" s="1093">
        <v>0</v>
      </c>
      <c r="AG51" s="1093">
        <v>0</v>
      </c>
      <c r="AH51" s="823"/>
      <c r="AI51" s="823"/>
      <c r="AJ51" s="823"/>
      <c r="AK51" s="1094">
        <f t="shared" si="1"/>
        <v>0</v>
      </c>
      <c r="AM51" s="1094">
        <v>0</v>
      </c>
      <c r="AO51" s="1094">
        <v>10640800</v>
      </c>
      <c r="AQ51" s="823">
        <f t="shared" si="2"/>
        <v>0</v>
      </c>
      <c r="AR51" s="1095">
        <f t="shared" si="3"/>
        <v>0</v>
      </c>
      <c r="AS51" s="1203">
        <f t="shared" si="4"/>
        <v>0</v>
      </c>
    </row>
    <row r="52" spans="2:45" x14ac:dyDescent="0.35">
      <c r="B52" s="385">
        <v>48</v>
      </c>
      <c r="C52" s="385"/>
      <c r="D52" s="1092">
        <v>6428002803</v>
      </c>
      <c r="E52" s="438" t="s">
        <v>1019</v>
      </c>
      <c r="F52" s="438" t="s">
        <v>729</v>
      </c>
      <c r="G52" s="370" t="str">
        <f t="shared" si="7"/>
        <v>Tiền cà phê, bánh phòng họp</v>
      </c>
      <c r="H52" s="438" t="s">
        <v>359</v>
      </c>
      <c r="I52" s="370" t="s">
        <v>726</v>
      </c>
      <c r="J52" s="1093"/>
      <c r="K52" s="824">
        <v>0</v>
      </c>
      <c r="L52" s="824">
        <v>0</v>
      </c>
      <c r="M52" s="824">
        <v>0</v>
      </c>
      <c r="N52" s="824">
        <v>0</v>
      </c>
      <c r="O52" s="824">
        <v>0</v>
      </c>
      <c r="P52" s="824">
        <v>0</v>
      </c>
      <c r="Q52" s="824">
        <v>0</v>
      </c>
      <c r="R52" s="824">
        <v>0</v>
      </c>
      <c r="S52" s="824">
        <v>0</v>
      </c>
      <c r="T52" s="824">
        <v>0</v>
      </c>
      <c r="U52" s="824">
        <v>0</v>
      </c>
      <c r="V52" s="824">
        <v>0</v>
      </c>
      <c r="W52" s="1094">
        <f t="shared" si="0"/>
        <v>0</v>
      </c>
      <c r="Y52" s="1093">
        <v>0</v>
      </c>
      <c r="Z52" s="1093">
        <v>0</v>
      </c>
      <c r="AA52" s="1093">
        <v>0</v>
      </c>
      <c r="AB52" s="1093">
        <v>0</v>
      </c>
      <c r="AC52" s="1093">
        <v>0</v>
      </c>
      <c r="AD52" s="1093">
        <v>0</v>
      </c>
      <c r="AE52" s="1093">
        <v>0</v>
      </c>
      <c r="AF52" s="1093">
        <v>0</v>
      </c>
      <c r="AG52" s="1093">
        <v>0</v>
      </c>
      <c r="AH52" s="823"/>
      <c r="AI52" s="823"/>
      <c r="AJ52" s="823"/>
      <c r="AK52" s="1094">
        <f t="shared" si="1"/>
        <v>0</v>
      </c>
      <c r="AM52" s="1094">
        <v>0</v>
      </c>
      <c r="AO52" s="1094">
        <v>0</v>
      </c>
      <c r="AQ52" s="823">
        <f t="shared" si="2"/>
        <v>0</v>
      </c>
      <c r="AR52" s="1095">
        <f t="shared" si="3"/>
        <v>0</v>
      </c>
      <c r="AS52" s="1203">
        <f t="shared" si="4"/>
        <v>0</v>
      </c>
    </row>
    <row r="53" spans="2:45" x14ac:dyDescent="0.35">
      <c r="B53" s="385">
        <v>49</v>
      </c>
      <c r="C53" s="385"/>
      <c r="D53" s="1092">
        <v>6428004108</v>
      </c>
      <c r="E53" s="438" t="s">
        <v>1020</v>
      </c>
      <c r="F53" s="438" t="s">
        <v>1021</v>
      </c>
      <c r="G53" s="370" t="str">
        <f t="shared" si="7"/>
        <v>Chi phí phát triển sản phẩm, thị trường</v>
      </c>
      <c r="H53" s="370" t="s">
        <v>392</v>
      </c>
      <c r="I53" s="370" t="s">
        <v>726</v>
      </c>
      <c r="J53" s="1093"/>
      <c r="K53" s="824">
        <v>0</v>
      </c>
      <c r="L53" s="824">
        <v>0</v>
      </c>
      <c r="M53" s="824">
        <v>0</v>
      </c>
      <c r="N53" s="824">
        <v>0</v>
      </c>
      <c r="O53" s="824">
        <v>0</v>
      </c>
      <c r="P53" s="824">
        <v>0</v>
      </c>
      <c r="Q53" s="824">
        <v>0</v>
      </c>
      <c r="R53" s="824">
        <v>0</v>
      </c>
      <c r="S53" s="824">
        <v>0</v>
      </c>
      <c r="T53" s="824">
        <v>0</v>
      </c>
      <c r="U53" s="824">
        <v>0</v>
      </c>
      <c r="V53" s="824">
        <v>0</v>
      </c>
      <c r="W53" s="1094">
        <f t="shared" si="0"/>
        <v>0</v>
      </c>
      <c r="Y53" s="1093">
        <v>0</v>
      </c>
      <c r="Z53" s="1093">
        <v>0</v>
      </c>
      <c r="AA53" s="1093">
        <v>0</v>
      </c>
      <c r="AB53" s="1093">
        <v>0</v>
      </c>
      <c r="AC53" s="1093">
        <v>0</v>
      </c>
      <c r="AD53" s="1093">
        <v>0</v>
      </c>
      <c r="AE53" s="1093">
        <v>0</v>
      </c>
      <c r="AF53" s="1093">
        <v>0</v>
      </c>
      <c r="AG53" s="1093">
        <v>0</v>
      </c>
      <c r="AH53" s="823"/>
      <c r="AI53" s="823"/>
      <c r="AJ53" s="823"/>
      <c r="AK53" s="1094">
        <f t="shared" si="1"/>
        <v>0</v>
      </c>
      <c r="AM53" s="1094">
        <v>0</v>
      </c>
      <c r="AO53" s="1094">
        <v>0</v>
      </c>
      <c r="AQ53" s="823">
        <f t="shared" si="2"/>
        <v>0</v>
      </c>
      <c r="AR53" s="1095">
        <f t="shared" si="3"/>
        <v>0</v>
      </c>
      <c r="AS53" s="1203">
        <f t="shared" si="4"/>
        <v>0</v>
      </c>
    </row>
    <row r="54" spans="2:45" x14ac:dyDescent="0.35">
      <c r="B54" s="385">
        <v>50</v>
      </c>
      <c r="C54" s="385"/>
      <c r="D54" s="1092">
        <v>6428004202</v>
      </c>
      <c r="E54" s="438" t="s">
        <v>1022</v>
      </c>
      <c r="F54" s="438" t="s">
        <v>729</v>
      </c>
      <c r="G54" s="370" t="str">
        <f t="shared" si="7"/>
        <v>Chi phí bồi thường, nộp phạt</v>
      </c>
      <c r="H54" s="370" t="s">
        <v>369</v>
      </c>
      <c r="I54" s="370" t="s">
        <v>726</v>
      </c>
      <c r="J54" s="1093"/>
      <c r="K54" s="824">
        <v>0</v>
      </c>
      <c r="L54" s="824">
        <v>0</v>
      </c>
      <c r="M54" s="824">
        <v>0</v>
      </c>
      <c r="N54" s="824">
        <v>0</v>
      </c>
      <c r="O54" s="824">
        <v>0</v>
      </c>
      <c r="P54" s="824">
        <v>0</v>
      </c>
      <c r="Q54" s="824">
        <v>0</v>
      </c>
      <c r="R54" s="824">
        <v>0</v>
      </c>
      <c r="S54" s="824">
        <v>0</v>
      </c>
      <c r="T54" s="824">
        <v>0</v>
      </c>
      <c r="U54" s="824">
        <v>0</v>
      </c>
      <c r="V54" s="824">
        <v>0</v>
      </c>
      <c r="W54" s="1094">
        <f t="shared" si="0"/>
        <v>0</v>
      </c>
      <c r="Y54" s="1093">
        <v>0</v>
      </c>
      <c r="Z54" s="1093">
        <v>0</v>
      </c>
      <c r="AA54" s="1093">
        <v>0</v>
      </c>
      <c r="AB54" s="1093">
        <v>0</v>
      </c>
      <c r="AC54" s="1093">
        <v>0</v>
      </c>
      <c r="AD54" s="1093">
        <v>0</v>
      </c>
      <c r="AE54" s="1093">
        <v>0</v>
      </c>
      <c r="AF54" s="1093">
        <v>0</v>
      </c>
      <c r="AG54" s="1093">
        <v>0</v>
      </c>
      <c r="AH54" s="823"/>
      <c r="AI54" s="823"/>
      <c r="AJ54" s="823"/>
      <c r="AK54" s="1094">
        <f t="shared" si="1"/>
        <v>0</v>
      </c>
      <c r="AM54" s="1094">
        <v>0</v>
      </c>
      <c r="AO54" s="1094">
        <v>0</v>
      </c>
      <c r="AQ54" s="823">
        <f t="shared" si="2"/>
        <v>0</v>
      </c>
      <c r="AR54" s="1095">
        <f t="shared" si="3"/>
        <v>0</v>
      </c>
      <c r="AS54" s="1203">
        <f t="shared" si="4"/>
        <v>0</v>
      </c>
    </row>
    <row r="55" spans="2:45" x14ac:dyDescent="0.35">
      <c r="B55" s="385">
        <v>51</v>
      </c>
      <c r="C55" s="385"/>
      <c r="D55" s="1092">
        <v>6428004302</v>
      </c>
      <c r="E55" s="438" t="s">
        <v>944</v>
      </c>
      <c r="F55" s="438" t="s">
        <v>493</v>
      </c>
      <c r="G55" s="370" t="str">
        <f t="shared" si="7"/>
        <v>Chi phí hiếu hỷ, phúc lợi khác NV</v>
      </c>
      <c r="H55" s="438" t="s">
        <v>359</v>
      </c>
      <c r="I55" s="370" t="s">
        <v>726</v>
      </c>
      <c r="J55" s="1093"/>
      <c r="K55" s="824">
        <v>0</v>
      </c>
      <c r="L55" s="824">
        <v>0</v>
      </c>
      <c r="M55" s="824">
        <v>0</v>
      </c>
      <c r="N55" s="824">
        <v>0</v>
      </c>
      <c r="O55" s="824">
        <v>0</v>
      </c>
      <c r="P55" s="824">
        <v>0</v>
      </c>
      <c r="Q55" s="824">
        <v>0</v>
      </c>
      <c r="R55" s="824">
        <v>0</v>
      </c>
      <c r="S55" s="824">
        <v>0</v>
      </c>
      <c r="T55" s="824">
        <v>0</v>
      </c>
      <c r="U55" s="824">
        <v>0</v>
      </c>
      <c r="V55" s="824">
        <v>0</v>
      </c>
      <c r="W55" s="1094">
        <f t="shared" si="0"/>
        <v>0</v>
      </c>
      <c r="Y55" s="1093">
        <v>0</v>
      </c>
      <c r="Z55" s="1093">
        <v>0</v>
      </c>
      <c r="AA55" s="1093">
        <v>0</v>
      </c>
      <c r="AB55" s="1093">
        <v>0</v>
      </c>
      <c r="AC55" s="1093">
        <v>0</v>
      </c>
      <c r="AD55" s="1093">
        <v>0</v>
      </c>
      <c r="AE55" s="1093">
        <v>0</v>
      </c>
      <c r="AF55" s="1093">
        <v>0</v>
      </c>
      <c r="AG55" s="1093">
        <v>0</v>
      </c>
      <c r="AH55" s="823"/>
      <c r="AI55" s="823"/>
      <c r="AJ55" s="823"/>
      <c r="AK55" s="1094">
        <f t="shared" si="1"/>
        <v>0</v>
      </c>
      <c r="AM55" s="1094">
        <v>0</v>
      </c>
      <c r="AO55" s="1094">
        <v>19804000</v>
      </c>
      <c r="AQ55" s="823">
        <f t="shared" si="2"/>
        <v>0</v>
      </c>
      <c r="AR55" s="1095">
        <f t="shared" si="3"/>
        <v>0</v>
      </c>
      <c r="AS55" s="1203">
        <f t="shared" si="4"/>
        <v>0</v>
      </c>
    </row>
    <row r="56" spans="2:45" x14ac:dyDescent="0.35">
      <c r="B56" s="385">
        <v>52</v>
      </c>
      <c r="C56" s="385"/>
      <c r="D56" s="1092">
        <v>6428004701</v>
      </c>
      <c r="E56" s="438" t="s">
        <v>1023</v>
      </c>
      <c r="F56" s="438" t="s">
        <v>1024</v>
      </c>
      <c r="G56" s="370" t="str">
        <f t="shared" si="7"/>
        <v>Chi phí ủng hộ, hỗ trợ, tài trợ</v>
      </c>
      <c r="H56" s="370" t="s">
        <v>356</v>
      </c>
      <c r="I56" s="370" t="s">
        <v>726</v>
      </c>
      <c r="J56" s="1093"/>
      <c r="K56" s="824">
        <v>0</v>
      </c>
      <c r="L56" s="824">
        <v>0</v>
      </c>
      <c r="M56" s="824">
        <v>0</v>
      </c>
      <c r="N56" s="824">
        <v>0</v>
      </c>
      <c r="O56" s="824">
        <v>0</v>
      </c>
      <c r="P56" s="824">
        <v>0</v>
      </c>
      <c r="Q56" s="824">
        <v>0</v>
      </c>
      <c r="R56" s="824">
        <v>0</v>
      </c>
      <c r="S56" s="824">
        <v>0</v>
      </c>
      <c r="T56" s="824">
        <v>0</v>
      </c>
      <c r="U56" s="824">
        <v>0</v>
      </c>
      <c r="V56" s="824">
        <v>0</v>
      </c>
      <c r="W56" s="1094">
        <f t="shared" si="0"/>
        <v>0</v>
      </c>
      <c r="Y56" s="1093">
        <v>0</v>
      </c>
      <c r="Z56" s="1093">
        <v>0</v>
      </c>
      <c r="AA56" s="1093">
        <v>0</v>
      </c>
      <c r="AB56" s="1093">
        <v>0</v>
      </c>
      <c r="AC56" s="1093">
        <v>0</v>
      </c>
      <c r="AD56" s="1093">
        <v>0</v>
      </c>
      <c r="AE56" s="1093">
        <v>0</v>
      </c>
      <c r="AF56" s="1093">
        <v>0</v>
      </c>
      <c r="AG56" s="1093">
        <v>0</v>
      </c>
      <c r="AH56" s="823"/>
      <c r="AI56" s="823"/>
      <c r="AJ56" s="823"/>
      <c r="AK56" s="1094">
        <f t="shared" si="1"/>
        <v>0</v>
      </c>
      <c r="AM56" s="1094">
        <v>0</v>
      </c>
      <c r="AO56" s="1094">
        <v>0</v>
      </c>
      <c r="AQ56" s="823">
        <f t="shared" si="2"/>
        <v>0</v>
      </c>
      <c r="AR56" s="1095">
        <f t="shared" si="3"/>
        <v>0</v>
      </c>
      <c r="AS56" s="1203">
        <f t="shared" si="4"/>
        <v>0</v>
      </c>
    </row>
    <row r="57" spans="2:45" x14ac:dyDescent="0.35">
      <c r="B57" s="385">
        <v>53</v>
      </c>
      <c r="C57" s="385"/>
      <c r="D57" s="1092">
        <v>6428004802</v>
      </c>
      <c r="E57" s="438" t="s">
        <v>1025</v>
      </c>
      <c r="F57" s="438" t="s">
        <v>755</v>
      </c>
      <c r="G57" s="370" t="str">
        <f t="shared" si="7"/>
        <v>Chi phí mua mẫu</v>
      </c>
      <c r="H57" s="370" t="s">
        <v>388</v>
      </c>
      <c r="I57" s="370" t="s">
        <v>726</v>
      </c>
      <c r="J57" s="1093"/>
      <c r="K57" s="824">
        <v>0</v>
      </c>
      <c r="L57" s="824">
        <v>0</v>
      </c>
      <c r="M57" s="824">
        <v>0</v>
      </c>
      <c r="N57" s="824">
        <v>0</v>
      </c>
      <c r="O57" s="824">
        <v>0</v>
      </c>
      <c r="P57" s="824">
        <v>0</v>
      </c>
      <c r="Q57" s="824">
        <v>0</v>
      </c>
      <c r="R57" s="824">
        <v>0</v>
      </c>
      <c r="S57" s="824">
        <v>0</v>
      </c>
      <c r="T57" s="824">
        <v>0</v>
      </c>
      <c r="U57" s="824">
        <v>0</v>
      </c>
      <c r="V57" s="824">
        <v>0</v>
      </c>
      <c r="W57" s="1094">
        <f t="shared" si="0"/>
        <v>0</v>
      </c>
      <c r="Y57" s="1093">
        <v>0</v>
      </c>
      <c r="Z57" s="1093">
        <v>0</v>
      </c>
      <c r="AA57" s="1093">
        <v>0</v>
      </c>
      <c r="AB57" s="1093">
        <v>0</v>
      </c>
      <c r="AC57" s="1093">
        <v>0</v>
      </c>
      <c r="AD57" s="1093">
        <v>0</v>
      </c>
      <c r="AE57" s="1093">
        <v>0</v>
      </c>
      <c r="AF57" s="1093">
        <v>0</v>
      </c>
      <c r="AG57" s="1093">
        <v>0</v>
      </c>
      <c r="AH57" s="823"/>
      <c r="AI57" s="823"/>
      <c r="AJ57" s="823"/>
      <c r="AK57" s="1094">
        <f t="shared" si="1"/>
        <v>0</v>
      </c>
      <c r="AM57" s="1094">
        <v>0</v>
      </c>
      <c r="AO57" s="1094">
        <v>0</v>
      </c>
      <c r="AQ57" s="823">
        <f t="shared" si="2"/>
        <v>0</v>
      </c>
      <c r="AR57" s="1095">
        <f t="shared" si="3"/>
        <v>0</v>
      </c>
      <c r="AS57" s="1203">
        <f t="shared" si="4"/>
        <v>0</v>
      </c>
    </row>
    <row r="58" spans="2:45" x14ac:dyDescent="0.35">
      <c r="B58" s="385">
        <v>54</v>
      </c>
      <c r="C58" s="385"/>
      <c r="D58" s="1092">
        <v>6428005703</v>
      </c>
      <c r="E58" s="438" t="s">
        <v>1026</v>
      </c>
      <c r="F58" s="438" t="s">
        <v>1010</v>
      </c>
      <c r="G58" s="370" t="str">
        <f t="shared" si="7"/>
        <v>Chi phí ăn uống</v>
      </c>
      <c r="H58" s="438" t="s">
        <v>359</v>
      </c>
      <c r="I58" s="370" t="s">
        <v>726</v>
      </c>
      <c r="J58" s="1093"/>
      <c r="K58" s="824">
        <v>0</v>
      </c>
      <c r="L58" s="824">
        <v>0</v>
      </c>
      <c r="M58" s="824">
        <v>0</v>
      </c>
      <c r="N58" s="824">
        <v>0</v>
      </c>
      <c r="O58" s="824">
        <v>0</v>
      </c>
      <c r="P58" s="824">
        <v>0</v>
      </c>
      <c r="Q58" s="824">
        <v>0</v>
      </c>
      <c r="R58" s="824">
        <v>0</v>
      </c>
      <c r="S58" s="824">
        <v>0</v>
      </c>
      <c r="T58" s="824">
        <v>0</v>
      </c>
      <c r="U58" s="824">
        <v>0</v>
      </c>
      <c r="V58" s="824">
        <v>0</v>
      </c>
      <c r="W58" s="1094">
        <f t="shared" si="0"/>
        <v>0</v>
      </c>
      <c r="Y58" s="1093">
        <v>0</v>
      </c>
      <c r="Z58" s="1093">
        <v>0</v>
      </c>
      <c r="AA58" s="1093">
        <v>0</v>
      </c>
      <c r="AB58" s="1093">
        <v>0</v>
      </c>
      <c r="AC58" s="1093">
        <v>0</v>
      </c>
      <c r="AD58" s="1093">
        <v>0</v>
      </c>
      <c r="AE58" s="1093">
        <v>0</v>
      </c>
      <c r="AF58" s="1093">
        <v>0</v>
      </c>
      <c r="AG58" s="1093">
        <v>0</v>
      </c>
      <c r="AH58" s="823"/>
      <c r="AI58" s="823"/>
      <c r="AJ58" s="823"/>
      <c r="AK58" s="1094">
        <f t="shared" si="1"/>
        <v>0</v>
      </c>
      <c r="AM58" s="1094">
        <v>0</v>
      </c>
      <c r="AO58" s="1094">
        <v>4000353</v>
      </c>
      <c r="AQ58" s="823">
        <f t="shared" si="2"/>
        <v>0</v>
      </c>
      <c r="AR58" s="1095">
        <f t="shared" si="3"/>
        <v>0</v>
      </c>
      <c r="AS58" s="1203">
        <f t="shared" si="4"/>
        <v>0</v>
      </c>
    </row>
    <row r="59" spans="2:45" x14ac:dyDescent="0.35">
      <c r="B59" s="385">
        <v>55</v>
      </c>
      <c r="C59" s="385"/>
      <c r="D59" s="1092" t="s">
        <v>846</v>
      </c>
      <c r="E59" s="438" t="s">
        <v>734</v>
      </c>
      <c r="F59" s="438" t="s">
        <v>729</v>
      </c>
      <c r="G59" s="370" t="s">
        <v>734</v>
      </c>
      <c r="H59" s="438" t="s">
        <v>359</v>
      </c>
      <c r="I59" s="370" t="s">
        <v>726</v>
      </c>
      <c r="J59" s="1093"/>
      <c r="K59" s="824">
        <v>6000000</v>
      </c>
      <c r="L59" s="824">
        <v>4000000</v>
      </c>
      <c r="M59" s="824">
        <v>15000000</v>
      </c>
      <c r="N59" s="824">
        <v>4000000</v>
      </c>
      <c r="O59" s="824">
        <v>4000000</v>
      </c>
      <c r="P59" s="824">
        <v>4000000</v>
      </c>
      <c r="Q59" s="824">
        <v>4000000</v>
      </c>
      <c r="R59" s="824">
        <v>5500000</v>
      </c>
      <c r="S59" s="824">
        <v>4000000</v>
      </c>
      <c r="T59" s="824">
        <v>4000000</v>
      </c>
      <c r="U59" s="824">
        <v>4000000</v>
      </c>
      <c r="V59" s="824">
        <v>4000000</v>
      </c>
      <c r="W59" s="1094">
        <f t="shared" si="0"/>
        <v>62500000</v>
      </c>
      <c r="Y59" s="1093">
        <v>500000</v>
      </c>
      <c r="Z59" s="1093">
        <f>445000+500000</f>
        <v>945000</v>
      </c>
      <c r="AA59" s="1093">
        <v>0</v>
      </c>
      <c r="AB59" s="1093">
        <v>0</v>
      </c>
      <c r="AC59" s="1093">
        <v>0</v>
      </c>
      <c r="AD59" s="1093">
        <v>5595000</v>
      </c>
      <c r="AE59" s="1093">
        <f>2700000+570000</f>
        <v>3270000</v>
      </c>
      <c r="AF59" s="1093">
        <v>0</v>
      </c>
      <c r="AG59" s="1093">
        <v>4050000</v>
      </c>
      <c r="AH59" s="823">
        <v>8939035</v>
      </c>
      <c r="AI59" s="823">
        <v>8939035</v>
      </c>
      <c r="AJ59" s="823">
        <v>8939035</v>
      </c>
      <c r="AK59" s="1094">
        <f t="shared" si="1"/>
        <v>41177105</v>
      </c>
      <c r="AM59" s="1094">
        <f>357200967+1000000</f>
        <v>358200967</v>
      </c>
      <c r="AO59" s="1094">
        <f>467194384+10731924</f>
        <v>477926308</v>
      </c>
      <c r="AQ59" s="823">
        <f t="shared" si="2"/>
        <v>21322895</v>
      </c>
      <c r="AR59" s="1095">
        <f t="shared" si="3"/>
        <v>0.51783375737560955</v>
      </c>
      <c r="AS59" s="1203">
        <f t="shared" si="4"/>
        <v>103677105</v>
      </c>
    </row>
    <row r="60" spans="2:45" x14ac:dyDescent="0.35">
      <c r="B60" s="385">
        <v>56</v>
      </c>
      <c r="C60" s="385"/>
      <c r="D60" s="1092">
        <v>6423001908</v>
      </c>
      <c r="E60" s="438" t="s">
        <v>751</v>
      </c>
      <c r="F60" s="438" t="s">
        <v>725</v>
      </c>
      <c r="G60" s="370" t="str">
        <f>E60</f>
        <v>Phân bổ công cụ dụng cụ</v>
      </c>
      <c r="H60" s="370" t="s">
        <v>369</v>
      </c>
      <c r="I60" s="370" t="s">
        <v>703</v>
      </c>
      <c r="J60" s="1093"/>
      <c r="K60" s="824">
        <v>1986111.111111111</v>
      </c>
      <c r="L60" s="824">
        <v>2402777.777777778</v>
      </c>
      <c r="M60" s="824">
        <v>3006944.4444444445</v>
      </c>
      <c r="N60" s="824">
        <v>3340277.777777778</v>
      </c>
      <c r="O60" s="824">
        <v>3340277.777777778</v>
      </c>
      <c r="P60" s="824">
        <v>3868055.5555555555</v>
      </c>
      <c r="Q60" s="824">
        <v>3868055.5555555555</v>
      </c>
      <c r="R60" s="824">
        <v>3868055.5555555555</v>
      </c>
      <c r="S60" s="824">
        <v>3868055.5555555555</v>
      </c>
      <c r="T60" s="824">
        <v>3868055.5555555555</v>
      </c>
      <c r="U60" s="824">
        <v>3868055.5555555555</v>
      </c>
      <c r="V60" s="824">
        <v>3868055.5555555555</v>
      </c>
      <c r="W60" s="1094">
        <f t="shared" si="0"/>
        <v>41152777.777777776</v>
      </c>
      <c r="Y60" s="1093">
        <v>913882</v>
      </c>
      <c r="Z60" s="1093">
        <v>45833</v>
      </c>
      <c r="AA60" s="1093">
        <v>45833</v>
      </c>
      <c r="AB60" s="1093">
        <v>45833</v>
      </c>
      <c r="AC60" s="1093">
        <v>45833</v>
      </c>
      <c r="AD60" s="1093">
        <v>45833</v>
      </c>
      <c r="AE60" s="1093">
        <v>45833</v>
      </c>
      <c r="AF60" s="1093">
        <v>45833</v>
      </c>
      <c r="AG60" s="1093">
        <v>0</v>
      </c>
      <c r="AH60" s="823"/>
      <c r="AI60" s="823"/>
      <c r="AJ60" s="823"/>
      <c r="AK60" s="1094">
        <f t="shared" si="1"/>
        <v>1234713</v>
      </c>
      <c r="AM60" s="1094">
        <f>10599999+5203334</f>
        <v>15803333</v>
      </c>
      <c r="AO60" s="1094">
        <f>20183000+54636667</f>
        <v>74819667</v>
      </c>
      <c r="AQ60" s="823">
        <f t="shared" si="2"/>
        <v>39918064.777777776</v>
      </c>
      <c r="AR60" s="1095">
        <f t="shared" si="3"/>
        <v>32.32983274475751</v>
      </c>
      <c r="AS60" s="1203">
        <f t="shared" si="4"/>
        <v>42387490.777777776</v>
      </c>
    </row>
    <row r="61" spans="2:45" x14ac:dyDescent="0.35">
      <c r="B61" s="385">
        <v>57</v>
      </c>
      <c r="C61" s="385"/>
      <c r="D61" s="1092"/>
      <c r="E61" s="438" t="s">
        <v>756</v>
      </c>
      <c r="F61" s="438" t="s">
        <v>757</v>
      </c>
      <c r="G61" s="370" t="str">
        <f>E61</f>
        <v>Chi phí Khấu hao</v>
      </c>
      <c r="H61" s="370" t="s">
        <v>369</v>
      </c>
      <c r="I61" s="370" t="s">
        <v>703</v>
      </c>
      <c r="J61" s="1093"/>
      <c r="K61" s="823">
        <v>8604567</v>
      </c>
      <c r="L61" s="823">
        <v>8604567</v>
      </c>
      <c r="M61" s="823">
        <v>8604567</v>
      </c>
      <c r="N61" s="823">
        <v>8604567</v>
      </c>
      <c r="O61" s="823">
        <v>8604567</v>
      </c>
      <c r="P61" s="823">
        <v>8604567</v>
      </c>
      <c r="Q61" s="823">
        <v>8604567</v>
      </c>
      <c r="R61" s="823">
        <v>8604567</v>
      </c>
      <c r="S61" s="823">
        <v>8604567</v>
      </c>
      <c r="T61" s="823">
        <v>8604567</v>
      </c>
      <c r="U61" s="823">
        <v>8604567</v>
      </c>
      <c r="V61" s="823">
        <v>8604567</v>
      </c>
      <c r="W61" s="1094">
        <f t="shared" si="0"/>
        <v>103254804</v>
      </c>
      <c r="Y61" s="823">
        <v>7175123</v>
      </c>
      <c r="Z61" s="823">
        <v>7175123</v>
      </c>
      <c r="AA61" s="823">
        <v>7175123</v>
      </c>
      <c r="AB61" s="823">
        <v>7175123</v>
      </c>
      <c r="AC61" s="823">
        <v>7175123</v>
      </c>
      <c r="AD61" s="823">
        <v>7175123</v>
      </c>
      <c r="AE61" s="823">
        <v>7175123</v>
      </c>
      <c r="AF61" s="823">
        <v>7175123</v>
      </c>
      <c r="AG61" s="823">
        <v>7175123</v>
      </c>
      <c r="AH61" s="823">
        <v>7175123</v>
      </c>
      <c r="AI61" s="823">
        <v>7175123</v>
      </c>
      <c r="AJ61" s="823">
        <v>7175123</v>
      </c>
      <c r="AK61" s="1094">
        <f>SUM(Y61:AJ61)</f>
        <v>86101476</v>
      </c>
      <c r="AM61" s="1094">
        <v>86101476</v>
      </c>
      <c r="AO61" s="1094">
        <f>86101466+6550000</f>
        <v>92651466</v>
      </c>
      <c r="AQ61" s="823">
        <f>IFERROR(W61-AK61,0)</f>
        <v>17153328</v>
      </c>
      <c r="AR61" s="1095">
        <f t="shared" si="3"/>
        <v>0.19922222936108547</v>
      </c>
      <c r="AS61" s="1203">
        <f t="shared" si="4"/>
        <v>189356280</v>
      </c>
    </row>
    <row r="62" spans="2:45" x14ac:dyDescent="0.35">
      <c r="B62" s="385">
        <v>58</v>
      </c>
      <c r="C62" s="385"/>
      <c r="D62" s="1096">
        <v>6427004904</v>
      </c>
      <c r="E62" s="438" t="s">
        <v>741</v>
      </c>
      <c r="F62" s="438"/>
      <c r="G62" s="370"/>
      <c r="H62" s="370"/>
      <c r="I62" s="370"/>
      <c r="J62" s="1093"/>
      <c r="K62" s="824">
        <v>41440540.773277469</v>
      </c>
      <c r="L62" s="824">
        <v>41440540.773277469</v>
      </c>
      <c r="M62" s="824">
        <v>41440540.773277469</v>
      </c>
      <c r="N62" s="824">
        <v>40731767.773277469</v>
      </c>
      <c r="O62" s="824">
        <v>40731767.773277469</v>
      </c>
      <c r="P62" s="824">
        <v>40731767.773277469</v>
      </c>
      <c r="Q62" s="824">
        <v>40731767.773277469</v>
      </c>
      <c r="R62" s="824">
        <v>40731767.773277469</v>
      </c>
      <c r="S62" s="824">
        <v>40731767.773277469</v>
      </c>
      <c r="T62" s="824">
        <v>40731767.773277469</v>
      </c>
      <c r="U62" s="824">
        <v>40731767.773277469</v>
      </c>
      <c r="V62" s="824">
        <v>40731767.773277469</v>
      </c>
      <c r="W62" s="1094">
        <f t="shared" si="0"/>
        <v>490907532.2793296</v>
      </c>
      <c r="Y62" s="1093">
        <v>0</v>
      </c>
      <c r="Z62" s="1093">
        <v>0</v>
      </c>
      <c r="AA62" s="1093">
        <v>0</v>
      </c>
      <c r="AB62" s="1093">
        <v>0</v>
      </c>
      <c r="AC62" s="1093">
        <v>0</v>
      </c>
      <c r="AD62" s="1093">
        <v>0</v>
      </c>
      <c r="AE62" s="1093">
        <v>32297338</v>
      </c>
      <c r="AF62" s="1093">
        <v>55573202</v>
      </c>
      <c r="AG62" s="1093">
        <v>71635202</v>
      </c>
      <c r="AH62" s="823">
        <v>71635202</v>
      </c>
      <c r="AI62" s="823">
        <v>71635202</v>
      </c>
      <c r="AJ62" s="823">
        <v>71635202</v>
      </c>
      <c r="AK62" s="1094">
        <f>SUM(Y62:AJ62)</f>
        <v>374411348</v>
      </c>
      <c r="AM62" s="1094"/>
      <c r="AO62" s="1094"/>
      <c r="AQ62" s="823">
        <f>IFERROR(W62-AK62,0)</f>
        <v>116496184.2793296</v>
      </c>
      <c r="AR62" s="1095">
        <f>IFERROR((W62/AK62)-1,0)</f>
        <v>0.31114490760394786</v>
      </c>
      <c r="AS62" s="1203">
        <f t="shared" si="4"/>
        <v>865318880.27932954</v>
      </c>
    </row>
    <row r="63" spans="2:45" x14ac:dyDescent="0.35">
      <c r="B63" s="385">
        <v>59</v>
      </c>
      <c r="C63" s="385"/>
      <c r="D63" s="1092">
        <v>6421002901</v>
      </c>
      <c r="E63" s="438" t="s">
        <v>1027</v>
      </c>
      <c r="F63" s="438"/>
      <c r="G63" s="370"/>
      <c r="H63" s="370"/>
      <c r="I63" s="370"/>
      <c r="J63" s="823"/>
      <c r="K63" s="824">
        <v>0</v>
      </c>
      <c r="L63" s="824">
        <v>0</v>
      </c>
      <c r="M63" s="824">
        <v>0</v>
      </c>
      <c r="N63" s="824">
        <v>0</v>
      </c>
      <c r="O63" s="824">
        <v>0</v>
      </c>
      <c r="P63" s="824">
        <v>0</v>
      </c>
      <c r="Q63" s="824">
        <v>0</v>
      </c>
      <c r="R63" s="824">
        <v>0</v>
      </c>
      <c r="S63" s="824">
        <v>0</v>
      </c>
      <c r="T63" s="824">
        <v>0</v>
      </c>
      <c r="U63" s="824">
        <v>0</v>
      </c>
      <c r="V63" s="824">
        <v>0</v>
      </c>
      <c r="W63" s="1094">
        <f t="shared" si="0"/>
        <v>0</v>
      </c>
      <c r="Y63" s="1093">
        <v>0</v>
      </c>
      <c r="Z63" s="1093">
        <v>0</v>
      </c>
      <c r="AA63" s="1093">
        <v>0</v>
      </c>
      <c r="AB63" s="1093">
        <v>0</v>
      </c>
      <c r="AC63" s="1093">
        <v>0</v>
      </c>
      <c r="AD63" s="1093">
        <v>0</v>
      </c>
      <c r="AE63" s="1093">
        <v>0</v>
      </c>
      <c r="AF63" s="1093">
        <v>0</v>
      </c>
      <c r="AG63" s="1093">
        <v>0</v>
      </c>
      <c r="AH63" s="823"/>
      <c r="AI63" s="823"/>
      <c r="AJ63" s="823"/>
      <c r="AK63" s="1094">
        <f>SUM(Y63:AJ63)</f>
        <v>0</v>
      </c>
      <c r="AM63" s="1094"/>
      <c r="AO63" s="1094">
        <v>214450000</v>
      </c>
      <c r="AQ63" s="823">
        <f>IFERROR(W63-AK63,0)</f>
        <v>0</v>
      </c>
      <c r="AR63" s="1095">
        <f>IFERROR((W63/AK63)-1,0)</f>
        <v>0</v>
      </c>
      <c r="AS63" s="1203">
        <f t="shared" si="4"/>
        <v>0</v>
      </c>
    </row>
    <row r="64" spans="2:45" x14ac:dyDescent="0.35">
      <c r="B64" s="388"/>
      <c r="C64" s="388"/>
      <c r="D64" s="797"/>
      <c r="E64" s="374"/>
      <c r="F64" s="374"/>
      <c r="G64" s="375"/>
      <c r="H64" s="375"/>
      <c r="I64" s="375"/>
      <c r="J64" s="389"/>
      <c r="K64" s="389"/>
      <c r="L64" s="389"/>
      <c r="M64" s="389"/>
      <c r="N64" s="389"/>
      <c r="O64" s="389"/>
      <c r="P64" s="389"/>
      <c r="Q64" s="389"/>
      <c r="R64" s="389"/>
      <c r="S64" s="389"/>
      <c r="T64" s="389"/>
      <c r="U64" s="389"/>
      <c r="V64" s="389"/>
      <c r="W64" s="397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97"/>
      <c r="AM64" s="397"/>
      <c r="AO64" s="397"/>
      <c r="AQ64" s="389">
        <f t="shared" si="2"/>
        <v>0</v>
      </c>
      <c r="AR64" s="742">
        <f t="shared" si="3"/>
        <v>0</v>
      </c>
      <c r="AS64" s="1203">
        <f t="shared" si="4"/>
        <v>0</v>
      </c>
    </row>
    <row r="65" spans="2:45" x14ac:dyDescent="0.35">
      <c r="B65" s="183"/>
      <c r="C65" s="183"/>
      <c r="D65" s="798"/>
      <c r="E65" s="183"/>
      <c r="F65" s="183"/>
      <c r="G65" s="449" t="s">
        <v>1028</v>
      </c>
      <c r="H65" s="182"/>
      <c r="I65" s="969"/>
      <c r="J65" s="360">
        <f t="shared" ref="J65:V65" si="8">SUM(J5:J64)</f>
        <v>0</v>
      </c>
      <c r="K65" s="360">
        <f t="shared" si="8"/>
        <v>557450326.95105529</v>
      </c>
      <c r="L65" s="360">
        <f t="shared" si="8"/>
        <v>491305876.61772192</v>
      </c>
      <c r="M65" s="360">
        <f t="shared" si="8"/>
        <v>520520513.28438854</v>
      </c>
      <c r="N65" s="360">
        <f t="shared" si="8"/>
        <v>525352353.72883302</v>
      </c>
      <c r="O65" s="360">
        <f t="shared" si="8"/>
        <v>506877391.22883302</v>
      </c>
      <c r="P65" s="360">
        <f t="shared" si="8"/>
        <v>669664297.47327757</v>
      </c>
      <c r="Q65" s="360">
        <f t="shared" si="8"/>
        <v>494437435.27327752</v>
      </c>
      <c r="R65" s="360">
        <f t="shared" si="8"/>
        <v>524812435.07327753</v>
      </c>
      <c r="S65" s="360">
        <f t="shared" si="8"/>
        <v>503502636.77327752</v>
      </c>
      <c r="T65" s="360">
        <f t="shared" si="8"/>
        <v>485022616.10661083</v>
      </c>
      <c r="U65" s="360">
        <f t="shared" si="8"/>
        <v>500559340.10661083</v>
      </c>
      <c r="V65" s="360">
        <f t="shared" si="8"/>
        <v>494722478.10661083</v>
      </c>
      <c r="W65" s="360">
        <f>SUM($W$5:W64)</f>
        <v>6274227700.723773</v>
      </c>
      <c r="Y65" s="360">
        <f t="shared" ref="Y65:AJ65" si="9">SUM(Y5:Y64)</f>
        <v>390880568</v>
      </c>
      <c r="Z65" s="360">
        <f t="shared" si="9"/>
        <v>288060339</v>
      </c>
      <c r="AA65" s="360">
        <f t="shared" si="9"/>
        <v>278341956</v>
      </c>
      <c r="AB65" s="360">
        <f t="shared" si="9"/>
        <v>277195307</v>
      </c>
      <c r="AC65" s="360">
        <f t="shared" si="9"/>
        <v>257671198</v>
      </c>
      <c r="AD65" s="360">
        <f t="shared" si="9"/>
        <v>282582951</v>
      </c>
      <c r="AE65" s="360">
        <f t="shared" si="9"/>
        <v>303895748</v>
      </c>
      <c r="AF65" s="360">
        <f t="shared" si="9"/>
        <v>324851311</v>
      </c>
      <c r="AG65" s="360">
        <f t="shared" si="9"/>
        <v>377683972</v>
      </c>
      <c r="AH65" s="360">
        <f>SUM(AH5:AH64)</f>
        <v>405979250</v>
      </c>
      <c r="AI65" s="360">
        <f t="shared" si="9"/>
        <v>405979250</v>
      </c>
      <c r="AJ65" s="360">
        <f t="shared" si="9"/>
        <v>405979250</v>
      </c>
      <c r="AK65" s="360">
        <f>SUM(AK5:AK64)</f>
        <v>3999101100</v>
      </c>
      <c r="AM65" s="360">
        <f>SUM(AM5:AM64)</f>
        <v>2854734961</v>
      </c>
      <c r="AO65" s="360">
        <f>SUM(AO5:AO64)</f>
        <v>4726260715</v>
      </c>
      <c r="AQ65" s="360">
        <f>IFERROR(W65-AK65,0)</f>
        <v>2275126600.723773</v>
      </c>
      <c r="AR65" s="720">
        <f t="shared" ref="AR65" si="10">IFERROR((W65/AK65)-1,0)</f>
        <v>0.5689094983679639</v>
      </c>
      <c r="AS65" s="1198"/>
    </row>
    <row r="66" spans="2:45" x14ac:dyDescent="0.35">
      <c r="K66" s="822"/>
      <c r="L66" s="822"/>
      <c r="M66" s="822"/>
      <c r="N66" s="822"/>
      <c r="O66" s="822"/>
      <c r="P66" s="822"/>
      <c r="Q66" s="822"/>
      <c r="R66" s="822"/>
      <c r="S66" s="822"/>
      <c r="T66" s="822"/>
      <c r="U66" s="822"/>
      <c r="V66" s="822"/>
      <c r="W66" s="822"/>
    </row>
    <row r="67" spans="2:45" x14ac:dyDescent="0.35">
      <c r="K67" s="822"/>
      <c r="L67" s="822"/>
      <c r="M67" s="822"/>
      <c r="N67" s="822"/>
      <c r="O67" s="822"/>
      <c r="P67" s="822"/>
      <c r="Q67" s="822"/>
      <c r="R67" s="822"/>
      <c r="S67" s="822"/>
      <c r="T67" s="822"/>
      <c r="U67" s="822"/>
      <c r="V67" s="822"/>
      <c r="W67" s="822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</row>
    <row r="68" spans="2:45" x14ac:dyDescent="0.35">
      <c r="K68" s="822"/>
      <c r="L68" s="822"/>
      <c r="M68" s="822"/>
      <c r="N68" s="822"/>
      <c r="O68" s="822"/>
      <c r="P68" s="822"/>
      <c r="Q68" s="822"/>
      <c r="R68" s="822"/>
      <c r="S68" s="822"/>
      <c r="T68" s="822"/>
      <c r="U68" s="822"/>
      <c r="V68" s="822"/>
      <c r="W68" s="822"/>
      <c r="Y68" s="16"/>
      <c r="Z68" s="16"/>
      <c r="AA68" s="16"/>
      <c r="AB68" s="16"/>
      <c r="AC68" s="16"/>
      <c r="AD68" s="16"/>
    </row>
    <row r="69" spans="2:45" x14ac:dyDescent="0.35">
      <c r="K69" s="822"/>
      <c r="L69" s="822"/>
      <c r="M69" s="822"/>
      <c r="N69" s="822"/>
      <c r="O69" s="822"/>
      <c r="P69" s="822"/>
      <c r="Q69" s="822"/>
      <c r="R69" s="822"/>
      <c r="S69" s="822"/>
      <c r="T69" s="822"/>
      <c r="U69" s="822"/>
      <c r="V69" s="822"/>
      <c r="W69" s="822"/>
      <c r="Y69" s="16"/>
      <c r="Z69" s="16"/>
      <c r="AA69" s="16"/>
      <c r="AB69" s="16"/>
      <c r="AC69" s="16"/>
      <c r="AD69" s="16"/>
    </row>
    <row r="70" spans="2:45" x14ac:dyDescent="0.35">
      <c r="K70" s="16"/>
      <c r="L70" s="16"/>
      <c r="M70" s="16"/>
      <c r="N70" s="16"/>
      <c r="O70" s="16"/>
      <c r="P70" s="16"/>
      <c r="Y70" s="16"/>
      <c r="Z70" s="16"/>
      <c r="AA70" s="16"/>
      <c r="AB70" s="16"/>
      <c r="AC70" s="16"/>
      <c r="AD70" s="16"/>
    </row>
    <row r="71" spans="2:45" x14ac:dyDescent="0.35">
      <c r="K71" s="16"/>
      <c r="L71" s="16"/>
      <c r="M71" s="16"/>
      <c r="N71" s="16"/>
      <c r="O71" s="16"/>
      <c r="P71" s="16"/>
      <c r="Y71" s="16"/>
      <c r="Z71" s="16"/>
      <c r="AA71" s="16"/>
      <c r="AB71" s="16"/>
      <c r="AC71" s="16"/>
      <c r="AD71" s="16"/>
    </row>
    <row r="72" spans="2:45" x14ac:dyDescent="0.35">
      <c r="K72" s="16"/>
      <c r="L72" s="16"/>
      <c r="M72" s="16"/>
      <c r="N72" s="16"/>
      <c r="O72" s="16"/>
      <c r="P72" s="16"/>
      <c r="Y72" s="16"/>
      <c r="Z72" s="16"/>
      <c r="AA72" s="16"/>
      <c r="AB72" s="16"/>
      <c r="AC72" s="16"/>
      <c r="AD72" s="16"/>
    </row>
    <row r="73" spans="2:45" x14ac:dyDescent="0.35">
      <c r="K73" s="16"/>
      <c r="L73" s="16"/>
      <c r="M73" s="16"/>
      <c r="N73" s="16"/>
      <c r="O73" s="16"/>
      <c r="P73" s="16"/>
      <c r="Y73" s="16"/>
      <c r="Z73" s="16"/>
      <c r="AA73" s="16"/>
      <c r="AB73" s="16"/>
      <c r="AC73" s="16"/>
      <c r="AD73" s="16"/>
    </row>
    <row r="74" spans="2:45" x14ac:dyDescent="0.35">
      <c r="K74" s="16"/>
      <c r="L74" s="16"/>
      <c r="M74" s="16"/>
      <c r="N74" s="16"/>
      <c r="O74" s="16"/>
      <c r="P74" s="16"/>
      <c r="Y74" s="16"/>
      <c r="Z74" s="16"/>
      <c r="AA74" s="16"/>
      <c r="AB74" s="16"/>
      <c r="AC74" s="16"/>
      <c r="AD74" s="16"/>
    </row>
    <row r="75" spans="2:45" x14ac:dyDescent="0.35">
      <c r="K75" s="16"/>
      <c r="L75" s="16"/>
      <c r="M75" s="16"/>
      <c r="N75" s="16"/>
      <c r="O75" s="16"/>
      <c r="P75" s="16"/>
      <c r="Y75" s="16"/>
      <c r="Z75" s="16"/>
      <c r="AA75" s="16"/>
      <c r="AB75" s="16"/>
      <c r="AC75" s="16"/>
      <c r="AD75" s="16"/>
    </row>
    <row r="77" spans="2:45" x14ac:dyDescent="0.35">
      <c r="I77" s="400"/>
      <c r="L77" s="184"/>
      <c r="Z77" s="18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Z176"/>
  <sheetViews>
    <sheetView topLeftCell="A4" zoomScale="70" zoomScaleNormal="70" workbookViewId="0">
      <selection activeCell="W11" sqref="W11"/>
    </sheetView>
  </sheetViews>
  <sheetFormatPr defaultRowHeight="14.5" x14ac:dyDescent="0.35"/>
  <sheetData>
    <row r="1" spans="2:26" x14ac:dyDescent="0.35">
      <c r="B1" s="167"/>
      <c r="C1" s="167"/>
      <c r="D1" s="167"/>
      <c r="E1" s="167"/>
      <c r="F1" s="167"/>
      <c r="G1" s="168"/>
      <c r="H1" s="168"/>
      <c r="I1" s="168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Y1" s="1089">
        <f>9752840.5-168086-86000*95%</f>
        <v>9503054.5</v>
      </c>
    </row>
    <row r="2" spans="2:26" x14ac:dyDescent="0.35">
      <c r="B2" s="13"/>
      <c r="C2" s="13"/>
      <c r="D2" s="2"/>
      <c r="E2" s="1"/>
      <c r="F2" s="1"/>
      <c r="G2" s="1"/>
      <c r="H2" s="168"/>
      <c r="I2" s="168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Y2" s="17"/>
    </row>
    <row r="3" spans="2:26" x14ac:dyDescent="0.35">
      <c r="B3" s="63" t="s">
        <v>1029</v>
      </c>
      <c r="C3" s="13"/>
      <c r="D3" s="2"/>
      <c r="E3" s="1"/>
      <c r="F3" s="1"/>
      <c r="G3" s="1"/>
      <c r="H3" s="168"/>
      <c r="I3" s="168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390" t="s">
        <v>1030</v>
      </c>
      <c r="Y3" s="390"/>
    </row>
    <row r="4" spans="2:26" ht="56" x14ac:dyDescent="0.35">
      <c r="B4" s="172" t="s">
        <v>36</v>
      </c>
      <c r="C4" s="172" t="s">
        <v>697</v>
      </c>
      <c r="D4" s="473" t="s">
        <v>482</v>
      </c>
      <c r="E4" s="174" t="s">
        <v>483</v>
      </c>
      <c r="F4" s="474" t="s">
        <v>484</v>
      </c>
      <c r="G4" s="172" t="s">
        <v>698</v>
      </c>
      <c r="H4" s="172" t="s">
        <v>354</v>
      </c>
      <c r="I4" s="401" t="s">
        <v>699</v>
      </c>
      <c r="J4" s="116" t="s">
        <v>700</v>
      </c>
      <c r="K4" s="116" t="s">
        <v>149</v>
      </c>
      <c r="L4" s="116" t="s">
        <v>150</v>
      </c>
      <c r="M4" s="116" t="s">
        <v>151</v>
      </c>
      <c r="N4" s="116" t="s">
        <v>152</v>
      </c>
      <c r="O4" s="116" t="s">
        <v>153</v>
      </c>
      <c r="P4" s="116" t="s">
        <v>154</v>
      </c>
      <c r="Q4" s="116" t="s">
        <v>155</v>
      </c>
      <c r="R4" s="116" t="s">
        <v>156</v>
      </c>
      <c r="S4" s="116" t="s">
        <v>157</v>
      </c>
      <c r="T4" s="116" t="s">
        <v>158</v>
      </c>
      <c r="U4" s="116" t="s">
        <v>159</v>
      </c>
      <c r="V4" s="116" t="s">
        <v>160</v>
      </c>
      <c r="W4" s="116" t="s">
        <v>161</v>
      </c>
      <c r="Y4" s="714" t="s">
        <v>148</v>
      </c>
    </row>
    <row r="5" spans="2:26" x14ac:dyDescent="0.35">
      <c r="B5" s="63" t="s">
        <v>2108</v>
      </c>
      <c r="C5" s="63"/>
      <c r="D5" s="85"/>
      <c r="E5" s="63"/>
      <c r="F5" s="63"/>
      <c r="G5" s="63"/>
      <c r="H5" s="16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Z5" s="149" t="s">
        <v>2195</v>
      </c>
    </row>
    <row r="6" spans="2:26" x14ac:dyDescent="0.35">
      <c r="B6" s="183" t="s">
        <v>108</v>
      </c>
      <c r="C6" s="452"/>
      <c r="D6" s="457"/>
      <c r="E6" s="453" t="s">
        <v>176</v>
      </c>
      <c r="F6" s="458"/>
      <c r="G6" s="458"/>
      <c r="H6" s="458"/>
      <c r="I6" s="458"/>
      <c r="J6" s="461"/>
      <c r="K6" s="461">
        <f>SUM(K7:K27)</f>
        <v>1068.6146737392237</v>
      </c>
      <c r="L6" s="461">
        <f>SUM(L7:L27)</f>
        <v>1025.4513664684655</v>
      </c>
      <c r="M6" s="461">
        <f t="shared" ref="M6:W6" si="0">SUM(M7:M27)</f>
        <v>975.5171383452448</v>
      </c>
      <c r="N6" s="461">
        <f t="shared" si="0"/>
        <v>915.49739952708728</v>
      </c>
      <c r="O6" s="461">
        <f t="shared" si="0"/>
        <v>922.13850584922966</v>
      </c>
      <c r="P6" s="461">
        <f t="shared" si="0"/>
        <v>894.20597677712874</v>
      </c>
      <c r="Q6" s="461">
        <f t="shared" si="0"/>
        <v>910.6606014606391</v>
      </c>
      <c r="R6" s="461">
        <f t="shared" si="0"/>
        <v>910.62451619631463</v>
      </c>
      <c r="S6" s="461">
        <f t="shared" si="0"/>
        <v>865.55150767482087</v>
      </c>
      <c r="T6" s="461">
        <f t="shared" si="0"/>
        <v>904.33253572994226</v>
      </c>
      <c r="U6" s="461">
        <f t="shared" si="0"/>
        <v>905.16988326474382</v>
      </c>
      <c r="V6" s="461">
        <f t="shared" si="0"/>
        <v>897.9053193511977</v>
      </c>
      <c r="W6" s="461">
        <f t="shared" si="0"/>
        <v>927.54372968667235</v>
      </c>
      <c r="Y6" s="461">
        <f t="shared" ref="Y6" si="1">SUM(Y7:Y27)</f>
        <v>1016.0278586392851</v>
      </c>
      <c r="Z6" s="149">
        <f t="shared" ref="Z6:Z91" si="2">W6+Y6</f>
        <v>1943.5715883259575</v>
      </c>
    </row>
    <row r="7" spans="2:26" x14ac:dyDescent="0.35">
      <c r="B7" s="362">
        <v>1</v>
      </c>
      <c r="C7" s="362"/>
      <c r="D7" s="363">
        <v>6220002601</v>
      </c>
      <c r="E7" s="364" t="s">
        <v>504</v>
      </c>
      <c r="F7" s="364" t="s">
        <v>489</v>
      </c>
      <c r="G7" s="364" t="s">
        <v>504</v>
      </c>
      <c r="H7" s="363" t="s">
        <v>359</v>
      </c>
      <c r="I7" s="403" t="s">
        <v>701</v>
      </c>
      <c r="J7" s="379"/>
      <c r="K7" s="379">
        <f>IFERROR((CPSX!K28/('3.Thanh pham'!F$78)),0)</f>
        <v>494.07180809509526</v>
      </c>
      <c r="L7" s="379">
        <f>IFERROR((CPSX!L28/('3.Thanh pham'!G$78)),0)</f>
        <v>430.19064303165015</v>
      </c>
      <c r="M7" s="379">
        <f>IFERROR((CPSX!M28/('3.Thanh pham'!H$78)),0)</f>
        <v>435.1725261669024</v>
      </c>
      <c r="N7" s="379">
        <f>IFERROR((CPSX!N28/('3.Thanh pham'!I$78)),0)</f>
        <v>386.08891505254422</v>
      </c>
      <c r="O7" s="379">
        <f>IFERROR((CPSX!O28/('3.Thanh pham'!J$78)),0)</f>
        <v>400.37902441422023</v>
      </c>
      <c r="P7" s="379">
        <f>IFERROR((CPSX!P28/('3.Thanh pham'!K$78)),0)</f>
        <v>398.22325081367586</v>
      </c>
      <c r="Q7" s="379">
        <f>IFERROR((CPSX!Q28/('3.Thanh pham'!L$78)),0)</f>
        <v>416.41607790667979</v>
      </c>
      <c r="R7" s="379">
        <f>IFERROR((CPSX!R28/('3.Thanh pham'!M$78)),0)</f>
        <v>416.41607790667979</v>
      </c>
      <c r="S7" s="379">
        <f>IFERROR((CPSX!S28/('3.Thanh pham'!N$78)),0)</f>
        <v>375.7060458751497</v>
      </c>
      <c r="T7" s="379">
        <f>IFERROR((CPSX!T28/('3.Thanh pham'!O$78)),0)</f>
        <v>412.0917000611575</v>
      </c>
      <c r="U7" s="379">
        <f>IFERROR((CPSX!U28/('3.Thanh pham'!P$78)),0)</f>
        <v>409.48185328293897</v>
      </c>
      <c r="V7" s="379">
        <f>IFERROR((CPSX!V28/('3.Thanh pham'!Q$78)),0)</f>
        <v>405.15747543741668</v>
      </c>
      <c r="W7" s="379">
        <f>IFERROR((CPSX!W28/('3.Thanh pham'!R$78)),0)</f>
        <v>413.04694487226908</v>
      </c>
      <c r="Y7" s="379">
        <f>IFERROR(CPSX!AK28/CP_Kg!$Y$1,0)</f>
        <v>608.03386658468605</v>
      </c>
      <c r="Z7" s="149">
        <f t="shared" si="2"/>
        <v>1021.0808114569552</v>
      </c>
    </row>
    <row r="8" spans="2:26" x14ac:dyDescent="0.35">
      <c r="B8" s="367">
        <v>2</v>
      </c>
      <c r="C8" s="367"/>
      <c r="D8" s="368">
        <v>6220002602</v>
      </c>
      <c r="E8" s="369" t="s">
        <v>505</v>
      </c>
      <c r="F8" s="369" t="s">
        <v>489</v>
      </c>
      <c r="G8" s="369" t="s">
        <v>505</v>
      </c>
      <c r="H8" s="368" t="s">
        <v>359</v>
      </c>
      <c r="I8" s="404" t="s">
        <v>701</v>
      </c>
      <c r="J8" s="460"/>
      <c r="K8" s="379">
        <f>IFERROR((CPSX!K29/('3.Thanh pham'!F$78)),0)</f>
        <v>10.854394696612518</v>
      </c>
      <c r="L8" s="379">
        <f>IFERROR((CPSX!L29/('3.Thanh pham'!G$78)),0)</f>
        <v>13.955650324216094</v>
      </c>
      <c r="M8" s="379">
        <f>IFERROR((CPSX!M29/('3.Thanh pham'!H$78)),0)</f>
        <v>9.7689552269512667</v>
      </c>
      <c r="N8" s="379">
        <f>IFERROR((CPSX!N29/('3.Thanh pham'!I$78)),0)</f>
        <v>8.8808683881375146</v>
      </c>
      <c r="O8" s="379">
        <f>IFERROR((CPSX!O29/('3.Thanh pham'!J$78)),0)</f>
        <v>8.8909288451051012</v>
      </c>
      <c r="P8" s="379">
        <f>IFERROR((CPSX!P29/('3.Thanh pham'!K$78)),0)</f>
        <v>8.9010121213683338</v>
      </c>
      <c r="Q8" s="379">
        <f>IFERROR((CPSX!Q29/('3.Thanh pham'!L$78)),0)</f>
        <v>8.9010121213683338</v>
      </c>
      <c r="R8" s="379">
        <f>IFERROR((CPSX!R29/('3.Thanh pham'!M$78)),0)</f>
        <v>8.9010121213683338</v>
      </c>
      <c r="S8" s="379">
        <f>IFERROR((CPSX!S29/('3.Thanh pham'!N$78)),0)</f>
        <v>8.9010121213683338</v>
      </c>
      <c r="T8" s="379">
        <f>IFERROR((CPSX!T29/('3.Thanh pham'!O$78)),0)</f>
        <v>8.9010121213683338</v>
      </c>
      <c r="U8" s="379">
        <f>IFERROR((CPSX!U29/('3.Thanh pham'!P$78)),0)</f>
        <v>8.9010121213683338</v>
      </c>
      <c r="V8" s="379">
        <f>IFERROR((CPSX!V29/('3.Thanh pham'!Q$78)),0)</f>
        <v>8.9010121213683338</v>
      </c>
      <c r="W8" s="379">
        <f>IFERROR((CPSX!W29/('3.Thanh pham'!R$78)),0)</f>
        <v>9.3922255754512616</v>
      </c>
      <c r="Y8" s="379">
        <f>IFERROR(CPSX!AK29/CP_Kg!$Y$1,0)</f>
        <v>14.974352193813052</v>
      </c>
      <c r="Z8" s="149">
        <f t="shared" si="2"/>
        <v>24.366577769264314</v>
      </c>
    </row>
    <row r="9" spans="2:26" x14ac:dyDescent="0.35">
      <c r="B9" s="362">
        <v>3</v>
      </c>
      <c r="C9" s="367"/>
      <c r="D9" s="368">
        <v>6220002802</v>
      </c>
      <c r="E9" s="369" t="s">
        <v>506</v>
      </c>
      <c r="F9" s="369" t="s">
        <v>493</v>
      </c>
      <c r="G9" s="369" t="s">
        <v>506</v>
      </c>
      <c r="H9" s="368" t="s">
        <v>359</v>
      </c>
      <c r="I9" s="404" t="s">
        <v>701</v>
      </c>
      <c r="J9" s="460"/>
      <c r="K9" s="379">
        <f>IFERROR((CPSX!K30/('3.Thanh pham'!F$78)),0)</f>
        <v>31.381423856671383</v>
      </c>
      <c r="L9" s="379">
        <f>IFERROR((CPSX!L30/('3.Thanh pham'!G$78)),0)</f>
        <v>35.17478278440089</v>
      </c>
      <c r="M9" s="379">
        <f>IFERROR((CPSX!M30/('3.Thanh pham'!H$78)),0)</f>
        <v>24.622347949080623</v>
      </c>
      <c r="N9" s="379">
        <f>IFERROR((CPSX!N30/('3.Thanh pham'!I$78)),0)</f>
        <v>22.383952680982382</v>
      </c>
      <c r="O9" s="379">
        <f>IFERROR((CPSX!O30/('3.Thanh pham'!J$78)),0)</f>
        <v>29.000283205890682</v>
      </c>
      <c r="P9" s="379">
        <f>IFERROR((CPSX!P30/('3.Thanh pham'!K$78)),0)</f>
        <v>22.434724334355749</v>
      </c>
      <c r="Q9" s="379">
        <f>IFERROR((CPSX!Q30/('3.Thanh pham'!L$78)),0)</f>
        <v>22.434724334355749</v>
      </c>
      <c r="R9" s="379">
        <f>IFERROR((CPSX!R30/('3.Thanh pham'!M$78)),0)</f>
        <v>22.434724334355749</v>
      </c>
      <c r="S9" s="379">
        <f>IFERROR((CPSX!S30/('3.Thanh pham'!N$78)),0)</f>
        <v>25.733948501172772</v>
      </c>
      <c r="T9" s="379">
        <f>IFERROR((CPSX!T30/('3.Thanh pham'!O$78)),0)</f>
        <v>22.434724334355749</v>
      </c>
      <c r="U9" s="379">
        <f>IFERROR((CPSX!U30/('3.Thanh pham'!P$78)),0)</f>
        <v>22.434724334355749</v>
      </c>
      <c r="V9" s="379">
        <f>IFERROR((CPSX!V30/('3.Thanh pham'!Q$78)),0)</f>
        <v>22.434724334355749</v>
      </c>
      <c r="W9" s="379">
        <f>IFERROR((CPSX!W30/('3.Thanh pham'!R$78)),0)</f>
        <v>24.833244563308138</v>
      </c>
      <c r="Y9" s="379">
        <f>IFERROR(CPSX!AK30/CP_Kg!$Y$1,0)</f>
        <v>0</v>
      </c>
      <c r="Z9" s="149">
        <f t="shared" si="2"/>
        <v>24.833244563308138</v>
      </c>
    </row>
    <row r="10" spans="2:26" x14ac:dyDescent="0.35">
      <c r="B10" s="367">
        <v>4</v>
      </c>
      <c r="C10" s="367"/>
      <c r="D10" s="368">
        <v>6220002806</v>
      </c>
      <c r="E10" s="369" t="s">
        <v>507</v>
      </c>
      <c r="F10" s="369" t="s">
        <v>489</v>
      </c>
      <c r="G10" s="369" t="s">
        <v>507</v>
      </c>
      <c r="H10" s="368" t="s">
        <v>359</v>
      </c>
      <c r="I10" s="404" t="s">
        <v>701</v>
      </c>
      <c r="J10" s="460"/>
      <c r="K10" s="379">
        <f>IFERROR((CPSX!K31/('3.Thanh pham'!F$78)),0)</f>
        <v>1.2568287685911448</v>
      </c>
      <c r="L10" s="379">
        <f>IFERROR((CPSX!L31/('3.Thanh pham'!G$78)),0)</f>
        <v>1.615922702474329</v>
      </c>
      <c r="M10" s="379">
        <f>IFERROR((CPSX!M31/('3.Thanh pham'!H$78)),0)</f>
        <v>1.1311458917320303</v>
      </c>
      <c r="N10" s="379">
        <f>IFERROR((CPSX!N31/('3.Thanh pham'!I$78)),0)</f>
        <v>1.0283144470291183</v>
      </c>
      <c r="O10" s="379">
        <f>IFERROR((CPSX!O31/('3.Thanh pham'!J$78)),0)</f>
        <v>1.0294793458646088</v>
      </c>
      <c r="P10" s="379">
        <f>IFERROR((CPSX!P31/('3.Thanh pham'!K$78)),0)</f>
        <v>1.0306468869429923</v>
      </c>
      <c r="Q10" s="379">
        <f>IFERROR((CPSX!Q31/('3.Thanh pham'!L$78)),0)</f>
        <v>1.0306468869429923</v>
      </c>
      <c r="R10" s="379">
        <f>IFERROR((CPSX!R31/('3.Thanh pham'!M$78)),0)</f>
        <v>1.0306468869429923</v>
      </c>
      <c r="S10" s="379">
        <f>IFERROR((CPSX!S31/('3.Thanh pham'!N$78)),0)</f>
        <v>1.0306468869429923</v>
      </c>
      <c r="T10" s="379">
        <f>IFERROR((CPSX!T31/('3.Thanh pham'!O$78)),0)</f>
        <v>1.0306468869429923</v>
      </c>
      <c r="U10" s="379">
        <f>IFERROR((CPSX!U31/('3.Thanh pham'!P$78)),0)</f>
        <v>1.0306468869429923</v>
      </c>
      <c r="V10" s="379">
        <f>IFERROR((CPSX!V31/('3.Thanh pham'!Q$78)),0)</f>
        <v>1.0306468869429923</v>
      </c>
      <c r="W10" s="379">
        <f>IFERROR((CPSX!W31/('3.Thanh pham'!R$78)),0)</f>
        <v>1.087524420685442</v>
      </c>
      <c r="Y10" s="379">
        <f>IFERROR(CPSX!AK31/CP_Kg!$Y$1,0)</f>
        <v>3.3033724051566788</v>
      </c>
      <c r="Z10" s="149">
        <f t="shared" si="2"/>
        <v>4.3908968258421206</v>
      </c>
    </row>
    <row r="11" spans="2:26" x14ac:dyDescent="0.35">
      <c r="B11" s="362">
        <v>5</v>
      </c>
      <c r="C11" s="367"/>
      <c r="D11" s="368">
        <v>6220007202</v>
      </c>
      <c r="E11" s="369" t="s">
        <v>495</v>
      </c>
      <c r="F11" s="369" t="s">
        <v>493</v>
      </c>
      <c r="G11" s="369" t="s">
        <v>495</v>
      </c>
      <c r="H11" s="368" t="s">
        <v>359</v>
      </c>
      <c r="I11" s="404" t="s">
        <v>701</v>
      </c>
      <c r="J11" s="460"/>
      <c r="K11" s="379">
        <f>IFERROR((CPSX!K32/('3.Thanh pham'!F$78)),0)</f>
        <v>1.7464759047333305</v>
      </c>
      <c r="L11" s="379">
        <f>IFERROR((CPSX!L32/('3.Thanh pham'!G$78)),0)</f>
        <v>2.2454690203714249</v>
      </c>
      <c r="M11" s="379">
        <f>IFERROR((CPSX!M32/('3.Thanh pham'!H$78)),0)</f>
        <v>1.5718283142599974</v>
      </c>
      <c r="N11" s="379">
        <f>IFERROR((CPSX!N32/('3.Thanh pham'!I$78)),0)</f>
        <v>1.4289348311454522</v>
      </c>
      <c r="O11" s="379">
        <f>IFERROR((CPSX!O32/('3.Thanh pham'!J$78)),0)</f>
        <v>1.4305535621917795</v>
      </c>
      <c r="P11" s="379">
        <f>IFERROR((CPSX!P32/('3.Thanh pham'!K$78)),0)</f>
        <v>1.4321759648707608</v>
      </c>
      <c r="Q11" s="379">
        <f>IFERROR((CPSX!Q32/('3.Thanh pham'!L$78)),0)</f>
        <v>1.4321759648707608</v>
      </c>
      <c r="R11" s="379">
        <f>IFERROR((CPSX!R32/('3.Thanh pham'!M$78)),0)</f>
        <v>1.4321759648707608</v>
      </c>
      <c r="S11" s="379">
        <f>IFERROR((CPSX!S32/('3.Thanh pham'!N$78)),0)</f>
        <v>1.4321759648707608</v>
      </c>
      <c r="T11" s="379">
        <f>IFERROR((CPSX!T32/('3.Thanh pham'!O$78)),0)</f>
        <v>1.4321759648707608</v>
      </c>
      <c r="U11" s="379">
        <f>IFERROR((CPSX!U32/('3.Thanh pham'!P$78)),0)</f>
        <v>1.4321759648707608</v>
      </c>
      <c r="V11" s="379">
        <f>IFERROR((CPSX!V32/('3.Thanh pham'!Q$78)),0)</f>
        <v>1.4321759648707608</v>
      </c>
      <c r="W11" s="379">
        <f>IFERROR((CPSX!W32/('3.Thanh pham'!R$78)),0)</f>
        <v>1.5112123815126208</v>
      </c>
      <c r="Y11" s="379">
        <f>IFERROR(CPSX!AK32/CP_Kg!$Y$1,0)</f>
        <v>0</v>
      </c>
      <c r="Z11" s="149">
        <f t="shared" si="2"/>
        <v>1.5112123815126208</v>
      </c>
    </row>
    <row r="12" spans="2:26" x14ac:dyDescent="0.35">
      <c r="B12" s="367">
        <v>6</v>
      </c>
      <c r="C12" s="367"/>
      <c r="D12" s="368">
        <v>6220003201</v>
      </c>
      <c r="E12" s="369" t="s">
        <v>508</v>
      </c>
      <c r="F12" s="369" t="s">
        <v>493</v>
      </c>
      <c r="G12" s="369" t="s">
        <v>508</v>
      </c>
      <c r="H12" s="368" t="s">
        <v>359</v>
      </c>
      <c r="I12" s="404" t="s">
        <v>701</v>
      </c>
      <c r="J12" s="460"/>
      <c r="K12" s="379">
        <f>IFERROR((CPSX!K33/('3.Thanh pham'!F$78)),0)</f>
        <v>60.406039724851595</v>
      </c>
      <c r="L12" s="379">
        <f>IFERROR((CPSX!L33/('3.Thanh pham'!G$78)),0)</f>
        <v>53.272983446539314</v>
      </c>
      <c r="M12" s="379">
        <f>IFERROR((CPSX!M33/('3.Thanh pham'!H$78)),0)</f>
        <v>53.426461886628225</v>
      </c>
      <c r="N12" s="379">
        <f>IFERROR((CPSX!N33/('3.Thanh pham'!I$78)),0)</f>
        <v>48.970132600073192</v>
      </c>
      <c r="O12" s="379">
        <f>IFERROR((CPSX!O33/('3.Thanh pham'!J$78)),0)</f>
        <v>46.915372296918598</v>
      </c>
      <c r="P12" s="379">
        <f>IFERROR((CPSX!P33/('3.Thanh pham'!K$78)),0)</f>
        <v>50.163765398196922</v>
      </c>
      <c r="Q12" s="379">
        <f>IFERROR((CPSX!Q33/('3.Thanh pham'!L$78)),0)</f>
        <v>51.473332474160372</v>
      </c>
      <c r="R12" s="379">
        <f>IFERROR((CPSX!R33/('3.Thanh pham'!M$78)),0)</f>
        <v>51.473332474160372</v>
      </c>
      <c r="S12" s="379">
        <f>IFERROR((CPSX!S33/('3.Thanh pham'!N$78)),0)</f>
        <v>46.287551971702804</v>
      </c>
      <c r="T12" s="379">
        <f>IFERROR((CPSX!T33/('3.Thanh pham'!O$78)),0)</f>
        <v>50.617783690650143</v>
      </c>
      <c r="U12" s="379">
        <f>IFERROR((CPSX!U33/('3.Thanh pham'!P$78)),0)</f>
        <v>51.246323327933759</v>
      </c>
      <c r="V12" s="379">
        <f>IFERROR((CPSX!V33/('3.Thanh pham'!Q$78)),0)</f>
        <v>50.390774544423536</v>
      </c>
      <c r="W12" s="379">
        <f>IFERROR((CPSX!W33/('3.Thanh pham'!R$78)),0)</f>
        <v>50.991474221097519</v>
      </c>
      <c r="Y12" s="379">
        <f>IFERROR(CPSX!AK33/CP_Kg!$Y$1,0)</f>
        <v>42.928302684152762</v>
      </c>
      <c r="Z12" s="149">
        <f t="shared" si="2"/>
        <v>93.919776905250274</v>
      </c>
    </row>
    <row r="13" spans="2:26" x14ac:dyDescent="0.35">
      <c r="B13" s="362">
        <v>7</v>
      </c>
      <c r="C13" s="367"/>
      <c r="D13" s="368">
        <v>6220002603</v>
      </c>
      <c r="E13" s="369" t="s">
        <v>509</v>
      </c>
      <c r="F13" s="369" t="s">
        <v>489</v>
      </c>
      <c r="G13" s="369" t="s">
        <v>509</v>
      </c>
      <c r="H13" s="368" t="s">
        <v>359</v>
      </c>
      <c r="I13" s="404" t="s">
        <v>701</v>
      </c>
      <c r="J13" s="460"/>
      <c r="K13" s="379">
        <f>IFERROR((CPSX!K34/('3.Thanh pham'!F$78)),0)</f>
        <v>11.200891517723202</v>
      </c>
      <c r="L13" s="379">
        <f>IFERROR((CPSX!L34/('3.Thanh pham'!G$78)),0)</f>
        <v>14.401146237072687</v>
      </c>
      <c r="M13" s="379">
        <f>IFERROR((CPSX!M34/('3.Thanh pham'!H$78)),0)</f>
        <v>10.080802365950882</v>
      </c>
      <c r="N13" s="379">
        <f>IFERROR((CPSX!N34/('3.Thanh pham'!I$78)),0)</f>
        <v>9.1643657872280748</v>
      </c>
      <c r="O13" s="379">
        <f>IFERROR((CPSX!O34/('3.Thanh pham'!J$78)),0)</f>
        <v>9.1747473967293232</v>
      </c>
      <c r="P13" s="379">
        <f>IFERROR((CPSX!P34/('3.Thanh pham'!K$78)),0)</f>
        <v>9.185152553969731</v>
      </c>
      <c r="Q13" s="379">
        <f>IFERROR((CPSX!Q34/('3.Thanh pham'!L$78)),0)</f>
        <v>9.185152553969731</v>
      </c>
      <c r="R13" s="379">
        <f>IFERROR((CPSX!R34/('3.Thanh pham'!M$78)),0)</f>
        <v>9.185152553969731</v>
      </c>
      <c r="S13" s="379">
        <f>IFERROR((CPSX!S34/('3.Thanh pham'!N$78)),0)</f>
        <v>9.185152553969731</v>
      </c>
      <c r="T13" s="379">
        <f>IFERROR((CPSX!T34/('3.Thanh pham'!O$78)),0)</f>
        <v>9.185152553969731</v>
      </c>
      <c r="U13" s="379">
        <f>IFERROR((CPSX!U34/('3.Thanh pham'!P$78)),0)</f>
        <v>9.185152553969731</v>
      </c>
      <c r="V13" s="379">
        <f>IFERROR((CPSX!V34/('3.Thanh pham'!Q$78)),0)</f>
        <v>9.185152553969731</v>
      </c>
      <c r="W13" s="379">
        <f>IFERROR((CPSX!W34/('3.Thanh pham'!R$78)),0)</f>
        <v>9.6920466521681359</v>
      </c>
      <c r="Y13" s="379">
        <f>IFERROR(CPSX!AK34/CP_Kg!$Y$1,0)</f>
        <v>0</v>
      </c>
      <c r="Z13" s="149">
        <f t="shared" si="2"/>
        <v>9.6920466521681359</v>
      </c>
    </row>
    <row r="14" spans="2:26" x14ac:dyDescent="0.35">
      <c r="B14" s="367">
        <v>8</v>
      </c>
      <c r="C14" s="367"/>
      <c r="D14" s="368">
        <v>6220003401</v>
      </c>
      <c r="E14" s="369" t="s">
        <v>510</v>
      </c>
      <c r="F14" s="369" t="s">
        <v>493</v>
      </c>
      <c r="G14" s="369" t="s">
        <v>510</v>
      </c>
      <c r="H14" s="368" t="s">
        <v>359</v>
      </c>
      <c r="I14" s="404" t="s">
        <v>701</v>
      </c>
      <c r="J14" s="460"/>
      <c r="K14" s="379">
        <f>IFERROR((CPSX!K35/('3.Thanh pham'!F$78)),0)</f>
        <v>32.220406954981215</v>
      </c>
      <c r="L14" s="379">
        <f>IFERROR((CPSX!L35/('3.Thanh pham'!G$78)),0)</f>
        <v>41.426237513547278</v>
      </c>
      <c r="M14" s="379">
        <f>IFERROR((CPSX!M35/('3.Thanh pham'!H$78)),0)</f>
        <v>28.998366259483092</v>
      </c>
      <c r="N14" s="379">
        <f>IFERROR((CPSX!N35/('3.Thanh pham'!I$78)),0)</f>
        <v>26.36215114498463</v>
      </c>
      <c r="O14" s="379">
        <f>IFERROR((CPSX!O35/('3.Thanh pham'!J$78)),0)</f>
        <v>26.392014810965922</v>
      </c>
      <c r="P14" s="379">
        <f>IFERROR((CPSX!P35/('3.Thanh pham'!K$78)),0)</f>
        <v>26.421946214210568</v>
      </c>
      <c r="Q14" s="379">
        <f>IFERROR((CPSX!Q35/('3.Thanh pham'!L$78)),0)</f>
        <v>26.421946214210568</v>
      </c>
      <c r="R14" s="379">
        <f>IFERROR((CPSX!R35/('3.Thanh pham'!M$78)),0)</f>
        <v>26.421946214210568</v>
      </c>
      <c r="S14" s="379">
        <f>IFERROR((CPSX!S35/('3.Thanh pham'!N$78)),0)</f>
        <v>26.421946214210568</v>
      </c>
      <c r="T14" s="379">
        <f>IFERROR((CPSX!T35/('3.Thanh pham'!O$78)),0)</f>
        <v>26.421946214210568</v>
      </c>
      <c r="U14" s="379">
        <f>IFERROR((CPSX!U35/('3.Thanh pham'!P$78)),0)</f>
        <v>26.421946214210568</v>
      </c>
      <c r="V14" s="379">
        <f>IFERROR((CPSX!V35/('3.Thanh pham'!Q$78)),0)</f>
        <v>26.421946214210568</v>
      </c>
      <c r="W14" s="379">
        <f>IFERROR((CPSX!W35/('3.Thanh pham'!R$78)),0)</f>
        <v>27.880074265998953</v>
      </c>
      <c r="Y14" s="379">
        <f>IFERROR(CPSX!AK35/CP_Kg!$Y$1,0)</f>
        <v>32.507837348507259</v>
      </c>
      <c r="Z14" s="149">
        <f t="shared" si="2"/>
        <v>60.387911614506208</v>
      </c>
    </row>
    <row r="15" spans="2:26" x14ac:dyDescent="0.35">
      <c r="B15" s="362">
        <v>9</v>
      </c>
      <c r="C15" s="367"/>
      <c r="D15" s="368">
        <v>6220002701</v>
      </c>
      <c r="E15" s="369" t="s">
        <v>511</v>
      </c>
      <c r="F15" s="369" t="s">
        <v>489</v>
      </c>
      <c r="G15" s="369" t="s">
        <v>511</v>
      </c>
      <c r="H15" s="368" t="s">
        <v>359</v>
      </c>
      <c r="I15" s="404" t="s">
        <v>701</v>
      </c>
      <c r="J15" s="460"/>
      <c r="K15" s="379">
        <f>IFERROR((CPSX!K36/('3.Thanh pham'!F$78)),0)</f>
        <v>68.799070078436415</v>
      </c>
      <c r="L15" s="379">
        <f>IFERROR((CPSX!L36/('3.Thanh pham'!G$78)),0)</f>
        <v>77.253940447105933</v>
      </c>
      <c r="M15" s="379">
        <f>IFERROR((CPSX!M36/('3.Thanh pham'!H$78)),0)</f>
        <v>59.207482165359394</v>
      </c>
      <c r="N15" s="379">
        <f>IFERROR((CPSX!N36/('3.Thanh pham'!I$78)),0)</f>
        <v>59.35180913416017</v>
      </c>
      <c r="O15" s="379">
        <f>IFERROR((CPSX!O36/('3.Thanh pham'!J$78)),0)</f>
        <v>48.415518184860893</v>
      </c>
      <c r="P15" s="379">
        <f>IFERROR((CPSX!P36/('3.Thanh pham'!K$78)),0)</f>
        <v>59.486431893749987</v>
      </c>
      <c r="Q15" s="379">
        <f>IFERROR((CPSX!Q36/('3.Thanh pham'!L$78)),0)</f>
        <v>57.283228740741428</v>
      </c>
      <c r="R15" s="379">
        <f>IFERROR((CPSX!R36/('3.Thanh pham'!M$78)),0)</f>
        <v>57.283228740741428</v>
      </c>
      <c r="S15" s="379">
        <f>IFERROR((CPSX!S36/('3.Thanh pham'!N$78)),0)</f>
        <v>55.080025587732884</v>
      </c>
      <c r="T15" s="379">
        <f>IFERROR((CPSX!T36/('3.Thanh pham'!O$78)),0)</f>
        <v>55.080025587732884</v>
      </c>
      <c r="U15" s="379">
        <f>IFERROR((CPSX!U36/('3.Thanh pham'!P$78)),0)</f>
        <v>59.486431893749987</v>
      </c>
      <c r="V15" s="379">
        <f>IFERROR((CPSX!V36/('3.Thanh pham'!Q$78)),0)</f>
        <v>57.283228740741428</v>
      </c>
      <c r="W15" s="379">
        <f>IFERROR((CPSX!W36/('3.Thanh pham'!R$78)),0)</f>
        <v>58.789478788428241</v>
      </c>
      <c r="Y15" s="379">
        <f>IFERROR(CPSX!AK36/CP_Kg!$Y$1,0)</f>
        <v>0</v>
      </c>
      <c r="Z15" s="149">
        <f t="shared" si="2"/>
        <v>58.789478788428241</v>
      </c>
    </row>
    <row r="16" spans="2:26" x14ac:dyDescent="0.35">
      <c r="B16" s="367">
        <v>10</v>
      </c>
      <c r="C16" s="367"/>
      <c r="D16" s="368" t="s">
        <v>1311</v>
      </c>
      <c r="E16" s="369" t="s">
        <v>1312</v>
      </c>
      <c r="F16" s="369" t="s">
        <v>1313</v>
      </c>
      <c r="G16" s="369" t="s">
        <v>1312</v>
      </c>
      <c r="H16" s="368" t="s">
        <v>359</v>
      </c>
      <c r="I16" s="404" t="s">
        <v>701</v>
      </c>
      <c r="J16" s="460"/>
      <c r="K16" s="379">
        <f>IFERROR((CPSX!K38/('3.Thanh pham'!F$78)),0)</f>
        <v>0</v>
      </c>
      <c r="L16" s="379">
        <f>IFERROR((CPSX!L38/('3.Thanh pham'!G$78)),0)</f>
        <v>0</v>
      </c>
      <c r="M16" s="379">
        <f>IFERROR((CPSX!M38/('3.Thanh pham'!H$78)),0)</f>
        <v>0</v>
      </c>
      <c r="N16" s="379">
        <f>IFERROR((CPSX!N38/('3.Thanh pham'!I$78)),0)</f>
        <v>0</v>
      </c>
      <c r="O16" s="379">
        <f>IFERROR((CPSX!O38/('3.Thanh pham'!J$78)),0)</f>
        <v>0</v>
      </c>
      <c r="P16" s="379">
        <f>IFERROR((CPSX!P38/('3.Thanh pham'!K$78)),0)</f>
        <v>0</v>
      </c>
      <c r="Q16" s="379">
        <f>IFERROR((CPSX!Q38/('3.Thanh pham'!L$78)),0)</f>
        <v>0</v>
      </c>
      <c r="R16" s="379">
        <f>IFERROR((CPSX!R38/('3.Thanh pham'!M$78)),0)</f>
        <v>0</v>
      </c>
      <c r="S16" s="379">
        <f>IFERROR((CPSX!S38/('3.Thanh pham'!N$78)),0)</f>
        <v>0</v>
      </c>
      <c r="T16" s="379">
        <f>IFERROR((CPSX!T38/('3.Thanh pham'!O$78)),0)</f>
        <v>0</v>
      </c>
      <c r="U16" s="379">
        <f>IFERROR((CPSX!U38/('3.Thanh pham'!P$78)),0)</f>
        <v>0</v>
      </c>
      <c r="V16" s="379">
        <f>IFERROR((CPSX!V38/('3.Thanh pham'!Q$78)),0)</f>
        <v>0</v>
      </c>
      <c r="W16" s="379">
        <f>IFERROR((CPSX!W38/('3.Thanh pham'!R$78)),0)</f>
        <v>0</v>
      </c>
      <c r="Y16" s="379">
        <f>IFERROR(CPSX!AK37/CP_Kg!$Y$1,0)</f>
        <v>0</v>
      </c>
      <c r="Z16" s="149">
        <f t="shared" si="2"/>
        <v>0</v>
      </c>
    </row>
    <row r="17" spans="2:26" x14ac:dyDescent="0.35">
      <c r="B17" s="362">
        <v>11</v>
      </c>
      <c r="C17" s="367"/>
      <c r="D17" s="368">
        <v>6220003001</v>
      </c>
      <c r="E17" s="369" t="s">
        <v>702</v>
      </c>
      <c r="F17" s="369" t="s">
        <v>493</v>
      </c>
      <c r="G17" s="369" t="s">
        <v>702</v>
      </c>
      <c r="H17" s="368" t="s">
        <v>359</v>
      </c>
      <c r="I17" s="404" t="s">
        <v>703</v>
      </c>
      <c r="J17" s="460"/>
      <c r="K17" s="379">
        <f>IFERROR((CPSX!K39/('3.Thanh pham'!F$78)),0)</f>
        <v>2.3154688040232596</v>
      </c>
      <c r="L17" s="379">
        <f>IFERROR((CPSX!L39/('3.Thanh pham'!G$78)),0)</f>
        <v>2.653733683572439</v>
      </c>
      <c r="M17" s="379">
        <f>IFERROR((CPSX!M39/('3.Thanh pham'!H$78)),0)</f>
        <v>1.8576135785007073</v>
      </c>
      <c r="N17" s="379">
        <f>IFERROR((CPSX!N39/('3.Thanh pham'!I$78)),0)</f>
        <v>1.2944148129098625</v>
      </c>
      <c r="O17" s="379">
        <f>IFERROR((CPSX!O39/('3.Thanh pham'!J$78)),0)</f>
        <v>1.2958811565098736</v>
      </c>
      <c r="P17" s="379">
        <f>IFERROR((CPSX!P39/('3.Thanh pham'!K$78)),0)</f>
        <v>1.2973508260948012</v>
      </c>
      <c r="Q17" s="379">
        <f>IFERROR((CPSX!Q39/('3.Thanh pham'!L$78)),0)</f>
        <v>1.0954455241384644</v>
      </c>
      <c r="R17" s="379">
        <f>IFERROR((CPSX!R39/('3.Thanh pham'!M$78)),0)</f>
        <v>0.9407943913189164</v>
      </c>
      <c r="S17" s="379">
        <f>IFERROR((CPSX!S39/('3.Thanh pham'!N$78)),0)</f>
        <v>0.9407943913189164</v>
      </c>
      <c r="T17" s="379">
        <f>IFERROR((CPSX!T39/('3.Thanh pham'!O$78)),0)</f>
        <v>0.71740907802149656</v>
      </c>
      <c r="U17" s="379">
        <f>IFERROR((CPSX!U39/('3.Thanh pham'!P$78)),0)</f>
        <v>0.71740907802149656</v>
      </c>
      <c r="V17" s="379">
        <f>IFERROR((CPSX!V39/('3.Thanh pham'!Q$78)),0)</f>
        <v>0.71740907802149656</v>
      </c>
      <c r="W17" s="379">
        <f>IFERROR((CPSX!W39/('3.Thanh pham'!R$78)),0)</f>
        <v>1.2578897816257379</v>
      </c>
      <c r="Y17" s="379">
        <f>IFERROR(CPSX!AK38/CP_Kg!$Y$1,0)</f>
        <v>0.70344656026122965</v>
      </c>
      <c r="Z17" s="149">
        <f t="shared" si="2"/>
        <v>1.9613363418869676</v>
      </c>
    </row>
    <row r="18" spans="2:26" x14ac:dyDescent="0.35">
      <c r="B18" s="367">
        <v>12</v>
      </c>
      <c r="C18" s="367"/>
      <c r="D18" s="368"/>
      <c r="E18" s="369" t="s">
        <v>705</v>
      </c>
      <c r="F18" s="369" t="s">
        <v>493</v>
      </c>
      <c r="G18" s="369" t="s">
        <v>706</v>
      </c>
      <c r="H18" s="368" t="s">
        <v>359</v>
      </c>
      <c r="I18" s="404" t="s">
        <v>703</v>
      </c>
      <c r="J18" s="460"/>
      <c r="K18" s="379">
        <f>IFERROR((CPSX!K40/('3.Thanh pham'!F$78)),0)</f>
        <v>71.753246753246756</v>
      </c>
      <c r="L18" s="379">
        <f>IFERROR((CPSX!L40/('3.Thanh pham'!G$78)),0)</f>
        <v>71.753246753246756</v>
      </c>
      <c r="M18" s="379">
        <f>IFERROR((CPSX!M40/('3.Thanh pham'!H$78)),0)</f>
        <v>71.753246753246756</v>
      </c>
      <c r="N18" s="379">
        <f>IFERROR((CPSX!N40/('3.Thanh pham'!I$78)),0)</f>
        <v>71.753246753246756</v>
      </c>
      <c r="O18" s="379">
        <f>IFERROR((CPSX!O40/('3.Thanh pham'!J$78)),0)</f>
        <v>71.753246753246756</v>
      </c>
      <c r="P18" s="379">
        <f>IFERROR((CPSX!P40/('3.Thanh pham'!K$78)),0)</f>
        <v>71.753246753246756</v>
      </c>
      <c r="Q18" s="379">
        <f>IFERROR((CPSX!Q40/('3.Thanh pham'!L$78)),0)</f>
        <v>71.753246753246756</v>
      </c>
      <c r="R18" s="379">
        <f>IFERROR((CPSX!R40/('3.Thanh pham'!M$78)),0)</f>
        <v>71.753246753246756</v>
      </c>
      <c r="S18" s="379">
        <f>IFERROR((CPSX!S40/('3.Thanh pham'!N$78)),0)</f>
        <v>71.753246753246756</v>
      </c>
      <c r="T18" s="379">
        <f>IFERROR((CPSX!T40/('3.Thanh pham'!O$78)),0)</f>
        <v>71.753246753246756</v>
      </c>
      <c r="U18" s="379">
        <f>IFERROR((CPSX!U40/('3.Thanh pham'!P$78)),0)</f>
        <v>71.753246753246756</v>
      </c>
      <c r="V18" s="379">
        <f>IFERROR((CPSX!V40/('3.Thanh pham'!Q$78)),0)</f>
        <v>71.753246753246756</v>
      </c>
      <c r="W18" s="379">
        <f>IFERROR((CPSX!W40/('3.Thanh pham'!R$78)),0)</f>
        <v>71.753246753246785</v>
      </c>
      <c r="Y18" s="379">
        <f>IFERROR(CPSX!AK39/CP_Kg!$Y$1,0)</f>
        <v>0</v>
      </c>
      <c r="Z18" s="149">
        <f t="shared" si="2"/>
        <v>71.753246753246785</v>
      </c>
    </row>
    <row r="19" spans="2:26" x14ac:dyDescent="0.35">
      <c r="B19" s="362">
        <v>13</v>
      </c>
      <c r="C19" s="367"/>
      <c r="D19" s="368">
        <v>6275001801</v>
      </c>
      <c r="E19" s="369" t="s">
        <v>707</v>
      </c>
      <c r="F19" s="369" t="s">
        <v>708</v>
      </c>
      <c r="G19" s="369" t="s">
        <v>707</v>
      </c>
      <c r="H19" s="368" t="s">
        <v>401</v>
      </c>
      <c r="I19" s="404" t="s">
        <v>709</v>
      </c>
      <c r="J19" s="460"/>
      <c r="K19" s="379">
        <f>IFERROR((CPSX!K41/('3.Thanh pham'!F$78)),0)</f>
        <v>111.56186612576063</v>
      </c>
      <c r="L19" s="379">
        <f>IFERROR((CPSX!L41/('3.Thanh pham'!G$78)),0)</f>
        <v>111.56186612576064</v>
      </c>
      <c r="M19" s="379">
        <f>IFERROR((CPSX!M41/('3.Thanh pham'!H$78)),0)</f>
        <v>111.56186612576064</v>
      </c>
      <c r="N19" s="379">
        <f>IFERROR((CPSX!N41/('3.Thanh pham'!I$78)),0)</f>
        <v>111.56186612576064</v>
      </c>
      <c r="O19" s="379">
        <f>IFERROR((CPSX!O41/('3.Thanh pham'!J$78)),0)</f>
        <v>111.56186612576064</v>
      </c>
      <c r="P19" s="379">
        <f>IFERROR((CPSX!P41/('3.Thanh pham'!K$78)),0)</f>
        <v>111.56186612576064</v>
      </c>
      <c r="Q19" s="379">
        <f>IFERROR((CPSX!Q41/('3.Thanh pham'!L$78)),0)</f>
        <v>111.56186612576064</v>
      </c>
      <c r="R19" s="379">
        <f>IFERROR((CPSX!R41/('3.Thanh pham'!M$78)),0)</f>
        <v>111.56186612576064</v>
      </c>
      <c r="S19" s="379">
        <f>IFERROR((CPSX!S41/('3.Thanh pham'!N$78)),0)</f>
        <v>111.56186612576064</v>
      </c>
      <c r="T19" s="379">
        <f>IFERROR((CPSX!T41/('3.Thanh pham'!O$78)),0)</f>
        <v>111.56186612576064</v>
      </c>
      <c r="U19" s="379">
        <f>IFERROR((CPSX!U41/('3.Thanh pham'!P$78)),0)</f>
        <v>111.56186612576064</v>
      </c>
      <c r="V19" s="379">
        <f>IFERROR((CPSX!V41/('3.Thanh pham'!Q$78)),0)</f>
        <v>111.56186612576064</v>
      </c>
      <c r="W19" s="379">
        <f>IFERROR((CPSX!W41/('3.Thanh pham'!R$78)),0)</f>
        <v>111.56186612576063</v>
      </c>
      <c r="Y19" s="379">
        <f>IFERROR(CPSX!AK40/CP_Kg!$Y$1,0)</f>
        <v>137.66924206540824</v>
      </c>
      <c r="Z19" s="149">
        <f t="shared" si="2"/>
        <v>249.23110819116886</v>
      </c>
    </row>
    <row r="20" spans="2:26" x14ac:dyDescent="0.35">
      <c r="B20" s="367">
        <v>14</v>
      </c>
      <c r="C20" s="367"/>
      <c r="D20" s="368">
        <v>6272000100</v>
      </c>
      <c r="E20" s="369" t="s">
        <v>710</v>
      </c>
      <c r="F20" s="369" t="s">
        <v>711</v>
      </c>
      <c r="G20" s="369" t="s">
        <v>318</v>
      </c>
      <c r="H20" s="368" t="s">
        <v>401</v>
      </c>
      <c r="I20" s="404" t="s">
        <v>709</v>
      </c>
      <c r="J20" s="460"/>
      <c r="K20" s="379">
        <f>IFERROR((CPSX!K42/('3.Thanh pham'!F$78)),0)</f>
        <v>66.482758620689665</v>
      </c>
      <c r="L20" s="379">
        <f>IFERROR((CPSX!L42/('3.Thanh pham'!G$78)),0)</f>
        <v>66.482758620689665</v>
      </c>
      <c r="M20" s="379">
        <f>IFERROR((CPSX!M42/('3.Thanh pham'!H$78)),0)</f>
        <v>66.482758620689665</v>
      </c>
      <c r="N20" s="379">
        <f>IFERROR((CPSX!N42/('3.Thanh pham'!I$78)),0)</f>
        <v>66.482758620689665</v>
      </c>
      <c r="O20" s="379">
        <f>IFERROR((CPSX!O42/('3.Thanh pham'!J$78)),0)</f>
        <v>66.482758620689665</v>
      </c>
      <c r="P20" s="379">
        <f>IFERROR((CPSX!P42/('3.Thanh pham'!K$78)),0)</f>
        <v>33.241379310344833</v>
      </c>
      <c r="Q20" s="379">
        <f>IFERROR((CPSX!Q42/('3.Thanh pham'!L$78)),0)</f>
        <v>33.241379310344833</v>
      </c>
      <c r="R20" s="379">
        <f>IFERROR((CPSX!R42/('3.Thanh pham'!M$78)),0)</f>
        <v>33.241379310344833</v>
      </c>
      <c r="S20" s="379">
        <f>IFERROR((CPSX!S42/('3.Thanh pham'!N$78)),0)</f>
        <v>33.241379310344833</v>
      </c>
      <c r="T20" s="379">
        <f>IFERROR((CPSX!T42/('3.Thanh pham'!O$78)),0)</f>
        <v>33.241379310344833</v>
      </c>
      <c r="U20" s="379">
        <f>IFERROR((CPSX!U42/('3.Thanh pham'!P$78)),0)</f>
        <v>33.241379310344833</v>
      </c>
      <c r="V20" s="379">
        <f>IFERROR((CPSX!V42/('3.Thanh pham'!Q$78)),0)</f>
        <v>33.241379310344833</v>
      </c>
      <c r="W20" s="379">
        <f>IFERROR((CPSX!W42/('3.Thanh pham'!R$78)),0)</f>
        <v>46.021848289617211</v>
      </c>
      <c r="Y20" s="379">
        <f>IFERROR(CPSX!AK41/CP_Kg!$Y$1,0)</f>
        <v>60.436708428853059</v>
      </c>
      <c r="Z20" s="149">
        <f t="shared" si="2"/>
        <v>106.45855671847028</v>
      </c>
    </row>
    <row r="21" spans="2:26" x14ac:dyDescent="0.35">
      <c r="B21" s="362">
        <v>15</v>
      </c>
      <c r="C21" s="367"/>
      <c r="D21" s="368">
        <v>6272000100</v>
      </c>
      <c r="E21" s="369" t="s">
        <v>710</v>
      </c>
      <c r="F21" s="369" t="s">
        <v>711</v>
      </c>
      <c r="G21" s="369" t="s">
        <v>320</v>
      </c>
      <c r="H21" s="368" t="s">
        <v>414</v>
      </c>
      <c r="I21" s="404" t="s">
        <v>709</v>
      </c>
      <c r="J21" s="460"/>
      <c r="K21" s="379">
        <f>IFERROR((CPSX!K43/('3.Thanh pham'!F$78)),0)</f>
        <v>0</v>
      </c>
      <c r="L21" s="379">
        <f>IFERROR((CPSX!L43/('3.Thanh pham'!G$78)),0)</f>
        <v>0</v>
      </c>
      <c r="M21" s="379">
        <f>IFERROR((CPSX!M43/('3.Thanh pham'!H$78)),0)</f>
        <v>0</v>
      </c>
      <c r="N21" s="379">
        <f>IFERROR((CPSX!N43/('3.Thanh pham'!I$78)),0)</f>
        <v>0</v>
      </c>
      <c r="O21" s="379">
        <f>IFERROR((CPSX!O43/('3.Thanh pham'!J$78)),0)</f>
        <v>0</v>
      </c>
      <c r="P21" s="379">
        <f>IFERROR((CPSX!P43/('3.Thanh pham'!K$78)),0)</f>
        <v>0</v>
      </c>
      <c r="Q21" s="379">
        <f>IFERROR((CPSX!Q43/('3.Thanh pham'!L$78)),0)</f>
        <v>0</v>
      </c>
      <c r="R21" s="379">
        <f>IFERROR((CPSX!R43/('3.Thanh pham'!M$78)),0)</f>
        <v>0</v>
      </c>
      <c r="S21" s="379">
        <f>IFERROR((CPSX!S43/('3.Thanh pham'!N$78)),0)</f>
        <v>0</v>
      </c>
      <c r="T21" s="379">
        <f>IFERROR((CPSX!T43/('3.Thanh pham'!O$78)),0)</f>
        <v>0</v>
      </c>
      <c r="U21" s="379">
        <f>IFERROR((CPSX!U43/('3.Thanh pham'!P$78)),0)</f>
        <v>0</v>
      </c>
      <c r="V21" s="379">
        <f>IFERROR((CPSX!V43/('3.Thanh pham'!Q$78)),0)</f>
        <v>0</v>
      </c>
      <c r="W21" s="379">
        <f>IFERROR((CPSX!W43/('3.Thanh pham'!R$78)),0)</f>
        <v>0</v>
      </c>
      <c r="Y21" s="379">
        <f>IFERROR(CPSX!AK42/CP_Kg!$Y$1,0)</f>
        <v>53.905872669272171</v>
      </c>
      <c r="Z21" s="149">
        <f t="shared" si="2"/>
        <v>53.905872669272171</v>
      </c>
    </row>
    <row r="22" spans="2:26" x14ac:dyDescent="0.35">
      <c r="B22" s="367">
        <v>16</v>
      </c>
      <c r="C22" s="367"/>
      <c r="D22" s="368">
        <v>6272000100</v>
      </c>
      <c r="E22" s="369" t="s">
        <v>710</v>
      </c>
      <c r="F22" s="369" t="s">
        <v>711</v>
      </c>
      <c r="G22" s="369" t="s">
        <v>321</v>
      </c>
      <c r="H22" s="368" t="s">
        <v>414</v>
      </c>
      <c r="I22" s="404" t="s">
        <v>709</v>
      </c>
      <c r="J22" s="460"/>
      <c r="K22" s="379">
        <f>IFERROR((CPSX!K44/('3.Thanh pham'!F$78)),0)</f>
        <v>0</v>
      </c>
      <c r="L22" s="379">
        <f>IFERROR((CPSX!L44/('3.Thanh pham'!G$78)),0)</f>
        <v>0</v>
      </c>
      <c r="M22" s="379">
        <f>IFERROR((CPSX!M44/('3.Thanh pham'!H$78)),0)</f>
        <v>0</v>
      </c>
      <c r="N22" s="379">
        <f>IFERROR((CPSX!N44/('3.Thanh pham'!I$78)),0)</f>
        <v>0</v>
      </c>
      <c r="O22" s="379">
        <f>IFERROR((CPSX!O44/('3.Thanh pham'!J$78)),0)</f>
        <v>0</v>
      </c>
      <c r="P22" s="379">
        <f>IFERROR((CPSX!P44/('3.Thanh pham'!K$78)),0)</f>
        <v>0</v>
      </c>
      <c r="Q22" s="379">
        <f>IFERROR((CPSX!Q44/('3.Thanh pham'!L$78)),0)</f>
        <v>0</v>
      </c>
      <c r="R22" s="379">
        <f>IFERROR((CPSX!R44/('3.Thanh pham'!M$78)),0)</f>
        <v>0</v>
      </c>
      <c r="S22" s="379">
        <f>IFERROR((CPSX!S44/('3.Thanh pham'!N$78)),0)</f>
        <v>0</v>
      </c>
      <c r="T22" s="379">
        <f>IFERROR((CPSX!T44/('3.Thanh pham'!O$78)),0)</f>
        <v>0</v>
      </c>
      <c r="U22" s="379">
        <f>IFERROR((CPSX!U44/('3.Thanh pham'!P$78)),0)</f>
        <v>0</v>
      </c>
      <c r="V22" s="379">
        <f>IFERROR((CPSX!V44/('3.Thanh pham'!Q$78)),0)</f>
        <v>0</v>
      </c>
      <c r="W22" s="379">
        <f>IFERROR((CPSX!W44/('3.Thanh pham'!R$78)),0)</f>
        <v>0</v>
      </c>
      <c r="Y22" s="379">
        <f>IFERROR(CPSX!AK43/CP_Kg!$Y$1,0)</f>
        <v>0</v>
      </c>
      <c r="Z22" s="149">
        <f t="shared" si="2"/>
        <v>0</v>
      </c>
    </row>
    <row r="23" spans="2:26" x14ac:dyDescent="0.35">
      <c r="B23" s="362">
        <v>17</v>
      </c>
      <c r="C23" s="367"/>
      <c r="D23" s="368">
        <v>6272000100</v>
      </c>
      <c r="E23" s="369" t="s">
        <v>710</v>
      </c>
      <c r="F23" s="369" t="s">
        <v>711</v>
      </c>
      <c r="G23" s="369" t="s">
        <v>322</v>
      </c>
      <c r="H23" s="368" t="s">
        <v>414</v>
      </c>
      <c r="I23" s="404" t="s">
        <v>709</v>
      </c>
      <c r="J23" s="460"/>
      <c r="K23" s="379">
        <f>IFERROR((CPSX!K45/('3.Thanh pham'!F$78)),0)</f>
        <v>22.413793103448278</v>
      </c>
      <c r="L23" s="379">
        <f>IFERROR((CPSX!L45/('3.Thanh pham'!G$78)),0)</f>
        <v>22.413793103448278</v>
      </c>
      <c r="M23" s="379">
        <f>IFERROR((CPSX!M45/('3.Thanh pham'!H$78)),0)</f>
        <v>22.413793103448278</v>
      </c>
      <c r="N23" s="379">
        <f>IFERROR((CPSX!N45/('3.Thanh pham'!I$78)),0)</f>
        <v>22.413793103448278</v>
      </c>
      <c r="O23" s="379">
        <f>IFERROR((CPSX!O45/('3.Thanh pham'!J$78)),0)</f>
        <v>22.413793103448278</v>
      </c>
      <c r="P23" s="379">
        <f>IFERROR((CPSX!P45/('3.Thanh pham'!K$78)),0)</f>
        <v>22.413793103448278</v>
      </c>
      <c r="Q23" s="379">
        <f>IFERROR((CPSX!Q45/('3.Thanh pham'!L$78)),0)</f>
        <v>22.413793103448278</v>
      </c>
      <c r="R23" s="379">
        <f>IFERROR((CPSX!R45/('3.Thanh pham'!M$78)),0)</f>
        <v>22.413793103448278</v>
      </c>
      <c r="S23" s="379">
        <f>IFERROR((CPSX!S45/('3.Thanh pham'!N$78)),0)</f>
        <v>22.413793103448278</v>
      </c>
      <c r="T23" s="379">
        <f>IFERROR((CPSX!T45/('3.Thanh pham'!O$78)),0)</f>
        <v>22.413793103448278</v>
      </c>
      <c r="U23" s="379">
        <f>IFERROR((CPSX!U45/('3.Thanh pham'!P$78)),0)</f>
        <v>22.413793103448278</v>
      </c>
      <c r="V23" s="379">
        <f>IFERROR((CPSX!V45/('3.Thanh pham'!Q$78)),0)</f>
        <v>22.413793103448278</v>
      </c>
      <c r="W23" s="379">
        <f>IFERROR((CPSX!W45/('3.Thanh pham'!R$78)),0)</f>
        <v>22.413793103448274</v>
      </c>
      <c r="Y23" s="379">
        <f>IFERROR(CPSX!AK44/CP_Kg!$Y$1,0)</f>
        <v>0</v>
      </c>
      <c r="Z23" s="149">
        <f t="shared" si="2"/>
        <v>22.413793103448274</v>
      </c>
    </row>
    <row r="24" spans="2:26" x14ac:dyDescent="0.35">
      <c r="B24" s="367">
        <v>18</v>
      </c>
      <c r="C24" s="367"/>
      <c r="D24" s="368">
        <v>6272000100</v>
      </c>
      <c r="E24" s="369" t="s">
        <v>710</v>
      </c>
      <c r="F24" s="369" t="s">
        <v>711</v>
      </c>
      <c r="G24" s="369" t="s">
        <v>720</v>
      </c>
      <c r="H24" s="368" t="s">
        <v>414</v>
      </c>
      <c r="I24" s="404" t="s">
        <v>709</v>
      </c>
      <c r="J24" s="460"/>
      <c r="K24" s="379">
        <f>IFERROR((CPSX!K46/('3.Thanh pham'!F$78)),0)</f>
        <v>12.604746188904604</v>
      </c>
      <c r="L24" s="379">
        <f>IFERROR((CPSX!L46/('3.Thanh pham'!G$78)),0)</f>
        <v>11.503738128914932</v>
      </c>
      <c r="M24" s="379">
        <f>IFERROR((CPSX!M46/('3.Thanh pham'!H$78)),0)</f>
        <v>7.9224893917963222</v>
      </c>
      <c r="N24" s="379">
        <f>IFERROR((CPSX!N46/('3.Thanh pham'!I$78)),0)</f>
        <v>8.7864214992927856</v>
      </c>
      <c r="O24" s="379">
        <f>IFERROR((CPSX!O46/('3.Thanh pham'!J$78)),0)</f>
        <v>7.4575834813727759</v>
      </c>
      <c r="P24" s="379">
        <f>IFERROR((CPSX!P46/('3.Thanh pham'!K$78)),0)</f>
        <v>7.1137799314379979</v>
      </c>
      <c r="Q24" s="379">
        <f>IFERROR((CPSX!Q46/('3.Thanh pham'!L$78)),0)</f>
        <v>6.4711189009459495</v>
      </c>
      <c r="R24" s="379">
        <f>IFERROR((CPSX!R46/('3.Thanh pham'!M$78)),0)</f>
        <v>6.589684769440936</v>
      </c>
      <c r="S24" s="379">
        <f>IFERROR((CPSX!S46/('3.Thanh pham'!N$78)),0)</f>
        <v>6.3164677681264019</v>
      </c>
      <c r="T24" s="379">
        <f>IFERROR((CPSX!T46/('3.Thanh pham'!O$78)),0)</f>
        <v>7.9042193984070934</v>
      </c>
      <c r="U24" s="379">
        <f>IFERROR((CPSX!U46/('3.Thanh pham'!P$78)),0)</f>
        <v>6.3164677681264019</v>
      </c>
      <c r="V24" s="379">
        <f>IFERROR((CPSX!V46/('3.Thanh pham'!Q$78)),0)</f>
        <v>6.4350336366213883</v>
      </c>
      <c r="W24" s="379">
        <f>IFERROR((CPSX!W46/('3.Thanh pham'!R$78)),0)</f>
        <v>7.7654053465997306</v>
      </c>
      <c r="Y24" s="379">
        <f>IFERROR(CPSX!AK45/CP_Kg!$Y$1,0)</f>
        <v>0</v>
      </c>
      <c r="Z24" s="149">
        <f t="shared" si="2"/>
        <v>7.7654053465997306</v>
      </c>
    </row>
    <row r="25" spans="2:26" x14ac:dyDescent="0.35">
      <c r="B25" s="362">
        <v>19</v>
      </c>
      <c r="C25" s="367"/>
      <c r="D25" s="368">
        <v>6272002101</v>
      </c>
      <c r="E25" s="369" t="s">
        <v>714</v>
      </c>
      <c r="F25" s="369" t="s">
        <v>711</v>
      </c>
      <c r="G25" s="369" t="s">
        <v>714</v>
      </c>
      <c r="H25" s="368"/>
      <c r="I25" s="404"/>
      <c r="J25" s="460"/>
      <c r="K25" s="379">
        <f>IFERROR((CPSX!K47/('3.Thanh pham'!F$78)),0)</f>
        <v>34.772727272727273</v>
      </c>
      <c r="L25" s="379">
        <f>IFERROR((CPSX!L47/('3.Thanh pham'!G$78)),0)</f>
        <v>34.772727272727273</v>
      </c>
      <c r="M25" s="379">
        <f>IFERROR((CPSX!M47/('3.Thanh pham'!H$78)),0)</f>
        <v>34.772727272727273</v>
      </c>
      <c r="N25" s="379">
        <f>IFERROR((CPSX!N47/('3.Thanh pham'!I$78)),0)</f>
        <v>34.772727272727273</v>
      </c>
      <c r="O25" s="379">
        <f>IFERROR((CPSX!O47/('3.Thanh pham'!J$78)),0)</f>
        <v>34.772727272727273</v>
      </c>
      <c r="P25" s="379">
        <f>IFERROR((CPSX!P47/('3.Thanh pham'!K$78)),0)</f>
        <v>34.772727272727273</v>
      </c>
      <c r="Q25" s="379">
        <f>IFERROR((CPSX!Q47/('3.Thanh pham'!L$78)),0)</f>
        <v>34.772727272727273</v>
      </c>
      <c r="R25" s="379">
        <f>IFERROR((CPSX!R47/('3.Thanh pham'!M$78)),0)</f>
        <v>34.772727272727273</v>
      </c>
      <c r="S25" s="379">
        <f>IFERROR((CPSX!S47/('3.Thanh pham'!N$78)),0)</f>
        <v>34.772727272727273</v>
      </c>
      <c r="T25" s="379">
        <f>IFERROR((CPSX!T47/('3.Thanh pham'!O$78)),0)</f>
        <v>34.772727272727273</v>
      </c>
      <c r="U25" s="379">
        <f>IFERROR((CPSX!U47/('3.Thanh pham'!P$78)),0)</f>
        <v>34.772727272727273</v>
      </c>
      <c r="V25" s="379">
        <f>IFERROR((CPSX!V47/('3.Thanh pham'!Q$78)),0)</f>
        <v>34.772727272727273</v>
      </c>
      <c r="W25" s="379">
        <f>IFERROR((CPSX!W47/('3.Thanh pham'!R$78)),0)</f>
        <v>34.772727272727273</v>
      </c>
      <c r="Y25" s="379">
        <f>IFERROR(CPSX!AK46/CP_Kg!$Y$1,0)</f>
        <v>13.881812105781357</v>
      </c>
      <c r="Z25" s="149">
        <f t="shared" si="2"/>
        <v>48.65453937850863</v>
      </c>
    </row>
    <row r="26" spans="2:26" x14ac:dyDescent="0.35">
      <c r="B26" s="372">
        <v>20</v>
      </c>
      <c r="C26" s="372"/>
      <c r="D26" s="373">
        <v>6272003502</v>
      </c>
      <c r="E26" s="374" t="s">
        <v>715</v>
      </c>
      <c r="F26" s="374" t="s">
        <v>716</v>
      </c>
      <c r="G26" s="374" t="s">
        <v>717</v>
      </c>
      <c r="H26" s="373" t="s">
        <v>454</v>
      </c>
      <c r="I26" s="405" t="s">
        <v>709</v>
      </c>
      <c r="J26" s="460"/>
      <c r="K26" s="379">
        <f>IFERROR((CPSX!K47/('3.Thanh pham'!F$78)),0)</f>
        <v>34.772727272727273</v>
      </c>
      <c r="L26" s="379">
        <f>IFERROR((CPSX!L47/('3.Thanh pham'!G$78)),0)</f>
        <v>34.772727272727273</v>
      </c>
      <c r="M26" s="379">
        <f>IFERROR((CPSX!M47/('3.Thanh pham'!H$78)),0)</f>
        <v>34.772727272727273</v>
      </c>
      <c r="N26" s="379">
        <f>IFERROR((CPSX!N47/('3.Thanh pham'!I$78)),0)</f>
        <v>34.772727272727273</v>
      </c>
      <c r="O26" s="379">
        <f>IFERROR((CPSX!O47/('3.Thanh pham'!J$78)),0)</f>
        <v>34.772727272727273</v>
      </c>
      <c r="P26" s="379">
        <f>IFERROR((CPSX!P47/('3.Thanh pham'!K$78)),0)</f>
        <v>34.772727272727273</v>
      </c>
      <c r="Q26" s="379">
        <f>IFERROR((CPSX!Q47/('3.Thanh pham'!L$78)),0)</f>
        <v>34.772727272727273</v>
      </c>
      <c r="R26" s="379">
        <f>IFERROR((CPSX!R47/('3.Thanh pham'!M$78)),0)</f>
        <v>34.772727272727273</v>
      </c>
      <c r="S26" s="379">
        <f>IFERROR((CPSX!S47/('3.Thanh pham'!N$78)),0)</f>
        <v>34.772727272727273</v>
      </c>
      <c r="T26" s="379">
        <f>IFERROR((CPSX!T47/('3.Thanh pham'!O$78)),0)</f>
        <v>34.772727272727273</v>
      </c>
      <c r="U26" s="379">
        <f>IFERROR((CPSX!U47/('3.Thanh pham'!P$78)),0)</f>
        <v>34.772727272727273</v>
      </c>
      <c r="V26" s="379">
        <f>IFERROR((CPSX!V47/('3.Thanh pham'!Q$78)),0)</f>
        <v>34.772727272727273</v>
      </c>
      <c r="W26" s="379">
        <f>IFERROR((CPSX!W47/('3.Thanh pham'!R$78)),0)</f>
        <v>34.772727272727273</v>
      </c>
      <c r="Y26" s="379">
        <f>IFERROR(CPSX!AK46/CP_Kg!$Y$1,0)</f>
        <v>13.881812105781357</v>
      </c>
      <c r="Z26" s="149">
        <f t="shared" si="2"/>
        <v>48.65453937850863</v>
      </c>
    </row>
    <row r="27" spans="2:26" x14ac:dyDescent="0.35">
      <c r="B27" s="372"/>
      <c r="C27" s="372"/>
      <c r="D27" s="373"/>
      <c r="E27" s="374"/>
      <c r="F27" s="374"/>
      <c r="G27" s="374"/>
      <c r="H27" s="373"/>
      <c r="I27" s="405"/>
      <c r="J27" s="460"/>
      <c r="K27" s="379">
        <f>IFERROR((CPSX!K48/('3.Thanh pham'!F$78)),0)</f>
        <v>0</v>
      </c>
      <c r="L27" s="379">
        <f>IFERROR((CPSX!L48/('3.Thanh pham'!G$78)),0)</f>
        <v>0</v>
      </c>
      <c r="M27" s="379">
        <f>IFERROR((CPSX!M48/('3.Thanh pham'!H$78)),0)</f>
        <v>0</v>
      </c>
      <c r="N27" s="379">
        <f>IFERROR((CPSX!N48/('3.Thanh pham'!I$78)),0)</f>
        <v>0</v>
      </c>
      <c r="O27" s="379">
        <f>IFERROR((CPSX!O48/('3.Thanh pham'!J$78)),0)</f>
        <v>0</v>
      </c>
      <c r="P27" s="379">
        <f>IFERROR((CPSX!P48/('3.Thanh pham'!K$78)),0)</f>
        <v>0</v>
      </c>
      <c r="Q27" s="379">
        <f>IFERROR((CPSX!Q48/('3.Thanh pham'!L$78)),0)</f>
        <v>0</v>
      </c>
      <c r="R27" s="379">
        <f>IFERROR((CPSX!R48/('3.Thanh pham'!M$78)),0)</f>
        <v>0</v>
      </c>
      <c r="S27" s="379">
        <f>IFERROR((CPSX!S48/('3.Thanh pham'!N$78)),0)</f>
        <v>0</v>
      </c>
      <c r="T27" s="379">
        <f>IFERROR((CPSX!T48/('3.Thanh pham'!O$78)),0)</f>
        <v>0</v>
      </c>
      <c r="U27" s="379">
        <f>IFERROR((CPSX!U48/('3.Thanh pham'!P$78)),0)</f>
        <v>0</v>
      </c>
      <c r="V27" s="379">
        <f>IFERROR((CPSX!V48/('3.Thanh pham'!Q$78)),0)</f>
        <v>0</v>
      </c>
      <c r="W27" s="379">
        <f>IFERROR((CPSX!W48/('3.Thanh pham'!R$78)),0)</f>
        <v>0</v>
      </c>
      <c r="Y27" s="379">
        <f>IFERROR(CPSX!AK47/CP_Kg!$Y$1,0)</f>
        <v>33.801233487611796</v>
      </c>
      <c r="Z27" s="149">
        <f t="shared" si="2"/>
        <v>33.801233487611796</v>
      </c>
    </row>
    <row r="28" spans="2:26" x14ac:dyDescent="0.35">
      <c r="B28" s="63" t="s">
        <v>2204</v>
      </c>
      <c r="C28" s="63"/>
      <c r="D28" s="85"/>
      <c r="E28" s="63"/>
      <c r="F28" s="63"/>
      <c r="G28" s="63"/>
      <c r="H28" s="168"/>
      <c r="J28" s="17"/>
      <c r="K28" s="17"/>
      <c r="L28" s="17"/>
      <c r="M28" s="17"/>
      <c r="N28" s="17"/>
      <c r="O28" s="17"/>
      <c r="P28" s="1261"/>
      <c r="Q28" s="1261"/>
      <c r="R28" s="1261"/>
      <c r="S28" s="1261"/>
      <c r="T28" s="1261"/>
      <c r="U28" s="1261"/>
      <c r="V28" s="1261"/>
      <c r="Z28" s="149" t="s">
        <v>2195</v>
      </c>
    </row>
    <row r="29" spans="2:26" x14ac:dyDescent="0.35">
      <c r="B29" s="183" t="s">
        <v>108</v>
      </c>
      <c r="C29" s="452"/>
      <c r="D29" s="457"/>
      <c r="E29" s="453" t="s">
        <v>176</v>
      </c>
      <c r="F29" s="458"/>
      <c r="G29" s="458"/>
      <c r="H29" s="458"/>
      <c r="I29" s="458"/>
      <c r="J29" s="461"/>
      <c r="K29" s="461">
        <f>SUM(K30:K50)</f>
        <v>1255.5024264432884</v>
      </c>
      <c r="L29" s="461">
        <f t="shared" ref="L29:W29" si="3">SUM(L30:L50)</f>
        <v>1354.5376297265955</v>
      </c>
      <c r="M29" s="461">
        <f t="shared" si="3"/>
        <v>1193.501890661063</v>
      </c>
      <c r="N29" s="461">
        <f t="shared" si="3"/>
        <v>1188.8296871623672</v>
      </c>
      <c r="O29" s="461">
        <f t="shared" si="3"/>
        <v>1166.3086150067529</v>
      </c>
      <c r="P29" s="461">
        <f t="shared" si="3"/>
        <v>1187.6596709808987</v>
      </c>
      <c r="Q29" s="461">
        <f t="shared" si="3"/>
        <v>1178.3382582012384</v>
      </c>
      <c r="R29" s="461">
        <f t="shared" si="3"/>
        <v>1178.3382582012384</v>
      </c>
      <c r="S29" s="461">
        <f t="shared" si="3"/>
        <v>1184.1015121450455</v>
      </c>
      <c r="T29" s="461">
        <f t="shared" si="3"/>
        <v>1169.0168454215782</v>
      </c>
      <c r="U29" s="461">
        <f t="shared" si="3"/>
        <v>1187.6596709808987</v>
      </c>
      <c r="V29" s="461">
        <f t="shared" si="3"/>
        <v>1178.3382582012384</v>
      </c>
      <c r="W29" s="461">
        <f t="shared" si="3"/>
        <v>1196.1286852068549</v>
      </c>
      <c r="X29" s="1372">
        <f>CPSX!W49/'3.Thanh pham'!R136</f>
        <v>1196.1286852068552</v>
      </c>
      <c r="Y29" s="461">
        <f t="shared" ref="Y29" si="4">SUM(Y30:Y50)</f>
        <v>0</v>
      </c>
      <c r="Z29" s="149">
        <f t="shared" si="2"/>
        <v>1196.1286852068549</v>
      </c>
    </row>
    <row r="30" spans="2:26" x14ac:dyDescent="0.35">
      <c r="B30" s="362">
        <v>1</v>
      </c>
      <c r="C30" s="362"/>
      <c r="D30" s="363">
        <v>6220002601</v>
      </c>
      <c r="E30" s="364" t="s">
        <v>504</v>
      </c>
      <c r="F30" s="364" t="s">
        <v>489</v>
      </c>
      <c r="G30" s="364" t="s">
        <v>504</v>
      </c>
      <c r="H30" s="363" t="s">
        <v>359</v>
      </c>
      <c r="I30" s="403" t="s">
        <v>701</v>
      </c>
      <c r="J30" s="379"/>
      <c r="K30" s="379">
        <f>IFERROR((CPSX!K50/'3.Thanh pham'!F$136),0)</f>
        <v>174.09381284105422</v>
      </c>
      <c r="L30" s="379">
        <f>IFERROR((CPSX!L50/'3.Thanh pham'!G$136),0)</f>
        <v>232.44393790117928</v>
      </c>
      <c r="M30" s="379">
        <f>IFERROR((CPSX!M50/'3.Thanh pham'!H$136),0)</f>
        <v>144.6317816091954</v>
      </c>
      <c r="N30" s="379">
        <f>IFERROR((CPSX!N50/'3.Thanh pham'!I$136),0)</f>
        <v>147.91886957347771</v>
      </c>
      <c r="O30" s="379">
        <f>IFERROR((CPSX!O50/'3.Thanh pham'!J$136),0)</f>
        <v>136.7261802819306</v>
      </c>
      <c r="P30" s="379">
        <f>IFERROR((CPSX!P50/'3.Thanh pham'!K$136),0)</f>
        <v>147.41055730690221</v>
      </c>
      <c r="Q30" s="379">
        <f>IFERROR((CPSX!Q50/'3.Thanh pham'!L$136),0)</f>
        <v>141.95090644022227</v>
      </c>
      <c r="R30" s="379">
        <f>IFERROR((CPSX!R50/'3.Thanh pham'!M$136),0)</f>
        <v>141.95090644022227</v>
      </c>
      <c r="S30" s="379">
        <f>IFERROR((CPSX!S50/'3.Thanh pham'!N$136),0)</f>
        <v>147.41055730690221</v>
      </c>
      <c r="T30" s="379">
        <f>IFERROR((CPSX!T50/'3.Thanh pham'!O$136),0)</f>
        <v>136.49125557354236</v>
      </c>
      <c r="U30" s="379">
        <f>IFERROR((CPSX!U50/'3.Thanh pham'!P$136),0)</f>
        <v>147.41055730690221</v>
      </c>
      <c r="V30" s="379">
        <f>IFERROR((CPSX!V50/'3.Thanh pham'!Q$136),0)</f>
        <v>141.95090644022227</v>
      </c>
      <c r="W30" s="379">
        <f>IFERROR((CPSX!W50/'3.Thanh pham'!R$136),0)</f>
        <v>150.55651443214916</v>
      </c>
      <c r="Y30" s="379">
        <f>IFERROR(CPSX!AK50/CP_Kg!$Y$2,0)</f>
        <v>0</v>
      </c>
      <c r="Z30" s="149">
        <f t="shared" si="2"/>
        <v>150.55651443214916</v>
      </c>
    </row>
    <row r="31" spans="2:26" x14ac:dyDescent="0.35">
      <c r="B31" s="367">
        <v>2</v>
      </c>
      <c r="C31" s="367"/>
      <c r="D31" s="368">
        <v>6220002602</v>
      </c>
      <c r="E31" s="369" t="s">
        <v>505</v>
      </c>
      <c r="F31" s="369" t="s">
        <v>489</v>
      </c>
      <c r="G31" s="369" t="s">
        <v>505</v>
      </c>
      <c r="H31" s="368" t="s">
        <v>359</v>
      </c>
      <c r="I31" s="404" t="s">
        <v>701</v>
      </c>
      <c r="J31" s="460"/>
      <c r="K31" s="379">
        <f>IFERROR((CPSX!K51/'3.Thanh pham'!F$136),0)</f>
        <v>13.782430047602462</v>
      </c>
      <c r="L31" s="379">
        <f>IFERROR((CPSX!L51/'3.Thanh pham'!G$136),0)</f>
        <v>17.72026720406031</v>
      </c>
      <c r="M31" s="379">
        <f>IFERROR((CPSX!M51/'3.Thanh pham'!H$136),0)</f>
        <v>12.404187042842215</v>
      </c>
      <c r="N31" s="379">
        <f>IFERROR((CPSX!N51/'3.Thanh pham'!I$136),0)</f>
        <v>11.276533675311105</v>
      </c>
      <c r="O31" s="379">
        <f>IFERROR((CPSX!O51/'3.Thanh pham'!J$136),0)</f>
        <v>11.25712483938114</v>
      </c>
      <c r="P31" s="379">
        <f>IFERROR((CPSX!P51/'3.Thanh pham'!K$136),0)</f>
        <v>11.237782700481858</v>
      </c>
      <c r="Q31" s="379">
        <f>IFERROR((CPSX!Q51/'3.Thanh pham'!L$136),0)</f>
        <v>11.237782700481858</v>
      </c>
      <c r="R31" s="379">
        <f>IFERROR((CPSX!R51/'3.Thanh pham'!M$136),0)</f>
        <v>11.237782700481858</v>
      </c>
      <c r="S31" s="379">
        <f>IFERROR((CPSX!S51/'3.Thanh pham'!N$136),0)</f>
        <v>11.237782700481858</v>
      </c>
      <c r="T31" s="379">
        <f>IFERROR((CPSX!T51/'3.Thanh pham'!O$136),0)</f>
        <v>11.237782700481858</v>
      </c>
      <c r="U31" s="379">
        <f>IFERROR((CPSX!U51/'3.Thanh pham'!P$136),0)</f>
        <v>11.237782700481858</v>
      </c>
      <c r="V31" s="379">
        <f>IFERROR((CPSX!V51/'3.Thanh pham'!Q$136),0)</f>
        <v>11.237782700481858</v>
      </c>
      <c r="W31" s="379">
        <f>IFERROR((CPSX!W51/'3.Thanh pham'!R$136),0)</f>
        <v>11.880980089201381</v>
      </c>
      <c r="Y31" s="379">
        <f>IFERROR(CPSX!AK51/CP_Kg!$Y$2,0)</f>
        <v>0</v>
      </c>
      <c r="Z31" s="149">
        <f t="shared" si="2"/>
        <v>11.880980089201381</v>
      </c>
    </row>
    <row r="32" spans="2:26" x14ac:dyDescent="0.35">
      <c r="B32" s="367">
        <v>3</v>
      </c>
      <c r="C32" s="367"/>
      <c r="D32" s="368">
        <v>6220002802</v>
      </c>
      <c r="E32" s="369" t="s">
        <v>506</v>
      </c>
      <c r="F32" s="369" t="s">
        <v>493</v>
      </c>
      <c r="G32" s="369" t="s">
        <v>506</v>
      </c>
      <c r="H32" s="368" t="s">
        <v>359</v>
      </c>
      <c r="I32" s="404" t="s">
        <v>701</v>
      </c>
      <c r="J32" s="460"/>
      <c r="K32" s="379">
        <f>IFERROR((CPSX!K52/'3.Thanh pham'!F$136),0)</f>
        <v>39.846743295019159</v>
      </c>
      <c r="L32" s="379">
        <f>IFERROR((CPSX!L52/'3.Thanh pham'!G$136),0)</f>
        <v>44.663382594417079</v>
      </c>
      <c r="M32" s="379">
        <f>IFERROR((CPSX!M52/'3.Thanh pham'!H$136),0)</f>
        <v>31.264367816091955</v>
      </c>
      <c r="N32" s="379">
        <f>IFERROR((CPSX!N52/'3.Thanh pham'!I$136),0)</f>
        <v>28.422152560083596</v>
      </c>
      <c r="O32" s="379">
        <f>IFERROR((CPSX!O52/'3.Thanh pham'!J$136),0)</f>
        <v>36.718301778542752</v>
      </c>
      <c r="P32" s="379">
        <f>IFERROR((CPSX!P52/'3.Thanh pham'!K$136),0)</f>
        <v>28.324481932729356</v>
      </c>
      <c r="Q32" s="379">
        <f>IFERROR((CPSX!Q52/'3.Thanh pham'!L$136),0)</f>
        <v>28.324481932729356</v>
      </c>
      <c r="R32" s="379">
        <f>IFERROR((CPSX!R52/'3.Thanh pham'!M$136),0)</f>
        <v>28.324481932729356</v>
      </c>
      <c r="S32" s="379">
        <f>IFERROR((CPSX!S52/'3.Thanh pham'!N$136),0)</f>
        <v>32.489846922836612</v>
      </c>
      <c r="T32" s="379">
        <f>IFERROR((CPSX!T52/'3.Thanh pham'!O$136),0)</f>
        <v>28.324481932729356</v>
      </c>
      <c r="U32" s="379">
        <f>IFERROR((CPSX!U52/'3.Thanh pham'!P$136),0)</f>
        <v>28.324481932729356</v>
      </c>
      <c r="V32" s="379">
        <f>IFERROR((CPSX!V52/'3.Thanh pham'!Q$136),0)</f>
        <v>28.324481932729356</v>
      </c>
      <c r="W32" s="379">
        <f>IFERROR((CPSX!W52/'3.Thanh pham'!R$136),0)</f>
        <v>31.41356453129659</v>
      </c>
      <c r="Y32" s="379">
        <f>IFERROR(CPSX!AK52/CP_Kg!$Y$2,0)</f>
        <v>0</v>
      </c>
      <c r="Z32" s="149">
        <f t="shared" si="2"/>
        <v>31.41356453129659</v>
      </c>
    </row>
    <row r="33" spans="2:26" x14ac:dyDescent="0.35">
      <c r="B33" s="367">
        <v>4</v>
      </c>
      <c r="C33" s="367"/>
      <c r="D33" s="368">
        <v>6220002806</v>
      </c>
      <c r="E33" s="369" t="s">
        <v>507</v>
      </c>
      <c r="F33" s="369" t="s">
        <v>489</v>
      </c>
      <c r="G33" s="369" t="s">
        <v>507</v>
      </c>
      <c r="H33" s="368" t="s">
        <v>359</v>
      </c>
      <c r="I33" s="404" t="s">
        <v>701</v>
      </c>
      <c r="J33" s="460"/>
      <c r="K33" s="379">
        <f>IFERROR((CPSX!K53/'3.Thanh pham'!F$136),0)</f>
        <v>1.5958655520724485</v>
      </c>
      <c r="L33" s="379">
        <f>IFERROR((CPSX!L53/'3.Thanh pham'!G$136),0)</f>
        <v>2.0518271383788624</v>
      </c>
      <c r="M33" s="379">
        <f>IFERROR((CPSX!M53/'3.Thanh pham'!H$136),0)</f>
        <v>1.4362789968652037</v>
      </c>
      <c r="N33" s="379">
        <f>IFERROR((CPSX!N53/'3.Thanh pham'!I$136),0)</f>
        <v>1.3057081789683671</v>
      </c>
      <c r="O33" s="379">
        <f>IFERROR((CPSX!O53/'3.Thanh pham'!J$136),0)</f>
        <v>1.3034608327050827</v>
      </c>
      <c r="P33" s="379">
        <f>IFERROR((CPSX!P53/'3.Thanh pham'!K$136),0)</f>
        <v>1.3012212092811906</v>
      </c>
      <c r="Q33" s="379">
        <f>IFERROR((CPSX!Q53/'3.Thanh pham'!L$136),0)</f>
        <v>1.3012212092811906</v>
      </c>
      <c r="R33" s="379">
        <f>IFERROR((CPSX!R53/'3.Thanh pham'!M$136),0)</f>
        <v>1.3012212092811906</v>
      </c>
      <c r="S33" s="379">
        <f>IFERROR((CPSX!S53/'3.Thanh pham'!N$136),0)</f>
        <v>1.3012212092811906</v>
      </c>
      <c r="T33" s="379">
        <f>IFERROR((CPSX!T53/'3.Thanh pham'!O$136),0)</f>
        <v>1.3012212092811906</v>
      </c>
      <c r="U33" s="379">
        <f>IFERROR((CPSX!U53/'3.Thanh pham'!P$136),0)</f>
        <v>1.3012212092811906</v>
      </c>
      <c r="V33" s="379">
        <f>IFERROR((CPSX!V53/'3.Thanh pham'!Q$136),0)</f>
        <v>1.3012212092811906</v>
      </c>
      <c r="W33" s="379">
        <f>IFERROR((CPSX!W53/'3.Thanh pham'!R$136),0)</f>
        <v>1.3756969405053081</v>
      </c>
      <c r="Y33" s="379">
        <f>IFERROR(CPSX!AK53/CP_Kg!$Y$2,0)</f>
        <v>0</v>
      </c>
      <c r="Z33" s="149">
        <f t="shared" si="2"/>
        <v>1.3756969405053081</v>
      </c>
    </row>
    <row r="34" spans="2:26" x14ac:dyDescent="0.35">
      <c r="B34" s="367">
        <v>5</v>
      </c>
      <c r="C34" s="367"/>
      <c r="D34" s="368">
        <v>6220007202</v>
      </c>
      <c r="E34" s="369" t="s">
        <v>495</v>
      </c>
      <c r="F34" s="369" t="s">
        <v>493</v>
      </c>
      <c r="G34" s="369" t="s">
        <v>495</v>
      </c>
      <c r="H34" s="368" t="s">
        <v>359</v>
      </c>
      <c r="I34" s="404" t="s">
        <v>701</v>
      </c>
      <c r="J34" s="460"/>
      <c r="K34" s="379">
        <f>IFERROR((CPSX!K54/'3.Thanh pham'!F$136),0)</f>
        <v>2.2175978172529898</v>
      </c>
      <c r="L34" s="379">
        <f>IFERROR((CPSX!L54/'3.Thanh pham'!G$136),0)</f>
        <v>2.8511971936109868</v>
      </c>
      <c r="M34" s="379">
        <f>IFERROR((CPSX!M54/'3.Thanh pham'!H$136),0)</f>
        <v>1.9958380355276908</v>
      </c>
      <c r="N34" s="379">
        <f>IFERROR((CPSX!N54/'3.Thanh pham'!I$136),0)</f>
        <v>1.8143982141160826</v>
      </c>
      <c r="O34" s="379">
        <f>IFERROR((CPSX!O54/'3.Thanh pham'!J$136),0)</f>
        <v>1.8112753256236285</v>
      </c>
      <c r="P34" s="379">
        <f>IFERROR((CPSX!P54/'3.Thanh pham'!K$136),0)</f>
        <v>1.808163168706749</v>
      </c>
      <c r="Q34" s="379">
        <f>IFERROR((CPSX!Q54/'3.Thanh pham'!L$136),0)</f>
        <v>1.808163168706749</v>
      </c>
      <c r="R34" s="379">
        <f>IFERROR((CPSX!R54/'3.Thanh pham'!M$136),0)</f>
        <v>1.808163168706749</v>
      </c>
      <c r="S34" s="379">
        <f>IFERROR((CPSX!S54/'3.Thanh pham'!N$136),0)</f>
        <v>1.808163168706749</v>
      </c>
      <c r="T34" s="379">
        <f>IFERROR((CPSX!T54/'3.Thanh pham'!O$136),0)</f>
        <v>1.808163168706749</v>
      </c>
      <c r="U34" s="379">
        <f>IFERROR((CPSX!U54/'3.Thanh pham'!P$136),0)</f>
        <v>1.808163168706749</v>
      </c>
      <c r="V34" s="379">
        <f>IFERROR((CPSX!V54/'3.Thanh pham'!Q$136),0)</f>
        <v>1.808163168706749</v>
      </c>
      <c r="W34" s="379">
        <f>IFERROR((CPSX!W54/'3.Thanh pham'!R$136),0)</f>
        <v>1.9116538536121561</v>
      </c>
      <c r="Y34" s="379">
        <f>IFERROR(CPSX!AK54/CP_Kg!$Y$2,0)</f>
        <v>0</v>
      </c>
      <c r="Z34" s="149">
        <f t="shared" si="2"/>
        <v>1.9116538536121561</v>
      </c>
    </row>
    <row r="35" spans="2:26" x14ac:dyDescent="0.35">
      <c r="B35" s="367">
        <v>6</v>
      </c>
      <c r="C35" s="367"/>
      <c r="D35" s="368">
        <v>6220003201</v>
      </c>
      <c r="E35" s="369" t="s">
        <v>508</v>
      </c>
      <c r="F35" s="369" t="s">
        <v>493</v>
      </c>
      <c r="G35" s="369" t="s">
        <v>508</v>
      </c>
      <c r="H35" s="368" t="s">
        <v>359</v>
      </c>
      <c r="I35" s="404" t="s">
        <v>701</v>
      </c>
      <c r="J35" s="460"/>
      <c r="K35" s="379">
        <f>IFERROR((CPSX!K55/'3.Thanh pham'!F$136),0)</f>
        <v>33.118540622850965</v>
      </c>
      <c r="L35" s="379">
        <f>IFERROR((CPSX!L55/'3.Thanh pham'!G$136),0)</f>
        <v>37.471263104711376</v>
      </c>
      <c r="M35" s="379">
        <f>IFERROR((CPSX!M55/'3.Thanh pham'!H$136),0)</f>
        <v>28.614419098143234</v>
      </c>
      <c r="N35" s="379">
        <f>IFERROR((CPSX!N55/'3.Thanh pham'!I$136),0)</f>
        <v>29.26474680491922</v>
      </c>
      <c r="O35" s="379">
        <f>IFERROR((CPSX!O55/'3.Thanh pham'!J$136),0)</f>
        <v>23.804307339247103</v>
      </c>
      <c r="P35" s="379">
        <f>IFERROR((CPSX!P55/'3.Thanh pham'!K$136),0)</f>
        <v>29.164180664696129</v>
      </c>
      <c r="Q35" s="379">
        <f>IFERROR((CPSX!Q55/'3.Thanh pham'!L$136),0)</f>
        <v>28.084025825262938</v>
      </c>
      <c r="R35" s="379">
        <f>IFERROR((CPSX!R55/'3.Thanh pham'!M$136),0)</f>
        <v>28.084025825262938</v>
      </c>
      <c r="S35" s="379">
        <f>IFERROR((CPSX!S55/'3.Thanh pham'!N$136),0)</f>
        <v>27.003870985829749</v>
      </c>
      <c r="T35" s="379">
        <f>IFERROR((CPSX!T55/'3.Thanh pham'!O$136),0)</f>
        <v>27.003870985829749</v>
      </c>
      <c r="U35" s="379">
        <f>IFERROR((CPSX!U55/'3.Thanh pham'!P$136),0)</f>
        <v>29.164180664696129</v>
      </c>
      <c r="V35" s="379">
        <f>IFERROR((CPSX!V55/'3.Thanh pham'!Q$136),0)</f>
        <v>28.084025825262938</v>
      </c>
      <c r="W35" s="379">
        <f>IFERROR((CPSX!W55/'3.Thanh pham'!R$136),0)</f>
        <v>28.739774130317034</v>
      </c>
      <c r="Y35" s="379">
        <f>IFERROR(CPSX!AK55/CP_Kg!$Y$2,0)</f>
        <v>0</v>
      </c>
      <c r="Z35" s="149">
        <f t="shared" si="2"/>
        <v>28.739774130317034</v>
      </c>
    </row>
    <row r="36" spans="2:26" x14ac:dyDescent="0.35">
      <c r="B36" s="367">
        <v>7</v>
      </c>
      <c r="C36" s="367"/>
      <c r="D36" s="368">
        <v>6220002603</v>
      </c>
      <c r="E36" s="369" t="s">
        <v>509</v>
      </c>
      <c r="F36" s="369" t="s">
        <v>489</v>
      </c>
      <c r="G36" s="369" t="s">
        <v>509</v>
      </c>
      <c r="H36" s="368" t="s">
        <v>359</v>
      </c>
      <c r="I36" s="404" t="s">
        <v>701</v>
      </c>
      <c r="J36" s="460"/>
      <c r="K36" s="379">
        <f>IFERROR((CPSX!K56/'3.Thanh pham'!F$136),0)</f>
        <v>14.222396377568792</v>
      </c>
      <c r="L36" s="379">
        <f>IFERROR((CPSX!L56/'3.Thanh pham'!G$136),0)</f>
        <v>18.285938199731305</v>
      </c>
      <c r="M36" s="379">
        <f>IFERROR((CPSX!M56/'3.Thanh pham'!H$136),0)</f>
        <v>12.800156739811912</v>
      </c>
      <c r="N36" s="379">
        <f>IFERROR((CPSX!N56/'3.Thanh pham'!I$136),0)</f>
        <v>11.636506127101738</v>
      </c>
      <c r="O36" s="379">
        <f>IFERROR((CPSX!O56/'3.Thanh pham'!J$136),0)</f>
        <v>11.616477717244424</v>
      </c>
      <c r="P36" s="379">
        <f>IFERROR((CPSX!P56/'3.Thanh pham'!K$136),0)</f>
        <v>11.596518133537815</v>
      </c>
      <c r="Q36" s="379">
        <f>IFERROR((CPSX!Q56/'3.Thanh pham'!L$136),0)</f>
        <v>11.596518133537815</v>
      </c>
      <c r="R36" s="379">
        <f>IFERROR((CPSX!R56/'3.Thanh pham'!M$136),0)</f>
        <v>11.596518133537815</v>
      </c>
      <c r="S36" s="379">
        <f>IFERROR((CPSX!S56/'3.Thanh pham'!N$136),0)</f>
        <v>11.596518133537815</v>
      </c>
      <c r="T36" s="379">
        <f>IFERROR((CPSX!T56/'3.Thanh pham'!O$136),0)</f>
        <v>11.596518133537815</v>
      </c>
      <c r="U36" s="379">
        <f>IFERROR((CPSX!U56/'3.Thanh pham'!P$136),0)</f>
        <v>11.596518133537815</v>
      </c>
      <c r="V36" s="379">
        <f>IFERROR((CPSX!V56/'3.Thanh pham'!Q$136),0)</f>
        <v>11.596518133537815</v>
      </c>
      <c r="W36" s="379">
        <f>IFERROR((CPSX!W56/'3.Thanh pham'!R$136),0)</f>
        <v>12.260247837210613</v>
      </c>
      <c r="Y36" s="379">
        <f>IFERROR(CPSX!AK56/CP_Kg!$Y$2,0)</f>
        <v>0</v>
      </c>
      <c r="Z36" s="149">
        <f t="shared" si="2"/>
        <v>12.260247837210613</v>
      </c>
    </row>
    <row r="37" spans="2:26" x14ac:dyDescent="0.35">
      <c r="B37" s="367">
        <v>8</v>
      </c>
      <c r="C37" s="367"/>
      <c r="D37" s="368">
        <v>6220003401</v>
      </c>
      <c r="E37" s="369" t="s">
        <v>510</v>
      </c>
      <c r="F37" s="369" t="s">
        <v>493</v>
      </c>
      <c r="G37" s="369" t="s">
        <v>510</v>
      </c>
      <c r="H37" s="368" t="s">
        <v>359</v>
      </c>
      <c r="I37" s="404" t="s">
        <v>701</v>
      </c>
      <c r="J37" s="460"/>
      <c r="K37" s="379">
        <f>IFERROR((CPSX!K57/'3.Thanh pham'!F$136),0)</f>
        <v>40.912046905840008</v>
      </c>
      <c r="L37" s="379">
        <f>IFERROR((CPSX!L57/'3.Thanh pham'!G$136),0)</f>
        <v>52.601203164651444</v>
      </c>
      <c r="M37" s="379">
        <f>IFERROR((CPSX!M57/'3.Thanh pham'!H$136),0)</f>
        <v>36.820842215256008</v>
      </c>
      <c r="N37" s="379">
        <f>IFERROR((CPSX!N57/'3.Thanh pham'!I$136),0)</f>
        <v>33.473492922960006</v>
      </c>
      <c r="O37" s="379">
        <f>IFERROR((CPSX!O57/'3.Thanh pham'!J$136),0)</f>
        <v>33.41587933789468</v>
      </c>
      <c r="P37" s="379">
        <f>IFERROR((CPSX!P57/'3.Thanh pham'!K$136),0)</f>
        <v>33.358463737657743</v>
      </c>
      <c r="Q37" s="379">
        <f>IFERROR((CPSX!Q57/'3.Thanh pham'!L$136),0)</f>
        <v>33.358463737657743</v>
      </c>
      <c r="R37" s="379">
        <f>IFERROR((CPSX!R57/'3.Thanh pham'!M$136),0)</f>
        <v>33.358463737657743</v>
      </c>
      <c r="S37" s="379">
        <f>IFERROR((CPSX!S57/'3.Thanh pham'!N$136),0)</f>
        <v>33.358463737657743</v>
      </c>
      <c r="T37" s="379">
        <f>IFERROR((CPSX!T57/'3.Thanh pham'!O$136),0)</f>
        <v>33.358463737657743</v>
      </c>
      <c r="U37" s="379">
        <f>IFERROR((CPSX!U57/'3.Thanh pham'!P$136),0)</f>
        <v>33.358463737657743</v>
      </c>
      <c r="V37" s="379">
        <f>IFERROR((CPSX!V57/'3.Thanh pham'!Q$136),0)</f>
        <v>33.358463737657743</v>
      </c>
      <c r="W37" s="379">
        <f>IFERROR((CPSX!W57/'3.Thanh pham'!R$136),0)</f>
        <v>35.267744005804964</v>
      </c>
      <c r="Y37" s="379">
        <f>IFERROR(CPSX!AK57/CP_Kg!$Y$2,0)</f>
        <v>0</v>
      </c>
      <c r="Z37" s="149">
        <f t="shared" si="2"/>
        <v>35.267744005804964</v>
      </c>
    </row>
    <row r="38" spans="2:26" x14ac:dyDescent="0.35">
      <c r="B38" s="367">
        <v>9</v>
      </c>
      <c r="C38" s="367"/>
      <c r="D38" s="368">
        <v>6220002701</v>
      </c>
      <c r="E38" s="369" t="s">
        <v>511</v>
      </c>
      <c r="F38" s="369" t="s">
        <v>489</v>
      </c>
      <c r="G38" s="369" t="s">
        <v>511</v>
      </c>
      <c r="H38" s="368" t="s">
        <v>359</v>
      </c>
      <c r="I38" s="404" t="s">
        <v>701</v>
      </c>
      <c r="J38" s="460"/>
      <c r="K38" s="379">
        <f>IFERROR((CPSX!K58/'3.Thanh pham'!F$136),0)</f>
        <v>87.358014629049109</v>
      </c>
      <c r="L38" s="379">
        <f>IFERROR((CPSX!L58/'3.Thanh pham'!G$136),0)</f>
        <v>98.093634870876244</v>
      </c>
      <c r="M38" s="379">
        <f>IFERROR((CPSX!M58/'3.Thanh pham'!H$136),0)</f>
        <v>75.179040752351099</v>
      </c>
      <c r="N38" s="379">
        <f>IFERROR((CPSX!N58/'3.Thanh pham'!I$136),0)</f>
        <v>75.362300750451226</v>
      </c>
      <c r="O38" s="379">
        <f>IFERROR((CPSX!O58/'3.Thanh pham'!J$136),0)</f>
        <v>61.300629199205332</v>
      </c>
      <c r="P38" s="379">
        <f>IFERROR((CPSX!P58/'3.Thanh pham'!K$136),0)</f>
        <v>75.103323771927336</v>
      </c>
      <c r="Q38" s="379">
        <f>IFERROR((CPSX!Q58/'3.Thanh pham'!L$136),0)</f>
        <v>72.321716698380243</v>
      </c>
      <c r="R38" s="379">
        <f>IFERROR((CPSX!R58/'3.Thanh pham'!M$136),0)</f>
        <v>72.321716698380243</v>
      </c>
      <c r="S38" s="379">
        <f>IFERROR((CPSX!S58/'3.Thanh pham'!N$136),0)</f>
        <v>69.54010962483315</v>
      </c>
      <c r="T38" s="379">
        <f>IFERROR((CPSX!T58/'3.Thanh pham'!O$136),0)</f>
        <v>69.54010962483315</v>
      </c>
      <c r="U38" s="379">
        <f>IFERROR((CPSX!U58/'3.Thanh pham'!P$136),0)</f>
        <v>75.103323771927336</v>
      </c>
      <c r="V38" s="379">
        <f>IFERROR((CPSX!V58/'3.Thanh pham'!Q$136),0)</f>
        <v>72.321716698380243</v>
      </c>
      <c r="W38" s="379">
        <f>IFERROR((CPSX!W58/'3.Thanh pham'!R$136),0)</f>
        <v>74.367531031779308</v>
      </c>
      <c r="Y38" s="379">
        <f>IFERROR(CPSX!AK58/CP_Kg!$Y$2,0)</f>
        <v>0</v>
      </c>
      <c r="Z38" s="149">
        <f t="shared" si="2"/>
        <v>74.367531031779308</v>
      </c>
    </row>
    <row r="39" spans="2:26" x14ac:dyDescent="0.35">
      <c r="B39" s="367">
        <v>10</v>
      </c>
      <c r="C39" s="367"/>
      <c r="D39" s="368" t="s">
        <v>1311</v>
      </c>
      <c r="E39" s="369" t="s">
        <v>1312</v>
      </c>
      <c r="F39" s="369" t="s">
        <v>1313</v>
      </c>
      <c r="G39" s="369" t="s">
        <v>1312</v>
      </c>
      <c r="H39" s="368" t="s">
        <v>359</v>
      </c>
      <c r="I39" s="404" t="s">
        <v>701</v>
      </c>
      <c r="J39" s="460"/>
      <c r="K39" s="379">
        <f>IFERROR((CPSX!K59/'3.Thanh pham'!F$136),0)</f>
        <v>0</v>
      </c>
      <c r="L39" s="379">
        <f>IFERROR((CPSX!L59/'3.Thanh pham'!G$136),0)</f>
        <v>0</v>
      </c>
      <c r="M39" s="379">
        <f>IFERROR((CPSX!M59/'3.Thanh pham'!H$136),0)</f>
        <v>0</v>
      </c>
      <c r="N39" s="379">
        <f>IFERROR((CPSX!N59/'3.Thanh pham'!I$136),0)</f>
        <v>0</v>
      </c>
      <c r="O39" s="379">
        <f>IFERROR((CPSX!O59/'3.Thanh pham'!J$136),0)</f>
        <v>0</v>
      </c>
      <c r="P39" s="379">
        <f>IFERROR((CPSX!P59/'3.Thanh pham'!K$136),0)</f>
        <v>0</v>
      </c>
      <c r="Q39" s="379">
        <f>IFERROR((CPSX!Q59/'3.Thanh pham'!L$136),0)</f>
        <v>0</v>
      </c>
      <c r="R39" s="379">
        <f>IFERROR((CPSX!R59/'3.Thanh pham'!M$136),0)</f>
        <v>0</v>
      </c>
      <c r="S39" s="379">
        <f>IFERROR((CPSX!S59/'3.Thanh pham'!N$136),0)</f>
        <v>0</v>
      </c>
      <c r="T39" s="379">
        <f>IFERROR((CPSX!T59/'3.Thanh pham'!O$136),0)</f>
        <v>0</v>
      </c>
      <c r="U39" s="379">
        <f>IFERROR((CPSX!U59/'3.Thanh pham'!P$136),0)</f>
        <v>0</v>
      </c>
      <c r="V39" s="379">
        <f>IFERROR((CPSX!V59/'3.Thanh pham'!Q$136),0)</f>
        <v>0</v>
      </c>
      <c r="W39" s="379">
        <f>IFERROR((CPSX!W59/'3.Thanh pham'!R$136),0)</f>
        <v>0</v>
      </c>
      <c r="Y39" s="379">
        <f>IFERROR(CPSX!AK59/CP_Kg!$Y$2,0)</f>
        <v>0</v>
      </c>
      <c r="Z39" s="149">
        <f t="shared" si="2"/>
        <v>0</v>
      </c>
    </row>
    <row r="40" spans="2:26" x14ac:dyDescent="0.35">
      <c r="B40" s="367">
        <v>11</v>
      </c>
      <c r="C40" s="367"/>
      <c r="D40" s="368">
        <v>6220003001</v>
      </c>
      <c r="E40" s="369" t="s">
        <v>702</v>
      </c>
      <c r="F40" s="369" t="s">
        <v>493</v>
      </c>
      <c r="G40" s="369" t="s">
        <v>702</v>
      </c>
      <c r="H40" s="368" t="s">
        <v>359</v>
      </c>
      <c r="I40" s="404" t="s">
        <v>703</v>
      </c>
      <c r="J40" s="460"/>
      <c r="K40" s="379">
        <f>IFERROR((CPSX!K60/'3.Thanh pham'!F$136),0)</f>
        <v>0</v>
      </c>
      <c r="L40" s="379">
        <f>IFERROR((CPSX!L60/'3.Thanh pham'!G$136),0)</f>
        <v>0</v>
      </c>
      <c r="M40" s="379">
        <f>IFERROR((CPSX!M60/'3.Thanh pham'!H$136),0)</f>
        <v>0</v>
      </c>
      <c r="N40" s="379">
        <f>IFERROR((CPSX!N60/'3.Thanh pham'!I$136),0)</f>
        <v>0</v>
      </c>
      <c r="O40" s="379">
        <f>IFERROR((CPSX!O60/'3.Thanh pham'!J$136),0)</f>
        <v>0</v>
      </c>
      <c r="P40" s="379">
        <f>IFERROR((CPSX!P60/'3.Thanh pham'!K$136),0)</f>
        <v>0</v>
      </c>
      <c r="Q40" s="379">
        <f>IFERROR((CPSX!Q60/'3.Thanh pham'!L$136),0)</f>
        <v>0</v>
      </c>
      <c r="R40" s="379">
        <f>IFERROR((CPSX!R60/'3.Thanh pham'!M$136),0)</f>
        <v>0</v>
      </c>
      <c r="S40" s="379">
        <f>IFERROR((CPSX!S60/'3.Thanh pham'!N$136),0)</f>
        <v>0</v>
      </c>
      <c r="T40" s="379">
        <f>IFERROR((CPSX!T60/'3.Thanh pham'!O$136),0)</f>
        <v>0</v>
      </c>
      <c r="U40" s="379">
        <f>IFERROR((CPSX!U60/'3.Thanh pham'!P$136),0)</f>
        <v>0</v>
      </c>
      <c r="V40" s="379">
        <f>IFERROR((CPSX!V60/'3.Thanh pham'!Q$136),0)</f>
        <v>0</v>
      </c>
      <c r="W40" s="379">
        <f>IFERROR((CPSX!W60/'3.Thanh pham'!R$136),0)</f>
        <v>0</v>
      </c>
      <c r="Y40" s="379">
        <f>IFERROR(CPSX!AK60/CP_Kg!$Y$2,0)</f>
        <v>0</v>
      </c>
      <c r="Z40" s="149">
        <f t="shared" si="2"/>
        <v>0</v>
      </c>
    </row>
    <row r="41" spans="2:26" x14ac:dyDescent="0.35">
      <c r="B41" s="367">
        <v>12</v>
      </c>
      <c r="C41" s="367"/>
      <c r="D41" s="368"/>
      <c r="E41" s="369" t="s">
        <v>705</v>
      </c>
      <c r="F41" s="369" t="s">
        <v>493</v>
      </c>
      <c r="G41" s="369" t="s">
        <v>706</v>
      </c>
      <c r="H41" s="368" t="s">
        <v>359</v>
      </c>
      <c r="I41" s="404" t="s">
        <v>703</v>
      </c>
      <c r="J41" s="460"/>
      <c r="K41" s="379">
        <f>IFERROR((CPSX!K61/'3.Thanh pham'!F$136),0)</f>
        <v>0</v>
      </c>
      <c r="L41" s="379">
        <f>IFERROR((CPSX!L61/'3.Thanh pham'!G$136),0)</f>
        <v>0</v>
      </c>
      <c r="M41" s="379">
        <f>IFERROR((CPSX!M61/'3.Thanh pham'!H$136),0)</f>
        <v>0</v>
      </c>
      <c r="N41" s="379">
        <f>IFERROR((CPSX!N61/'3.Thanh pham'!I$136),0)</f>
        <v>0</v>
      </c>
      <c r="O41" s="379">
        <f>IFERROR((CPSX!O61/'3.Thanh pham'!J$136),0)</f>
        <v>0</v>
      </c>
      <c r="P41" s="379">
        <f>IFERROR((CPSX!P61/'3.Thanh pham'!K$136),0)</f>
        <v>0</v>
      </c>
      <c r="Q41" s="379">
        <f>IFERROR((CPSX!Q61/'3.Thanh pham'!L$136),0)</f>
        <v>0</v>
      </c>
      <c r="R41" s="379">
        <f>IFERROR((CPSX!R61/'3.Thanh pham'!M$136),0)</f>
        <v>0</v>
      </c>
      <c r="S41" s="379">
        <f>IFERROR((CPSX!S61/'3.Thanh pham'!N$136),0)</f>
        <v>0</v>
      </c>
      <c r="T41" s="379">
        <f>IFERROR((CPSX!T61/'3.Thanh pham'!O$136),0)</f>
        <v>0</v>
      </c>
      <c r="U41" s="379">
        <f>IFERROR((CPSX!U61/'3.Thanh pham'!P$136),0)</f>
        <v>0</v>
      </c>
      <c r="V41" s="379">
        <f>IFERROR((CPSX!V61/'3.Thanh pham'!Q$136),0)</f>
        <v>0</v>
      </c>
      <c r="W41" s="379">
        <f>IFERROR((CPSX!W61/'3.Thanh pham'!R$136),0)</f>
        <v>0</v>
      </c>
      <c r="Y41" s="379">
        <f>IFERROR(CPSX!AK61/CP_Kg!$Y$2,0)</f>
        <v>0</v>
      </c>
      <c r="Z41" s="149">
        <f t="shared" si="2"/>
        <v>0</v>
      </c>
    </row>
    <row r="42" spans="2:26" x14ac:dyDescent="0.35">
      <c r="B42" s="367">
        <v>13</v>
      </c>
      <c r="C42" s="367"/>
      <c r="D42" s="368">
        <v>6275001801</v>
      </c>
      <c r="E42" s="369" t="s">
        <v>707</v>
      </c>
      <c r="F42" s="369" t="s">
        <v>708</v>
      </c>
      <c r="G42" s="369" t="s">
        <v>707</v>
      </c>
      <c r="H42" s="368" t="s">
        <v>401</v>
      </c>
      <c r="I42" s="404" t="s">
        <v>709</v>
      </c>
      <c r="J42" s="460"/>
      <c r="K42" s="379">
        <f>IFERROR((CPSX!K62/'3.Thanh pham'!F$136),0)</f>
        <v>245.55555555555554</v>
      </c>
      <c r="L42" s="379">
        <f>IFERROR((CPSX!L62/'3.Thanh pham'!G$136),0)</f>
        <v>245.55555555555554</v>
      </c>
      <c r="M42" s="379">
        <f>IFERROR((CPSX!M62/'3.Thanh pham'!H$136),0)</f>
        <v>245.55555555555554</v>
      </c>
      <c r="N42" s="379">
        <f>IFERROR((CPSX!N62/'3.Thanh pham'!I$136),0)</f>
        <v>245.55555555555554</v>
      </c>
      <c r="O42" s="379">
        <f>IFERROR((CPSX!O62/'3.Thanh pham'!J$136),0)</f>
        <v>245.55555555555554</v>
      </c>
      <c r="P42" s="379">
        <f>IFERROR((CPSX!P62/'3.Thanh pham'!K$136),0)</f>
        <v>245.55555555555554</v>
      </c>
      <c r="Q42" s="379">
        <f>IFERROR((CPSX!Q62/'3.Thanh pham'!L$136),0)</f>
        <v>245.55555555555554</v>
      </c>
      <c r="R42" s="379">
        <f>IFERROR((CPSX!R62/'3.Thanh pham'!M$136),0)</f>
        <v>245.55555555555554</v>
      </c>
      <c r="S42" s="379">
        <f>IFERROR((CPSX!S62/'3.Thanh pham'!N$136),0)</f>
        <v>245.55555555555554</v>
      </c>
      <c r="T42" s="379">
        <f>IFERROR((CPSX!T62/'3.Thanh pham'!O$136),0)</f>
        <v>245.55555555555554</v>
      </c>
      <c r="U42" s="379">
        <f>IFERROR((CPSX!U62/'3.Thanh pham'!P$136),0)</f>
        <v>245.55555555555554</v>
      </c>
      <c r="V42" s="379">
        <f>IFERROR((CPSX!V62/'3.Thanh pham'!Q$136),0)</f>
        <v>245.55555555555554</v>
      </c>
      <c r="W42" s="379">
        <f>IFERROR((CPSX!W62/'3.Thanh pham'!R$136),0)</f>
        <v>245.55555555555554</v>
      </c>
      <c r="Y42" s="379">
        <f>IFERROR(CPSX!AK62/CP_Kg!$Y$2,0)</f>
        <v>0</v>
      </c>
      <c r="Z42" s="149">
        <f t="shared" si="2"/>
        <v>245.55555555555554</v>
      </c>
    </row>
    <row r="43" spans="2:26" x14ac:dyDescent="0.35">
      <c r="B43" s="367">
        <v>14</v>
      </c>
      <c r="C43" s="367"/>
      <c r="D43" s="368">
        <v>6272000100</v>
      </c>
      <c r="E43" s="369" t="s">
        <v>710</v>
      </c>
      <c r="F43" s="369" t="s">
        <v>711</v>
      </c>
      <c r="G43" s="369" t="s">
        <v>332</v>
      </c>
      <c r="H43" s="368" t="s">
        <v>401</v>
      </c>
      <c r="I43" s="404" t="s">
        <v>709</v>
      </c>
      <c r="J43" s="460"/>
      <c r="K43" s="379">
        <f>IFERROR((CPSX!K63/'3.Thanh pham'!F$136),0)</f>
        <v>244.44444444444446</v>
      </c>
      <c r="L43" s="379">
        <f>IFERROR((CPSX!L63/'3.Thanh pham'!G$136),0)</f>
        <v>244.44444444444446</v>
      </c>
      <c r="M43" s="379">
        <f>IFERROR((CPSX!M63/'3.Thanh pham'!H$136),0)</f>
        <v>244.44444444444446</v>
      </c>
      <c r="N43" s="379">
        <f>IFERROR((CPSX!N63/'3.Thanh pham'!I$136),0)</f>
        <v>244.44444444444446</v>
      </c>
      <c r="O43" s="379">
        <f>IFERROR((CPSX!O63/'3.Thanh pham'!J$136),0)</f>
        <v>244.44444444444443</v>
      </c>
      <c r="P43" s="379">
        <f>IFERROR((CPSX!P63/'3.Thanh pham'!K$136),0)</f>
        <v>244.44444444444446</v>
      </c>
      <c r="Q43" s="379">
        <f>IFERROR((CPSX!Q63/'3.Thanh pham'!L$136),0)</f>
        <v>244.44444444444446</v>
      </c>
      <c r="R43" s="379">
        <f>IFERROR((CPSX!R63/'3.Thanh pham'!M$136),0)</f>
        <v>244.44444444444446</v>
      </c>
      <c r="S43" s="379">
        <f>IFERROR((CPSX!S63/'3.Thanh pham'!N$136),0)</f>
        <v>244.44444444444446</v>
      </c>
      <c r="T43" s="379">
        <f>IFERROR((CPSX!T63/'3.Thanh pham'!O$136),0)</f>
        <v>244.44444444444446</v>
      </c>
      <c r="U43" s="379">
        <f>IFERROR((CPSX!U63/'3.Thanh pham'!P$136),0)</f>
        <v>244.44444444444446</v>
      </c>
      <c r="V43" s="379">
        <f>IFERROR((CPSX!V63/'3.Thanh pham'!Q$136),0)</f>
        <v>244.44444444444446</v>
      </c>
      <c r="W43" s="379">
        <f>IFERROR((CPSX!W63/'3.Thanh pham'!R$136),0)</f>
        <v>244.44444444444446</v>
      </c>
      <c r="Y43" s="379">
        <f>IFERROR(CPSX!AK63/CP_Kg!$Y$2,0)</f>
        <v>0</v>
      </c>
      <c r="Z43" s="149">
        <f t="shared" si="2"/>
        <v>244.44444444444446</v>
      </c>
    </row>
    <row r="44" spans="2:26" x14ac:dyDescent="0.35">
      <c r="B44" s="367">
        <v>15</v>
      </c>
      <c r="C44" s="367"/>
      <c r="D44" s="368">
        <v>6272000100</v>
      </c>
      <c r="E44" s="369" t="s">
        <v>710</v>
      </c>
      <c r="F44" s="369" t="s">
        <v>711</v>
      </c>
      <c r="G44" s="369" t="s">
        <v>320</v>
      </c>
      <c r="H44" s="368" t="s">
        <v>414</v>
      </c>
      <c r="I44" s="404" t="s">
        <v>709</v>
      </c>
      <c r="J44" s="460"/>
      <c r="K44" s="379">
        <f>IFERROR((CPSX!K64/'3.Thanh pham'!F$136),0)</f>
        <v>0</v>
      </c>
      <c r="L44" s="379">
        <f>IFERROR((CPSX!L64/'3.Thanh pham'!G$136),0)</f>
        <v>0</v>
      </c>
      <c r="M44" s="379">
        <f>IFERROR((CPSX!M64/'3.Thanh pham'!H$136),0)</f>
        <v>0</v>
      </c>
      <c r="N44" s="379">
        <f>IFERROR((CPSX!N64/'3.Thanh pham'!I$136),0)</f>
        <v>0</v>
      </c>
      <c r="O44" s="379">
        <f>IFERROR((CPSX!O64/'3.Thanh pham'!J$136),0)</f>
        <v>0</v>
      </c>
      <c r="P44" s="379">
        <f>IFERROR((CPSX!P64/'3.Thanh pham'!K$136),0)</f>
        <v>0</v>
      </c>
      <c r="Q44" s="379">
        <f>IFERROR((CPSX!Q64/'3.Thanh pham'!L$136),0)</f>
        <v>0</v>
      </c>
      <c r="R44" s="379">
        <f>IFERROR((CPSX!R64/'3.Thanh pham'!M$136),0)</f>
        <v>0</v>
      </c>
      <c r="S44" s="379">
        <f>IFERROR((CPSX!S64/'3.Thanh pham'!N$136),0)</f>
        <v>0</v>
      </c>
      <c r="T44" s="379">
        <f>IFERROR((CPSX!T64/'3.Thanh pham'!O$136),0)</f>
        <v>0</v>
      </c>
      <c r="U44" s="379">
        <f>IFERROR((CPSX!U64/'3.Thanh pham'!P$136),0)</f>
        <v>0</v>
      </c>
      <c r="V44" s="379">
        <f>IFERROR((CPSX!V64/'3.Thanh pham'!Q$136),0)</f>
        <v>0</v>
      </c>
      <c r="W44" s="379">
        <f>IFERROR((CPSX!W64/'3.Thanh pham'!R$136),0)</f>
        <v>0</v>
      </c>
      <c r="Y44" s="379">
        <f>IFERROR(CPSX!AK64/CP_Kg!$Y$2,0)</f>
        <v>0</v>
      </c>
      <c r="Z44" s="149">
        <f t="shared" si="2"/>
        <v>0</v>
      </c>
    </row>
    <row r="45" spans="2:26" x14ac:dyDescent="0.35">
      <c r="B45" s="367">
        <v>16</v>
      </c>
      <c r="C45" s="367"/>
      <c r="D45" s="368">
        <v>6272000100</v>
      </c>
      <c r="E45" s="369" t="s">
        <v>710</v>
      </c>
      <c r="F45" s="369" t="s">
        <v>711</v>
      </c>
      <c r="G45" s="369" t="s">
        <v>321</v>
      </c>
      <c r="H45" s="368" t="s">
        <v>414</v>
      </c>
      <c r="I45" s="404" t="s">
        <v>709</v>
      </c>
      <c r="J45" s="460"/>
      <c r="K45" s="379">
        <f>IFERROR((CPSX!K65/'3.Thanh pham'!F$136),0)</f>
        <v>119.04761904761905</v>
      </c>
      <c r="L45" s="379">
        <f>IFERROR((CPSX!L65/'3.Thanh pham'!G$136),0)</f>
        <v>119.04761904761905</v>
      </c>
      <c r="M45" s="379">
        <f>IFERROR((CPSX!M65/'3.Thanh pham'!H$136),0)</f>
        <v>119.04761904761905</v>
      </c>
      <c r="N45" s="379">
        <f>IFERROR((CPSX!N65/'3.Thanh pham'!I$136),0)</f>
        <v>119.04761904761907</v>
      </c>
      <c r="O45" s="379">
        <f>IFERROR((CPSX!O65/'3.Thanh pham'!J$136),0)</f>
        <v>119.04761904761905</v>
      </c>
      <c r="P45" s="379">
        <f>IFERROR((CPSX!P65/'3.Thanh pham'!K$136),0)</f>
        <v>119.04761904761907</v>
      </c>
      <c r="Q45" s="379">
        <f>IFERROR((CPSX!Q65/'3.Thanh pham'!L$136),0)</f>
        <v>119.04761904761907</v>
      </c>
      <c r="R45" s="379">
        <f>IFERROR((CPSX!R65/'3.Thanh pham'!M$136),0)</f>
        <v>119.04761904761907</v>
      </c>
      <c r="S45" s="379">
        <f>IFERROR((CPSX!S65/'3.Thanh pham'!N$136),0)</f>
        <v>119.04761904761907</v>
      </c>
      <c r="T45" s="379">
        <f>IFERROR((CPSX!T65/'3.Thanh pham'!O$136),0)</f>
        <v>119.04761904761907</v>
      </c>
      <c r="U45" s="379">
        <f>IFERROR((CPSX!U65/'3.Thanh pham'!P$136),0)</f>
        <v>119.04761904761907</v>
      </c>
      <c r="V45" s="379">
        <f>IFERROR((CPSX!V65/'3.Thanh pham'!Q$136),0)</f>
        <v>119.04761904761907</v>
      </c>
      <c r="W45" s="379">
        <f>IFERROR((CPSX!W65/'3.Thanh pham'!R$136),0)</f>
        <v>119.04761904761907</v>
      </c>
      <c r="Y45" s="379">
        <f>IFERROR(CPSX!AK65/CP_Kg!$Y$2,0)</f>
        <v>0</v>
      </c>
      <c r="Z45" s="149">
        <f t="shared" si="2"/>
        <v>119.04761904761907</v>
      </c>
    </row>
    <row r="46" spans="2:26" x14ac:dyDescent="0.35">
      <c r="B46" s="367">
        <v>17</v>
      </c>
      <c r="C46" s="367"/>
      <c r="D46" s="368">
        <v>6272000100</v>
      </c>
      <c r="E46" s="369" t="s">
        <v>710</v>
      </c>
      <c r="F46" s="369" t="s">
        <v>711</v>
      </c>
      <c r="G46" s="369" t="s">
        <v>322</v>
      </c>
      <c r="H46" s="368" t="s">
        <v>414</v>
      </c>
      <c r="I46" s="404" t="s">
        <v>709</v>
      </c>
      <c r="J46" s="460"/>
      <c r="K46" s="379">
        <f>IFERROR((CPSX!K66/'3.Thanh pham'!F$136),0)</f>
        <v>0</v>
      </c>
      <c r="L46" s="379">
        <f>IFERROR((CPSX!L66/'3.Thanh pham'!G$136),0)</f>
        <v>0</v>
      </c>
      <c r="M46" s="379">
        <f>IFERROR((CPSX!M66/'3.Thanh pham'!H$136),0)</f>
        <v>0</v>
      </c>
      <c r="N46" s="379">
        <f>IFERROR((CPSX!N66/'3.Thanh pham'!I$136),0)</f>
        <v>0</v>
      </c>
      <c r="O46" s="379">
        <f>IFERROR((CPSX!O66/'3.Thanh pham'!J$136),0)</f>
        <v>0</v>
      </c>
      <c r="P46" s="379">
        <f>IFERROR((CPSX!P66/'3.Thanh pham'!K$136),0)</f>
        <v>0</v>
      </c>
      <c r="Q46" s="379">
        <f>IFERROR((CPSX!Q66/'3.Thanh pham'!L$136),0)</f>
        <v>0</v>
      </c>
      <c r="R46" s="379">
        <f>IFERROR((CPSX!R66/'3.Thanh pham'!M$136),0)</f>
        <v>0</v>
      </c>
      <c r="S46" s="379">
        <f>IFERROR((CPSX!S66/'3.Thanh pham'!N$136),0)</f>
        <v>0</v>
      </c>
      <c r="T46" s="379">
        <f>IFERROR((CPSX!T66/'3.Thanh pham'!O$136),0)</f>
        <v>0</v>
      </c>
      <c r="U46" s="379">
        <f>IFERROR((CPSX!U66/'3.Thanh pham'!P$136),0)</f>
        <v>0</v>
      </c>
      <c r="V46" s="379">
        <f>IFERROR((CPSX!V66/'3.Thanh pham'!Q$136),0)</f>
        <v>0</v>
      </c>
      <c r="W46" s="379">
        <f>IFERROR((CPSX!W66/'3.Thanh pham'!R$136),0)</f>
        <v>0</v>
      </c>
      <c r="Y46" s="379">
        <f>IFERROR(CPSX!AK66/CP_Kg!$Y$2,0)</f>
        <v>0</v>
      </c>
      <c r="Z46" s="149">
        <f t="shared" si="2"/>
        <v>0</v>
      </c>
    </row>
    <row r="47" spans="2:26" x14ac:dyDescent="0.35">
      <c r="B47" s="367">
        <v>18</v>
      </c>
      <c r="C47" s="367"/>
      <c r="D47" s="368">
        <v>6272000100</v>
      </c>
      <c r="E47" s="369" t="s">
        <v>710</v>
      </c>
      <c r="F47" s="369" t="s">
        <v>711</v>
      </c>
      <c r="G47" s="369" t="s">
        <v>713</v>
      </c>
      <c r="H47" s="368" t="s">
        <v>414</v>
      </c>
      <c r="I47" s="404" t="s">
        <v>709</v>
      </c>
      <c r="J47" s="460"/>
      <c r="K47" s="379">
        <f>IFERROR((CPSX!K67/'3.Thanh pham'!F$136),0)</f>
        <v>214.76190476190479</v>
      </c>
      <c r="L47" s="379">
        <f>IFERROR((CPSX!L67/'3.Thanh pham'!G$136),0)</f>
        <v>214.76190476190482</v>
      </c>
      <c r="M47" s="379">
        <f>IFERROR((CPSX!M67/'3.Thanh pham'!H$136),0)</f>
        <v>214.76190476190479</v>
      </c>
      <c r="N47" s="379">
        <f>IFERROR((CPSX!N67/'3.Thanh pham'!I$136),0)</f>
        <v>214.76190476190479</v>
      </c>
      <c r="O47" s="379">
        <f>IFERROR((CPSX!O67/'3.Thanh pham'!J$136),0)</f>
        <v>214.76190476190479</v>
      </c>
      <c r="P47" s="379">
        <f>IFERROR((CPSX!P67/'3.Thanh pham'!K$136),0)</f>
        <v>214.76190476190479</v>
      </c>
      <c r="Q47" s="379">
        <f>IFERROR((CPSX!Q67/'3.Thanh pham'!L$136),0)</f>
        <v>214.76190476190479</v>
      </c>
      <c r="R47" s="379">
        <f>IFERROR((CPSX!R67/'3.Thanh pham'!M$136),0)</f>
        <v>214.76190476190479</v>
      </c>
      <c r="S47" s="379">
        <f>IFERROR((CPSX!S67/'3.Thanh pham'!N$136),0)</f>
        <v>214.76190476190479</v>
      </c>
      <c r="T47" s="379">
        <f>IFERROR((CPSX!T67/'3.Thanh pham'!O$136),0)</f>
        <v>214.76190476190479</v>
      </c>
      <c r="U47" s="379">
        <f>IFERROR((CPSX!U67/'3.Thanh pham'!P$136),0)</f>
        <v>214.76190476190479</v>
      </c>
      <c r="V47" s="379">
        <f>IFERROR((CPSX!V67/'3.Thanh pham'!Q$136),0)</f>
        <v>214.76190476190479</v>
      </c>
      <c r="W47" s="379">
        <f>IFERROR((CPSX!W67/'3.Thanh pham'!R$136),0)</f>
        <v>214.76190476190482</v>
      </c>
      <c r="Y47" s="379">
        <f>IFERROR(CPSX!AK67/CP_Kg!$Y$2,0)</f>
        <v>0</v>
      </c>
      <c r="Z47" s="149">
        <f t="shared" si="2"/>
        <v>214.76190476190482</v>
      </c>
    </row>
    <row r="48" spans="2:26" x14ac:dyDescent="0.35">
      <c r="B48" s="367">
        <v>19</v>
      </c>
      <c r="C48" s="367"/>
      <c r="D48" s="368">
        <v>6272002101</v>
      </c>
      <c r="E48" s="369" t="s">
        <v>714</v>
      </c>
      <c r="F48" s="369" t="s">
        <v>711</v>
      </c>
      <c r="G48" s="369" t="s">
        <v>714</v>
      </c>
      <c r="H48" s="368"/>
      <c r="I48" s="404"/>
      <c r="J48" s="460"/>
      <c r="K48" s="379">
        <f>IFERROR((CPSX!K68/'3.Thanh pham'!F$136),0)</f>
        <v>0</v>
      </c>
      <c r="L48" s="379">
        <f>IFERROR((CPSX!L68/'3.Thanh pham'!G$136),0)</f>
        <v>0</v>
      </c>
      <c r="M48" s="379">
        <f>IFERROR((CPSX!M68/'3.Thanh pham'!H$136),0)</f>
        <v>0</v>
      </c>
      <c r="N48" s="379">
        <f>IFERROR((CPSX!N68/'3.Thanh pham'!I$136),0)</f>
        <v>0</v>
      </c>
      <c r="O48" s="379">
        <f>IFERROR((CPSX!O68/'3.Thanh pham'!J$136),0)</f>
        <v>0</v>
      </c>
      <c r="P48" s="379">
        <f>IFERROR((CPSX!P68/'3.Thanh pham'!K$136),0)</f>
        <v>0</v>
      </c>
      <c r="Q48" s="379">
        <f>IFERROR((CPSX!Q68/'3.Thanh pham'!L$136),0)</f>
        <v>0</v>
      </c>
      <c r="R48" s="379">
        <f>IFERROR((CPSX!R68/'3.Thanh pham'!M$136),0)</f>
        <v>0</v>
      </c>
      <c r="S48" s="379">
        <f>IFERROR((CPSX!S68/'3.Thanh pham'!N$136),0)</f>
        <v>0</v>
      </c>
      <c r="T48" s="379">
        <f>IFERROR((CPSX!T68/'3.Thanh pham'!O$136),0)</f>
        <v>0</v>
      </c>
      <c r="U48" s="379">
        <f>IFERROR((CPSX!U68/'3.Thanh pham'!P$136),0)</f>
        <v>0</v>
      </c>
      <c r="V48" s="379">
        <f>IFERROR((CPSX!V68/'3.Thanh pham'!Q$136),0)</f>
        <v>0</v>
      </c>
      <c r="W48" s="379">
        <f>IFERROR((CPSX!W68/'3.Thanh pham'!R$136),0)</f>
        <v>0</v>
      </c>
      <c r="Y48" s="379">
        <f>IFERROR(CPSX!AK68/CP_Kg!$Y$2,0)</f>
        <v>0</v>
      </c>
      <c r="Z48" s="149">
        <f t="shared" si="2"/>
        <v>0</v>
      </c>
    </row>
    <row r="49" spans="2:26" x14ac:dyDescent="0.35">
      <c r="B49" s="372"/>
      <c r="C49" s="372"/>
      <c r="D49" s="373">
        <v>6272003502</v>
      </c>
      <c r="E49" s="374" t="s">
        <v>715</v>
      </c>
      <c r="F49" s="374" t="s">
        <v>716</v>
      </c>
      <c r="G49" s="374" t="s">
        <v>717</v>
      </c>
      <c r="H49" s="373" t="s">
        <v>454</v>
      </c>
      <c r="I49" s="405" t="s">
        <v>709</v>
      </c>
      <c r="J49" s="460"/>
      <c r="K49" s="379">
        <f>IFERROR((CPSX!K69/'3.Thanh pham'!F$136),0)</f>
        <v>24.545454545454547</v>
      </c>
      <c r="L49" s="379">
        <f>IFERROR((CPSX!L69/'3.Thanh pham'!G$136),0)</f>
        <v>24.545454545454547</v>
      </c>
      <c r="M49" s="379">
        <f>IFERROR((CPSX!M69/'3.Thanh pham'!H$136),0)</f>
        <v>24.545454545454547</v>
      </c>
      <c r="N49" s="379">
        <f>IFERROR((CPSX!N69/'3.Thanh pham'!I$136),0)</f>
        <v>24.545454545454547</v>
      </c>
      <c r="O49" s="379">
        <f>IFERROR((CPSX!O69/'3.Thanh pham'!J$136),0)</f>
        <v>24.545454545454547</v>
      </c>
      <c r="P49" s="379">
        <f>IFERROR((CPSX!P69/'3.Thanh pham'!K$136),0)</f>
        <v>24.545454545454547</v>
      </c>
      <c r="Q49" s="379">
        <f>IFERROR((CPSX!Q69/'3.Thanh pham'!L$136),0)</f>
        <v>24.545454545454547</v>
      </c>
      <c r="R49" s="379">
        <f>IFERROR((CPSX!R69/'3.Thanh pham'!M$136),0)</f>
        <v>24.545454545454547</v>
      </c>
      <c r="S49" s="379">
        <f>IFERROR((CPSX!S69/'3.Thanh pham'!N$136),0)</f>
        <v>24.545454545454547</v>
      </c>
      <c r="T49" s="379">
        <f>IFERROR((CPSX!T69/'3.Thanh pham'!O$136),0)</f>
        <v>24.545454545454547</v>
      </c>
      <c r="U49" s="379">
        <f>IFERROR((CPSX!U69/'3.Thanh pham'!P$136),0)</f>
        <v>24.545454545454547</v>
      </c>
      <c r="V49" s="379">
        <f>IFERROR((CPSX!V69/'3.Thanh pham'!Q$136),0)</f>
        <v>24.545454545454547</v>
      </c>
      <c r="W49" s="379">
        <f>IFERROR((CPSX!W69/'3.Thanh pham'!R$136),0)</f>
        <v>24.545454545454547</v>
      </c>
      <c r="Y49" s="379">
        <f>IFERROR(CPSX!AK69/CP_Kg!$Y$2,0)</f>
        <v>0</v>
      </c>
      <c r="Z49" s="149">
        <f t="shared" si="2"/>
        <v>24.545454545454547</v>
      </c>
    </row>
    <row r="50" spans="2:26" x14ac:dyDescent="0.35">
      <c r="B50" s="372"/>
      <c r="C50" s="372"/>
      <c r="D50" s="373"/>
      <c r="E50" s="374"/>
      <c r="F50" s="374"/>
      <c r="G50" s="374"/>
      <c r="H50" s="373"/>
      <c r="I50" s="405"/>
      <c r="J50" s="460"/>
      <c r="K50" s="379">
        <f>IFERROR((CPSX!#REF!/'3.Thanh pham'!F$136),0)</f>
        <v>0</v>
      </c>
      <c r="L50" s="379">
        <f>IFERROR((CPSX!#REF!/'3.Thanh pham'!G$136),0)</f>
        <v>0</v>
      </c>
      <c r="M50" s="379">
        <f>IFERROR((CPSX!#REF!/'3.Thanh pham'!H$136),0)</f>
        <v>0</v>
      </c>
      <c r="N50" s="379">
        <f>IFERROR((CPSX!#REF!/'3.Thanh pham'!I$136),0)</f>
        <v>0</v>
      </c>
      <c r="O50" s="379">
        <f>IFERROR((CPSX!#REF!/'3.Thanh pham'!J$136),0)</f>
        <v>0</v>
      </c>
      <c r="P50" s="379">
        <f>IFERROR((CPSX!#REF!/'3.Thanh pham'!K$136),0)</f>
        <v>0</v>
      </c>
      <c r="Q50" s="379">
        <f>IFERROR((CPSX!#REF!/'3.Thanh pham'!L$136),0)</f>
        <v>0</v>
      </c>
      <c r="R50" s="379">
        <f>IFERROR((CPSX!#REF!/'3.Thanh pham'!M$136),0)</f>
        <v>0</v>
      </c>
      <c r="S50" s="379">
        <f>IFERROR((CPSX!#REF!/'3.Thanh pham'!N$136),0)</f>
        <v>0</v>
      </c>
      <c r="T50" s="379">
        <f>IFERROR((CPSX!#REF!/'3.Thanh pham'!O$136),0)</f>
        <v>0</v>
      </c>
      <c r="U50" s="379">
        <f>IFERROR((CPSX!#REF!/'3.Thanh pham'!P$136),0)</f>
        <v>0</v>
      </c>
      <c r="V50" s="379">
        <f>IFERROR((CPSX!#REF!/'3.Thanh pham'!Q$136),0)</f>
        <v>0</v>
      </c>
      <c r="W50" s="379">
        <f>IFERROR((CPSX!#REF!/'3.Thanh pham'!R$136),0)</f>
        <v>0</v>
      </c>
      <c r="Y50" s="379">
        <f>IFERROR(CPSX!AK69/CP_Kg!$Y$2,0)</f>
        <v>0</v>
      </c>
      <c r="Z50" s="149">
        <f t="shared" si="2"/>
        <v>0</v>
      </c>
    </row>
    <row r="51" spans="2:26" x14ac:dyDescent="0.35">
      <c r="B51" s="63" t="s">
        <v>2203</v>
      </c>
      <c r="C51" s="63"/>
      <c r="D51" s="85"/>
      <c r="E51" s="63"/>
      <c r="F51" s="63"/>
      <c r="G51" s="63"/>
      <c r="H51" s="168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Z51" s="149" t="s">
        <v>2195</v>
      </c>
    </row>
    <row r="52" spans="2:26" x14ac:dyDescent="0.35">
      <c r="B52" s="183" t="s">
        <v>108</v>
      </c>
      <c r="C52" s="452"/>
      <c r="D52" s="457"/>
      <c r="E52" s="453" t="s">
        <v>176</v>
      </c>
      <c r="F52" s="458"/>
      <c r="G52" s="458"/>
      <c r="H52" s="458"/>
      <c r="I52" s="458"/>
      <c r="J52" s="461"/>
      <c r="K52" s="461">
        <f>SUM(K53:K73)</f>
        <v>0</v>
      </c>
      <c r="L52" s="461">
        <f t="shared" ref="L52:W52" si="5">SUM(L53:L73)</f>
        <v>0</v>
      </c>
      <c r="M52" s="461">
        <f t="shared" si="5"/>
        <v>0</v>
      </c>
      <c r="N52" s="461">
        <f t="shared" si="5"/>
        <v>0</v>
      </c>
      <c r="O52" s="461">
        <f t="shared" si="5"/>
        <v>0</v>
      </c>
      <c r="P52" s="461">
        <f t="shared" si="5"/>
        <v>842.20452242792669</v>
      </c>
      <c r="Q52" s="461">
        <f t="shared" si="5"/>
        <v>842.20452242792669</v>
      </c>
      <c r="R52" s="461">
        <f t="shared" si="5"/>
        <v>842.20452242792669</v>
      </c>
      <c r="S52" s="461">
        <f t="shared" si="5"/>
        <v>842.20452242792669</v>
      </c>
      <c r="T52" s="461">
        <f t="shared" si="5"/>
        <v>842.20452242792669</v>
      </c>
      <c r="U52" s="461">
        <f t="shared" si="5"/>
        <v>842.20452242792669</v>
      </c>
      <c r="V52" s="461">
        <f t="shared" si="5"/>
        <v>842.20452242792669</v>
      </c>
      <c r="W52" s="461">
        <f t="shared" si="5"/>
        <v>842.20452242792669</v>
      </c>
      <c r="Y52" s="461">
        <f t="shared" ref="Y52" si="6">SUM(Y53:Y73)</f>
        <v>0</v>
      </c>
      <c r="Z52" s="149">
        <f t="shared" ref="Z52:Z73" si="7">W52+Y52</f>
        <v>842.20452242792669</v>
      </c>
    </row>
    <row r="53" spans="2:26" x14ac:dyDescent="0.35">
      <c r="B53" s="362">
        <v>1</v>
      </c>
      <c r="C53" s="362"/>
      <c r="D53" s="363">
        <v>6220002601</v>
      </c>
      <c r="E53" s="364" t="s">
        <v>504</v>
      </c>
      <c r="F53" s="364" t="s">
        <v>489</v>
      </c>
      <c r="G53" s="364" t="s">
        <v>504</v>
      </c>
      <c r="H53" s="363" t="s">
        <v>359</v>
      </c>
      <c r="I53" s="403" t="s">
        <v>701</v>
      </c>
      <c r="J53" s="379"/>
      <c r="K53" s="379">
        <f>IFERROR((CPSX!K106/'3.Thanh pham'!F$155),0)</f>
        <v>0</v>
      </c>
      <c r="L53" s="379">
        <f>IFERROR((CPSX!L106/'3.Thanh pham'!G$155),0)</f>
        <v>0</v>
      </c>
      <c r="M53" s="379">
        <f>IFERROR((CPSX!M106/'3.Thanh pham'!H$155),0)</f>
        <v>0</v>
      </c>
      <c r="N53" s="379">
        <f>IFERROR((CPSX!N106/'3.Thanh pham'!I$155),0)</f>
        <v>0</v>
      </c>
      <c r="O53" s="379">
        <f>IFERROR((CPSX!O106/'3.Thanh pham'!J$155),0)</f>
        <v>0</v>
      </c>
      <c r="P53" s="379">
        <f>IFERROR((CPSX!P106/'3.Thanh pham'!K$155),0)</f>
        <v>107.06382978723404</v>
      </c>
      <c r="Q53" s="379">
        <f>IFERROR((CPSX!Q106/'3.Thanh pham'!L$155),0)</f>
        <v>107.06382978723404</v>
      </c>
      <c r="R53" s="379">
        <f>IFERROR((CPSX!R106/'3.Thanh pham'!M$155),0)</f>
        <v>107.06382978723404</v>
      </c>
      <c r="S53" s="379">
        <f>IFERROR((CPSX!S106/'3.Thanh pham'!N$155),0)</f>
        <v>107.06382978723404</v>
      </c>
      <c r="T53" s="379">
        <f>IFERROR((CPSX!T106/'3.Thanh pham'!O$155),0)</f>
        <v>107.06382978723404</v>
      </c>
      <c r="U53" s="379">
        <f>IFERROR((CPSX!U106/'3.Thanh pham'!P$155),0)</f>
        <v>107.06382978723404</v>
      </c>
      <c r="V53" s="379">
        <f>IFERROR((CPSX!V106/'3.Thanh pham'!Q$155),0)</f>
        <v>107.06382978723404</v>
      </c>
      <c r="W53" s="379">
        <f>IFERROR((CPSX!W106/'3.Thanh pham'!R$155),0)</f>
        <v>107.06382978723404</v>
      </c>
      <c r="Y53" s="379">
        <f>IFERROR(CPSX!AK73/CP_Kg!$Y$2,0)</f>
        <v>0</v>
      </c>
      <c r="Z53" s="149">
        <f t="shared" si="7"/>
        <v>107.06382978723404</v>
      </c>
    </row>
    <row r="54" spans="2:26" x14ac:dyDescent="0.35">
      <c r="B54" s="367">
        <v>2</v>
      </c>
      <c r="C54" s="367"/>
      <c r="D54" s="368">
        <v>6220002602</v>
      </c>
      <c r="E54" s="369" t="s">
        <v>505</v>
      </c>
      <c r="F54" s="369" t="s">
        <v>489</v>
      </c>
      <c r="G54" s="369" t="s">
        <v>505</v>
      </c>
      <c r="H54" s="368" t="s">
        <v>359</v>
      </c>
      <c r="I54" s="404" t="s">
        <v>701</v>
      </c>
      <c r="J54" s="460"/>
      <c r="K54" s="379">
        <f>IFERROR((CPSX!K107/'3.Thanh pham'!F$155),0)</f>
        <v>0</v>
      </c>
      <c r="L54" s="379">
        <f>IFERROR((CPSX!L107/'3.Thanh pham'!G$155),0)</f>
        <v>0</v>
      </c>
      <c r="M54" s="379">
        <f>IFERROR((CPSX!M107/'3.Thanh pham'!H$155),0)</f>
        <v>0</v>
      </c>
      <c r="N54" s="379">
        <f>IFERROR((CPSX!N107/'3.Thanh pham'!I$155),0)</f>
        <v>0</v>
      </c>
      <c r="O54" s="379">
        <f>IFERROR((CPSX!O107/'3.Thanh pham'!J$155),0)</f>
        <v>0</v>
      </c>
      <c r="P54" s="379">
        <f>IFERROR((CPSX!P107/'3.Thanh pham'!K$155),0)</f>
        <v>0</v>
      </c>
      <c r="Q54" s="379">
        <f>IFERROR((CPSX!Q107/'3.Thanh pham'!L$155),0)</f>
        <v>0</v>
      </c>
      <c r="R54" s="379">
        <f>IFERROR((CPSX!R107/'3.Thanh pham'!M$155),0)</f>
        <v>0</v>
      </c>
      <c r="S54" s="379">
        <f>IFERROR((CPSX!S107/'3.Thanh pham'!N$155),0)</f>
        <v>0</v>
      </c>
      <c r="T54" s="379">
        <f>IFERROR((CPSX!T107/'3.Thanh pham'!O$155),0)</f>
        <v>0</v>
      </c>
      <c r="U54" s="379">
        <f>IFERROR((CPSX!U107/'3.Thanh pham'!P$155),0)</f>
        <v>0</v>
      </c>
      <c r="V54" s="379">
        <f>IFERROR((CPSX!V107/'3.Thanh pham'!Q$155),0)</f>
        <v>0</v>
      </c>
      <c r="W54" s="379">
        <f>IFERROR((CPSX!W107/'3.Thanh pham'!R$155),0)</f>
        <v>0</v>
      </c>
      <c r="Y54" s="379">
        <f>IFERROR(CPSX!AK74/CP_Kg!$Y$2,0)</f>
        <v>0</v>
      </c>
      <c r="Z54" s="149">
        <f t="shared" si="7"/>
        <v>0</v>
      </c>
    </row>
    <row r="55" spans="2:26" x14ac:dyDescent="0.35">
      <c r="B55" s="367">
        <v>3</v>
      </c>
      <c r="C55" s="367"/>
      <c r="D55" s="368">
        <v>6220002802</v>
      </c>
      <c r="E55" s="369" t="s">
        <v>506</v>
      </c>
      <c r="F55" s="369" t="s">
        <v>493</v>
      </c>
      <c r="G55" s="369" t="s">
        <v>506</v>
      </c>
      <c r="H55" s="368" t="s">
        <v>359</v>
      </c>
      <c r="I55" s="404" t="s">
        <v>701</v>
      </c>
      <c r="J55" s="460"/>
      <c r="K55" s="379">
        <f>IFERROR((CPSX!K108/'3.Thanh pham'!F$155),0)</f>
        <v>0</v>
      </c>
      <c r="L55" s="379">
        <f>IFERROR((CPSX!L108/'3.Thanh pham'!G$155),0)</f>
        <v>0</v>
      </c>
      <c r="M55" s="379">
        <f>IFERROR((CPSX!M108/'3.Thanh pham'!H$155),0)</f>
        <v>0</v>
      </c>
      <c r="N55" s="379">
        <f>IFERROR((CPSX!N108/'3.Thanh pham'!I$155),0)</f>
        <v>0</v>
      </c>
      <c r="O55" s="379">
        <f>IFERROR((CPSX!O108/'3.Thanh pham'!J$155),0)</f>
        <v>0</v>
      </c>
      <c r="P55" s="379">
        <f>IFERROR((CPSX!P108/'3.Thanh pham'!K$155),0)</f>
        <v>0</v>
      </c>
      <c r="Q55" s="379">
        <f>IFERROR((CPSX!Q108/'3.Thanh pham'!L$155),0)</f>
        <v>0</v>
      </c>
      <c r="R55" s="379">
        <f>IFERROR((CPSX!R108/'3.Thanh pham'!M$155),0)</f>
        <v>0</v>
      </c>
      <c r="S55" s="379">
        <f>IFERROR((CPSX!S108/'3.Thanh pham'!N$155),0)</f>
        <v>0</v>
      </c>
      <c r="T55" s="379">
        <f>IFERROR((CPSX!T108/'3.Thanh pham'!O$155),0)</f>
        <v>0</v>
      </c>
      <c r="U55" s="379">
        <f>IFERROR((CPSX!U108/'3.Thanh pham'!P$155),0)</f>
        <v>0</v>
      </c>
      <c r="V55" s="379">
        <f>IFERROR((CPSX!V108/'3.Thanh pham'!Q$155),0)</f>
        <v>0</v>
      </c>
      <c r="W55" s="379">
        <f>IFERROR((CPSX!W108/'3.Thanh pham'!R$155),0)</f>
        <v>0</v>
      </c>
      <c r="Y55" s="379">
        <f>IFERROR(CPSX!AK75/CP_Kg!$Y$2,0)</f>
        <v>0</v>
      </c>
      <c r="Z55" s="149">
        <f t="shared" si="7"/>
        <v>0</v>
      </c>
    </row>
    <row r="56" spans="2:26" x14ac:dyDescent="0.35">
      <c r="B56" s="367">
        <v>4</v>
      </c>
      <c r="C56" s="367"/>
      <c r="D56" s="368">
        <v>6220002806</v>
      </c>
      <c r="E56" s="369" t="s">
        <v>507</v>
      </c>
      <c r="F56" s="369" t="s">
        <v>489</v>
      </c>
      <c r="G56" s="369" t="s">
        <v>507</v>
      </c>
      <c r="H56" s="368" t="s">
        <v>359</v>
      </c>
      <c r="I56" s="404" t="s">
        <v>701</v>
      </c>
      <c r="J56" s="460"/>
      <c r="K56" s="379">
        <f>IFERROR((CPSX!K109/'3.Thanh pham'!F$155),0)</f>
        <v>0</v>
      </c>
      <c r="L56" s="379">
        <f>IFERROR((CPSX!L109/'3.Thanh pham'!G$155),0)</f>
        <v>0</v>
      </c>
      <c r="M56" s="379">
        <f>IFERROR((CPSX!M109/'3.Thanh pham'!H$155),0)</f>
        <v>0</v>
      </c>
      <c r="N56" s="379">
        <f>IFERROR((CPSX!N109/'3.Thanh pham'!I$155),0)</f>
        <v>0</v>
      </c>
      <c r="O56" s="379">
        <f>IFERROR((CPSX!O109/'3.Thanh pham'!J$155),0)</f>
        <v>0</v>
      </c>
      <c r="P56" s="379">
        <f>IFERROR((CPSX!P109/'3.Thanh pham'!K$155),0)</f>
        <v>0</v>
      </c>
      <c r="Q56" s="379">
        <f>IFERROR((CPSX!Q109/'3.Thanh pham'!L$155),0)</f>
        <v>0</v>
      </c>
      <c r="R56" s="379">
        <f>IFERROR((CPSX!R109/'3.Thanh pham'!M$155),0)</f>
        <v>0</v>
      </c>
      <c r="S56" s="379">
        <f>IFERROR((CPSX!S109/'3.Thanh pham'!N$155),0)</f>
        <v>0</v>
      </c>
      <c r="T56" s="379">
        <f>IFERROR((CPSX!T109/'3.Thanh pham'!O$155),0)</f>
        <v>0</v>
      </c>
      <c r="U56" s="379">
        <f>IFERROR((CPSX!U109/'3.Thanh pham'!P$155),0)</f>
        <v>0</v>
      </c>
      <c r="V56" s="379">
        <f>IFERROR((CPSX!V109/'3.Thanh pham'!Q$155),0)</f>
        <v>0</v>
      </c>
      <c r="W56" s="379">
        <f>IFERROR((CPSX!W109/'3.Thanh pham'!R$155),0)</f>
        <v>0</v>
      </c>
      <c r="Y56" s="379">
        <f>IFERROR(CPSX!AK76/CP_Kg!$Y$2,0)</f>
        <v>0</v>
      </c>
      <c r="Z56" s="149">
        <f t="shared" si="7"/>
        <v>0</v>
      </c>
    </row>
    <row r="57" spans="2:26" x14ac:dyDescent="0.35">
      <c r="B57" s="367">
        <v>5</v>
      </c>
      <c r="C57" s="367"/>
      <c r="D57" s="368">
        <v>6220007202</v>
      </c>
      <c r="E57" s="369" t="s">
        <v>495</v>
      </c>
      <c r="F57" s="369" t="s">
        <v>493</v>
      </c>
      <c r="G57" s="369" t="s">
        <v>495</v>
      </c>
      <c r="H57" s="368" t="s">
        <v>359</v>
      </c>
      <c r="I57" s="404" t="s">
        <v>701</v>
      </c>
      <c r="J57" s="460"/>
      <c r="K57" s="379">
        <f>IFERROR((CPSX!K110/'3.Thanh pham'!F$155),0)</f>
        <v>0</v>
      </c>
      <c r="L57" s="379">
        <f>IFERROR((CPSX!L110/'3.Thanh pham'!G$155),0)</f>
        <v>0</v>
      </c>
      <c r="M57" s="379">
        <f>IFERROR((CPSX!M110/'3.Thanh pham'!H$155),0)</f>
        <v>0</v>
      </c>
      <c r="N57" s="379">
        <f>IFERROR((CPSX!N110/'3.Thanh pham'!I$155),0)</f>
        <v>0</v>
      </c>
      <c r="O57" s="379">
        <f>IFERROR((CPSX!O110/'3.Thanh pham'!J$155),0)</f>
        <v>0</v>
      </c>
      <c r="P57" s="379">
        <f>IFERROR((CPSX!P110/'3.Thanh pham'!K$155),0)</f>
        <v>0</v>
      </c>
      <c r="Q57" s="379">
        <f>IFERROR((CPSX!Q110/'3.Thanh pham'!L$155),0)</f>
        <v>0</v>
      </c>
      <c r="R57" s="379">
        <f>IFERROR((CPSX!R110/'3.Thanh pham'!M$155),0)</f>
        <v>0</v>
      </c>
      <c r="S57" s="379">
        <f>IFERROR((CPSX!S110/'3.Thanh pham'!N$155),0)</f>
        <v>0</v>
      </c>
      <c r="T57" s="379">
        <f>IFERROR((CPSX!T110/'3.Thanh pham'!O$155),0)</f>
        <v>0</v>
      </c>
      <c r="U57" s="379">
        <f>IFERROR((CPSX!U110/'3.Thanh pham'!P$155),0)</f>
        <v>0</v>
      </c>
      <c r="V57" s="379">
        <f>IFERROR((CPSX!V110/'3.Thanh pham'!Q$155),0)</f>
        <v>0</v>
      </c>
      <c r="W57" s="379">
        <f>IFERROR((CPSX!W110/'3.Thanh pham'!R$155),0)</f>
        <v>0</v>
      </c>
      <c r="Y57" s="379">
        <f>IFERROR(CPSX!AK77/CP_Kg!$Y$2,0)</f>
        <v>0</v>
      </c>
      <c r="Z57" s="149">
        <f t="shared" si="7"/>
        <v>0</v>
      </c>
    </row>
    <row r="58" spans="2:26" x14ac:dyDescent="0.35">
      <c r="B58" s="367">
        <v>6</v>
      </c>
      <c r="C58" s="367"/>
      <c r="D58" s="368">
        <v>6220003201</v>
      </c>
      <c r="E58" s="369" t="s">
        <v>508</v>
      </c>
      <c r="F58" s="369" t="s">
        <v>493</v>
      </c>
      <c r="G58" s="369" t="s">
        <v>508</v>
      </c>
      <c r="H58" s="368" t="s">
        <v>359</v>
      </c>
      <c r="I58" s="404" t="s">
        <v>701</v>
      </c>
      <c r="J58" s="460"/>
      <c r="K58" s="379">
        <f>IFERROR((CPSX!K111/'3.Thanh pham'!F$155),0)</f>
        <v>0</v>
      </c>
      <c r="L58" s="379">
        <f>IFERROR((CPSX!L111/'3.Thanh pham'!G$155),0)</f>
        <v>0</v>
      </c>
      <c r="M58" s="379">
        <f>IFERROR((CPSX!M111/'3.Thanh pham'!H$155),0)</f>
        <v>0</v>
      </c>
      <c r="N58" s="379">
        <f>IFERROR((CPSX!N111/'3.Thanh pham'!I$155),0)</f>
        <v>0</v>
      </c>
      <c r="O58" s="379">
        <f>IFERROR((CPSX!O111/'3.Thanh pham'!J$155),0)</f>
        <v>0</v>
      </c>
      <c r="P58" s="379">
        <f>IFERROR((CPSX!P111/'3.Thanh pham'!K$155),0)</f>
        <v>6.6489361702127656</v>
      </c>
      <c r="Q58" s="379">
        <f>IFERROR((CPSX!Q111/'3.Thanh pham'!L$155),0)</f>
        <v>6.6489361702127656</v>
      </c>
      <c r="R58" s="379">
        <f>IFERROR((CPSX!R111/'3.Thanh pham'!M$155),0)</f>
        <v>6.6489361702127656</v>
      </c>
      <c r="S58" s="379">
        <f>IFERROR((CPSX!S111/'3.Thanh pham'!N$155),0)</f>
        <v>6.6489361702127656</v>
      </c>
      <c r="T58" s="379">
        <f>IFERROR((CPSX!T111/'3.Thanh pham'!O$155),0)</f>
        <v>6.6489361702127656</v>
      </c>
      <c r="U58" s="379">
        <f>IFERROR((CPSX!U111/'3.Thanh pham'!P$155),0)</f>
        <v>6.6489361702127656</v>
      </c>
      <c r="V58" s="379">
        <f>IFERROR((CPSX!V111/'3.Thanh pham'!Q$155),0)</f>
        <v>6.6489361702127656</v>
      </c>
      <c r="W58" s="379">
        <f>IFERROR((CPSX!W111/'3.Thanh pham'!R$155),0)</f>
        <v>6.6489361702127656</v>
      </c>
      <c r="Y58" s="379">
        <f>IFERROR(CPSX!AK78/CP_Kg!$Y$2,0)</f>
        <v>0</v>
      </c>
      <c r="Z58" s="149">
        <f t="shared" si="7"/>
        <v>6.6489361702127656</v>
      </c>
    </row>
    <row r="59" spans="2:26" x14ac:dyDescent="0.35">
      <c r="B59" s="367">
        <v>7</v>
      </c>
      <c r="C59" s="367"/>
      <c r="D59" s="368">
        <v>6220002603</v>
      </c>
      <c r="E59" s="369" t="s">
        <v>509</v>
      </c>
      <c r="F59" s="369" t="s">
        <v>489</v>
      </c>
      <c r="G59" s="369" t="s">
        <v>509</v>
      </c>
      <c r="H59" s="368" t="s">
        <v>359</v>
      </c>
      <c r="I59" s="404" t="s">
        <v>701</v>
      </c>
      <c r="J59" s="460"/>
      <c r="K59" s="379">
        <f>IFERROR((CPSX!K112/'3.Thanh pham'!F$155),0)</f>
        <v>0</v>
      </c>
      <c r="L59" s="379">
        <f>IFERROR((CPSX!L112/'3.Thanh pham'!G$155),0)</f>
        <v>0</v>
      </c>
      <c r="M59" s="379">
        <f>IFERROR((CPSX!M112/'3.Thanh pham'!H$155),0)</f>
        <v>0</v>
      </c>
      <c r="N59" s="379">
        <f>IFERROR((CPSX!N112/'3.Thanh pham'!I$155),0)</f>
        <v>0</v>
      </c>
      <c r="O59" s="379">
        <f>IFERROR((CPSX!O112/'3.Thanh pham'!J$155),0)</f>
        <v>0</v>
      </c>
      <c r="P59" s="379">
        <f>IFERROR((CPSX!P112/'3.Thanh pham'!K$155),0)</f>
        <v>0</v>
      </c>
      <c r="Q59" s="379">
        <f>IFERROR((CPSX!Q112/'3.Thanh pham'!L$155),0)</f>
        <v>0</v>
      </c>
      <c r="R59" s="379">
        <f>IFERROR((CPSX!R112/'3.Thanh pham'!M$155),0)</f>
        <v>0</v>
      </c>
      <c r="S59" s="379">
        <f>IFERROR((CPSX!S112/'3.Thanh pham'!N$155),0)</f>
        <v>0</v>
      </c>
      <c r="T59" s="379">
        <f>IFERROR((CPSX!T112/'3.Thanh pham'!O$155),0)</f>
        <v>0</v>
      </c>
      <c r="U59" s="379">
        <f>IFERROR((CPSX!U112/'3.Thanh pham'!P$155),0)</f>
        <v>0</v>
      </c>
      <c r="V59" s="379">
        <f>IFERROR((CPSX!V112/'3.Thanh pham'!Q$155),0)</f>
        <v>0</v>
      </c>
      <c r="W59" s="379">
        <f>IFERROR((CPSX!W112/'3.Thanh pham'!R$155),0)</f>
        <v>0</v>
      </c>
      <c r="Y59" s="379">
        <f>IFERROR(CPSX!AK79/CP_Kg!$Y$2,0)</f>
        <v>0</v>
      </c>
      <c r="Z59" s="149">
        <f t="shared" si="7"/>
        <v>0</v>
      </c>
    </row>
    <row r="60" spans="2:26" x14ac:dyDescent="0.35">
      <c r="B60" s="367">
        <v>8</v>
      </c>
      <c r="C60" s="367"/>
      <c r="D60" s="368">
        <v>6220003401</v>
      </c>
      <c r="E60" s="369" t="s">
        <v>510</v>
      </c>
      <c r="F60" s="369" t="s">
        <v>493</v>
      </c>
      <c r="G60" s="369" t="s">
        <v>510</v>
      </c>
      <c r="H60" s="368" t="s">
        <v>359</v>
      </c>
      <c r="I60" s="404" t="s">
        <v>701</v>
      </c>
      <c r="J60" s="460"/>
      <c r="K60" s="379">
        <f>IFERROR((CPSX!K113/'3.Thanh pham'!F$155),0)</f>
        <v>0</v>
      </c>
      <c r="L60" s="379">
        <f>IFERROR((CPSX!L113/'3.Thanh pham'!G$155),0)</f>
        <v>0</v>
      </c>
      <c r="M60" s="379">
        <f>IFERROR((CPSX!M113/'3.Thanh pham'!H$155),0)</f>
        <v>0</v>
      </c>
      <c r="N60" s="379">
        <f>IFERROR((CPSX!N113/'3.Thanh pham'!I$155),0)</f>
        <v>0</v>
      </c>
      <c r="O60" s="379">
        <f>IFERROR((CPSX!O113/'3.Thanh pham'!J$155),0)</f>
        <v>0</v>
      </c>
      <c r="P60" s="379">
        <f>IFERROR((CPSX!P113/'3.Thanh pham'!K$155),0)</f>
        <v>0</v>
      </c>
      <c r="Q60" s="379">
        <f>IFERROR((CPSX!Q113/'3.Thanh pham'!L$155),0)</f>
        <v>0</v>
      </c>
      <c r="R60" s="379">
        <f>IFERROR((CPSX!R113/'3.Thanh pham'!M$155),0)</f>
        <v>0</v>
      </c>
      <c r="S60" s="379">
        <f>IFERROR((CPSX!S113/'3.Thanh pham'!N$155),0)</f>
        <v>0</v>
      </c>
      <c r="T60" s="379">
        <f>IFERROR((CPSX!T113/'3.Thanh pham'!O$155),0)</f>
        <v>0</v>
      </c>
      <c r="U60" s="379">
        <f>IFERROR((CPSX!U113/'3.Thanh pham'!P$155),0)</f>
        <v>0</v>
      </c>
      <c r="V60" s="379">
        <f>IFERROR((CPSX!V113/'3.Thanh pham'!Q$155),0)</f>
        <v>0</v>
      </c>
      <c r="W60" s="379">
        <f>IFERROR((CPSX!W113/'3.Thanh pham'!R$155),0)</f>
        <v>0</v>
      </c>
      <c r="Y60" s="379">
        <f>IFERROR(CPSX!AK80/CP_Kg!$Y$2,0)</f>
        <v>0</v>
      </c>
      <c r="Z60" s="149">
        <f t="shared" si="7"/>
        <v>0</v>
      </c>
    </row>
    <row r="61" spans="2:26" x14ac:dyDescent="0.35">
      <c r="B61" s="367">
        <v>9</v>
      </c>
      <c r="C61" s="367"/>
      <c r="D61" s="368">
        <v>6220002701</v>
      </c>
      <c r="E61" s="369" t="s">
        <v>511</v>
      </c>
      <c r="F61" s="369" t="s">
        <v>489</v>
      </c>
      <c r="G61" s="369" t="s">
        <v>511</v>
      </c>
      <c r="H61" s="368" t="s">
        <v>359</v>
      </c>
      <c r="I61" s="404" t="s">
        <v>701</v>
      </c>
      <c r="J61" s="460"/>
      <c r="K61" s="379">
        <f>IFERROR((CPSX!K114/'3.Thanh pham'!F$155),0)</f>
        <v>0</v>
      </c>
      <c r="L61" s="379">
        <f>IFERROR((CPSX!L114/'3.Thanh pham'!G$155),0)</f>
        <v>0</v>
      </c>
      <c r="M61" s="379">
        <f>IFERROR((CPSX!M114/'3.Thanh pham'!H$155),0)</f>
        <v>0</v>
      </c>
      <c r="N61" s="379">
        <f>IFERROR((CPSX!N114/'3.Thanh pham'!I$155),0)</f>
        <v>0</v>
      </c>
      <c r="O61" s="379">
        <f>IFERROR((CPSX!O114/'3.Thanh pham'!J$155),0)</f>
        <v>0</v>
      </c>
      <c r="P61" s="379">
        <f>IFERROR((CPSX!P114/'3.Thanh pham'!K$155),0)</f>
        <v>0</v>
      </c>
      <c r="Q61" s="379">
        <f>IFERROR((CPSX!Q114/'3.Thanh pham'!L$155),0)</f>
        <v>0</v>
      </c>
      <c r="R61" s="379">
        <f>IFERROR((CPSX!R114/'3.Thanh pham'!M$155),0)</f>
        <v>0</v>
      </c>
      <c r="S61" s="379">
        <f>IFERROR((CPSX!S114/'3.Thanh pham'!N$155),0)</f>
        <v>0</v>
      </c>
      <c r="T61" s="379">
        <f>IFERROR((CPSX!T114/'3.Thanh pham'!O$155),0)</f>
        <v>0</v>
      </c>
      <c r="U61" s="379">
        <f>IFERROR((CPSX!U114/'3.Thanh pham'!P$155),0)</f>
        <v>0</v>
      </c>
      <c r="V61" s="379">
        <f>IFERROR((CPSX!V114/'3.Thanh pham'!Q$155),0)</f>
        <v>0</v>
      </c>
      <c r="W61" s="379">
        <f>IFERROR((CPSX!W114/'3.Thanh pham'!R$155),0)</f>
        <v>0</v>
      </c>
      <c r="Y61" s="379">
        <f>IFERROR(CPSX!AK81/CP_Kg!$Y$2,0)</f>
        <v>0</v>
      </c>
      <c r="Z61" s="149">
        <f t="shared" si="7"/>
        <v>0</v>
      </c>
    </row>
    <row r="62" spans="2:26" x14ac:dyDescent="0.35">
      <c r="B62" s="367">
        <v>10</v>
      </c>
      <c r="C62" s="367"/>
      <c r="D62" s="368" t="s">
        <v>1311</v>
      </c>
      <c r="E62" s="369" t="s">
        <v>1312</v>
      </c>
      <c r="F62" s="369" t="s">
        <v>1313</v>
      </c>
      <c r="G62" s="369" t="s">
        <v>1312</v>
      </c>
      <c r="H62" s="368" t="s">
        <v>359</v>
      </c>
      <c r="I62" s="404" t="s">
        <v>701</v>
      </c>
      <c r="J62" s="460"/>
      <c r="K62" s="379">
        <f>IFERROR((CPSX!K115/'3.Thanh pham'!F$155),0)</f>
        <v>0</v>
      </c>
      <c r="L62" s="379">
        <f>IFERROR((CPSX!L115/'3.Thanh pham'!G$155),0)</f>
        <v>0</v>
      </c>
      <c r="M62" s="379">
        <f>IFERROR((CPSX!M115/'3.Thanh pham'!H$155),0)</f>
        <v>0</v>
      </c>
      <c r="N62" s="379">
        <f>IFERROR((CPSX!N115/'3.Thanh pham'!I$155),0)</f>
        <v>0</v>
      </c>
      <c r="O62" s="379">
        <f>IFERROR((CPSX!O115/'3.Thanh pham'!J$155),0)</f>
        <v>0</v>
      </c>
      <c r="P62" s="379">
        <f>IFERROR((CPSX!P115/'3.Thanh pham'!K$155),0)</f>
        <v>0</v>
      </c>
      <c r="Q62" s="379">
        <f>IFERROR((CPSX!Q115/'3.Thanh pham'!L$155),0)</f>
        <v>0</v>
      </c>
      <c r="R62" s="379">
        <f>IFERROR((CPSX!R115/'3.Thanh pham'!M$155),0)</f>
        <v>0</v>
      </c>
      <c r="S62" s="379">
        <f>IFERROR((CPSX!S115/'3.Thanh pham'!N$155),0)</f>
        <v>0</v>
      </c>
      <c r="T62" s="379">
        <f>IFERROR((CPSX!T115/'3.Thanh pham'!O$155),0)</f>
        <v>0</v>
      </c>
      <c r="U62" s="379">
        <f>IFERROR((CPSX!U115/'3.Thanh pham'!P$155),0)</f>
        <v>0</v>
      </c>
      <c r="V62" s="379">
        <f>IFERROR((CPSX!V115/'3.Thanh pham'!Q$155),0)</f>
        <v>0</v>
      </c>
      <c r="W62" s="379">
        <f>IFERROR((CPSX!W115/'3.Thanh pham'!R$155),0)</f>
        <v>0</v>
      </c>
      <c r="Y62" s="379">
        <f>IFERROR(CPSX!AK82/CP_Kg!$Y$2,0)</f>
        <v>0</v>
      </c>
      <c r="Z62" s="149">
        <f t="shared" si="7"/>
        <v>0</v>
      </c>
    </row>
    <row r="63" spans="2:26" x14ac:dyDescent="0.35">
      <c r="B63" s="367">
        <v>11</v>
      </c>
      <c r="C63" s="367"/>
      <c r="D63" s="368">
        <v>6220003001</v>
      </c>
      <c r="E63" s="369" t="s">
        <v>702</v>
      </c>
      <c r="F63" s="369" t="s">
        <v>493</v>
      </c>
      <c r="G63" s="369" t="s">
        <v>702</v>
      </c>
      <c r="H63" s="368" t="s">
        <v>359</v>
      </c>
      <c r="I63" s="404" t="s">
        <v>703</v>
      </c>
      <c r="J63" s="460"/>
      <c r="K63" s="379">
        <f>IFERROR((CPSX!K116/'3.Thanh pham'!F$155),0)</f>
        <v>0</v>
      </c>
      <c r="L63" s="379">
        <f>IFERROR((CPSX!L116/'3.Thanh pham'!G$155),0)</f>
        <v>0</v>
      </c>
      <c r="M63" s="379">
        <f>IFERROR((CPSX!M116/'3.Thanh pham'!H$155),0)</f>
        <v>0</v>
      </c>
      <c r="N63" s="379">
        <f>IFERROR((CPSX!N116/'3.Thanh pham'!I$155),0)</f>
        <v>0</v>
      </c>
      <c r="O63" s="379">
        <f>IFERROR((CPSX!O116/'3.Thanh pham'!J$155),0)</f>
        <v>0</v>
      </c>
      <c r="P63" s="379">
        <f>IFERROR((CPSX!P116/'3.Thanh pham'!K$155),0)</f>
        <v>0</v>
      </c>
      <c r="Q63" s="379">
        <f>IFERROR((CPSX!Q116/'3.Thanh pham'!L$155),0)</f>
        <v>0</v>
      </c>
      <c r="R63" s="379">
        <f>IFERROR((CPSX!R116/'3.Thanh pham'!M$155),0)</f>
        <v>0</v>
      </c>
      <c r="S63" s="379">
        <f>IFERROR((CPSX!S116/'3.Thanh pham'!N$155),0)</f>
        <v>0</v>
      </c>
      <c r="T63" s="379">
        <f>IFERROR((CPSX!T116/'3.Thanh pham'!O$155),0)</f>
        <v>0</v>
      </c>
      <c r="U63" s="379">
        <f>IFERROR((CPSX!U116/'3.Thanh pham'!P$155),0)</f>
        <v>0</v>
      </c>
      <c r="V63" s="379">
        <f>IFERROR((CPSX!V116/'3.Thanh pham'!Q$155),0)</f>
        <v>0</v>
      </c>
      <c r="W63" s="379">
        <f>IFERROR((CPSX!W116/'3.Thanh pham'!R$155),0)</f>
        <v>0</v>
      </c>
      <c r="Y63" s="379">
        <f>IFERROR(CPSX!AK83/CP_Kg!$Y$2,0)</f>
        <v>0</v>
      </c>
      <c r="Z63" s="149">
        <f t="shared" si="7"/>
        <v>0</v>
      </c>
    </row>
    <row r="64" spans="2:26" x14ac:dyDescent="0.35">
      <c r="B64" s="367">
        <v>12</v>
      </c>
      <c r="C64" s="367"/>
      <c r="D64" s="368"/>
      <c r="E64" s="369" t="s">
        <v>705</v>
      </c>
      <c r="F64" s="369" t="s">
        <v>493</v>
      </c>
      <c r="G64" s="369" t="s">
        <v>706</v>
      </c>
      <c r="H64" s="368" t="s">
        <v>359</v>
      </c>
      <c r="I64" s="404" t="s">
        <v>703</v>
      </c>
      <c r="J64" s="460"/>
      <c r="K64" s="379">
        <f>IFERROR((CPSX!K117/'3.Thanh pham'!F$155),0)</f>
        <v>0</v>
      </c>
      <c r="L64" s="379">
        <f>IFERROR((CPSX!L117/'3.Thanh pham'!G$155),0)</f>
        <v>0</v>
      </c>
      <c r="M64" s="379">
        <f>IFERROR((CPSX!M117/'3.Thanh pham'!H$155),0)</f>
        <v>0</v>
      </c>
      <c r="N64" s="379">
        <f>IFERROR((CPSX!N117/'3.Thanh pham'!I$155),0)</f>
        <v>0</v>
      </c>
      <c r="O64" s="379">
        <f>IFERROR((CPSX!O117/'3.Thanh pham'!J$155),0)</f>
        <v>0</v>
      </c>
      <c r="P64" s="379">
        <f>IFERROR((CPSX!P117/'3.Thanh pham'!K$155),0)</f>
        <v>0</v>
      </c>
      <c r="Q64" s="379">
        <f>IFERROR((CPSX!Q117/'3.Thanh pham'!L$155),0)</f>
        <v>0</v>
      </c>
      <c r="R64" s="379">
        <f>IFERROR((CPSX!R117/'3.Thanh pham'!M$155),0)</f>
        <v>0</v>
      </c>
      <c r="S64" s="379">
        <f>IFERROR((CPSX!S117/'3.Thanh pham'!N$155),0)</f>
        <v>0</v>
      </c>
      <c r="T64" s="379">
        <f>IFERROR((CPSX!T117/'3.Thanh pham'!O$155),0)</f>
        <v>0</v>
      </c>
      <c r="U64" s="379">
        <f>IFERROR((CPSX!U117/'3.Thanh pham'!P$155),0)</f>
        <v>0</v>
      </c>
      <c r="V64" s="379">
        <f>IFERROR((CPSX!V117/'3.Thanh pham'!Q$155),0)</f>
        <v>0</v>
      </c>
      <c r="W64" s="379">
        <f>IFERROR((CPSX!W117/'3.Thanh pham'!R$155),0)</f>
        <v>0</v>
      </c>
      <c r="Y64" s="379">
        <f>IFERROR(CPSX!AK84/CP_Kg!$Y$2,0)</f>
        <v>0</v>
      </c>
      <c r="Z64" s="149">
        <f t="shared" si="7"/>
        <v>0</v>
      </c>
    </row>
    <row r="65" spans="2:26" x14ac:dyDescent="0.35">
      <c r="B65" s="367">
        <v>13</v>
      </c>
      <c r="C65" s="367"/>
      <c r="D65" s="368">
        <v>6275001801</v>
      </c>
      <c r="E65" s="369" t="s">
        <v>707</v>
      </c>
      <c r="F65" s="369" t="s">
        <v>708</v>
      </c>
      <c r="G65" s="369" t="s">
        <v>707</v>
      </c>
      <c r="H65" s="368" t="s">
        <v>401</v>
      </c>
      <c r="I65" s="404" t="s">
        <v>709</v>
      </c>
      <c r="J65" s="460"/>
      <c r="K65" s="379">
        <f>IFERROR((CPSX!K118/'3.Thanh pham'!F$155),0)</f>
        <v>0</v>
      </c>
      <c r="L65" s="379">
        <f>IFERROR((CPSX!L118/'3.Thanh pham'!G$155),0)</f>
        <v>0</v>
      </c>
      <c r="M65" s="379">
        <f>IFERROR((CPSX!M118/'3.Thanh pham'!H$155),0)</f>
        <v>0</v>
      </c>
      <c r="N65" s="379">
        <f>IFERROR((CPSX!N118/'3.Thanh pham'!I$155),0)</f>
        <v>0</v>
      </c>
      <c r="O65" s="379">
        <f>IFERROR((CPSX!O118/'3.Thanh pham'!J$155),0)</f>
        <v>0</v>
      </c>
      <c r="P65" s="379">
        <f>IFERROR((CPSX!P118/'3.Thanh pham'!K$155),0)</f>
        <v>274.29078014184398</v>
      </c>
      <c r="Q65" s="379">
        <f>IFERROR((CPSX!Q118/'3.Thanh pham'!L$155),0)</f>
        <v>274.29078014184398</v>
      </c>
      <c r="R65" s="379">
        <f>IFERROR((CPSX!R118/'3.Thanh pham'!M$155),0)</f>
        <v>274.29078014184398</v>
      </c>
      <c r="S65" s="379">
        <f>IFERROR((CPSX!S118/'3.Thanh pham'!N$155),0)</f>
        <v>274.29078014184398</v>
      </c>
      <c r="T65" s="379">
        <f>IFERROR((CPSX!T118/'3.Thanh pham'!O$155),0)</f>
        <v>274.29078014184398</v>
      </c>
      <c r="U65" s="379">
        <f>IFERROR((CPSX!U118/'3.Thanh pham'!P$155),0)</f>
        <v>274.29078014184398</v>
      </c>
      <c r="V65" s="379">
        <f>IFERROR((CPSX!V118/'3.Thanh pham'!Q$155),0)</f>
        <v>274.29078014184398</v>
      </c>
      <c r="W65" s="379">
        <f>IFERROR((CPSX!W118/'3.Thanh pham'!R$155),0)</f>
        <v>274.29078014184398</v>
      </c>
      <c r="Y65" s="379">
        <f>IFERROR(CPSX!AK85/CP_Kg!$Y$2,0)</f>
        <v>0</v>
      </c>
      <c r="Z65" s="149">
        <f t="shared" si="7"/>
        <v>274.29078014184398</v>
      </c>
    </row>
    <row r="66" spans="2:26" x14ac:dyDescent="0.35">
      <c r="B66" s="367">
        <v>14</v>
      </c>
      <c r="C66" s="367"/>
      <c r="D66" s="368">
        <v>6272000100</v>
      </c>
      <c r="E66" s="369" t="s">
        <v>710</v>
      </c>
      <c r="F66" s="369" t="s">
        <v>711</v>
      </c>
      <c r="G66" s="369" t="s">
        <v>332</v>
      </c>
      <c r="H66" s="368" t="s">
        <v>401</v>
      </c>
      <c r="I66" s="404" t="s">
        <v>709</v>
      </c>
      <c r="J66" s="460"/>
      <c r="K66" s="379">
        <f>IFERROR((CPSX!K119/'3.Thanh pham'!F$155),0)</f>
        <v>0</v>
      </c>
      <c r="L66" s="379">
        <f>IFERROR((CPSX!L119/'3.Thanh pham'!G$155),0)</f>
        <v>0</v>
      </c>
      <c r="M66" s="379">
        <f>IFERROR((CPSX!M119/'3.Thanh pham'!H$155),0)</f>
        <v>0</v>
      </c>
      <c r="N66" s="379">
        <f>IFERROR((CPSX!N119/'3.Thanh pham'!I$155),0)</f>
        <v>0</v>
      </c>
      <c r="O66" s="379">
        <f>IFERROR((CPSX!O119/'3.Thanh pham'!J$155),0)</f>
        <v>0</v>
      </c>
      <c r="P66" s="379">
        <f>IFERROR((CPSX!P119/'3.Thanh pham'!K$155),0)</f>
        <v>248.22695035460993</v>
      </c>
      <c r="Q66" s="379">
        <f>IFERROR((CPSX!Q119/'3.Thanh pham'!L$155),0)</f>
        <v>248.22695035460993</v>
      </c>
      <c r="R66" s="379">
        <f>IFERROR((CPSX!R119/'3.Thanh pham'!M$155),0)</f>
        <v>248.22695035460993</v>
      </c>
      <c r="S66" s="379">
        <f>IFERROR((CPSX!S119/'3.Thanh pham'!N$155),0)</f>
        <v>248.22695035460993</v>
      </c>
      <c r="T66" s="379">
        <f>IFERROR((CPSX!T119/'3.Thanh pham'!O$155),0)</f>
        <v>248.22695035460993</v>
      </c>
      <c r="U66" s="379">
        <f>IFERROR((CPSX!U119/'3.Thanh pham'!P$155),0)</f>
        <v>248.22695035460993</v>
      </c>
      <c r="V66" s="379">
        <f>IFERROR((CPSX!V119/'3.Thanh pham'!Q$155),0)</f>
        <v>248.22695035460993</v>
      </c>
      <c r="W66" s="379">
        <f>IFERROR((CPSX!W119/'3.Thanh pham'!R$155),0)</f>
        <v>248.22695035460993</v>
      </c>
      <c r="Y66" s="379">
        <f>IFERROR(CPSX!AK86/CP_Kg!$Y$2,0)</f>
        <v>0</v>
      </c>
      <c r="Z66" s="149">
        <f t="shared" si="7"/>
        <v>248.22695035460993</v>
      </c>
    </row>
    <row r="67" spans="2:26" x14ac:dyDescent="0.35">
      <c r="B67" s="367">
        <v>15</v>
      </c>
      <c r="C67" s="367"/>
      <c r="D67" s="368">
        <v>6272000100</v>
      </c>
      <c r="E67" s="369" t="s">
        <v>710</v>
      </c>
      <c r="F67" s="369" t="s">
        <v>711</v>
      </c>
      <c r="G67" s="369" t="s">
        <v>320</v>
      </c>
      <c r="H67" s="368" t="s">
        <v>414</v>
      </c>
      <c r="I67" s="404" t="s">
        <v>709</v>
      </c>
      <c r="J67" s="460"/>
      <c r="K67" s="379">
        <f>IFERROR((CPSX!K120/'3.Thanh pham'!F$155),0)</f>
        <v>0</v>
      </c>
      <c r="L67" s="379">
        <f>IFERROR((CPSX!L120/'3.Thanh pham'!G$155),0)</f>
        <v>0</v>
      </c>
      <c r="M67" s="379">
        <f>IFERROR((CPSX!M120/'3.Thanh pham'!H$155),0)</f>
        <v>0</v>
      </c>
      <c r="N67" s="379">
        <f>IFERROR((CPSX!N120/'3.Thanh pham'!I$155),0)</f>
        <v>0</v>
      </c>
      <c r="O67" s="379">
        <f>IFERROR((CPSX!O120/'3.Thanh pham'!J$155),0)</f>
        <v>0</v>
      </c>
      <c r="P67" s="379">
        <f>IFERROR((CPSX!P120/'3.Thanh pham'!K$155),0)</f>
        <v>0</v>
      </c>
      <c r="Q67" s="379">
        <f>IFERROR((CPSX!Q120/'3.Thanh pham'!L$155),0)</f>
        <v>0</v>
      </c>
      <c r="R67" s="379">
        <f>IFERROR((CPSX!R120/'3.Thanh pham'!M$155),0)</f>
        <v>0</v>
      </c>
      <c r="S67" s="379">
        <f>IFERROR((CPSX!S120/'3.Thanh pham'!N$155),0)</f>
        <v>0</v>
      </c>
      <c r="T67" s="379">
        <f>IFERROR((CPSX!T120/'3.Thanh pham'!O$155),0)</f>
        <v>0</v>
      </c>
      <c r="U67" s="379">
        <f>IFERROR((CPSX!U120/'3.Thanh pham'!P$155),0)</f>
        <v>0</v>
      </c>
      <c r="V67" s="379">
        <f>IFERROR((CPSX!V120/'3.Thanh pham'!Q$155),0)</f>
        <v>0</v>
      </c>
      <c r="W67" s="379">
        <f>IFERROR((CPSX!W120/'3.Thanh pham'!R$155),0)</f>
        <v>0</v>
      </c>
      <c r="Y67" s="379">
        <f>IFERROR(CPSX!AK87/CP_Kg!$Y$2,0)</f>
        <v>0</v>
      </c>
      <c r="Z67" s="149">
        <f t="shared" si="7"/>
        <v>0</v>
      </c>
    </row>
    <row r="68" spans="2:26" x14ac:dyDescent="0.35">
      <c r="B68" s="367">
        <v>16</v>
      </c>
      <c r="C68" s="367"/>
      <c r="D68" s="368">
        <v>6272000100</v>
      </c>
      <c r="E68" s="369" t="s">
        <v>710</v>
      </c>
      <c r="F68" s="369" t="s">
        <v>711</v>
      </c>
      <c r="G68" s="369" t="s">
        <v>321</v>
      </c>
      <c r="H68" s="368" t="s">
        <v>414</v>
      </c>
      <c r="I68" s="404" t="s">
        <v>709</v>
      </c>
      <c r="J68" s="460"/>
      <c r="K68" s="379">
        <f>IFERROR((CPSX!K121/'3.Thanh pham'!F$155),0)</f>
        <v>0</v>
      </c>
      <c r="L68" s="379">
        <f>IFERROR((CPSX!L121/'3.Thanh pham'!G$155),0)</f>
        <v>0</v>
      </c>
      <c r="M68" s="379">
        <f>IFERROR((CPSX!M121/'3.Thanh pham'!H$155),0)</f>
        <v>0</v>
      </c>
      <c r="N68" s="379">
        <f>IFERROR((CPSX!N121/'3.Thanh pham'!I$155),0)</f>
        <v>0</v>
      </c>
      <c r="O68" s="379">
        <f>IFERROR((CPSX!O121/'3.Thanh pham'!J$155),0)</f>
        <v>0</v>
      </c>
      <c r="P68" s="379">
        <f>IFERROR((CPSX!P121/'3.Thanh pham'!K$155),0)</f>
        <v>113.98176291793312</v>
      </c>
      <c r="Q68" s="379">
        <f>IFERROR((CPSX!Q121/'3.Thanh pham'!L$155),0)</f>
        <v>113.98176291793312</v>
      </c>
      <c r="R68" s="379">
        <f>IFERROR((CPSX!R121/'3.Thanh pham'!M$155),0)</f>
        <v>113.98176291793312</v>
      </c>
      <c r="S68" s="379">
        <f>IFERROR((CPSX!S121/'3.Thanh pham'!N$155),0)</f>
        <v>113.98176291793312</v>
      </c>
      <c r="T68" s="379">
        <f>IFERROR((CPSX!T121/'3.Thanh pham'!O$155),0)</f>
        <v>113.98176291793312</v>
      </c>
      <c r="U68" s="379">
        <f>IFERROR((CPSX!U121/'3.Thanh pham'!P$155),0)</f>
        <v>113.98176291793312</v>
      </c>
      <c r="V68" s="379">
        <f>IFERROR((CPSX!V121/'3.Thanh pham'!Q$155),0)</f>
        <v>113.98176291793312</v>
      </c>
      <c r="W68" s="379">
        <f>IFERROR((CPSX!W121/'3.Thanh pham'!R$155),0)</f>
        <v>113.9817629179331</v>
      </c>
      <c r="Y68" s="379">
        <f>IFERROR(CPSX!AK88/CP_Kg!$Y$2,0)</f>
        <v>0</v>
      </c>
      <c r="Z68" s="149">
        <f t="shared" si="7"/>
        <v>113.9817629179331</v>
      </c>
    </row>
    <row r="69" spans="2:26" x14ac:dyDescent="0.35">
      <c r="B69" s="367">
        <v>17</v>
      </c>
      <c r="C69" s="367"/>
      <c r="D69" s="368">
        <v>6272000100</v>
      </c>
      <c r="E69" s="369" t="s">
        <v>710</v>
      </c>
      <c r="F69" s="369" t="s">
        <v>711</v>
      </c>
      <c r="G69" s="369" t="s">
        <v>322</v>
      </c>
      <c r="H69" s="368" t="s">
        <v>414</v>
      </c>
      <c r="I69" s="404" t="s">
        <v>709</v>
      </c>
      <c r="J69" s="460"/>
      <c r="K69" s="379">
        <f>IFERROR((CPSX!K122/'3.Thanh pham'!F$155),0)</f>
        <v>0</v>
      </c>
      <c r="L69" s="379">
        <f>IFERROR((CPSX!L122/'3.Thanh pham'!G$155),0)</f>
        <v>0</v>
      </c>
      <c r="M69" s="379">
        <f>IFERROR((CPSX!M122/'3.Thanh pham'!H$155),0)</f>
        <v>0</v>
      </c>
      <c r="N69" s="379">
        <f>IFERROR((CPSX!N122/'3.Thanh pham'!I$155),0)</f>
        <v>0</v>
      </c>
      <c r="O69" s="379">
        <f>IFERROR((CPSX!O122/'3.Thanh pham'!J$155),0)</f>
        <v>0</v>
      </c>
      <c r="P69" s="379">
        <f>IFERROR((CPSX!P122/'3.Thanh pham'!K$155),0)</f>
        <v>0</v>
      </c>
      <c r="Q69" s="379">
        <f>IFERROR((CPSX!Q122/'3.Thanh pham'!L$155),0)</f>
        <v>0</v>
      </c>
      <c r="R69" s="379">
        <f>IFERROR((CPSX!R122/'3.Thanh pham'!M$155),0)</f>
        <v>0</v>
      </c>
      <c r="S69" s="379">
        <f>IFERROR((CPSX!S122/'3.Thanh pham'!N$155),0)</f>
        <v>0</v>
      </c>
      <c r="T69" s="379">
        <f>IFERROR((CPSX!T122/'3.Thanh pham'!O$155),0)</f>
        <v>0</v>
      </c>
      <c r="U69" s="379">
        <f>IFERROR((CPSX!U122/'3.Thanh pham'!P$155),0)</f>
        <v>0</v>
      </c>
      <c r="V69" s="379">
        <f>IFERROR((CPSX!V122/'3.Thanh pham'!Q$155),0)</f>
        <v>0</v>
      </c>
      <c r="W69" s="379">
        <f>IFERROR((CPSX!W122/'3.Thanh pham'!R$155),0)</f>
        <v>0</v>
      </c>
      <c r="Y69" s="379">
        <f>IFERROR(CPSX!AK89/CP_Kg!$Y$2,0)</f>
        <v>0</v>
      </c>
      <c r="Z69" s="149">
        <f t="shared" si="7"/>
        <v>0</v>
      </c>
    </row>
    <row r="70" spans="2:26" x14ac:dyDescent="0.35">
      <c r="B70" s="367">
        <v>18</v>
      </c>
      <c r="C70" s="367"/>
      <c r="D70" s="368">
        <v>6272000100</v>
      </c>
      <c r="E70" s="369" t="s">
        <v>710</v>
      </c>
      <c r="F70" s="369" t="s">
        <v>711</v>
      </c>
      <c r="G70" s="369" t="s">
        <v>713</v>
      </c>
      <c r="H70" s="368" t="s">
        <v>414</v>
      </c>
      <c r="I70" s="404" t="s">
        <v>709</v>
      </c>
      <c r="J70" s="460"/>
      <c r="K70" s="379">
        <f>IFERROR((CPSX!K123/'3.Thanh pham'!F$155),0)</f>
        <v>0</v>
      </c>
      <c r="L70" s="379">
        <f>IFERROR((CPSX!L123/'3.Thanh pham'!G$155),0)</f>
        <v>0</v>
      </c>
      <c r="M70" s="379">
        <f>IFERROR((CPSX!M123/'3.Thanh pham'!H$155),0)</f>
        <v>0</v>
      </c>
      <c r="N70" s="379">
        <f>IFERROR((CPSX!N123/'3.Thanh pham'!I$155),0)</f>
        <v>0</v>
      </c>
      <c r="O70" s="379">
        <f>IFERROR((CPSX!O123/'3.Thanh pham'!J$155),0)</f>
        <v>0</v>
      </c>
      <c r="P70" s="379">
        <f>IFERROR((CPSX!P123/'3.Thanh pham'!K$155),0)</f>
        <v>67.446808510638306</v>
      </c>
      <c r="Q70" s="379">
        <f>IFERROR((CPSX!Q123/'3.Thanh pham'!L$155),0)</f>
        <v>67.446808510638306</v>
      </c>
      <c r="R70" s="379">
        <f>IFERROR((CPSX!R123/'3.Thanh pham'!M$155),0)</f>
        <v>67.446808510638306</v>
      </c>
      <c r="S70" s="379">
        <f>IFERROR((CPSX!S123/'3.Thanh pham'!N$155),0)</f>
        <v>67.446808510638306</v>
      </c>
      <c r="T70" s="379">
        <f>IFERROR((CPSX!T123/'3.Thanh pham'!O$155),0)</f>
        <v>67.446808510638306</v>
      </c>
      <c r="U70" s="379">
        <f>IFERROR((CPSX!U123/'3.Thanh pham'!P$155),0)</f>
        <v>67.446808510638306</v>
      </c>
      <c r="V70" s="379">
        <f>IFERROR((CPSX!V123/'3.Thanh pham'!Q$155),0)</f>
        <v>67.446808510638306</v>
      </c>
      <c r="W70" s="379">
        <f>IFERROR((CPSX!W123/'3.Thanh pham'!R$155),0)</f>
        <v>67.446808510638306</v>
      </c>
      <c r="Y70" s="379">
        <f>IFERROR(CPSX!AK90/CP_Kg!$Y$2,0)</f>
        <v>0</v>
      </c>
      <c r="Z70" s="149">
        <f t="shared" si="7"/>
        <v>67.446808510638306</v>
      </c>
    </row>
    <row r="71" spans="2:26" x14ac:dyDescent="0.35">
      <c r="B71" s="367">
        <v>19</v>
      </c>
      <c r="C71" s="367"/>
      <c r="D71" s="368">
        <v>6272002101</v>
      </c>
      <c r="E71" s="369" t="s">
        <v>714</v>
      </c>
      <c r="F71" s="369" t="s">
        <v>711</v>
      </c>
      <c r="G71" s="369" t="s">
        <v>714</v>
      </c>
      <c r="H71" s="368"/>
      <c r="I71" s="404"/>
      <c r="J71" s="460"/>
      <c r="K71" s="379">
        <f>IFERROR((CPSX!K124/'3.Thanh pham'!F$155),0)</f>
        <v>0</v>
      </c>
      <c r="L71" s="379">
        <f>IFERROR((CPSX!L124/'3.Thanh pham'!G$155),0)</f>
        <v>0</v>
      </c>
      <c r="M71" s="379">
        <f>IFERROR((CPSX!M124/'3.Thanh pham'!H$155),0)</f>
        <v>0</v>
      </c>
      <c r="N71" s="379">
        <f>IFERROR((CPSX!N124/'3.Thanh pham'!I$155),0)</f>
        <v>0</v>
      </c>
      <c r="O71" s="379">
        <f>IFERROR((CPSX!O124/'3.Thanh pham'!J$155),0)</f>
        <v>0</v>
      </c>
      <c r="P71" s="379">
        <f>IFERROR((CPSX!P124/'3.Thanh pham'!K$155),0)</f>
        <v>0</v>
      </c>
      <c r="Q71" s="379">
        <f>IFERROR((CPSX!Q124/'3.Thanh pham'!L$155),0)</f>
        <v>0</v>
      </c>
      <c r="R71" s="379">
        <f>IFERROR((CPSX!R124/'3.Thanh pham'!M$155),0)</f>
        <v>0</v>
      </c>
      <c r="S71" s="379">
        <f>IFERROR((CPSX!S124/'3.Thanh pham'!N$155),0)</f>
        <v>0</v>
      </c>
      <c r="T71" s="379">
        <f>IFERROR((CPSX!T124/'3.Thanh pham'!O$155),0)</f>
        <v>0</v>
      </c>
      <c r="U71" s="379">
        <f>IFERROR((CPSX!U124/'3.Thanh pham'!P$155),0)</f>
        <v>0</v>
      </c>
      <c r="V71" s="379">
        <f>IFERROR((CPSX!V124/'3.Thanh pham'!Q$155),0)</f>
        <v>0</v>
      </c>
      <c r="W71" s="379">
        <f>IFERROR((CPSX!W124/'3.Thanh pham'!R$155),0)</f>
        <v>0</v>
      </c>
      <c r="Y71" s="379">
        <f>IFERROR(CPSX!AK91/CP_Kg!$Y$2,0)</f>
        <v>0</v>
      </c>
      <c r="Z71" s="149">
        <f t="shared" si="7"/>
        <v>0</v>
      </c>
    </row>
    <row r="72" spans="2:26" x14ac:dyDescent="0.35">
      <c r="B72" s="372"/>
      <c r="C72" s="372"/>
      <c r="D72" s="373">
        <v>6272003502</v>
      </c>
      <c r="E72" s="374" t="s">
        <v>715</v>
      </c>
      <c r="F72" s="374" t="s">
        <v>716</v>
      </c>
      <c r="G72" s="374" t="s">
        <v>717</v>
      </c>
      <c r="H72" s="373" t="s">
        <v>454</v>
      </c>
      <c r="I72" s="405" t="s">
        <v>709</v>
      </c>
      <c r="J72" s="460"/>
      <c r="K72" s="379">
        <f>IFERROR((CPSX!K125/'3.Thanh pham'!F$155),0)</f>
        <v>0</v>
      </c>
      <c r="L72" s="379">
        <f>IFERROR((CPSX!L125/'3.Thanh pham'!G$155),0)</f>
        <v>0</v>
      </c>
      <c r="M72" s="379">
        <f>IFERROR((CPSX!M125/'3.Thanh pham'!H$155),0)</f>
        <v>0</v>
      </c>
      <c r="N72" s="379">
        <f>IFERROR((CPSX!N125/'3.Thanh pham'!I$155),0)</f>
        <v>0</v>
      </c>
      <c r="O72" s="379">
        <f>IFERROR((CPSX!O125/'3.Thanh pham'!J$155),0)</f>
        <v>0</v>
      </c>
      <c r="P72" s="379">
        <f>IFERROR((CPSX!P125/'3.Thanh pham'!K$155),0)</f>
        <v>24.545454545454547</v>
      </c>
      <c r="Q72" s="379">
        <f>IFERROR((CPSX!Q125/'3.Thanh pham'!L$155),0)</f>
        <v>24.545454545454547</v>
      </c>
      <c r="R72" s="379">
        <f>IFERROR((CPSX!R125/'3.Thanh pham'!M$155),0)</f>
        <v>24.545454545454547</v>
      </c>
      <c r="S72" s="379">
        <f>IFERROR((CPSX!S125/'3.Thanh pham'!N$155),0)</f>
        <v>24.545454545454547</v>
      </c>
      <c r="T72" s="379">
        <f>IFERROR((CPSX!T125/'3.Thanh pham'!O$155),0)</f>
        <v>24.545454545454547</v>
      </c>
      <c r="U72" s="379">
        <f>IFERROR((CPSX!U125/'3.Thanh pham'!P$155),0)</f>
        <v>24.545454545454547</v>
      </c>
      <c r="V72" s="379">
        <f>IFERROR((CPSX!V125/'3.Thanh pham'!Q$155),0)</f>
        <v>24.545454545454547</v>
      </c>
      <c r="W72" s="379">
        <f>IFERROR((CPSX!W125/'3.Thanh pham'!R$155),0)</f>
        <v>24.545454545454547</v>
      </c>
      <c r="Y72" s="379">
        <f>IFERROR(CPSX!AK92/CP_Kg!$Y$2,0)</f>
        <v>0</v>
      </c>
      <c r="Z72" s="149">
        <f t="shared" si="7"/>
        <v>24.545454545454547</v>
      </c>
    </row>
    <row r="73" spans="2:26" x14ac:dyDescent="0.35">
      <c r="B73" s="372"/>
      <c r="C73" s="372"/>
      <c r="D73" s="373"/>
      <c r="E73" s="374"/>
      <c r="F73" s="374"/>
      <c r="G73" s="374"/>
      <c r="H73" s="373"/>
      <c r="I73" s="405"/>
      <c r="J73" s="460"/>
      <c r="K73" s="379">
        <f>IFERROR((CPSX!#REF!/'3.Thanh pham'!F$136),0)</f>
        <v>0</v>
      </c>
      <c r="L73" s="379">
        <f>IFERROR((CPSX!#REF!/'3.Thanh pham'!G$136),0)</f>
        <v>0</v>
      </c>
      <c r="M73" s="379">
        <f>IFERROR((CPSX!#REF!/'3.Thanh pham'!H$136),0)</f>
        <v>0</v>
      </c>
      <c r="N73" s="379">
        <f>IFERROR((CPSX!#REF!/'3.Thanh pham'!I$136),0)</f>
        <v>0</v>
      </c>
      <c r="O73" s="379">
        <f>IFERROR((CPSX!#REF!/'3.Thanh pham'!J$136),0)</f>
        <v>0</v>
      </c>
      <c r="P73" s="379">
        <f>IFERROR((CPSX!#REF!/'3.Thanh pham'!K$136),0)</f>
        <v>0</v>
      </c>
      <c r="Q73" s="379">
        <f>IFERROR((CPSX!#REF!/'3.Thanh pham'!L$136),0)</f>
        <v>0</v>
      </c>
      <c r="R73" s="379">
        <f>IFERROR((CPSX!#REF!/'3.Thanh pham'!M$136),0)</f>
        <v>0</v>
      </c>
      <c r="S73" s="379">
        <f>IFERROR((CPSX!#REF!/'3.Thanh pham'!N$136),0)</f>
        <v>0</v>
      </c>
      <c r="T73" s="379">
        <f>IFERROR((CPSX!#REF!/'3.Thanh pham'!O$136),0)</f>
        <v>0</v>
      </c>
      <c r="U73" s="379">
        <f>IFERROR((CPSX!#REF!/'3.Thanh pham'!P$136),0)</f>
        <v>0</v>
      </c>
      <c r="V73" s="379">
        <f>IFERROR((CPSX!#REF!/'3.Thanh pham'!Q$136),0)</f>
        <v>0</v>
      </c>
      <c r="W73" s="379">
        <f>IFERROR((CPSX!#REF!/'3.Thanh pham'!R$136),0)</f>
        <v>0</v>
      </c>
      <c r="Y73" s="379">
        <f>IFERROR(CPSX!AK92/CP_Kg!$Y$2,0)</f>
        <v>0</v>
      </c>
      <c r="Z73" s="149">
        <f t="shared" si="7"/>
        <v>0</v>
      </c>
    </row>
    <row r="74" spans="2:26" x14ac:dyDescent="0.35">
      <c r="B74" s="274" t="s">
        <v>118</v>
      </c>
      <c r="C74" s="263"/>
      <c r="D74" s="178"/>
      <c r="E74" s="273" t="s">
        <v>723</v>
      </c>
      <c r="F74" s="179"/>
      <c r="G74" s="273" t="s">
        <v>2194</v>
      </c>
      <c r="H74" s="273"/>
      <c r="I74" s="407"/>
      <c r="J74" s="461"/>
      <c r="K74" s="461">
        <f>SUM(K75:K103)</f>
        <v>1772.3159732898862</v>
      </c>
      <c r="L74" s="462">
        <f t="shared" ref="L74:W74" si="8">SUM(L75:L103)</f>
        <v>2256.6674449826496</v>
      </c>
      <c r="M74" s="462">
        <f t="shared" si="8"/>
        <v>1548.6007113416131</v>
      </c>
      <c r="N74" s="462">
        <f t="shared" si="8"/>
        <v>1449.4012223047316</v>
      </c>
      <c r="O74" s="462">
        <f t="shared" si="8"/>
        <v>1461.8020206509143</v>
      </c>
      <c r="P74" s="462">
        <f t="shared" si="8"/>
        <v>1610.9837460648366</v>
      </c>
      <c r="Q74" s="462">
        <f t="shared" si="8"/>
        <v>1612.6620376316562</v>
      </c>
      <c r="R74" s="462">
        <f t="shared" si="8"/>
        <v>1620.5666227788515</v>
      </c>
      <c r="S74" s="462">
        <f t="shared" si="8"/>
        <v>1681.1441540929675</v>
      </c>
      <c r="T74" s="462">
        <f t="shared" si="8"/>
        <v>1653.7370340316254</v>
      </c>
      <c r="U74" s="462">
        <f t="shared" si="8"/>
        <v>1699.512717391359</v>
      </c>
      <c r="V74" s="462">
        <f t="shared" si="8"/>
        <v>1694.4774892109315</v>
      </c>
      <c r="W74" s="462">
        <f t="shared" si="8"/>
        <v>1652.4861425354125</v>
      </c>
      <c r="Y74" s="462">
        <f>SUM(Y75:Y103)</f>
        <v>2254.468050667288</v>
      </c>
      <c r="Z74" s="149">
        <f t="shared" si="2"/>
        <v>3906.9541932027005</v>
      </c>
    </row>
    <row r="75" spans="2:26" x14ac:dyDescent="0.35">
      <c r="B75" s="362">
        <v>1</v>
      </c>
      <c r="C75" s="362"/>
      <c r="D75" s="1057">
        <v>6271002604</v>
      </c>
      <c r="E75" s="378" t="s">
        <v>488</v>
      </c>
      <c r="F75" s="378" t="s">
        <v>491</v>
      </c>
      <c r="G75" s="378" t="s">
        <v>488</v>
      </c>
      <c r="H75" s="1057" t="s">
        <v>359</v>
      </c>
      <c r="I75" s="403" t="s">
        <v>701</v>
      </c>
      <c r="J75" s="464"/>
      <c r="K75" s="379">
        <f>IFERROR((CPSX!K72+CPSX!K128)/('3.Thanh pham'!F$97+'3.Thanh pham'!F$136+'3.Thanh pham'!F$155),0)</f>
        <v>202.8182379513178</v>
      </c>
      <c r="L75" s="379">
        <f>IFERROR((CPSX!L72+CPSX!L128)/('3.Thanh pham'!G$97+'3.Thanh pham'!G$136+'3.Thanh pham'!G$155),0)</f>
        <v>270.79577654284878</v>
      </c>
      <c r="M75" s="379">
        <f>IFERROR((CPSX!M72+CPSX!M128)/('3.Thanh pham'!H$97+'3.Thanh pham'!H$136+'3.Thanh pham'!H$155),0)</f>
        <v>168.49515179877156</v>
      </c>
      <c r="N75" s="379">
        <f>IFERROR((CPSX!N72+CPSX!N128)/('3.Thanh pham'!I$97+'3.Thanh pham'!I$136+'3.Thanh pham'!I$155),0)</f>
        <v>172.32458507272196</v>
      </c>
      <c r="O75" s="379">
        <f>IFERROR((CPSX!O72+CPSX!O128)/('3.Thanh pham'!J$97+'3.Thanh pham'!J$136+'3.Thanh pham'!J$155),0)</f>
        <v>159.75605332935777</v>
      </c>
      <c r="P75" s="379">
        <f>IFERROR((CPSX!P72+CPSX!P128)/('3.Thanh pham'!K$97+'3.Thanh pham'!K$136+'3.Thanh pham'!K$155),0)</f>
        <v>197.82402365312686</v>
      </c>
      <c r="Q75" s="379">
        <f>IFERROR((CPSX!Q72+CPSX!Q128)/('3.Thanh pham'!L$97+'3.Thanh pham'!L$136+'3.Thanh pham'!L$155),0)</f>
        <v>190.7396900650221</v>
      </c>
      <c r="R75" s="379">
        <f>IFERROR((CPSX!R72+CPSX!R128)/('3.Thanh pham'!M$97+'3.Thanh pham'!M$136+'3.Thanh pham'!M$155),0)</f>
        <v>190.7396900650221</v>
      </c>
      <c r="S75" s="379">
        <f>IFERROR((CPSX!S72+CPSX!S128)/('3.Thanh pham'!N$97+'3.Thanh pham'!N$136+'3.Thanh pham'!N$155),0)</f>
        <v>197.9373784758761</v>
      </c>
      <c r="T75" s="379">
        <f>IFERROR((CPSX!T72+CPSX!T128)/('3.Thanh pham'!O$97+'3.Thanh pham'!O$136+'3.Thanh pham'!O$155),0)</f>
        <v>183.65535647691732</v>
      </c>
      <c r="U75" s="379">
        <f>IFERROR((CPSX!U72+CPSX!U128)/('3.Thanh pham'!P$97+'3.Thanh pham'!P$136+'3.Thanh pham'!P$155),0)</f>
        <v>197.82402365312686</v>
      </c>
      <c r="V75" s="379">
        <f>IFERROR((CPSX!V72+CPSX!V128)/('3.Thanh pham'!Q$97+'3.Thanh pham'!Q$136+'3.Thanh pham'!Q$155),0)</f>
        <v>190.7396900650221</v>
      </c>
      <c r="W75" s="379">
        <f>IFERROR((CPSX!W72+CPSX!W128)/('3.Thanh pham'!R$97+'3.Thanh pham'!R$136+'3.Thanh pham'!R$155),0)</f>
        <v>191.18695839712657</v>
      </c>
      <c r="Y75" s="459">
        <f>IFERROR((CPSX!AK72+CPSX!AK128)/$Y$1,0)</f>
        <v>342.34027764441424</v>
      </c>
      <c r="Z75" s="149">
        <f t="shared" si="2"/>
        <v>533.52723604154085</v>
      </c>
    </row>
    <row r="76" spans="2:26" x14ac:dyDescent="0.35">
      <c r="B76" s="367">
        <v>2</v>
      </c>
      <c r="C76" s="367"/>
      <c r="D76" s="1004">
        <v>6271002605</v>
      </c>
      <c r="E76" s="438" t="s">
        <v>490</v>
      </c>
      <c r="F76" s="438" t="s">
        <v>491</v>
      </c>
      <c r="G76" s="438" t="s">
        <v>490</v>
      </c>
      <c r="H76" s="1004" t="s">
        <v>359</v>
      </c>
      <c r="I76" s="404" t="s">
        <v>701</v>
      </c>
      <c r="J76" s="465"/>
      <c r="K76" s="379">
        <f>IFERROR((CPSX!K73+CPSX!K129)/('3.Thanh pham'!F$97+'3.Thanh pham'!F$136+'3.Thanh pham'!F$155),0)</f>
        <v>16.056450554093139</v>
      </c>
      <c r="L76" s="379">
        <f>IFERROR((CPSX!L73+CPSX!L129)/('3.Thanh pham'!G$97+'3.Thanh pham'!G$136+'3.Thanh pham'!G$155),0)</f>
        <v>20.644007855262608</v>
      </c>
      <c r="M76" s="379">
        <f>IFERROR((CPSX!M73+CPSX!M129)/('3.Thanh pham'!H$97+'3.Thanh pham'!H$136+'3.Thanh pham'!H$155),0)</f>
        <v>14.450805498683826</v>
      </c>
      <c r="N76" s="379">
        <f>IFERROR((CPSX!N73+CPSX!N129)/('3.Thanh pham'!I$97+'3.Thanh pham'!I$136+'3.Thanh pham'!I$155),0)</f>
        <v>13.137095907894388</v>
      </c>
      <c r="O76" s="379">
        <f>IFERROR((CPSX!O73+CPSX!O129)/('3.Thanh pham'!J$97+'3.Thanh pham'!J$136+'3.Thanh pham'!J$155),0)</f>
        <v>13.153253751051572</v>
      </c>
      <c r="P76" s="379">
        <f>IFERROR((CPSX!P73+CPSX!P129)/('3.Thanh pham'!K$97+'3.Thanh pham'!K$136+'3.Thanh pham'!K$155),0)</f>
        <v>13.682140523056814</v>
      </c>
      <c r="Q76" s="379">
        <f>IFERROR((CPSX!Q73+CPSX!Q129)/('3.Thanh pham'!L$97+'3.Thanh pham'!L$136+'3.Thanh pham'!L$155),0)</f>
        <v>13.682140523056814</v>
      </c>
      <c r="R76" s="379">
        <f>IFERROR((CPSX!R73+CPSX!R129)/('3.Thanh pham'!M$97+'3.Thanh pham'!M$136+'3.Thanh pham'!M$155),0)</f>
        <v>13.682140523056814</v>
      </c>
      <c r="S76" s="379">
        <f>IFERROR((CPSX!S73+CPSX!S129)/('3.Thanh pham'!N$97+'3.Thanh pham'!N$136+'3.Thanh pham'!N$155),0)</f>
        <v>13.682140523056814</v>
      </c>
      <c r="T76" s="379">
        <f>IFERROR((CPSX!T73+CPSX!T129)/('3.Thanh pham'!O$97+'3.Thanh pham'!O$136+'3.Thanh pham'!O$155),0)</f>
        <v>13.682140523056814</v>
      </c>
      <c r="U76" s="379">
        <f>IFERROR((CPSX!U73+CPSX!U129)/('3.Thanh pham'!P$97+'3.Thanh pham'!P$136+'3.Thanh pham'!P$155),0)</f>
        <v>13.682140523056814</v>
      </c>
      <c r="V76" s="379">
        <f>IFERROR((CPSX!V73+CPSX!V129)/('3.Thanh pham'!Q$97+'3.Thanh pham'!Q$136+'3.Thanh pham'!Q$155),0)</f>
        <v>13.682140523056814</v>
      </c>
      <c r="W76" s="379">
        <f>IFERROR((CPSX!W73+CPSX!W129)/('3.Thanh pham'!R$97+'3.Thanh pham'!R$136+'3.Thanh pham'!R$155),0)</f>
        <v>14.223338852618765</v>
      </c>
      <c r="Y76" s="459">
        <f>IFERROR((CPSX!AK73+CPSX!AK129)/$Y$1,0)</f>
        <v>19.56872540297438</v>
      </c>
      <c r="Z76" s="149">
        <f t="shared" si="2"/>
        <v>33.792064255593147</v>
      </c>
    </row>
    <row r="77" spans="2:26" x14ac:dyDescent="0.35">
      <c r="B77" s="367">
        <v>3</v>
      </c>
      <c r="C77" s="367"/>
      <c r="D77" s="1004">
        <v>6271002802</v>
      </c>
      <c r="E77" s="438" t="s">
        <v>492</v>
      </c>
      <c r="F77" s="438" t="s">
        <v>493</v>
      </c>
      <c r="G77" s="438" t="s">
        <v>492</v>
      </c>
      <c r="H77" s="1004" t="s">
        <v>359</v>
      </c>
      <c r="I77" s="404" t="s">
        <v>701</v>
      </c>
      <c r="J77" s="465"/>
      <c r="K77" s="379">
        <f>IFERROR((CPSX!K74+CPSX!K130)/('3.Thanh pham'!F$97+'3.Thanh pham'!F$136+'3.Thanh pham'!F$155),0)</f>
        <v>25.31604432745117</v>
      </c>
      <c r="L77" s="379">
        <f>IFERROR((CPSX!L74+CPSX!L130)/('3.Thanh pham'!G$97+'3.Thanh pham'!G$136+'3.Thanh pham'!G$155),0)</f>
        <v>27.869468934107719</v>
      </c>
      <c r="M77" s="379">
        <f>IFERROR((CPSX!M74+CPSX!M130)/('3.Thanh pham'!H$97+'3.Thanh pham'!H$136+'3.Thanh pham'!H$155),0)</f>
        <v>19.508628253875401</v>
      </c>
      <c r="N77" s="379">
        <f>IFERROR((CPSX!N74+CPSX!N130)/('3.Thanh pham'!I$97+'3.Thanh pham'!I$136+'3.Thanh pham'!I$155),0)</f>
        <v>17.735116594432185</v>
      </c>
      <c r="O77" s="379">
        <f>IFERROR((CPSX!O74+CPSX!O130)/('3.Thanh pham'!J$97+'3.Thanh pham'!J$136+'3.Thanh pham'!J$155),0)</f>
        <v>23.720276443715591</v>
      </c>
      <c r="P77" s="379">
        <f>IFERROR((CPSX!P74+CPSX!P130)/('3.Thanh pham'!K$97+'3.Thanh pham'!K$136+'3.Thanh pham'!K$155),0)</f>
        <v>18.470928364921299</v>
      </c>
      <c r="Q77" s="379">
        <f>IFERROR((CPSX!Q74+CPSX!Q130)/('3.Thanh pham'!L$97+'3.Thanh pham'!L$136+'3.Thanh pham'!L$155),0)</f>
        <v>18.470928364921299</v>
      </c>
      <c r="R77" s="379">
        <f>IFERROR((CPSX!R74+CPSX!R130)/('3.Thanh pham'!M$97+'3.Thanh pham'!M$136+'3.Thanh pham'!M$155),0)</f>
        <v>18.470928364921299</v>
      </c>
      <c r="S77" s="379">
        <f>IFERROR((CPSX!S74+CPSX!S130)/('3.Thanh pham'!N$97+'3.Thanh pham'!N$136+'3.Thanh pham'!N$155),0)</f>
        <v>21.572493547636718</v>
      </c>
      <c r="T77" s="379">
        <f>IFERROR((CPSX!T74+CPSX!T130)/('3.Thanh pham'!O$97+'3.Thanh pham'!O$136+'3.Thanh pham'!O$155),0)</f>
        <v>18.470928364921299</v>
      </c>
      <c r="U77" s="379">
        <f>IFERROR((CPSX!U74+CPSX!U130)/('3.Thanh pham'!P$97+'3.Thanh pham'!P$136+'3.Thanh pham'!P$155),0)</f>
        <v>18.470928364921299</v>
      </c>
      <c r="V77" s="379">
        <f>IFERROR((CPSX!V74+CPSX!V130)/('3.Thanh pham'!Q$97+'3.Thanh pham'!Q$136+'3.Thanh pham'!Q$155),0)</f>
        <v>18.470928364921299</v>
      </c>
      <c r="W77" s="379">
        <f>IFERROR((CPSX!W74+CPSX!W130)/('3.Thanh pham'!R$97+'3.Thanh pham'!R$136+'3.Thanh pham'!R$155),0)</f>
        <v>20.276296932118548</v>
      </c>
      <c r="Y77" s="459">
        <f>IFERROR((CPSX!AK74+CPSX!AK130)/$Y$1,0)</f>
        <v>0</v>
      </c>
      <c r="Z77" s="149">
        <f t="shared" si="2"/>
        <v>20.276296932118548</v>
      </c>
    </row>
    <row r="78" spans="2:26" x14ac:dyDescent="0.35">
      <c r="B78" s="367">
        <v>4</v>
      </c>
      <c r="C78" s="367"/>
      <c r="D78" s="1004">
        <v>6271002806</v>
      </c>
      <c r="E78" s="438" t="s">
        <v>501</v>
      </c>
      <c r="F78" s="438" t="s">
        <v>491</v>
      </c>
      <c r="G78" s="438" t="s">
        <v>501</v>
      </c>
      <c r="H78" s="1004" t="s">
        <v>359</v>
      </c>
      <c r="I78" s="404" t="s">
        <v>701</v>
      </c>
      <c r="J78" s="465"/>
      <c r="K78" s="379">
        <f>IFERROR((CPSX!K75+CPSX!K131)/('3.Thanh pham'!F$97+'3.Thanh pham'!F$136+'3.Thanh pham'!F$155),0)</f>
        <v>21.802966429430306</v>
      </c>
      <c r="L78" s="379">
        <f>IFERROR((CPSX!L75+CPSX!L131)/('3.Thanh pham'!G$97+'3.Thanh pham'!G$136+'3.Thanh pham'!G$155),0)</f>
        <v>28.032385409267537</v>
      </c>
      <c r="M78" s="379">
        <f>IFERROR((CPSX!M75+CPSX!M131)/('3.Thanh pham'!H$97+'3.Thanh pham'!H$136+'3.Thanh pham'!H$155),0)</f>
        <v>19.622669786487275</v>
      </c>
      <c r="N78" s="379">
        <f>IFERROR((CPSX!N75+CPSX!N131)/('3.Thanh pham'!I$97+'3.Thanh pham'!I$136+'3.Thanh pham'!I$155),0)</f>
        <v>17.838790714988434</v>
      </c>
      <c r="O78" s="379">
        <f>IFERROR((CPSX!O75+CPSX!O131)/('3.Thanh pham'!J$97+'3.Thanh pham'!J$136+'3.Thanh pham'!J$155),0)</f>
        <v>17.860731361879306</v>
      </c>
      <c r="P78" s="379">
        <f>IFERROR((CPSX!P75+CPSX!P131)/('3.Thanh pham'!K$97+'3.Thanh pham'!K$136+'3.Thanh pham'!K$155),0)</f>
        <v>18.578903818248282</v>
      </c>
      <c r="Q78" s="379">
        <f>IFERROR((CPSX!Q75+CPSX!Q131)/('3.Thanh pham'!L$97+'3.Thanh pham'!L$136+'3.Thanh pham'!L$155),0)</f>
        <v>18.578903818248282</v>
      </c>
      <c r="R78" s="379">
        <f>IFERROR((CPSX!R75+CPSX!R131)/('3.Thanh pham'!M$97+'3.Thanh pham'!M$136+'3.Thanh pham'!M$155),0)</f>
        <v>18.578903818248282</v>
      </c>
      <c r="S78" s="379">
        <f>IFERROR((CPSX!S75+CPSX!S131)/('3.Thanh pham'!N$97+'3.Thanh pham'!N$136+'3.Thanh pham'!N$155),0)</f>
        <v>18.578903818248282</v>
      </c>
      <c r="T78" s="379">
        <f>IFERROR((CPSX!T75+CPSX!T131)/('3.Thanh pham'!O$97+'3.Thanh pham'!O$136+'3.Thanh pham'!O$155),0)</f>
        <v>18.578903818248282</v>
      </c>
      <c r="U78" s="379">
        <f>IFERROR((CPSX!U75+CPSX!U131)/('3.Thanh pham'!P$97+'3.Thanh pham'!P$136+'3.Thanh pham'!P$155),0)</f>
        <v>18.578903818248282</v>
      </c>
      <c r="V78" s="379">
        <f>IFERROR((CPSX!V75+CPSX!V131)/('3.Thanh pham'!Q$97+'3.Thanh pham'!Q$136+'3.Thanh pham'!Q$155),0)</f>
        <v>18.578903818248282</v>
      </c>
      <c r="W78" s="379">
        <f>IFERROR((CPSX!W75+CPSX!W131)/('3.Thanh pham'!R$97+'3.Thanh pham'!R$136+'3.Thanh pham'!R$155),0)</f>
        <v>19.313794071318252</v>
      </c>
      <c r="Y78" s="459">
        <f>IFERROR((CPSX!AK75+CPSX!AK131)/$Y$1,0)</f>
        <v>19.577850889942809</v>
      </c>
      <c r="Z78" s="149">
        <f t="shared" si="2"/>
        <v>38.891644961261065</v>
      </c>
    </row>
    <row r="79" spans="2:26" x14ac:dyDescent="0.35">
      <c r="B79" s="367">
        <v>5</v>
      </c>
      <c r="C79" s="367"/>
      <c r="D79" s="1004">
        <v>6271007202</v>
      </c>
      <c r="E79" s="438" t="s">
        <v>495</v>
      </c>
      <c r="F79" s="438" t="s">
        <v>493</v>
      </c>
      <c r="G79" s="438" t="s">
        <v>495</v>
      </c>
      <c r="H79" s="1004" t="s">
        <v>359</v>
      </c>
      <c r="I79" s="404" t="s">
        <v>701</v>
      </c>
      <c r="J79" s="465"/>
      <c r="K79" s="379">
        <f>IFERROR((CPSX!K76+CPSX!K132)/('3.Thanh pham'!F$97+'3.Thanh pham'!F$136+'3.Thanh pham'!F$155),0)</f>
        <v>1.187558415391115</v>
      </c>
      <c r="L79" s="379">
        <f>IFERROR((CPSX!L76+CPSX!L132)/('3.Thanh pham'!G$97+'3.Thanh pham'!G$136+'3.Thanh pham'!G$155),0)</f>
        <v>1.5268608197885765</v>
      </c>
      <c r="M79" s="379">
        <f>IFERROR((CPSX!M76+CPSX!M132)/('3.Thanh pham'!H$97+'3.Thanh pham'!H$136+'3.Thanh pham'!H$155),0)</f>
        <v>1.0688025738520035</v>
      </c>
      <c r="N79" s="379">
        <f>IFERROR((CPSX!N76+CPSX!N132)/('3.Thanh pham'!I$97+'3.Thanh pham'!I$136+'3.Thanh pham'!I$155),0)</f>
        <v>0.97163870350182135</v>
      </c>
      <c r="O79" s="379">
        <f>IFERROR((CPSX!O76+CPSX!O132)/('3.Thanh pham'!J$97+'3.Thanh pham'!J$136+'3.Thanh pham'!J$155),0)</f>
        <v>0.97283376106147568</v>
      </c>
      <c r="P79" s="379">
        <f>IFERROR((CPSX!P76+CPSX!P132)/('3.Thanh pham'!K$97+'3.Thanh pham'!K$136+'3.Thanh pham'!K$155),0)</f>
        <v>1.0119509952701131</v>
      </c>
      <c r="Q79" s="379">
        <f>IFERROR((CPSX!Q76+CPSX!Q132)/('3.Thanh pham'!L$97+'3.Thanh pham'!L$136+'3.Thanh pham'!L$155),0)</f>
        <v>1.0119509952701131</v>
      </c>
      <c r="R79" s="379">
        <f>IFERROR((CPSX!R76+CPSX!R132)/('3.Thanh pham'!M$97+'3.Thanh pham'!M$136+'3.Thanh pham'!M$155),0)</f>
        <v>1.0119509952701131</v>
      </c>
      <c r="S79" s="379">
        <f>IFERROR((CPSX!S76+CPSX!S132)/('3.Thanh pham'!N$97+'3.Thanh pham'!N$136+'3.Thanh pham'!N$155),0)</f>
        <v>1.0119509952701131</v>
      </c>
      <c r="T79" s="379">
        <f>IFERROR((CPSX!T76+CPSX!T132)/('3.Thanh pham'!O$97+'3.Thanh pham'!O$136+'3.Thanh pham'!O$155),0)</f>
        <v>1.0119509952701131</v>
      </c>
      <c r="U79" s="379">
        <f>IFERROR((CPSX!U76+CPSX!U132)/('3.Thanh pham'!P$97+'3.Thanh pham'!P$136+'3.Thanh pham'!P$155),0)</f>
        <v>1.0119509952701131</v>
      </c>
      <c r="V79" s="379">
        <f>IFERROR((CPSX!V76+CPSX!V132)/('3.Thanh pham'!Q$97+'3.Thanh pham'!Q$136+'3.Thanh pham'!Q$155),0)</f>
        <v>1.0119509952701131</v>
      </c>
      <c r="W79" s="379">
        <f>IFERROR((CPSX!W76+CPSX!W132)/('3.Thanh pham'!R$97+'3.Thanh pham'!R$136+'3.Thanh pham'!R$155),0)</f>
        <v>1.0519788101661687</v>
      </c>
      <c r="Y79" s="459">
        <f>IFERROR((CPSX!AK76+CPSX!AK132)/$Y$1,0)</f>
        <v>0</v>
      </c>
      <c r="Z79" s="149">
        <f t="shared" si="2"/>
        <v>1.0519788101661687</v>
      </c>
    </row>
    <row r="80" spans="2:26" x14ac:dyDescent="0.35">
      <c r="B80" s="367">
        <v>6</v>
      </c>
      <c r="C80" s="367"/>
      <c r="D80" s="1004">
        <v>6271003202</v>
      </c>
      <c r="E80" s="438" t="s">
        <v>496</v>
      </c>
      <c r="F80" s="438" t="s">
        <v>493</v>
      </c>
      <c r="G80" s="438" t="s">
        <v>496</v>
      </c>
      <c r="H80" s="1004" t="s">
        <v>359</v>
      </c>
      <c r="I80" s="404" t="s">
        <v>701</v>
      </c>
      <c r="J80" s="465"/>
      <c r="K80" s="379">
        <f>IFERROR((CPSX!K77+CPSX!K133)/('3.Thanh pham'!F$97+'3.Thanh pham'!F$136+'3.Thanh pham'!F$155),0)</f>
        <v>20.051347047544766</v>
      </c>
      <c r="L80" s="379">
        <f>IFERROR((CPSX!L77+CPSX!L133)/('3.Thanh pham'!G$97+'3.Thanh pham'!G$136+'3.Thanh pham'!G$155),0)</f>
        <v>22.686666945222079</v>
      </c>
      <c r="M80" s="379">
        <f>IFERROR((CPSX!M77+CPSX!M133)/('3.Thanh pham'!H$97+'3.Thanh pham'!H$136+'3.Thanh pham'!H$155),0)</f>
        <v>17.324363849078679</v>
      </c>
      <c r="N80" s="379">
        <f>IFERROR((CPSX!N77+CPSX!N133)/('3.Thanh pham'!I$97+'3.Thanh pham'!I$136+'3.Thanh pham'!I$155),0)</f>
        <v>17.718099391103195</v>
      </c>
      <c r="O80" s="379">
        <f>IFERROR((CPSX!O77+CPSX!O133)/('3.Thanh pham'!J$97+'3.Thanh pham'!J$136+'3.Thanh pham'!J$155),0)</f>
        <v>14.4547264847136</v>
      </c>
      <c r="P80" s="379">
        <f>IFERROR((CPSX!P77+CPSX!P133)/('3.Thanh pham'!K$97+'3.Thanh pham'!K$136+'3.Thanh pham'!K$155),0)</f>
        <v>18.45320513530578</v>
      </c>
      <c r="Q80" s="379">
        <f>IFERROR((CPSX!Q77+CPSX!Q133)/('3.Thanh pham'!L$97+'3.Thanh pham'!L$136+'3.Thanh pham'!L$155),0)</f>
        <v>17.769753093257417</v>
      </c>
      <c r="R80" s="379">
        <f>IFERROR((CPSX!R77+CPSX!R133)/('3.Thanh pham'!M$97+'3.Thanh pham'!M$136+'3.Thanh pham'!M$155),0)</f>
        <v>17.769753093257417</v>
      </c>
      <c r="S80" s="379">
        <f>IFERROR((CPSX!S77+CPSX!S133)/('3.Thanh pham'!N$97+'3.Thanh pham'!N$136+'3.Thanh pham'!N$155),0)</f>
        <v>17.086301051209055</v>
      </c>
      <c r="T80" s="379">
        <f>IFERROR((CPSX!T77+CPSX!T133)/('3.Thanh pham'!O$97+'3.Thanh pham'!O$136+'3.Thanh pham'!O$155),0)</f>
        <v>17.086301051209055</v>
      </c>
      <c r="U80" s="379">
        <f>IFERROR((CPSX!U77+CPSX!U133)/('3.Thanh pham'!P$97+'3.Thanh pham'!P$136+'3.Thanh pham'!P$155),0)</f>
        <v>18.45320513530578</v>
      </c>
      <c r="V80" s="379">
        <f>IFERROR((CPSX!V77+CPSX!V133)/('3.Thanh pham'!Q$97+'3.Thanh pham'!Q$136+'3.Thanh pham'!Q$155),0)</f>
        <v>17.769753093257417</v>
      </c>
      <c r="W80" s="379">
        <f>IFERROR((CPSX!W77+CPSX!W133)/('3.Thanh pham'!R$97+'3.Thanh pham'!R$136+'3.Thanh pham'!R$155),0)</f>
        <v>17.880565606007465</v>
      </c>
      <c r="Y80" s="459">
        <f>IFERROR((CPSX!AK77+CPSX!AK133)/$Y$1,0)</f>
        <v>13.771887765139093</v>
      </c>
      <c r="Z80" s="149">
        <f t="shared" si="2"/>
        <v>31.652453371146557</v>
      </c>
    </row>
    <row r="81" spans="2:26" x14ac:dyDescent="0.35">
      <c r="B81" s="367">
        <v>7</v>
      </c>
      <c r="C81" s="367"/>
      <c r="D81" s="1004">
        <v>6271002603</v>
      </c>
      <c r="E81" s="438" t="s">
        <v>497</v>
      </c>
      <c r="F81" s="438" t="s">
        <v>491</v>
      </c>
      <c r="G81" s="438" t="s">
        <v>497</v>
      </c>
      <c r="H81" s="1004" t="s">
        <v>359</v>
      </c>
      <c r="I81" s="404" t="s">
        <v>701</v>
      </c>
      <c r="J81" s="465"/>
      <c r="K81" s="379">
        <f>IFERROR((CPSX!K78+CPSX!K134)/('3.Thanh pham'!F$97+'3.Thanh pham'!F$136+'3.Thanh pham'!F$155),0)</f>
        <v>5.230771830619739</v>
      </c>
      <c r="L81" s="379">
        <f>IFERROR((CPSX!L78+CPSX!L134)/('3.Thanh pham'!G$97+'3.Thanh pham'!G$136+'3.Thanh pham'!G$155),0)</f>
        <v>6.7252780679396649</v>
      </c>
      <c r="M81" s="379">
        <f>IFERROR((CPSX!M78+CPSX!M134)/('3.Thanh pham'!H$97+'3.Thanh pham'!H$136+'3.Thanh pham'!H$155),0)</f>
        <v>4.7076946475577657</v>
      </c>
      <c r="N81" s="379">
        <f>IFERROR((CPSX!N78+CPSX!N134)/('3.Thanh pham'!I$97+'3.Thanh pham'!I$136+'3.Thanh pham'!I$155),0)</f>
        <v>4.2797224068706958</v>
      </c>
      <c r="O81" s="379">
        <f>IFERROR((CPSX!O78+CPSX!O134)/('3.Thanh pham'!J$97+'3.Thanh pham'!J$136+'3.Thanh pham'!J$155),0)</f>
        <v>4.2849862097607208</v>
      </c>
      <c r="P81" s="379">
        <f>IFERROR((CPSX!P78+CPSX!P134)/('3.Thanh pham'!K$97+'3.Thanh pham'!K$136+'3.Thanh pham'!K$155),0)</f>
        <v>4.4572836935210516</v>
      </c>
      <c r="Q81" s="379">
        <f>IFERROR((CPSX!Q78+CPSX!Q134)/('3.Thanh pham'!L$97+'3.Thanh pham'!L$136+'3.Thanh pham'!L$155),0)</f>
        <v>4.4572836935210516</v>
      </c>
      <c r="R81" s="379">
        <f>IFERROR((CPSX!R78+CPSX!R134)/('3.Thanh pham'!M$97+'3.Thanh pham'!M$136+'3.Thanh pham'!M$155),0)</f>
        <v>4.4572836935210516</v>
      </c>
      <c r="S81" s="379">
        <f>IFERROR((CPSX!S78+CPSX!S134)/('3.Thanh pham'!N$97+'3.Thanh pham'!N$136+'3.Thanh pham'!N$155),0)</f>
        <v>4.4572836935210516</v>
      </c>
      <c r="T81" s="379">
        <f>IFERROR((CPSX!T78+CPSX!T134)/('3.Thanh pham'!O$97+'3.Thanh pham'!O$136+'3.Thanh pham'!O$155),0)</f>
        <v>4.4572836935210516</v>
      </c>
      <c r="U81" s="379">
        <f>IFERROR((CPSX!U78+CPSX!U134)/('3.Thanh pham'!P$97+'3.Thanh pham'!P$136+'3.Thanh pham'!P$155),0)</f>
        <v>4.4572836935210516</v>
      </c>
      <c r="V81" s="379">
        <f>IFERROR((CPSX!V78+CPSX!V134)/('3.Thanh pham'!Q$97+'3.Thanh pham'!Q$136+'3.Thanh pham'!Q$155),0)</f>
        <v>4.4572836935210516</v>
      </c>
      <c r="W81" s="379">
        <f>IFERROR((CPSX!W78+CPSX!W134)/('3.Thanh pham'!R$97+'3.Thanh pham'!R$136+'3.Thanh pham'!R$155),0)</f>
        <v>4.6335919608752869</v>
      </c>
      <c r="Y81" s="459">
        <f>IFERROR((CPSX!AK78+CPSX!AK134)/$Y$1,0)</f>
        <v>0</v>
      </c>
      <c r="Z81" s="149">
        <f t="shared" si="2"/>
        <v>4.6335919608752869</v>
      </c>
    </row>
    <row r="82" spans="2:26" x14ac:dyDescent="0.35">
      <c r="B82" s="367">
        <v>8</v>
      </c>
      <c r="C82" s="367"/>
      <c r="D82" s="1004">
        <v>6271003401</v>
      </c>
      <c r="E82" s="438" t="s">
        <v>498</v>
      </c>
      <c r="F82" s="438" t="s">
        <v>493</v>
      </c>
      <c r="G82" s="438" t="s">
        <v>498</v>
      </c>
      <c r="H82" s="1004" t="s">
        <v>359</v>
      </c>
      <c r="I82" s="404" t="s">
        <v>701</v>
      </c>
      <c r="J82" s="465"/>
      <c r="K82" s="379">
        <f>IFERROR((CPSX!K79+CPSX!K135)/('3.Thanh pham'!F$97+'3.Thanh pham'!F$136+'3.Thanh pham'!F$155),0)</f>
        <v>47.662285918559682</v>
      </c>
      <c r="L82" s="379">
        <f>IFERROR((CPSX!L79+CPSX!L135)/('3.Thanh pham'!G$97+'3.Thanh pham'!G$136+'3.Thanh pham'!G$155),0)</f>
        <v>61.280081895291019</v>
      </c>
      <c r="M82" s="379">
        <f>IFERROR((CPSX!M79+CPSX!M135)/('3.Thanh pham'!H$97+'3.Thanh pham'!H$136+'3.Thanh pham'!H$155),0)</f>
        <v>42.896057326703712</v>
      </c>
      <c r="N82" s="379">
        <f>IFERROR((CPSX!N79+CPSX!N135)/('3.Thanh pham'!I$97+'3.Thanh pham'!I$136+'3.Thanh pham'!I$155),0)</f>
        <v>38.996415751548831</v>
      </c>
      <c r="O82" s="379">
        <f>IFERROR((CPSX!O79+CPSX!O135)/('3.Thanh pham'!J$97+'3.Thanh pham'!J$136+'3.Thanh pham'!J$155),0)</f>
        <v>39.044379013279098</v>
      </c>
      <c r="P82" s="379">
        <f>IFERROR((CPSX!P79+CPSX!P135)/('3.Thanh pham'!K$97+'3.Thanh pham'!K$136+'3.Thanh pham'!K$155),0)</f>
        <v>40.614336985057101</v>
      </c>
      <c r="Q82" s="379">
        <f>IFERROR((CPSX!Q79+CPSX!Q135)/('3.Thanh pham'!L$97+'3.Thanh pham'!L$136+'3.Thanh pham'!L$155),0)</f>
        <v>40.614336985057101</v>
      </c>
      <c r="R82" s="379">
        <f>IFERROR((CPSX!R79+CPSX!R135)/('3.Thanh pham'!M$97+'3.Thanh pham'!M$136+'3.Thanh pham'!M$155),0)</f>
        <v>40.614336985057101</v>
      </c>
      <c r="S82" s="379">
        <f>IFERROR((CPSX!S79+CPSX!S135)/('3.Thanh pham'!N$97+'3.Thanh pham'!N$136+'3.Thanh pham'!N$155),0)</f>
        <v>40.614336985057101</v>
      </c>
      <c r="T82" s="379">
        <f>IFERROR((CPSX!T79+CPSX!T135)/('3.Thanh pham'!O$97+'3.Thanh pham'!O$136+'3.Thanh pham'!O$155),0)</f>
        <v>40.614336985057101</v>
      </c>
      <c r="U82" s="379">
        <f>IFERROR((CPSX!U79+CPSX!U135)/('3.Thanh pham'!P$97+'3.Thanh pham'!P$136+'3.Thanh pham'!P$155),0)</f>
        <v>40.614336985057101</v>
      </c>
      <c r="V82" s="379">
        <f>IFERROR((CPSX!V79+CPSX!V135)/('3.Thanh pham'!Q$97+'3.Thanh pham'!Q$136+'3.Thanh pham'!Q$155),0)</f>
        <v>40.614336985057101</v>
      </c>
      <c r="W82" s="379">
        <f>IFERROR((CPSX!W79+CPSX!W135)/('3.Thanh pham'!R$97+'3.Thanh pham'!R$136+'3.Thanh pham'!R$155),0)</f>
        <v>42.22084082819029</v>
      </c>
      <c r="Y82" s="459">
        <f>IFERROR((CPSX!AK79+CPSX!AK135)/$Y$1,0)</f>
        <v>43.857235586726354</v>
      </c>
      <c r="Z82" s="149">
        <f t="shared" si="2"/>
        <v>86.078076414916637</v>
      </c>
    </row>
    <row r="83" spans="2:26" x14ac:dyDescent="0.35">
      <c r="B83" s="367">
        <v>9</v>
      </c>
      <c r="C83" s="367"/>
      <c r="D83" s="1004">
        <v>6271002703</v>
      </c>
      <c r="E83" s="438" t="s">
        <v>499</v>
      </c>
      <c r="F83" s="438" t="s">
        <v>491</v>
      </c>
      <c r="G83" s="438" t="s">
        <v>499</v>
      </c>
      <c r="H83" s="1004" t="s">
        <v>359</v>
      </c>
      <c r="I83" s="404" t="s">
        <v>701</v>
      </c>
      <c r="J83" s="465"/>
      <c r="K83" s="379">
        <f>IFERROR((CPSX!K80+CPSX!K136)/('3.Thanh pham'!F$97+'3.Thanh pham'!F$136+'3.Thanh pham'!F$155),0)</f>
        <v>36.835524357349449</v>
      </c>
      <c r="L83" s="379">
        <f>IFERROR((CPSX!L80+CPSX!L136)/('3.Thanh pham'!G$97+'3.Thanh pham'!G$136+'3.Thanh pham'!G$155),0)</f>
        <v>41.241983871641665</v>
      </c>
      <c r="M83" s="379">
        <f>IFERROR((CPSX!M80+CPSX!M136)/('3.Thanh pham'!H$97+'3.Thanh pham'!H$136+'3.Thanh pham'!H$155),0)</f>
        <v>31.115354197133666</v>
      </c>
      <c r="N83" s="379">
        <f>IFERROR((CPSX!N80+CPSX!N136)/('3.Thanh pham'!I$97+'3.Thanh pham'!I$136+'3.Thanh pham'!I$155),0)</f>
        <v>32.874344970618736</v>
      </c>
      <c r="O83" s="379">
        <f>IFERROR((CPSX!O80+CPSX!O136)/('3.Thanh pham'!J$97+'3.Thanh pham'!J$136+'3.Thanh pham'!J$155),0)</f>
        <v>26.740681738315569</v>
      </c>
      <c r="P83" s="379">
        <f>IFERROR((CPSX!P80+CPSX!P136)/('3.Thanh pham'!K$97+'3.Thanh pham'!K$136+'3.Thanh pham'!K$155),0)</f>
        <v>34.238267775845451</v>
      </c>
      <c r="Q83" s="379">
        <f>IFERROR((CPSX!Q80+CPSX!Q136)/('3.Thanh pham'!L$97+'3.Thanh pham'!L$136+'3.Thanh pham'!L$155),0)</f>
        <v>33.543718776654075</v>
      </c>
      <c r="R83" s="379">
        <f>IFERROR((CPSX!R80+CPSX!R136)/('3.Thanh pham'!M$97+'3.Thanh pham'!M$136+'3.Thanh pham'!M$155),0)</f>
        <v>33.543718776654075</v>
      </c>
      <c r="S83" s="379">
        <f>IFERROR((CPSX!S80+CPSX!S136)/('3.Thanh pham'!N$97+'3.Thanh pham'!N$136+'3.Thanh pham'!N$155),0)</f>
        <v>32.111767116762849</v>
      </c>
      <c r="T83" s="379">
        <f>IFERROR((CPSX!T80+CPSX!T136)/('3.Thanh pham'!O$97+'3.Thanh pham'!O$136+'3.Thanh pham'!O$155),0)</f>
        <v>32.111767116762849</v>
      </c>
      <c r="U83" s="379">
        <f>IFERROR((CPSX!U80+CPSX!U136)/('3.Thanh pham'!P$97+'3.Thanh pham'!P$136+'3.Thanh pham'!P$155),0)</f>
        <v>34.238267775845451</v>
      </c>
      <c r="V83" s="379">
        <f>IFERROR((CPSX!V80+CPSX!V136)/('3.Thanh pham'!Q$97+'3.Thanh pham'!Q$136+'3.Thanh pham'!Q$155),0)</f>
        <v>33.543718776654075</v>
      </c>
      <c r="W83" s="379">
        <f>IFERROR((CPSX!W80+CPSX!W136)/('3.Thanh pham'!R$97+'3.Thanh pham'!R$136+'3.Thanh pham'!R$155),0)</f>
        <v>33.228339699463632</v>
      </c>
      <c r="Y83" s="459">
        <f>IFERROR((CPSX!AK80+CPSX!AK136)/$Y$1,0)</f>
        <v>0</v>
      </c>
      <c r="Z83" s="149">
        <f t="shared" si="2"/>
        <v>33.228339699463632</v>
      </c>
    </row>
    <row r="84" spans="2:26" x14ac:dyDescent="0.35">
      <c r="B84" s="367">
        <v>10</v>
      </c>
      <c r="C84" s="367"/>
      <c r="D84" s="1004" t="s">
        <v>1311</v>
      </c>
      <c r="E84" s="438" t="s">
        <v>1312</v>
      </c>
      <c r="F84" s="438" t="s">
        <v>1313</v>
      </c>
      <c r="G84" s="438" t="s">
        <v>1312</v>
      </c>
      <c r="H84" s="1004" t="s">
        <v>359</v>
      </c>
      <c r="I84" s="404" t="s">
        <v>726</v>
      </c>
      <c r="J84" s="465"/>
      <c r="K84" s="379">
        <f>IFERROR((CPSX!K81+CPSX!K137)/('3.Thanh pham'!F$97+'3.Thanh pham'!F$136+'3.Thanh pham'!F$155),0)</f>
        <v>0</v>
      </c>
      <c r="L84" s="379">
        <f>IFERROR((CPSX!L81+CPSX!L137)/('3.Thanh pham'!G$97+'3.Thanh pham'!G$136+'3.Thanh pham'!G$155),0)</f>
        <v>0</v>
      </c>
      <c r="M84" s="379">
        <f>IFERROR((CPSX!M81+CPSX!M137)/('3.Thanh pham'!H$97+'3.Thanh pham'!H$136+'3.Thanh pham'!H$155),0)</f>
        <v>0</v>
      </c>
      <c r="N84" s="379">
        <f>IFERROR((CPSX!N81+CPSX!N137)/('3.Thanh pham'!I$97+'3.Thanh pham'!I$136+'3.Thanh pham'!I$155),0)</f>
        <v>0</v>
      </c>
      <c r="O84" s="379">
        <f>IFERROR((CPSX!O81+CPSX!O137)/('3.Thanh pham'!J$97+'3.Thanh pham'!J$136+'3.Thanh pham'!J$155),0)</f>
        <v>0</v>
      </c>
      <c r="P84" s="379">
        <f>IFERROR((CPSX!P81+CPSX!P137)/('3.Thanh pham'!K$97+'3.Thanh pham'!K$136+'3.Thanh pham'!K$155),0)</f>
        <v>0</v>
      </c>
      <c r="Q84" s="379">
        <f>IFERROR((CPSX!Q81+CPSX!Q137)/('3.Thanh pham'!L$97+'3.Thanh pham'!L$136+'3.Thanh pham'!L$155),0)</f>
        <v>0</v>
      </c>
      <c r="R84" s="379">
        <f>IFERROR((CPSX!R81+CPSX!R137)/('3.Thanh pham'!M$97+'3.Thanh pham'!M$136+'3.Thanh pham'!M$155),0)</f>
        <v>0</v>
      </c>
      <c r="S84" s="379">
        <f>IFERROR((CPSX!S81+CPSX!S137)/('3.Thanh pham'!N$97+'3.Thanh pham'!N$136+'3.Thanh pham'!N$155),0)</f>
        <v>0</v>
      </c>
      <c r="T84" s="379">
        <f>IFERROR((CPSX!T81+CPSX!T137)/('3.Thanh pham'!O$97+'3.Thanh pham'!O$136+'3.Thanh pham'!O$155),0)</f>
        <v>0</v>
      </c>
      <c r="U84" s="379">
        <f>IFERROR((CPSX!U81+CPSX!U137)/('3.Thanh pham'!P$97+'3.Thanh pham'!P$136+'3.Thanh pham'!P$155),0)</f>
        <v>0</v>
      </c>
      <c r="V84" s="379">
        <f>IFERROR((CPSX!V81+CPSX!V137)/('3.Thanh pham'!Q$97+'3.Thanh pham'!Q$136+'3.Thanh pham'!Q$155),0)</f>
        <v>0</v>
      </c>
      <c r="W84" s="379">
        <f>IFERROR((CPSX!W81+CPSX!W137)/('3.Thanh pham'!R$97+'3.Thanh pham'!R$136+'3.Thanh pham'!R$155),0)</f>
        <v>0</v>
      </c>
      <c r="Y84" s="459">
        <f>IFERROR((CPSX!AK81+CPSX!AK137)/$Y$1,0)</f>
        <v>0</v>
      </c>
      <c r="Z84" s="149">
        <f t="shared" si="2"/>
        <v>0</v>
      </c>
    </row>
    <row r="85" spans="2:26" x14ac:dyDescent="0.35">
      <c r="B85" s="367">
        <v>11</v>
      </c>
      <c r="C85" s="367"/>
      <c r="D85" s="1004">
        <v>6271003001</v>
      </c>
      <c r="E85" s="438" t="s">
        <v>702</v>
      </c>
      <c r="F85" s="438" t="s">
        <v>493</v>
      </c>
      <c r="G85" s="438" t="s">
        <v>702</v>
      </c>
      <c r="H85" s="1004" t="s">
        <v>359</v>
      </c>
      <c r="I85" s="404" t="s">
        <v>703</v>
      </c>
      <c r="J85" s="465"/>
      <c r="K85" s="379">
        <f>IFERROR((CPSX!K82+CPSX!K138)/('3.Thanh pham'!F$97+'3.Thanh pham'!F$136+'3.Thanh pham'!F$155),0)</f>
        <v>7.2351673112129378</v>
      </c>
      <c r="L85" s="379">
        <f>IFERROR((CPSX!L82+CPSX!L138)/('3.Thanh pham'!G$97+'3.Thanh pham'!G$136+'3.Thanh pham'!G$155),0)</f>
        <v>9.3023579715594913</v>
      </c>
      <c r="M85" s="379">
        <f>IFERROR((CPSX!M82+CPSX!M138)/('3.Thanh pham'!H$97+'3.Thanh pham'!H$136+'3.Thanh pham'!H$155),0)</f>
        <v>6.5116505800916444</v>
      </c>
      <c r="N85" s="379">
        <f>IFERROR((CPSX!N82+CPSX!N138)/('3.Thanh pham'!I$97+'3.Thanh pham'!I$136+'3.Thanh pham'!I$155),0)</f>
        <v>5.9196823455378587</v>
      </c>
      <c r="O85" s="379">
        <f>IFERROR((CPSX!O82+CPSX!O138)/('3.Thanh pham'!J$97+'3.Thanh pham'!J$136+'3.Thanh pham'!J$155),0)</f>
        <v>5.9269632011813105</v>
      </c>
      <c r="P85" s="379">
        <f>IFERROR((CPSX!P82+CPSX!P138)/('3.Thanh pham'!K$97+'3.Thanh pham'!K$136+'3.Thanh pham'!K$155),0)</f>
        <v>6.1652838855227055</v>
      </c>
      <c r="Q85" s="379">
        <f>IFERROR((CPSX!Q82+CPSX!Q138)/('3.Thanh pham'!L$97+'3.Thanh pham'!L$136+'3.Thanh pham'!L$155),0)</f>
        <v>6.1652838855227055</v>
      </c>
      <c r="R85" s="379">
        <f>IFERROR((CPSX!R82+CPSX!R138)/('3.Thanh pham'!M$97+'3.Thanh pham'!M$136+'3.Thanh pham'!M$155),0)</f>
        <v>6.1652838855227055</v>
      </c>
      <c r="S85" s="379">
        <f>IFERROR((CPSX!S82+CPSX!S138)/('3.Thanh pham'!N$97+'3.Thanh pham'!N$136+'3.Thanh pham'!N$155),0)</f>
        <v>6.1652838855227055</v>
      </c>
      <c r="T85" s="379">
        <f>IFERROR((CPSX!T82+CPSX!T138)/('3.Thanh pham'!O$97+'3.Thanh pham'!O$136+'3.Thanh pham'!O$155),0)</f>
        <v>6.1652838855227055</v>
      </c>
      <c r="U85" s="379">
        <f>IFERROR((CPSX!U82+CPSX!U138)/('3.Thanh pham'!P$97+'3.Thanh pham'!P$136+'3.Thanh pham'!P$155),0)</f>
        <v>6.1652838855227055</v>
      </c>
      <c r="V85" s="379">
        <f>IFERROR((CPSX!V82+CPSX!V138)/('3.Thanh pham'!Q$97+'3.Thanh pham'!Q$136+'3.Thanh pham'!Q$155),0)</f>
        <v>6.1652838855227055</v>
      </c>
      <c r="W85" s="379">
        <f>IFERROR((CPSX!W82+CPSX!W138)/('3.Thanh pham'!R$97+'3.Thanh pham'!R$136+'3.Thanh pham'!R$155),0)</f>
        <v>6.409152257909124</v>
      </c>
      <c r="Y85" s="459">
        <f>IFERROR((CPSX!AK82+CPSX!AK138)/$Y$1,0)</f>
        <v>3.0111459426019285</v>
      </c>
      <c r="Z85" s="149">
        <f t="shared" si="2"/>
        <v>9.420298200511052</v>
      </c>
    </row>
    <row r="86" spans="2:26" x14ac:dyDescent="0.35">
      <c r="B86" s="367">
        <v>12</v>
      </c>
      <c r="C86" s="367"/>
      <c r="D86" s="1004">
        <v>6277003101</v>
      </c>
      <c r="E86" s="438" t="s">
        <v>705</v>
      </c>
      <c r="F86" s="438" t="s">
        <v>493</v>
      </c>
      <c r="G86" s="438" t="s">
        <v>706</v>
      </c>
      <c r="H86" s="1004" t="s">
        <v>359</v>
      </c>
      <c r="I86" s="404" t="s">
        <v>703</v>
      </c>
      <c r="J86" s="465"/>
      <c r="K86" s="379">
        <f>IFERROR((CPSX!K83+CPSX!K139)/('3.Thanh pham'!F$97+'3.Thanh pham'!F$136+'3.Thanh pham'!F$155),0)</f>
        <v>1.7700653212440285</v>
      </c>
      <c r="L86" s="379">
        <f>IFERROR((CPSX!L83+CPSX!L139)/('3.Thanh pham'!G$97+'3.Thanh pham'!G$136+'3.Thanh pham'!G$155),0)</f>
        <v>2.2757982701708936</v>
      </c>
      <c r="M86" s="379">
        <f>IFERROR((CPSX!M83+CPSX!M139)/('3.Thanh pham'!H$97+'3.Thanh pham'!H$136+'3.Thanh pham'!H$155),0)</f>
        <v>4.5178906112898511</v>
      </c>
      <c r="N86" s="379">
        <f>IFERROR((CPSX!N83+CPSX!N139)/('3.Thanh pham'!I$97+'3.Thanh pham'!I$136+'3.Thanh pham'!I$155),0)</f>
        <v>2.6589380201547503</v>
      </c>
      <c r="O86" s="379">
        <f>IFERROR((CPSX!O83+CPSX!O139)/('3.Thanh pham'!J$97+'3.Thanh pham'!J$136+'3.Thanh pham'!J$155),0)</f>
        <v>2.6622083550747018</v>
      </c>
      <c r="P86" s="379">
        <f>IFERROR((CPSX!P83+CPSX!P139)/('3.Thanh pham'!K$97+'3.Thanh pham'!K$136+'3.Thanh pham'!K$155),0)</f>
        <v>3.0600263633040532</v>
      </c>
      <c r="Q86" s="379">
        <f>IFERROR((CPSX!Q83+CPSX!Q139)/('3.Thanh pham'!L$97+'3.Thanh pham'!L$136+'3.Thanh pham'!L$155),0)</f>
        <v>3.0600263633040532</v>
      </c>
      <c r="R86" s="379">
        <f>IFERROR((CPSX!R83+CPSX!R139)/('3.Thanh pham'!M$97+'3.Thanh pham'!M$136+'3.Thanh pham'!M$155),0)</f>
        <v>3.0600263633040532</v>
      </c>
      <c r="S86" s="379">
        <f>IFERROR((CPSX!S83+CPSX!S139)/('3.Thanh pham'!N$97+'3.Thanh pham'!N$136+'3.Thanh pham'!N$155),0)</f>
        <v>3.0600263633040532</v>
      </c>
      <c r="T86" s="379">
        <f>IFERROR((CPSX!T83+CPSX!T139)/('3.Thanh pham'!O$97+'3.Thanh pham'!O$136+'3.Thanh pham'!O$155),0)</f>
        <v>3.0600263633040532</v>
      </c>
      <c r="U86" s="379">
        <f>IFERROR((CPSX!U83+CPSX!U139)/('3.Thanh pham'!P$97+'3.Thanh pham'!P$136+'3.Thanh pham'!P$155),0)</f>
        <v>3.0600263633040532</v>
      </c>
      <c r="V86" s="379">
        <f>IFERROR((CPSX!V83+CPSX!V139)/('3.Thanh pham'!Q$97+'3.Thanh pham'!Q$136+'3.Thanh pham'!Q$155),0)</f>
        <v>3.0600263633040532</v>
      </c>
      <c r="W86" s="379">
        <f>IFERROR((CPSX!W83+CPSX!W139)/('3.Thanh pham'!R$97+'3.Thanh pham'!R$136+'3.Thanh pham'!R$155),0)</f>
        <v>2.9673157224786215</v>
      </c>
      <c r="Y86" s="459">
        <f>IFERROR((CPSX!AK83+CPSX!AK139)/$Y$1,0)</f>
        <v>1.6785089467812691</v>
      </c>
      <c r="Z86" s="149">
        <f t="shared" si="2"/>
        <v>4.6458246692598903</v>
      </c>
    </row>
    <row r="87" spans="2:26" x14ac:dyDescent="0.35">
      <c r="B87" s="367">
        <v>13</v>
      </c>
      <c r="C87" s="367"/>
      <c r="D87" s="1004">
        <v>6273000100</v>
      </c>
      <c r="E87" s="438" t="s">
        <v>724</v>
      </c>
      <c r="F87" s="438" t="s">
        <v>725</v>
      </c>
      <c r="G87" s="438" t="s">
        <v>724</v>
      </c>
      <c r="H87" s="1004" t="s">
        <v>414</v>
      </c>
      <c r="I87" s="404" t="s">
        <v>726</v>
      </c>
      <c r="J87" s="465"/>
      <c r="K87" s="379">
        <f>IFERROR((CPSX!K84+CPSX!K140)/('3.Thanh pham'!F$97+'3.Thanh pham'!F$136+'3.Thanh pham'!F$155),0)</f>
        <v>2.3940281433817554</v>
      </c>
      <c r="L87" s="379">
        <f>IFERROR((CPSX!L84+CPSX!L140)/('3.Thanh pham'!G$97+'3.Thanh pham'!G$136+'3.Thanh pham'!G$155),0)</f>
        <v>2.7437696903856601</v>
      </c>
      <c r="M87" s="379">
        <f>IFERROR((CPSX!M84+CPSX!M140)/('3.Thanh pham'!H$97+'3.Thanh pham'!H$136+'3.Thanh pham'!H$155),0)</f>
        <v>1.9206387832699621</v>
      </c>
      <c r="N87" s="379">
        <f>IFERROR((CPSX!N84+CPSX!N140)/('3.Thanh pham'!I$97+'3.Thanh pham'!I$136+'3.Thanh pham'!I$155),0)</f>
        <v>1.3383317822861549</v>
      </c>
      <c r="O87" s="379">
        <f>IFERROR((CPSX!O84+CPSX!O140)/('3.Thanh pham'!J$97+'3.Thanh pham'!J$136+'3.Thanh pham'!J$155),0)</f>
        <v>1.3399778504264859</v>
      </c>
      <c r="P87" s="379">
        <f>IFERROR((CPSX!P84+CPSX!P140)/('3.Thanh pham'!K$97+'3.Thanh pham'!K$136+'3.Thanh pham'!K$155),0)</f>
        <v>1.3938577932363725</v>
      </c>
      <c r="Q87" s="379">
        <f>IFERROR((CPSX!Q84+CPSX!Q140)/('3.Thanh pham'!L$97+'3.Thanh pham'!L$136+'3.Thanh pham'!L$155),0)</f>
        <v>1.176933216655405</v>
      </c>
      <c r="R87" s="379">
        <f>IFERROR((CPSX!R84+CPSX!R140)/('3.Thanh pham'!M$97+'3.Thanh pham'!M$136+'3.Thanh pham'!M$155),0)</f>
        <v>1.0107779390099361</v>
      </c>
      <c r="S87" s="379">
        <f>IFERROR((CPSX!S84+CPSX!S140)/('3.Thanh pham'!N$97+'3.Thanh pham'!N$136+'3.Thanh pham'!N$155),0)</f>
        <v>1.0107779390099361</v>
      </c>
      <c r="T87" s="379">
        <f>IFERROR((CPSX!T84+CPSX!T140)/('3.Thanh pham'!O$97+'3.Thanh pham'!O$136+'3.Thanh pham'!O$155),0)</f>
        <v>0.77077550206586398</v>
      </c>
      <c r="U87" s="379">
        <f>IFERROR((CPSX!U84+CPSX!U140)/('3.Thanh pham'!P$97+'3.Thanh pham'!P$136+'3.Thanh pham'!P$155),0)</f>
        <v>0.77077550206586398</v>
      </c>
      <c r="V87" s="379">
        <f>IFERROR((CPSX!V84+CPSX!V140)/('3.Thanh pham'!Q$97+'3.Thanh pham'!Q$136+'3.Thanh pham'!Q$155),0)</f>
        <v>0.77077550206586398</v>
      </c>
      <c r="W87" s="379">
        <f>IFERROR((CPSX!W84+CPSX!W140)/('3.Thanh pham'!R$97+'3.Thanh pham'!R$136+'3.Thanh pham'!R$155),0)</f>
        <v>1.3314412627920356</v>
      </c>
      <c r="Y87" s="459">
        <f>IFERROR((CPSX!AK84+CPSX!AK140)/$Y$1,0)</f>
        <v>15.325534753062819</v>
      </c>
      <c r="Z87" s="149">
        <f t="shared" si="2"/>
        <v>16.656976015854855</v>
      </c>
    </row>
    <row r="88" spans="2:26" x14ac:dyDescent="0.35">
      <c r="B88" s="367">
        <v>14</v>
      </c>
      <c r="C88" s="367"/>
      <c r="D88" s="1004">
        <v>6275001803</v>
      </c>
      <c r="E88" s="438" t="s">
        <v>727</v>
      </c>
      <c r="F88" s="438" t="s">
        <v>716</v>
      </c>
      <c r="G88" s="438" t="s">
        <v>727</v>
      </c>
      <c r="H88" s="1004" t="s">
        <v>414</v>
      </c>
      <c r="I88" s="404" t="s">
        <v>726</v>
      </c>
      <c r="J88" s="465"/>
      <c r="K88" s="379">
        <f>IFERROR((CPSX!K85+CPSX!K141)/('3.Thanh pham'!F$97+'3.Thanh pham'!F$136+'3.Thanh pham'!F$155),0)</f>
        <v>19.089402359364335</v>
      </c>
      <c r="L88" s="379">
        <f>IFERROR((CPSX!L85+CPSX!L141)/('3.Thanh pham'!G$97+'3.Thanh pham'!G$136+'3.Thanh pham'!G$155),0)</f>
        <v>19.089402359364339</v>
      </c>
      <c r="M88" s="379">
        <f>IFERROR((CPSX!M85+CPSX!M141)/('3.Thanh pham'!H$97+'3.Thanh pham'!H$136+'3.Thanh pham'!H$155),0)</f>
        <v>19.089402359364339</v>
      </c>
      <c r="N88" s="379">
        <f>IFERROR((CPSX!N85+CPSX!N141)/('3.Thanh pham'!I$97+'3.Thanh pham'!I$136+'3.Thanh pham'!I$155),0)</f>
        <v>19.089402359364339</v>
      </c>
      <c r="O88" s="379">
        <f>IFERROR((CPSX!O85+CPSX!O141)/('3.Thanh pham'!J$97+'3.Thanh pham'!J$136+'3.Thanh pham'!J$155),0)</f>
        <v>19.145834427286765</v>
      </c>
      <c r="P88" s="379">
        <f>IFERROR((CPSX!P85+CPSX!P141)/('3.Thanh pham'!K$97+'3.Thanh pham'!K$136+'3.Thanh pham'!K$155),0)</f>
        <v>34.873194875694843</v>
      </c>
      <c r="Q88" s="379">
        <f>IFERROR((CPSX!Q85+CPSX!Q141)/('3.Thanh pham'!L$97+'3.Thanh pham'!L$136+'3.Thanh pham'!L$155),0)</f>
        <v>34.873194875694843</v>
      </c>
      <c r="R88" s="379">
        <f>IFERROR((CPSX!R85+CPSX!R141)/('3.Thanh pham'!M$97+'3.Thanh pham'!M$136+'3.Thanh pham'!M$155),0)</f>
        <v>34.873194875694843</v>
      </c>
      <c r="S88" s="379">
        <f>IFERROR((CPSX!S85+CPSX!S141)/('3.Thanh pham'!N$97+'3.Thanh pham'!N$136+'3.Thanh pham'!N$155),0)</f>
        <v>34.873194875694843</v>
      </c>
      <c r="T88" s="379">
        <f>IFERROR((CPSX!T85+CPSX!T141)/('3.Thanh pham'!O$97+'3.Thanh pham'!O$136+'3.Thanh pham'!O$155),0)</f>
        <v>34.873194875694843</v>
      </c>
      <c r="U88" s="379">
        <f>IFERROR((CPSX!U85+CPSX!U141)/('3.Thanh pham'!P$97+'3.Thanh pham'!P$136+'3.Thanh pham'!P$155),0)</f>
        <v>34.873194875694843</v>
      </c>
      <c r="V88" s="379">
        <f>IFERROR((CPSX!V85+CPSX!V141)/('3.Thanh pham'!Q$97+'3.Thanh pham'!Q$136+'3.Thanh pham'!Q$155),0)</f>
        <v>34.873194875694843</v>
      </c>
      <c r="W88" s="379">
        <f>IFERROR((CPSX!W85+CPSX!W141)/('3.Thanh pham'!R$97+'3.Thanh pham'!R$136+'3.Thanh pham'!R$155),0)</f>
        <v>28.66589205081992</v>
      </c>
      <c r="Y88" s="459">
        <f>IFERROR((CPSX!AK85+CPSX!AK141)/$Y$1,0)</f>
        <v>21.619101521516054</v>
      </c>
      <c r="Z88" s="149">
        <f t="shared" si="2"/>
        <v>50.284993572335978</v>
      </c>
    </row>
    <row r="89" spans="2:26" x14ac:dyDescent="0.35">
      <c r="B89" s="367">
        <v>15</v>
      </c>
      <c r="C89" s="367"/>
      <c r="D89" s="1004">
        <v>6277002804</v>
      </c>
      <c r="E89" s="438" t="s">
        <v>728</v>
      </c>
      <c r="F89" s="438" t="s">
        <v>729</v>
      </c>
      <c r="G89" s="438" t="s">
        <v>728</v>
      </c>
      <c r="H89" s="1004" t="s">
        <v>359</v>
      </c>
      <c r="I89" s="404" t="s">
        <v>726</v>
      </c>
      <c r="J89" s="465"/>
      <c r="K89" s="379">
        <f>IFERROR((CPSX!K86+CPSX!K142)/('3.Thanh pham'!F$97+'3.Thanh pham'!F$136+'3.Thanh pham'!F$155),0)</f>
        <v>7.8970459198596084</v>
      </c>
      <c r="L89" s="379">
        <f>IFERROR((CPSX!L86+CPSX!L142)/('3.Thanh pham'!G$97+'3.Thanh pham'!G$136+'3.Thanh pham'!G$155),0)</f>
        <v>10.153344754105211</v>
      </c>
      <c r="M89" s="379">
        <f>IFERROR((CPSX!M86+CPSX!M142)/('3.Thanh pham'!H$97+'3.Thanh pham'!H$136+'3.Thanh pham'!H$155),0)</f>
        <v>7.1073413278736473</v>
      </c>
      <c r="N89" s="379">
        <f>IFERROR((CPSX!N86+CPSX!N142)/('3.Thanh pham'!I$97+'3.Thanh pham'!I$136+'3.Thanh pham'!I$155),0)</f>
        <v>6.4612193889760432</v>
      </c>
      <c r="O89" s="379">
        <f>IFERROR((CPSX!O86+CPSX!O142)/('3.Thanh pham'!J$97+'3.Thanh pham'!J$136+'3.Thanh pham'!J$155),0)</f>
        <v>6.4691663028315247</v>
      </c>
      <c r="P89" s="379">
        <f>IFERROR((CPSX!P86+CPSX!P142)/('3.Thanh pham'!K$97+'3.Thanh pham'!K$136+'3.Thanh pham'!K$155),0)</f>
        <v>6.729288744641492</v>
      </c>
      <c r="Q89" s="379">
        <f>IFERROR((CPSX!Q86+CPSX!Q142)/('3.Thanh pham'!L$97+'3.Thanh pham'!L$136+'3.Thanh pham'!L$155),0)</f>
        <v>6.729288744641492</v>
      </c>
      <c r="R89" s="379">
        <f>IFERROR((CPSX!R86+CPSX!R142)/('3.Thanh pham'!M$97+'3.Thanh pham'!M$136+'3.Thanh pham'!M$155),0)</f>
        <v>6.729288744641492</v>
      </c>
      <c r="S89" s="379">
        <f>IFERROR((CPSX!S86+CPSX!S142)/('3.Thanh pham'!N$97+'3.Thanh pham'!N$136+'3.Thanh pham'!N$155),0)</f>
        <v>6.729288744641492</v>
      </c>
      <c r="T89" s="379">
        <f>IFERROR((CPSX!T86+CPSX!T142)/('3.Thanh pham'!O$97+'3.Thanh pham'!O$136+'3.Thanh pham'!O$155),0)</f>
        <v>6.729288744641492</v>
      </c>
      <c r="U89" s="379">
        <f>IFERROR((CPSX!U86+CPSX!U142)/('3.Thanh pham'!P$97+'3.Thanh pham'!P$136+'3.Thanh pham'!P$155),0)</f>
        <v>6.729288744641492</v>
      </c>
      <c r="V89" s="379">
        <f>IFERROR((CPSX!V86+CPSX!V142)/('3.Thanh pham'!Q$97+'3.Thanh pham'!Q$136+'3.Thanh pham'!Q$155),0)</f>
        <v>6.729288744641492</v>
      </c>
      <c r="W89" s="379">
        <f>IFERROR((CPSX!W86+CPSX!W142)/('3.Thanh pham'!R$97+'3.Thanh pham'!R$136+'3.Thanh pham'!R$155),0)</f>
        <v>6.9954663812183719</v>
      </c>
      <c r="Y89" s="459">
        <f>IFERROR((CPSX!AK86+CPSX!AK142)/$Y$1,0)</f>
        <v>4.5174948749373165</v>
      </c>
      <c r="Z89" s="149">
        <f t="shared" si="2"/>
        <v>11.512961256155688</v>
      </c>
    </row>
    <row r="90" spans="2:26" x14ac:dyDescent="0.35">
      <c r="B90" s="367">
        <v>16</v>
      </c>
      <c r="C90" s="367"/>
      <c r="D90" s="1004">
        <v>6277003702</v>
      </c>
      <c r="E90" s="438" t="s">
        <v>730</v>
      </c>
      <c r="F90" s="438" t="s">
        <v>731</v>
      </c>
      <c r="G90" s="438" t="s">
        <v>730</v>
      </c>
      <c r="H90" s="1004" t="s">
        <v>356</v>
      </c>
      <c r="I90" s="404" t="s">
        <v>703</v>
      </c>
      <c r="J90" s="465"/>
      <c r="K90" s="379">
        <f>IFERROR((CPSX!K87+CPSX!K143)/('3.Thanh pham'!F$97+'3.Thanh pham'!F$136+'3.Thanh pham'!F$155),0)</f>
        <v>8.0549868382568004</v>
      </c>
      <c r="L90" s="379">
        <f>IFERROR((CPSX!L87+CPSX!L143)/('3.Thanh pham'!G$97+'3.Thanh pham'!G$136+'3.Thanh pham'!G$155),0)</f>
        <v>10.356411649187315</v>
      </c>
      <c r="M90" s="379">
        <f>IFERROR((CPSX!M87+CPSX!M143)/('3.Thanh pham'!H$97+'3.Thanh pham'!H$136+'3.Thanh pham'!H$155),0)</f>
        <v>7.2494881544311198</v>
      </c>
      <c r="N90" s="379">
        <f>IFERROR((CPSX!N87+CPSX!N143)/('3.Thanh pham'!I$97+'3.Thanh pham'!I$136+'3.Thanh pham'!I$155),0)</f>
        <v>6.5904437767555635</v>
      </c>
      <c r="O90" s="379">
        <f>IFERROR((CPSX!O87+CPSX!O143)/('3.Thanh pham'!J$97+'3.Thanh pham'!J$136+'3.Thanh pham'!J$155),0)</f>
        <v>6.5985496288881551</v>
      </c>
      <c r="P90" s="379">
        <f>IFERROR((CPSX!P87+CPSX!P143)/('3.Thanh pham'!K$97+'3.Thanh pham'!K$136+'3.Thanh pham'!K$155),0)</f>
        <v>6.8638745195343223</v>
      </c>
      <c r="Q90" s="379">
        <f>IFERROR((CPSX!Q87+CPSX!Q143)/('3.Thanh pham'!L$97+'3.Thanh pham'!L$136+'3.Thanh pham'!L$155),0)</f>
        <v>6.8638745195343223</v>
      </c>
      <c r="R90" s="379">
        <f>IFERROR((CPSX!R87+CPSX!R143)/('3.Thanh pham'!M$97+'3.Thanh pham'!M$136+'3.Thanh pham'!M$155),0)</f>
        <v>6.8638745195343223</v>
      </c>
      <c r="S90" s="379">
        <f>IFERROR((CPSX!S87+CPSX!S143)/('3.Thanh pham'!N$97+'3.Thanh pham'!N$136+'3.Thanh pham'!N$155),0)</f>
        <v>6.8638745195343223</v>
      </c>
      <c r="T90" s="379">
        <f>IFERROR((CPSX!T87+CPSX!T143)/('3.Thanh pham'!O$97+'3.Thanh pham'!O$136+'3.Thanh pham'!O$155),0)</f>
        <v>6.8638745195343223</v>
      </c>
      <c r="U90" s="379">
        <f>IFERROR((CPSX!U87+CPSX!U143)/('3.Thanh pham'!P$97+'3.Thanh pham'!P$136+'3.Thanh pham'!P$155),0)</f>
        <v>6.8638745195343223</v>
      </c>
      <c r="V90" s="379">
        <f>IFERROR((CPSX!V87+CPSX!V143)/('3.Thanh pham'!Q$97+'3.Thanh pham'!Q$136+'3.Thanh pham'!Q$155),0)</f>
        <v>6.8638745195343223</v>
      </c>
      <c r="W90" s="379">
        <f>IFERROR((CPSX!W87+CPSX!W143)/('3.Thanh pham'!R$97+'3.Thanh pham'!R$136+'3.Thanh pham'!R$155),0)</f>
        <v>7.1353757088427399</v>
      </c>
      <c r="Y90" s="459">
        <f>IFERROR((CPSX!AK87+CPSX!AK143)/$Y$1,0)</f>
        <v>23.468573499183869</v>
      </c>
      <c r="Z90" s="149">
        <f t="shared" si="2"/>
        <v>30.603949208026609</v>
      </c>
    </row>
    <row r="91" spans="2:26" x14ac:dyDescent="0.35">
      <c r="B91" s="367">
        <v>17</v>
      </c>
      <c r="C91" s="367"/>
      <c r="D91" s="1004">
        <v>6277005001</v>
      </c>
      <c r="E91" s="438" t="s">
        <v>732</v>
      </c>
      <c r="F91" s="438" t="s">
        <v>733</v>
      </c>
      <c r="G91" s="438" t="s">
        <v>732</v>
      </c>
      <c r="H91" s="1004" t="s">
        <v>356</v>
      </c>
      <c r="I91" s="404" t="s">
        <v>709</v>
      </c>
      <c r="J91" s="1090"/>
      <c r="K91" s="379">
        <f>IFERROR((CPSX!K88+CPSX!K144)/('3.Thanh pham'!F$97+'3.Thanh pham'!F$136+'3.Thanh pham'!F$155),0)</f>
        <v>600.1486490526795</v>
      </c>
      <c r="L91" s="379">
        <f>IFERROR((CPSX!L88+CPSX!L144)/('3.Thanh pham'!G$97+'3.Thanh pham'!G$136+'3.Thanh pham'!G$155),0)</f>
        <v>771.61969163915933</v>
      </c>
      <c r="M91" s="379">
        <f>IFERROR((CPSX!M88+CPSX!M144)/('3.Thanh pham'!H$97+'3.Thanh pham'!H$136+'3.Thanh pham'!H$155),0)</f>
        <v>540.13378414741157</v>
      </c>
      <c r="N91" s="379">
        <f>IFERROR((CPSX!N88+CPSX!N144)/('3.Thanh pham'!I$97+'3.Thanh pham'!I$136+'3.Thanh pham'!I$155),0)</f>
        <v>491.03071286128318</v>
      </c>
      <c r="O91" s="379">
        <f>IFERROR((CPSX!O88+CPSX!O144)/('3.Thanh pham'!J$97+'3.Thanh pham'!J$136+'3.Thanh pham'!J$155),0)</f>
        <v>491.63465130394962</v>
      </c>
      <c r="P91" s="379">
        <f>IFERROR((CPSX!P88+CPSX!P144)/('3.Thanh pham'!K$97+'3.Thanh pham'!K$136+'3.Thanh pham'!K$155),0)</f>
        <v>511.40307276493456</v>
      </c>
      <c r="Q91" s="379">
        <f>IFERROR((CPSX!Q88+CPSX!Q144)/('3.Thanh pham'!L$97+'3.Thanh pham'!L$136+'3.Thanh pham'!L$155),0)</f>
        <v>511.40307276493456</v>
      </c>
      <c r="R91" s="379">
        <f>IFERROR((CPSX!R88+CPSX!R144)/('3.Thanh pham'!M$97+'3.Thanh pham'!M$136+'3.Thanh pham'!M$155),0)</f>
        <v>511.40307276493456</v>
      </c>
      <c r="S91" s="379">
        <f>IFERROR((CPSX!S88+CPSX!S144)/('3.Thanh pham'!N$97+'3.Thanh pham'!N$136+'3.Thanh pham'!N$155),0)</f>
        <v>511.40307276493456</v>
      </c>
      <c r="T91" s="379">
        <f>IFERROR((CPSX!T88+CPSX!T144)/('3.Thanh pham'!O$97+'3.Thanh pham'!O$136+'3.Thanh pham'!O$155),0)</f>
        <v>511.40307276493456</v>
      </c>
      <c r="U91" s="379">
        <f>IFERROR((CPSX!U88+CPSX!U144)/('3.Thanh pham'!P$97+'3.Thanh pham'!P$136+'3.Thanh pham'!P$155),0)</f>
        <v>511.40307276493456</v>
      </c>
      <c r="V91" s="379">
        <f>IFERROR((CPSX!V88+CPSX!V144)/('3.Thanh pham'!Q$97+'3.Thanh pham'!Q$136+'3.Thanh pham'!Q$155),0)</f>
        <v>511.40307276493456</v>
      </c>
      <c r="W91" s="379">
        <f>IFERROR((CPSX!W88+CPSX!W144)/('3.Thanh pham'!R$97+'3.Thanh pham'!R$136+'3.Thanh pham'!R$155),0)</f>
        <v>531.63166844751981</v>
      </c>
      <c r="Y91" s="1091">
        <f>IFERROR((CPSX!AK88+CPSX!AK144)/$Y$1,0)</f>
        <v>587.72179239843354</v>
      </c>
      <c r="Z91" s="149">
        <f t="shared" si="2"/>
        <v>1119.3534608459534</v>
      </c>
    </row>
    <row r="92" spans="2:26" x14ac:dyDescent="0.35">
      <c r="B92" s="367">
        <v>18</v>
      </c>
      <c r="C92" s="367"/>
      <c r="D92" s="1004">
        <v>6278007201</v>
      </c>
      <c r="E92" s="438" t="s">
        <v>734</v>
      </c>
      <c r="F92" s="438" t="s">
        <v>729</v>
      </c>
      <c r="G92" s="438" t="s">
        <v>734</v>
      </c>
      <c r="H92" s="1004" t="s">
        <v>414</v>
      </c>
      <c r="I92" s="404" t="s">
        <v>726</v>
      </c>
      <c r="J92" s="465"/>
      <c r="K92" s="379">
        <f>IFERROR((CPSX!K89+CPSX!K145)/('3.Thanh pham'!F$97+'3.Thanh pham'!F$136+'3.Thanh pham'!F$155),0)</f>
        <v>15.206959366503092</v>
      </c>
      <c r="L92" s="379">
        <f>IFERROR((CPSX!L89+CPSX!L145)/('3.Thanh pham'!G$97+'3.Thanh pham'!G$136+'3.Thanh pham'!G$155),0)</f>
        <v>19.55180489978969</v>
      </c>
      <c r="M92" s="379">
        <f>IFERROR((CPSX!M89+CPSX!M145)/('3.Thanh pham'!H$97+'3.Thanh pham'!H$136+'3.Thanh pham'!H$155),0)</f>
        <v>13.210490396802182</v>
      </c>
      <c r="N92" s="379">
        <f>IFERROR((CPSX!N89+CPSX!N145)/('3.Thanh pham'!I$97+'3.Thanh pham'!I$136+'3.Thanh pham'!I$155),0)</f>
        <v>12.009536724365621</v>
      </c>
      <c r="O92" s="379">
        <f>IFERROR((CPSX!O89+CPSX!O145)/('3.Thanh pham'!J$97+'3.Thanh pham'!J$136+'3.Thanh pham'!J$155),0)</f>
        <v>12.024307737087401</v>
      </c>
      <c r="P92" s="379">
        <f>IFERROR((CPSX!P89+CPSX!P145)/('3.Thanh pham'!K$97+'3.Thanh pham'!K$136+'3.Thanh pham'!K$155),0)</f>
        <v>12.507800067200579</v>
      </c>
      <c r="Q92" s="379">
        <f>IFERROR((CPSX!Q89+CPSX!Q145)/('3.Thanh pham'!L$97+'3.Thanh pham'!L$136+'3.Thanh pham'!L$155),0)</f>
        <v>12.507800067200579</v>
      </c>
      <c r="R92" s="379">
        <f>IFERROR((CPSX!R89+CPSX!R145)/('3.Thanh pham'!M$97+'3.Thanh pham'!M$136+'3.Thanh pham'!M$155),0)</f>
        <v>12.507800067200579</v>
      </c>
      <c r="S92" s="379">
        <f>IFERROR((CPSX!S89+CPSX!S145)/('3.Thanh pham'!N$97+'3.Thanh pham'!N$136+'3.Thanh pham'!N$155),0)</f>
        <v>12.507800067200579</v>
      </c>
      <c r="T92" s="379">
        <f>IFERROR((CPSX!T89+CPSX!T145)/('3.Thanh pham'!O$97+'3.Thanh pham'!O$136+'3.Thanh pham'!O$155),0)</f>
        <v>12.507800067200579</v>
      </c>
      <c r="U92" s="379">
        <f>IFERROR((CPSX!U89+CPSX!U145)/('3.Thanh pham'!P$97+'3.Thanh pham'!P$136+'3.Thanh pham'!P$155),0)</f>
        <v>12.507800067200579</v>
      </c>
      <c r="V92" s="379">
        <f>IFERROR((CPSX!V89+CPSX!V145)/('3.Thanh pham'!Q$97+'3.Thanh pham'!Q$136+'3.Thanh pham'!Q$155),0)</f>
        <v>12.507800067200579</v>
      </c>
      <c r="W92" s="379">
        <f>IFERROR((CPSX!W89+CPSX!W145)/('3.Thanh pham'!R$97+'3.Thanh pham'!R$136+'3.Thanh pham'!R$155),0)</f>
        <v>13.080594585854479</v>
      </c>
      <c r="Y92" s="459">
        <f>IFERROR((CPSX!AK89+CPSX!AK145)/$Y$1,0)</f>
        <v>179.26636030552072</v>
      </c>
      <c r="Z92" s="149">
        <f t="shared" ref="Z92:Z109" si="9">W92+Y92</f>
        <v>192.34695489137519</v>
      </c>
    </row>
    <row r="93" spans="2:26" x14ac:dyDescent="0.35">
      <c r="B93" s="367">
        <v>19</v>
      </c>
      <c r="C93" s="367"/>
      <c r="D93" s="1004" t="s">
        <v>932</v>
      </c>
      <c r="E93" s="438" t="s">
        <v>940</v>
      </c>
      <c r="F93" s="438" t="s">
        <v>738</v>
      </c>
      <c r="G93" s="438" t="s">
        <v>2117</v>
      </c>
      <c r="H93" s="1004" t="s">
        <v>401</v>
      </c>
      <c r="I93" s="404" t="s">
        <v>726</v>
      </c>
      <c r="J93" s="465"/>
      <c r="K93" s="379">
        <f>IFERROR((CPSX!K90+CPSX!K146)/('3.Thanh pham'!F$97+'3.Thanh pham'!F$136+'3.Thanh pham'!F$155),0)</f>
        <v>0</v>
      </c>
      <c r="L93" s="379">
        <f>IFERROR((CPSX!L90+CPSX!L146)/('3.Thanh pham'!G$97+'3.Thanh pham'!G$136+'3.Thanh pham'!G$155),0)</f>
        <v>0</v>
      </c>
      <c r="M93" s="379">
        <f>IFERROR((CPSX!M90+CPSX!M146)/('3.Thanh pham'!H$97+'3.Thanh pham'!H$136+'3.Thanh pham'!H$155),0)</f>
        <v>0</v>
      </c>
      <c r="N93" s="379">
        <f>IFERROR((CPSX!N90+CPSX!N146)/('3.Thanh pham'!I$97+'3.Thanh pham'!I$136+'3.Thanh pham'!I$155),0)</f>
        <v>0</v>
      </c>
      <c r="O93" s="379">
        <f>IFERROR((CPSX!O90+CPSX!O146)/('3.Thanh pham'!J$97+'3.Thanh pham'!J$136+'3.Thanh pham'!J$155),0)</f>
        <v>0</v>
      </c>
      <c r="P93" s="379">
        <f>IFERROR((CPSX!P90+CPSX!P146)/('3.Thanh pham'!K$97+'3.Thanh pham'!K$136+'3.Thanh pham'!K$155),0)</f>
        <v>0</v>
      </c>
      <c r="Q93" s="379">
        <f>IFERROR((CPSX!Q90+CPSX!Q146)/('3.Thanh pham'!L$97+'3.Thanh pham'!L$136+'3.Thanh pham'!L$155),0)</f>
        <v>0</v>
      </c>
      <c r="R93" s="379">
        <f>IFERROR((CPSX!R90+CPSX!R146)/('3.Thanh pham'!M$97+'3.Thanh pham'!M$136+'3.Thanh pham'!M$155),0)</f>
        <v>0</v>
      </c>
      <c r="S93" s="379">
        <f>IFERROR((CPSX!S90+CPSX!S146)/('3.Thanh pham'!N$97+'3.Thanh pham'!N$136+'3.Thanh pham'!N$155),0)</f>
        <v>0</v>
      </c>
      <c r="T93" s="379">
        <f>IFERROR((CPSX!T90+CPSX!T146)/('3.Thanh pham'!O$97+'3.Thanh pham'!O$136+'3.Thanh pham'!O$155),0)</f>
        <v>0</v>
      </c>
      <c r="U93" s="379">
        <f>IFERROR((CPSX!U90+CPSX!U146)/('3.Thanh pham'!P$97+'3.Thanh pham'!P$136+'3.Thanh pham'!P$155),0)</f>
        <v>0</v>
      </c>
      <c r="V93" s="379">
        <f>IFERROR((CPSX!V90+CPSX!V146)/('3.Thanh pham'!Q$97+'3.Thanh pham'!Q$136+'3.Thanh pham'!Q$155),0)</f>
        <v>0</v>
      </c>
      <c r="W93" s="379">
        <f>IFERROR((CPSX!W90+CPSX!W146)/('3.Thanh pham'!R$97+'3.Thanh pham'!R$136+'3.Thanh pham'!R$155),0)</f>
        <v>0</v>
      </c>
      <c r="Y93" s="459">
        <f>IFERROR((CPSX!AK90+CPSX!AK146)/$Y$1,0)</f>
        <v>0</v>
      </c>
      <c r="Z93" s="149">
        <f t="shared" si="9"/>
        <v>0</v>
      </c>
    </row>
    <row r="94" spans="2:26" x14ac:dyDescent="0.35">
      <c r="B94" s="367">
        <v>20</v>
      </c>
      <c r="C94" s="367"/>
      <c r="D94" s="1004">
        <v>6273006501</v>
      </c>
      <c r="E94" s="438" t="s">
        <v>737</v>
      </c>
      <c r="F94" s="438" t="s">
        <v>738</v>
      </c>
      <c r="G94" s="438" t="s">
        <v>739</v>
      </c>
      <c r="H94" s="1004" t="s">
        <v>401</v>
      </c>
      <c r="I94" s="404" t="s">
        <v>703</v>
      </c>
      <c r="J94" s="465"/>
      <c r="K94" s="379">
        <f>IFERROR((CPSX!K91+CPSX!K147)/('3.Thanh pham'!F$97+'3.Thanh pham'!F$136+'3.Thanh pham'!F$155),0)</f>
        <v>126.61170871563775</v>
      </c>
      <c r="L94" s="379">
        <f>IFERROR((CPSX!L91+CPSX!L147)/('3.Thanh pham'!G$97+'3.Thanh pham'!G$136+'3.Thanh pham'!G$155),0)</f>
        <v>188.0589794658236</v>
      </c>
      <c r="M94" s="379">
        <f>IFERROR((CPSX!M91+CPSX!M147)/('3.Thanh pham'!H$97+'3.Thanh pham'!H$136+'3.Thanh pham'!H$155),0)</f>
        <v>86.338890513795448</v>
      </c>
      <c r="N94" s="379">
        <f>IFERROR((CPSX!N91+CPSX!N147)/('3.Thanh pham'!I$97+'3.Thanh pham'!I$136+'3.Thanh pham'!I$155),0)</f>
        <v>87.661168573716111</v>
      </c>
      <c r="O94" s="379">
        <f>IFERROR((CPSX!O91+CPSX!O147)/('3.Thanh pham'!J$97+'3.Thanh pham'!J$136+'3.Thanh pham'!J$155),0)</f>
        <v>97.327379452247655</v>
      </c>
      <c r="P94" s="379">
        <f>IFERROR((CPSX!P91+CPSX!P147)/('3.Thanh pham'!K$97+'3.Thanh pham'!K$136+'3.Thanh pham'!K$155),0)</f>
        <v>118.08310963909842</v>
      </c>
      <c r="Q94" s="379">
        <f>IFERROR((CPSX!Q91+CPSX!Q147)/('3.Thanh pham'!L$97+'3.Thanh pham'!L$136+'3.Thanh pham'!L$155),0)</f>
        <v>127.78097780534722</v>
      </c>
      <c r="R94" s="379">
        <f>IFERROR((CPSX!R91+CPSX!R147)/('3.Thanh pham'!M$97+'3.Thanh pham'!M$136+'3.Thanh pham'!M$155),0)</f>
        <v>135.2893501851708</v>
      </c>
      <c r="S94" s="379">
        <f>IFERROR((CPSX!S91+CPSX!S147)/('3.Thanh pham'!N$97+'3.Thanh pham'!N$136+'3.Thanh pham'!N$155),0)</f>
        <v>144.19711923671957</v>
      </c>
      <c r="T94" s="379">
        <f>IFERROR((CPSX!T91+CPSX!T147)/('3.Thanh pham'!O$97+'3.Thanh pham'!O$136+'3.Thanh pham'!O$155),0)</f>
        <v>152.4131284823377</v>
      </c>
      <c r="U94" s="379">
        <f>IFERROR((CPSX!U91+CPSX!U147)/('3.Thanh pham'!P$97+'3.Thanh pham'!P$136+'3.Thanh pham'!P$155),0)</f>
        <v>158.88395346175292</v>
      </c>
      <c r="V94" s="379">
        <f>IFERROR((CPSX!V91+CPSX!V147)/('3.Thanh pham'!Q$97+'3.Thanh pham'!Q$136+'3.Thanh pham'!Q$155),0)</f>
        <v>160.73012321336924</v>
      </c>
      <c r="W94" s="379">
        <f>IFERROR((CPSX!W91+CPSX!W147)/('3.Thanh pham'!R$97+'3.Thanh pham'!R$136+'3.Thanh pham'!R$155),0)</f>
        <v>130.30749291643724</v>
      </c>
      <c r="Y94" s="459">
        <f>IFERROR((CPSX!AK91+CPSX!AK147)/$Y$1,0)</f>
        <v>126.2530726304895</v>
      </c>
      <c r="Z94" s="149">
        <f t="shared" si="9"/>
        <v>256.56056554692674</v>
      </c>
    </row>
    <row r="95" spans="2:26" x14ac:dyDescent="0.35">
      <c r="B95" s="367">
        <v>21</v>
      </c>
      <c r="C95" s="367"/>
      <c r="D95" s="1004" t="s">
        <v>740</v>
      </c>
      <c r="E95" s="438" t="s">
        <v>741</v>
      </c>
      <c r="F95" s="438" t="s">
        <v>742</v>
      </c>
      <c r="G95" s="438" t="s">
        <v>706</v>
      </c>
      <c r="H95" s="1004" t="s">
        <v>359</v>
      </c>
      <c r="I95" s="404" t="s">
        <v>703</v>
      </c>
      <c r="J95" s="465"/>
      <c r="K95" s="379">
        <f>IFERROR((CPSX!K92+CPSX!K148)/('3.Thanh pham'!F$97+'3.Thanh pham'!F$136+'3.Thanh pham'!F$155),0)</f>
        <v>0</v>
      </c>
      <c r="L95" s="379">
        <f>IFERROR((CPSX!L92+CPSX!L148)/('3.Thanh pham'!G$97+'3.Thanh pham'!G$136+'3.Thanh pham'!G$155),0)</f>
        <v>0</v>
      </c>
      <c r="M95" s="379">
        <f>IFERROR((CPSX!M92+CPSX!M148)/('3.Thanh pham'!H$97+'3.Thanh pham'!H$136+'3.Thanh pham'!H$155),0)</f>
        <v>0</v>
      </c>
      <c r="N95" s="379">
        <f>IFERROR((CPSX!N92+CPSX!N148)/('3.Thanh pham'!I$97+'3.Thanh pham'!I$136+'3.Thanh pham'!I$155),0)</f>
        <v>0</v>
      </c>
      <c r="O95" s="379">
        <f>IFERROR((CPSX!O92+CPSX!O148)/('3.Thanh pham'!J$97+'3.Thanh pham'!J$136+'3.Thanh pham'!J$155),0)</f>
        <v>0</v>
      </c>
      <c r="P95" s="379">
        <f>IFERROR((CPSX!P92+CPSX!P148)/('3.Thanh pham'!K$97+'3.Thanh pham'!K$136+'3.Thanh pham'!K$155),0)</f>
        <v>0</v>
      </c>
      <c r="Q95" s="379">
        <f>IFERROR((CPSX!Q92+CPSX!Q148)/('3.Thanh pham'!L$97+'3.Thanh pham'!L$136+'3.Thanh pham'!L$155),0)</f>
        <v>0</v>
      </c>
      <c r="R95" s="379">
        <f>IFERROR((CPSX!R92+CPSX!R148)/('3.Thanh pham'!M$97+'3.Thanh pham'!M$136+'3.Thanh pham'!M$155),0)</f>
        <v>0</v>
      </c>
      <c r="S95" s="379">
        <f>IFERROR((CPSX!S92+CPSX!S148)/('3.Thanh pham'!N$97+'3.Thanh pham'!N$136+'3.Thanh pham'!N$155),0)</f>
        <v>0</v>
      </c>
      <c r="T95" s="379">
        <f>IFERROR((CPSX!T92+CPSX!T148)/('3.Thanh pham'!O$97+'3.Thanh pham'!O$136+'3.Thanh pham'!O$155),0)</f>
        <v>0</v>
      </c>
      <c r="U95" s="379">
        <f>IFERROR((CPSX!U92+CPSX!U148)/('3.Thanh pham'!P$97+'3.Thanh pham'!P$136+'3.Thanh pham'!P$155),0)</f>
        <v>0</v>
      </c>
      <c r="V95" s="379">
        <f>IFERROR((CPSX!V92+CPSX!V148)/('3.Thanh pham'!Q$97+'3.Thanh pham'!Q$136+'3.Thanh pham'!Q$155),0)</f>
        <v>0</v>
      </c>
      <c r="W95" s="379">
        <f>IFERROR((CPSX!W92+CPSX!W148)/('3.Thanh pham'!R$97+'3.Thanh pham'!R$136+'3.Thanh pham'!R$155),0)</f>
        <v>0</v>
      </c>
      <c r="Y95" s="459">
        <f>IFERROR((CPSX!AK92+CPSX!AK148)/$Y$1,0)</f>
        <v>0</v>
      </c>
      <c r="Z95" s="149">
        <f t="shared" si="9"/>
        <v>0</v>
      </c>
    </row>
    <row r="96" spans="2:26" x14ac:dyDescent="0.35">
      <c r="B96" s="367">
        <v>22</v>
      </c>
      <c r="C96" s="367"/>
      <c r="D96" s="1004">
        <v>6277006501</v>
      </c>
      <c r="E96" s="438" t="s">
        <v>2116</v>
      </c>
      <c r="F96" s="438" t="s">
        <v>738</v>
      </c>
      <c r="G96" s="438" t="s">
        <v>743</v>
      </c>
      <c r="H96" s="1004" t="s">
        <v>401</v>
      </c>
      <c r="I96" s="404" t="s">
        <v>726</v>
      </c>
      <c r="J96" s="465"/>
      <c r="K96" s="379">
        <f>IFERROR((CPSX!K93+CPSX!K149)/('3.Thanh pham'!F$97+'3.Thanh pham'!F$136+'3.Thanh pham'!F$155),0)</f>
        <v>57.770959669818986</v>
      </c>
      <c r="L96" s="379">
        <f>IFERROR((CPSX!L93+CPSX!L149)/('3.Thanh pham'!G$97+'3.Thanh pham'!G$136+'3.Thanh pham'!G$155),0)</f>
        <v>33.580002506998703</v>
      </c>
      <c r="M96" s="379">
        <f>IFERROR((CPSX!M93+CPSX!M149)/('3.Thanh pham'!H$97+'3.Thanh pham'!H$136+'3.Thanh pham'!H$155),0)</f>
        <v>44.857274056741737</v>
      </c>
      <c r="N96" s="379">
        <f>IFERROR((CPSX!N93+CPSX!N149)/('3.Thanh pham'!I$97+'3.Thanh pham'!I$136+'3.Thanh pham'!I$155),0)</f>
        <v>21.007476933712674</v>
      </c>
      <c r="O96" s="379">
        <f>IFERROR((CPSX!O93+CPSX!O149)/('3.Thanh pham'!J$97+'3.Thanh pham'!J$136+'3.Thanh pham'!J$155),0)</f>
        <v>35.345346992236998</v>
      </c>
      <c r="P96" s="379">
        <f>IFERROR((CPSX!P93+CPSX!P149)/('3.Thanh pham'!K$97+'3.Thanh pham'!K$136+'3.Thanh pham'!K$155),0)</f>
        <v>27.62802817993509</v>
      </c>
      <c r="Q96" s="379">
        <f>IFERROR((CPSX!Q93+CPSX!Q149)/('3.Thanh pham'!L$97+'3.Thanh pham'!L$136+'3.Thanh pham'!L$155),0)</f>
        <v>26.205231675842132</v>
      </c>
      <c r="R96" s="379">
        <f>IFERROR((CPSX!R93+CPSX!R149)/('3.Thanh pham'!M$97+'3.Thanh pham'!M$136+'3.Thanh pham'!M$155),0)</f>
        <v>11.503329751764015</v>
      </c>
      <c r="S96" s="379">
        <f>IFERROR((CPSX!S93+CPSX!S149)/('3.Thanh pham'!N$97+'3.Thanh pham'!N$136+'3.Thanh pham'!N$155),0)</f>
        <v>46.484554205390076</v>
      </c>
      <c r="T96" s="379">
        <f>IFERROR((CPSX!T93+CPSX!T149)/('3.Thanh pham'!O$97+'3.Thanh pham'!O$136+'3.Thanh pham'!O$155),0)</f>
        <v>17.817230302291836</v>
      </c>
      <c r="U96" s="379">
        <f>IFERROR((CPSX!U93+CPSX!U149)/('3.Thanh pham'!P$97+'3.Thanh pham'!P$136+'3.Thanh pham'!P$155),0)</f>
        <v>28.251781738427287</v>
      </c>
      <c r="V96" s="379">
        <f>IFERROR((CPSX!V93+CPSX!V149)/('3.Thanh pham'!Q$97+'3.Thanh pham'!Q$136+'3.Thanh pham'!Q$155),0)</f>
        <v>17.950154524408209</v>
      </c>
      <c r="W96" s="379">
        <f>IFERROR((CPSX!W93+CPSX!W149)/('3.Thanh pham'!R$97+'3.Thanh pham'!R$136+'3.Thanh pham'!R$155),0)</f>
        <v>30.185306162007901</v>
      </c>
      <c r="Y96" s="459">
        <f>IFERROR((CPSX!AK93+CPSX!AK149)/$Y$1,0)</f>
        <v>4.3509937778426924</v>
      </c>
      <c r="Z96" s="149">
        <f t="shared" si="9"/>
        <v>34.536299939850593</v>
      </c>
    </row>
    <row r="97" spans="2:26" x14ac:dyDescent="0.35">
      <c r="B97" s="367">
        <v>23</v>
      </c>
      <c r="C97" s="367"/>
      <c r="D97" s="1004">
        <v>6273002001</v>
      </c>
      <c r="E97" s="438" t="s">
        <v>745</v>
      </c>
      <c r="F97" s="438" t="s">
        <v>738</v>
      </c>
      <c r="G97" s="438" t="s">
        <v>746</v>
      </c>
      <c r="H97" s="1004" t="s">
        <v>379</v>
      </c>
      <c r="I97" s="404" t="s">
        <v>703</v>
      </c>
      <c r="J97" s="465"/>
      <c r="K97" s="379">
        <f>IFERROR((CPSX!K94+CPSX!K150)/('3.Thanh pham'!F$97+'3.Thanh pham'!F$136+'3.Thanh pham'!F$155),0)</f>
        <v>22.370963374605957</v>
      </c>
      <c r="L97" s="379">
        <f>IFERROR((CPSX!L94+CPSX!L150)/('3.Thanh pham'!G$97+'3.Thanh pham'!G$136+'3.Thanh pham'!G$155),0)</f>
        <v>29.459055725010096</v>
      </c>
      <c r="M97" s="379">
        <f>IFERROR((CPSX!M94+CPSX!M150)/('3.Thanh pham'!H$97+'3.Thanh pham'!H$136+'3.Thanh pham'!H$155),0)</f>
        <v>23.182987962692142</v>
      </c>
      <c r="N97" s="379">
        <f>IFERROR((CPSX!N94+CPSX!N150)/('3.Thanh pham'!I$97+'3.Thanh pham'!I$136+'3.Thanh pham'!I$155),0)</f>
        <v>22.316281345186287</v>
      </c>
      <c r="O97" s="379">
        <f>IFERROR((CPSX!O94+CPSX!O150)/('3.Thanh pham'!J$97+'3.Thanh pham'!J$136+'3.Thanh pham'!J$155),0)</f>
        <v>22.015981609464681</v>
      </c>
      <c r="P97" s="379">
        <f>IFERROR((CPSX!P94+CPSX!P150)/('3.Thanh pham'!K$97+'3.Thanh pham'!K$136+'3.Thanh pham'!K$155),0)</f>
        <v>23.603533279671332</v>
      </c>
      <c r="Q97" s="379">
        <f>IFERROR((CPSX!Q94+CPSX!Q150)/('3.Thanh pham'!L$97+'3.Thanh pham'!L$136+'3.Thanh pham'!L$155),0)</f>
        <v>24.065075717575411</v>
      </c>
      <c r="R97" s="379">
        <f>IFERROR((CPSX!R94+CPSX!R150)/('3.Thanh pham'!M$97+'3.Thanh pham'!M$136+'3.Thanh pham'!M$155),0)</f>
        <v>24.613526596536829</v>
      </c>
      <c r="S97" s="379">
        <f>IFERROR((CPSX!S94+CPSX!S150)/('3.Thanh pham'!N$97+'3.Thanh pham'!N$136+'3.Thanh pham'!N$155),0)</f>
        <v>25.228916513742266</v>
      </c>
      <c r="T97" s="379">
        <f>IFERROR((CPSX!T94+CPSX!T150)/('3.Thanh pham'!O$97+'3.Thanh pham'!O$136+'3.Thanh pham'!O$155),0)</f>
        <v>34.921307709727955</v>
      </c>
      <c r="U97" s="379">
        <f>IFERROR((CPSX!U94+CPSX!U150)/('3.Thanh pham'!P$97+'3.Thanh pham'!P$136+'3.Thanh pham'!P$155),0)</f>
        <v>35.46975858868938</v>
      </c>
      <c r="V97" s="379">
        <f>IFERROR((CPSX!V94+CPSX!V150)/('3.Thanh pham'!Q$97+'3.Thanh pham'!Q$136+'3.Thanh pham'!Q$155),0)</f>
        <v>36.085148505894821</v>
      </c>
      <c r="W97" s="379">
        <f>IFERROR((CPSX!W94+CPSX!W150)/('3.Thanh pham'!R$97+'3.Thanh pham'!R$136+'3.Thanh pham'!R$155),0)</f>
        <v>26.913030208185223</v>
      </c>
      <c r="Y97" s="459">
        <f>IFERROR((CPSX!AK94+CPSX!AK150)/$Y$1,0)</f>
        <v>41.341587802111412</v>
      </c>
      <c r="Z97" s="149">
        <f t="shared" si="9"/>
        <v>68.254618010296639</v>
      </c>
    </row>
    <row r="98" spans="2:26" x14ac:dyDescent="0.35">
      <c r="B98" s="367">
        <v>24</v>
      </c>
      <c r="C98" s="372"/>
      <c r="D98" s="1004">
        <v>6277002204</v>
      </c>
      <c r="E98" s="438" t="s">
        <v>747</v>
      </c>
      <c r="F98" s="438" t="s">
        <v>738</v>
      </c>
      <c r="G98" s="438" t="s">
        <v>748</v>
      </c>
      <c r="H98" s="1004" t="s">
        <v>454</v>
      </c>
      <c r="I98" s="404" t="s">
        <v>703</v>
      </c>
      <c r="J98" s="466"/>
      <c r="K98" s="379">
        <f>IFERROR((CPSX!K95+CPSX!K151)/('3.Thanh pham'!F$97+'3.Thanh pham'!F$136+'3.Thanh pham'!F$155),0)</f>
        <v>20.713947981324409</v>
      </c>
      <c r="L98" s="379">
        <f>IFERROR((CPSX!L95+CPSX!L151)/('3.Thanh pham'!G$97+'3.Thanh pham'!G$136+'3.Thanh pham'!G$155),0)</f>
        <v>30.169872560899176</v>
      </c>
      <c r="M98" s="379">
        <f>IFERROR((CPSX!M95+CPSX!M151)/('3.Thanh pham'!H$97+'3.Thanh pham'!H$136+'3.Thanh pham'!H$155),0)</f>
        <v>22.825062688895393</v>
      </c>
      <c r="N98" s="379">
        <f>IFERROR((CPSX!N95+CPSX!N151)/('3.Thanh pham'!I$97+'3.Thanh pham'!I$136+'3.Thanh pham'!I$155),0)</f>
        <v>32.105494961312452</v>
      </c>
      <c r="O98" s="379">
        <f>IFERROR((CPSX!O95+CPSX!O151)/('3.Thanh pham'!J$97+'3.Thanh pham'!J$136+'3.Thanh pham'!J$155),0)</f>
        <v>34.487726154599763</v>
      </c>
      <c r="P98" s="379">
        <f>IFERROR((CPSX!P95+CPSX!P151)/('3.Thanh pham'!K$97+'3.Thanh pham'!K$136+'3.Thanh pham'!K$155),0)</f>
        <v>44.396382614988674</v>
      </c>
      <c r="Q98" s="379">
        <f>IFERROR((CPSX!Q95+CPSX!Q151)/('3.Thanh pham'!L$97+'3.Thanh pham'!L$136+'3.Thanh pham'!L$155),0)</f>
        <v>47.488716948946021</v>
      </c>
      <c r="R98" s="379">
        <f>IFERROR((CPSX!R95+CPSX!R151)/('3.Thanh pham'!M$97+'3.Thanh pham'!M$136+'3.Thanh pham'!M$155),0)</f>
        <v>62.112227551498911</v>
      </c>
      <c r="S98" s="379">
        <f>IFERROR((CPSX!S95+CPSX!S151)/('3.Thanh pham'!N$97+'3.Thanh pham'!N$136+'3.Thanh pham'!N$155),0)</f>
        <v>63.358392133839928</v>
      </c>
      <c r="T98" s="379">
        <f>IFERROR((CPSX!T95+CPSX!T151)/('3.Thanh pham'!O$97+'3.Thanh pham'!O$136+'3.Thanh pham'!O$155),0)</f>
        <v>68.241511126865106</v>
      </c>
      <c r="U98" s="379">
        <f>IFERROR((CPSX!U95+CPSX!U151)/('3.Thanh pham'!P$97+'3.Thanh pham'!P$136+'3.Thanh pham'!P$155),0)</f>
        <v>78.901295272697752</v>
      </c>
      <c r="V98" s="379">
        <f>IFERROR((CPSX!V95+CPSX!V151)/('3.Thanh pham'!Q$97+'3.Thanh pham'!Q$136+'3.Thanh pham'!Q$155),0)</f>
        <v>89.245384391003995</v>
      </c>
      <c r="W98" s="379">
        <f>IFERROR((CPSX!W95+CPSX!W151)/('3.Thanh pham'!R$97+'3.Thanh pham'!R$136+'3.Thanh pham'!R$155),0)</f>
        <v>50.44556527574597</v>
      </c>
      <c r="Y98" s="459">
        <f>IFERROR((CPSX!AK95+CPSX!AK151)/$Y$1,0)</f>
        <v>34.324068750736934</v>
      </c>
      <c r="Z98" s="149">
        <f t="shared" si="9"/>
        <v>84.769634026482905</v>
      </c>
    </row>
    <row r="99" spans="2:26" x14ac:dyDescent="0.35">
      <c r="B99" s="367">
        <v>25</v>
      </c>
      <c r="C99" s="372"/>
      <c r="D99" s="1004">
        <v>6277002301</v>
      </c>
      <c r="E99" s="438" t="s">
        <v>749</v>
      </c>
      <c r="F99" s="438" t="s">
        <v>750</v>
      </c>
      <c r="G99" s="438" t="s">
        <v>749</v>
      </c>
      <c r="H99" s="1004" t="s">
        <v>369</v>
      </c>
      <c r="I99" s="404" t="s">
        <v>703</v>
      </c>
      <c r="J99" s="466"/>
      <c r="K99" s="379">
        <f>IFERROR((CPSX!K96+CPSX!K152)/('3.Thanh pham'!F$97+'3.Thanh pham'!F$136+'3.Thanh pham'!F$155),0)</f>
        <v>0</v>
      </c>
      <c r="L99" s="379">
        <f>IFERROR((CPSX!L96+CPSX!L152)/('3.Thanh pham'!G$97+'3.Thanh pham'!G$136+'3.Thanh pham'!G$155),0)</f>
        <v>0</v>
      </c>
      <c r="M99" s="379">
        <f>IFERROR((CPSX!M96+CPSX!M152)/('3.Thanh pham'!H$97+'3.Thanh pham'!H$136+'3.Thanh pham'!H$155),0)</f>
        <v>0</v>
      </c>
      <c r="N99" s="379">
        <f>IFERROR((CPSX!N96+CPSX!N152)/('3.Thanh pham'!I$97+'3.Thanh pham'!I$136+'3.Thanh pham'!I$155),0)</f>
        <v>7.7995515257872672</v>
      </c>
      <c r="O99" s="379">
        <f>IFERROR((CPSX!O96+CPSX!O152)/('3.Thanh pham'!J$97+'3.Thanh pham'!J$136+'3.Thanh pham'!J$155),0)</f>
        <v>7.8091445082191244</v>
      </c>
      <c r="P99" s="379">
        <f>IFERROR((CPSX!P96+CPSX!P152)/('3.Thanh pham'!K$97+'3.Thanh pham'!K$136+'3.Thanh pham'!K$155),0)</f>
        <v>8.1231469071118152</v>
      </c>
      <c r="Q99" s="379">
        <f>IFERROR((CPSX!Q96+CPSX!Q152)/('3.Thanh pham'!L$97+'3.Thanh pham'!L$136+'3.Thanh pham'!L$155),0)</f>
        <v>8.1231469071118152</v>
      </c>
      <c r="R99" s="379">
        <f>IFERROR((CPSX!R96+CPSX!R152)/('3.Thanh pham'!M$97+'3.Thanh pham'!M$136+'3.Thanh pham'!M$155),0)</f>
        <v>8.1231469071118152</v>
      </c>
      <c r="S99" s="379">
        <f>IFERROR((CPSX!S96+CPSX!S152)/('3.Thanh pham'!N$97+'3.Thanh pham'!N$136+'3.Thanh pham'!N$155),0)</f>
        <v>8.1231469071118152</v>
      </c>
      <c r="T99" s="379">
        <f>IFERROR((CPSX!T96+CPSX!T152)/('3.Thanh pham'!O$97+'3.Thanh pham'!O$136+'3.Thanh pham'!O$155),0)</f>
        <v>8.1231469071118152</v>
      </c>
      <c r="U99" s="379">
        <f>IFERROR((CPSX!U96+CPSX!U152)/('3.Thanh pham'!P$97+'3.Thanh pham'!P$136+'3.Thanh pham'!P$155),0)</f>
        <v>8.1231469071118152</v>
      </c>
      <c r="V99" s="379">
        <f>IFERROR((CPSX!V96+CPSX!V152)/('3.Thanh pham'!Q$97+'3.Thanh pham'!Q$136+'3.Thanh pham'!Q$155),0)</f>
        <v>8.1231469071118152</v>
      </c>
      <c r="W99" s="379">
        <f>IFERROR((CPSX!W96+CPSX!W152)/('3.Thanh pham'!R$97+'3.Thanh pham'!R$136+'3.Thanh pham'!R$155),0)</f>
        <v>6.3333440488396793</v>
      </c>
      <c r="Y99" s="459">
        <f>IFERROR((CPSX!AK96+CPSX!AK152)/$Y$1,0)</f>
        <v>6.8696465962601811</v>
      </c>
      <c r="Z99" s="149">
        <f t="shared" si="9"/>
        <v>13.20299064509986</v>
      </c>
    </row>
    <row r="100" spans="2:26" x14ac:dyDescent="0.35">
      <c r="B100" s="367">
        <v>26</v>
      </c>
      <c r="C100" s="372"/>
      <c r="D100" s="1004">
        <v>6273001908</v>
      </c>
      <c r="E100" s="438" t="s">
        <v>751</v>
      </c>
      <c r="F100" s="438" t="s">
        <v>725</v>
      </c>
      <c r="G100" s="438" t="s">
        <v>752</v>
      </c>
      <c r="H100" s="1004" t="s">
        <v>369</v>
      </c>
      <c r="I100" s="404" t="s">
        <v>703</v>
      </c>
      <c r="J100" s="466"/>
      <c r="K100" s="379">
        <f>IFERROR((CPSX!K97+CPSX!K153)/('3.Thanh pham'!F$97+'3.Thanh pham'!F$136+'3.Thanh pham'!F$155),0)</f>
        <v>3.2498131357446947</v>
      </c>
      <c r="L100" s="379">
        <f>IFERROR((CPSX!L97+CPSX!L153)/('3.Thanh pham'!G$97+'3.Thanh pham'!G$136+'3.Thanh pham'!G$155),0)</f>
        <v>4.1783311745288936</v>
      </c>
      <c r="M100" s="379">
        <f>IFERROR((CPSX!M97+CPSX!M153)/('3.Thanh pham'!H$97+'3.Thanh pham'!H$136+'3.Thanh pham'!H$155),0)</f>
        <v>3.7372851061063987</v>
      </c>
      <c r="N100" s="379">
        <f>IFERROR((CPSX!N97+CPSX!N153)/('3.Thanh pham'!I$97+'3.Thanh pham'!I$136+'3.Thanh pham'!I$155),0)</f>
        <v>3.397531914642181</v>
      </c>
      <c r="O100" s="379">
        <f>IFERROR((CPSX!O97+CPSX!O153)/('3.Thanh pham'!J$97+'3.Thanh pham'!J$136+'3.Thanh pham'!J$155),0)</f>
        <v>4.2891134609536863</v>
      </c>
      <c r="P100" s="379">
        <f>IFERROR((CPSX!P97+CPSX!P153)/('3.Thanh pham'!K$97+'3.Thanh pham'!K$136+'3.Thanh pham'!K$155),0)</f>
        <v>7.9923765497056589</v>
      </c>
      <c r="Q100" s="379">
        <f>IFERROR((CPSX!Q97+CPSX!Q153)/('3.Thanh pham'!L$97+'3.Thanh pham'!L$136+'3.Thanh pham'!L$155),0)</f>
        <v>8.9154614255138203</v>
      </c>
      <c r="R100" s="379">
        <f>IFERROR((CPSX!R97+CPSX!R153)/('3.Thanh pham'!M$97+'3.Thanh pham'!M$136+'3.Thanh pham'!M$155),0)</f>
        <v>8.9154614255138203</v>
      </c>
      <c r="S100" s="379">
        <f>IFERROR((CPSX!S97+CPSX!S153)/('3.Thanh pham'!N$97+'3.Thanh pham'!N$136+'3.Thanh pham'!N$155),0)</f>
        <v>10.915478656431503</v>
      </c>
      <c r="T100" s="379">
        <f>IFERROR((CPSX!T97+CPSX!T153)/('3.Thanh pham'!O$97+'3.Thanh pham'!O$136+'3.Thanh pham'!O$155),0)</f>
        <v>12.453953449445104</v>
      </c>
      <c r="U100" s="379">
        <f>IFERROR((CPSX!U97+CPSX!U153)/('3.Thanh pham'!P$97+'3.Thanh pham'!P$136+'3.Thanh pham'!P$155),0)</f>
        <v>12.453953449445104</v>
      </c>
      <c r="V100" s="379">
        <f>IFERROR((CPSX!V97+CPSX!V153)/('3.Thanh pham'!Q$97+'3.Thanh pham'!Q$136+'3.Thanh pham'!Q$155),0)</f>
        <v>13.377038325253265</v>
      </c>
      <c r="W100" s="379">
        <f>IFERROR((CPSX!W97+CPSX!W153)/('3.Thanh pham'!R$97+'3.Thanh pham'!R$136+'3.Thanh pham'!R$155),0)</f>
        <v>7.9786540716285215</v>
      </c>
      <c r="Y100" s="459">
        <f>IFERROR((CPSX!AK97+CPSX!AK153)/$Y$1,0)</f>
        <v>9.920785785244103</v>
      </c>
      <c r="Z100" s="149">
        <f t="shared" si="9"/>
        <v>17.899439856872625</v>
      </c>
    </row>
    <row r="101" spans="2:26" x14ac:dyDescent="0.35">
      <c r="B101" s="367">
        <v>27</v>
      </c>
      <c r="C101" s="372"/>
      <c r="D101" s="1009">
        <v>6277003803</v>
      </c>
      <c r="E101" s="1010" t="s">
        <v>754</v>
      </c>
      <c r="F101" s="1010" t="s">
        <v>755</v>
      </c>
      <c r="G101" s="1010" t="s">
        <v>754</v>
      </c>
      <c r="H101" s="1009"/>
      <c r="I101" s="1011"/>
      <c r="J101" s="466"/>
      <c r="K101" s="379">
        <f>IFERROR((CPSX!K98+CPSX!K154)/('3.Thanh pham'!F$97+'3.Thanh pham'!F$136+'3.Thanh pham'!F$155),0)</f>
        <v>8.7030004441411286</v>
      </c>
      <c r="L101" s="379">
        <f>IFERROR((CPSX!L98+CPSX!L154)/('3.Thanh pham'!G$97+'3.Thanh pham'!G$136+'3.Thanh pham'!G$155),0)</f>
        <v>10.005712057270992</v>
      </c>
      <c r="M101" s="379">
        <f>IFERROR((CPSX!M98+CPSX!M154)/('3.Thanh pham'!H$97+'3.Thanh pham'!H$136+'3.Thanh pham'!H$155),0)</f>
        <v>7.0039984400896955</v>
      </c>
      <c r="N101" s="379">
        <f>IFERROR((CPSX!N98+CPSX!N154)/('3.Thanh pham'!I$97+'3.Thanh pham'!I$136+'3.Thanh pham'!I$155),0)</f>
        <v>12.571460022866868</v>
      </c>
      <c r="O101" s="379">
        <f>IFERROR((CPSX!O98+CPSX!O154)/('3.Thanh pham'!J$97+'3.Thanh pham'!J$136+'3.Thanh pham'!J$155),0)</f>
        <v>12.67566244617902</v>
      </c>
      <c r="P101" s="379">
        <f>IFERROR((CPSX!P98+CPSX!P154)/('3.Thanh pham'!K$97+'3.Thanh pham'!K$136+'3.Thanh pham'!K$155),0)</f>
        <v>13.369962448907252</v>
      </c>
      <c r="Q101" s="379">
        <f>IFERROR((CPSX!Q98+CPSX!Q154)/('3.Thanh pham'!L$97+'3.Thanh pham'!L$136+'3.Thanh pham'!L$155),0)</f>
        <v>10.975479911826932</v>
      </c>
      <c r="R101" s="379">
        <f>IFERROR((CPSX!R98+CPSX!R154)/('3.Thanh pham'!M$97+'3.Thanh pham'!M$136+'3.Thanh pham'!M$155),0)</f>
        <v>11.067788399407748</v>
      </c>
      <c r="S101" s="379">
        <f>IFERROR((CPSX!S98+CPSX!S154)/('3.Thanh pham'!N$97+'3.Thanh pham'!N$136+'3.Thanh pham'!N$155),0)</f>
        <v>15.710904586254898</v>
      </c>
      <c r="T101" s="379">
        <f>IFERROR((CPSX!T98+CPSX!T154)/('3.Thanh pham'!O$97+'3.Thanh pham'!O$136+'3.Thanh pham'!O$155),0)</f>
        <v>10.264703818986748</v>
      </c>
      <c r="U101" s="379">
        <f>IFERROR((CPSX!U98+CPSX!U154)/('3.Thanh pham'!P$97+'3.Thanh pham'!P$136+'3.Thanh pham'!P$155),0)</f>
        <v>10.264703818986748</v>
      </c>
      <c r="V101" s="379">
        <f>IFERROR((CPSX!V98+CPSX!V154)/('3.Thanh pham'!Q$97+'3.Thanh pham'!Q$136+'3.Thanh pham'!Q$155),0)</f>
        <v>10.264703818986748</v>
      </c>
      <c r="W101" s="379">
        <f>IFERROR((CPSX!W98+CPSX!W154)/('3.Thanh pham'!R$97+'3.Thanh pham'!R$136+'3.Thanh pham'!R$155),0)</f>
        <v>11.164438752964557</v>
      </c>
      <c r="Y101" s="459">
        <f>IFERROR((CPSX!AK98+CPSX!AK154)/$Y$1,0)</f>
        <v>3.3203502095036916</v>
      </c>
      <c r="Z101" s="149">
        <f t="shared" si="9"/>
        <v>14.484788962468249</v>
      </c>
    </row>
    <row r="102" spans="2:26" x14ac:dyDescent="0.35">
      <c r="B102" s="367">
        <v>28</v>
      </c>
      <c r="C102" s="372"/>
      <c r="D102" s="368"/>
      <c r="E102" s="369" t="s">
        <v>756</v>
      </c>
      <c r="F102" s="369" t="s">
        <v>757</v>
      </c>
      <c r="G102" s="369" t="s">
        <v>756</v>
      </c>
      <c r="H102" s="368" t="s">
        <v>369</v>
      </c>
      <c r="I102" s="404" t="s">
        <v>758</v>
      </c>
      <c r="J102" s="466"/>
      <c r="K102" s="379">
        <f>IFERROR((CPSX!K99+CPSX!K155)/('3.Thanh pham'!F$97+'3.Thanh pham'!F$136+'3.Thanh pham'!F$155),0)</f>
        <v>494.13808882435404</v>
      </c>
      <c r="L102" s="379">
        <f>IFERROR((CPSX!L99+CPSX!L155)/('3.Thanh pham'!G$97+'3.Thanh pham'!G$136+'3.Thanh pham'!G$155),0)</f>
        <v>635.32039991702663</v>
      </c>
      <c r="M102" s="379">
        <f>IFERROR((CPSX!M99+CPSX!M155)/('3.Thanh pham'!H$97+'3.Thanh pham'!H$136+'3.Thanh pham'!H$155),0)</f>
        <v>441.72499828061422</v>
      </c>
      <c r="N102" s="379">
        <f>IFERROR((CPSX!N99+CPSX!N155)/('3.Thanh pham'!I$97+'3.Thanh pham'!I$136+'3.Thanh pham'!I$155),0)</f>
        <v>401.56818025510381</v>
      </c>
      <c r="O102" s="379">
        <f>IFERROR((CPSX!O99+CPSX!O155)/('3.Thanh pham'!J$97+'3.Thanh pham'!J$136+'3.Thanh pham'!J$155),0)</f>
        <v>402.06208512715239</v>
      </c>
      <c r="P102" s="379">
        <f>IFERROR((CPSX!P99+CPSX!P155)/('3.Thanh pham'!K$97+'3.Thanh pham'!K$136+'3.Thanh pham'!K$155),0)</f>
        <v>437.45976648699678</v>
      </c>
      <c r="Q102" s="379">
        <f>IFERROR((CPSX!Q99+CPSX!Q155)/('3.Thanh pham'!L$97+'3.Thanh pham'!L$136+'3.Thanh pham'!L$155),0)</f>
        <v>437.45976648699678</v>
      </c>
      <c r="R102" s="379">
        <f>IFERROR((CPSX!R99+CPSX!R155)/('3.Thanh pham'!M$97+'3.Thanh pham'!M$136+'3.Thanh pham'!M$155),0)</f>
        <v>437.45976648699678</v>
      </c>
      <c r="S102" s="379">
        <f>IFERROR((CPSX!S99+CPSX!S155)/('3.Thanh pham'!N$97+'3.Thanh pham'!N$136+'3.Thanh pham'!N$155),0)</f>
        <v>437.45976648699678</v>
      </c>
      <c r="T102" s="379">
        <f>IFERROR((CPSX!T99+CPSX!T155)/('3.Thanh pham'!O$97+'3.Thanh pham'!O$136+'3.Thanh pham'!O$155),0)</f>
        <v>437.45976648699678</v>
      </c>
      <c r="U102" s="379">
        <f>IFERROR((CPSX!U99+CPSX!U155)/('3.Thanh pham'!P$97+'3.Thanh pham'!P$136+'3.Thanh pham'!P$155),0)</f>
        <v>437.45976648699678</v>
      </c>
      <c r="V102" s="379">
        <f>IFERROR((CPSX!V99+CPSX!V155)/('3.Thanh pham'!Q$97+'3.Thanh pham'!Q$136+'3.Thanh pham'!Q$155),0)</f>
        <v>437.45976648699678</v>
      </c>
      <c r="W102" s="379">
        <f>IFERROR((CPSX!W99+CPSX!W155)/('3.Thanh pham'!R$97+'3.Thanh pham'!R$136+'3.Thanh pham'!R$155),0)</f>
        <v>446.92569952428306</v>
      </c>
      <c r="Y102" s="459">
        <f>IFERROR((CPSX!AK99+CPSX!AK155)/$Y$1,0)</f>
        <v>752.36305558386516</v>
      </c>
      <c r="Z102" s="149">
        <f t="shared" si="9"/>
        <v>1199.2887551081483</v>
      </c>
    </row>
    <row r="103" spans="2:26" x14ac:dyDescent="0.35">
      <c r="B103" s="372"/>
      <c r="C103" s="372"/>
      <c r="D103" s="373"/>
      <c r="E103" s="374"/>
      <c r="F103" s="374"/>
      <c r="G103" s="374"/>
      <c r="H103" s="373"/>
      <c r="I103" s="463"/>
      <c r="J103" s="466"/>
      <c r="K103" s="379">
        <f>IFERROR((CPSX!K100+CPSX!K156)/('3.Thanh pham'!F$97+'3.Thanh pham'!F$136+'3.Thanh pham'!F$155),0)</f>
        <v>0</v>
      </c>
      <c r="L103" s="379">
        <f>IFERROR((CPSX!L100+CPSX!L156)/('3.Thanh pham'!G$97+'3.Thanh pham'!G$136+'3.Thanh pham'!G$155),0)</f>
        <v>0</v>
      </c>
      <c r="M103" s="379">
        <f>IFERROR((CPSX!M100+CPSX!M156)/('3.Thanh pham'!H$97+'3.Thanh pham'!H$136+'3.Thanh pham'!H$155),0)</f>
        <v>0</v>
      </c>
      <c r="N103" s="379">
        <f>IFERROR((CPSX!N100+CPSX!N156)/('3.Thanh pham'!I$97+'3.Thanh pham'!I$136+'3.Thanh pham'!I$155),0)</f>
        <v>0</v>
      </c>
      <c r="O103" s="379">
        <f>IFERROR((CPSX!O100+CPSX!O156)/('3.Thanh pham'!J$97+'3.Thanh pham'!J$136+'3.Thanh pham'!J$155),0)</f>
        <v>0</v>
      </c>
      <c r="P103" s="379">
        <f>IFERROR((CPSX!P100+CPSX!P156)/('3.Thanh pham'!K$97+'3.Thanh pham'!K$136+'3.Thanh pham'!K$155),0)</f>
        <v>0</v>
      </c>
      <c r="Q103" s="379">
        <f>IFERROR((CPSX!Q100+CPSX!Q156)/('3.Thanh pham'!L$97+'3.Thanh pham'!L$136+'3.Thanh pham'!L$155),0)</f>
        <v>0</v>
      </c>
      <c r="R103" s="379">
        <f>IFERROR((CPSX!R100+CPSX!R156)/('3.Thanh pham'!M$97+'3.Thanh pham'!M$136+'3.Thanh pham'!M$155),0)</f>
        <v>0</v>
      </c>
      <c r="S103" s="379">
        <f>IFERROR((CPSX!S100+CPSX!S156)/('3.Thanh pham'!N$97+'3.Thanh pham'!N$136+'3.Thanh pham'!N$155),0)</f>
        <v>0</v>
      </c>
      <c r="T103" s="379">
        <f>IFERROR((CPSX!T100+CPSX!T156)/('3.Thanh pham'!O$97+'3.Thanh pham'!O$136+'3.Thanh pham'!O$155),0)</f>
        <v>0</v>
      </c>
      <c r="U103" s="379">
        <f>IFERROR((CPSX!U100+CPSX!U156)/('3.Thanh pham'!P$97+'3.Thanh pham'!P$136+'3.Thanh pham'!P$155),0)</f>
        <v>0</v>
      </c>
      <c r="V103" s="379">
        <f>IFERROR((CPSX!V100+CPSX!V156)/('3.Thanh pham'!Q$97+'3.Thanh pham'!Q$136+'3.Thanh pham'!Q$155),0)</f>
        <v>0</v>
      </c>
      <c r="W103" s="379">
        <f>IFERROR((CPSX!W100+CPSX!W156)/('3.Thanh pham'!R$97+'3.Thanh pham'!R$136+'3.Thanh pham'!R$155),0)</f>
        <v>0</v>
      </c>
      <c r="Y103" s="448">
        <f>IFERROR((CPSX!Y99+CPSX!Y155)/('3.Thanh pham'!T$97+'3.Thanh pham'!T$136),0)</f>
        <v>0</v>
      </c>
      <c r="Z103" s="149">
        <f t="shared" si="9"/>
        <v>0</v>
      </c>
    </row>
    <row r="104" spans="2:26" x14ac:dyDescent="0.35">
      <c r="B104" s="183"/>
      <c r="C104" s="183"/>
      <c r="D104" s="182"/>
      <c r="E104" s="449" t="s">
        <v>760</v>
      </c>
      <c r="F104" s="452"/>
      <c r="G104" s="453"/>
      <c r="H104" s="453"/>
      <c r="I104" s="454"/>
      <c r="J104" s="461"/>
      <c r="K104" s="461">
        <f>K6+K29+K74</f>
        <v>4096.433073472399</v>
      </c>
      <c r="L104" s="461">
        <f t="shared" ref="L104:V104" si="10">L6+L29+L74</f>
        <v>4636.6564411777108</v>
      </c>
      <c r="M104" s="461">
        <f t="shared" si="10"/>
        <v>3717.6197403479209</v>
      </c>
      <c r="N104" s="461">
        <f t="shared" si="10"/>
        <v>3553.7283089941861</v>
      </c>
      <c r="O104" s="461">
        <f t="shared" si="10"/>
        <v>3550.2491415068971</v>
      </c>
      <c r="P104" s="461">
        <f t="shared" si="10"/>
        <v>3692.8493938228639</v>
      </c>
      <c r="Q104" s="461">
        <f t="shared" si="10"/>
        <v>3701.6608972935337</v>
      </c>
      <c r="R104" s="461">
        <f t="shared" si="10"/>
        <v>3709.5293971764045</v>
      </c>
      <c r="S104" s="461">
        <f t="shared" si="10"/>
        <v>3730.7971739128334</v>
      </c>
      <c r="T104" s="461">
        <f t="shared" si="10"/>
        <v>3727.0864151831456</v>
      </c>
      <c r="U104" s="461">
        <f t="shared" si="10"/>
        <v>3792.3422716370014</v>
      </c>
      <c r="V104" s="461">
        <f t="shared" si="10"/>
        <v>3770.7210667633681</v>
      </c>
      <c r="W104" s="461">
        <f>W6+W29+W74</f>
        <v>3776.1585574289397</v>
      </c>
      <c r="X104" s="1341">
        <f>W104/$W$172</f>
        <v>0.80182060834207203</v>
      </c>
      <c r="Y104" s="461">
        <f>Y6+Y29+Y74</f>
        <v>3270.4959093065731</v>
      </c>
      <c r="Z104" s="149">
        <f t="shared" si="9"/>
        <v>7046.6544667355129</v>
      </c>
    </row>
    <row r="105" spans="2:26" x14ac:dyDescent="0.35">
      <c r="B105" s="63" t="s">
        <v>1031</v>
      </c>
      <c r="C105" s="63"/>
      <c r="D105" s="63"/>
      <c r="E105" s="63"/>
      <c r="F105" s="63"/>
      <c r="G105" s="63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390"/>
      <c r="Y105" s="390"/>
      <c r="Z105" s="149" t="s">
        <v>2195</v>
      </c>
    </row>
    <row r="106" spans="2:26" x14ac:dyDescent="0.35">
      <c r="B106" s="362">
        <v>1</v>
      </c>
      <c r="C106" s="362"/>
      <c r="D106" s="364" t="s">
        <v>910</v>
      </c>
      <c r="E106" s="363" t="s">
        <v>951</v>
      </c>
      <c r="F106" s="364" t="s">
        <v>970</v>
      </c>
      <c r="G106" s="378" t="s">
        <v>971</v>
      </c>
      <c r="H106" s="378" t="s">
        <v>454</v>
      </c>
      <c r="I106" s="379" t="s">
        <v>709</v>
      </c>
      <c r="J106" s="379"/>
      <c r="K106" s="379">
        <f>IFERROR(CPBH!K$5/'3.Thanh pham'!F$97,0)</f>
        <v>355.55555555555554</v>
      </c>
      <c r="L106" s="379">
        <f>IFERROR(CPBH!L$5/'3.Thanh pham'!G$97,0)</f>
        <v>355.55555555555554</v>
      </c>
      <c r="M106" s="379">
        <f>IFERROR(CPBH!M$5/'3.Thanh pham'!H$97,0)</f>
        <v>355.55555555555554</v>
      </c>
      <c r="N106" s="379">
        <f>IFERROR(CPBH!N$5/'3.Thanh pham'!I$97,0)</f>
        <v>355.55555555555554</v>
      </c>
      <c r="O106" s="379">
        <f>IFERROR(CPBH!O$5/'3.Thanh pham'!J$97,0)</f>
        <v>355.55555555555554</v>
      </c>
      <c r="P106" s="379">
        <f>IFERROR(CPBH!P$5/'3.Thanh pham'!K$97,0)</f>
        <v>355.55555555555554</v>
      </c>
      <c r="Q106" s="379">
        <f>IFERROR(CPBH!Q$5/'3.Thanh pham'!L$97,0)</f>
        <v>355.55555555555554</v>
      </c>
      <c r="R106" s="379">
        <f>IFERROR(CPBH!R$5/'3.Thanh pham'!M$97,0)</f>
        <v>355.55555555555554</v>
      </c>
      <c r="S106" s="379">
        <f>IFERROR(CPBH!S$5/'3.Thanh pham'!N$97,0)</f>
        <v>355.55555555555554</v>
      </c>
      <c r="T106" s="379">
        <f>IFERROR(CPBH!T$5/'3.Thanh pham'!O$97,0)</f>
        <v>355.55555555555554</v>
      </c>
      <c r="U106" s="379">
        <f>IFERROR(CPBH!U$5/'3.Thanh pham'!P$97,0)</f>
        <v>355.55555555555554</v>
      </c>
      <c r="V106" s="379">
        <f>IFERROR(CPBH!V$5/'3.Thanh pham'!Q$97,0)</f>
        <v>355.55555555555554</v>
      </c>
      <c r="W106" s="459">
        <f>IFERROR(CPBH!W$5/'3.Thanh pham'!R$97,0)</f>
        <v>355.55555555555566</v>
      </c>
      <c r="Y106" s="459">
        <f>CPBH!AK5/'KQKD Tong hop'!E5</f>
        <v>332.57727728664469</v>
      </c>
      <c r="Z106" s="149">
        <f t="shared" si="9"/>
        <v>688.13283284220029</v>
      </c>
    </row>
    <row r="107" spans="2:26" x14ac:dyDescent="0.35">
      <c r="B107" s="372">
        <v>2</v>
      </c>
      <c r="C107" s="372"/>
      <c r="D107" s="374" t="s">
        <v>910</v>
      </c>
      <c r="E107" s="373" t="s">
        <v>951</v>
      </c>
      <c r="F107" s="374" t="s">
        <v>970</v>
      </c>
      <c r="G107" s="380" t="s">
        <v>972</v>
      </c>
      <c r="H107" s="380" t="s">
        <v>454</v>
      </c>
      <c r="I107" s="381" t="s">
        <v>709</v>
      </c>
      <c r="J107" s="381"/>
      <c r="K107" s="381">
        <f>IFERROR(CPBH!K$6/'3.Thanh pham'!F$136,0)</f>
        <v>320</v>
      </c>
      <c r="L107" s="381">
        <f>IFERROR(CPBH!L$6/'3.Thanh pham'!G$136,0)</f>
        <v>320</v>
      </c>
      <c r="M107" s="381">
        <f>IFERROR(CPBH!M$6/'3.Thanh pham'!H$136,0)</f>
        <v>320</v>
      </c>
      <c r="N107" s="381">
        <f>IFERROR(CPBH!N$6/'3.Thanh pham'!I$136,0)</f>
        <v>320</v>
      </c>
      <c r="O107" s="381">
        <f>IFERROR(CPBH!O$6/'3.Thanh pham'!J$136,0)</f>
        <v>320</v>
      </c>
      <c r="P107" s="381">
        <f>IFERROR(CPBH!P$6/'3.Thanh pham'!K$136,0)</f>
        <v>320</v>
      </c>
      <c r="Q107" s="381">
        <f>IFERROR(CPBH!Q$6/'3.Thanh pham'!L$136,0)</f>
        <v>320</v>
      </c>
      <c r="R107" s="381">
        <f>IFERROR(CPBH!R$6/'3.Thanh pham'!M$136,0)</f>
        <v>320</v>
      </c>
      <c r="S107" s="381">
        <f>IFERROR(CPBH!S$6/'3.Thanh pham'!N$136,0)</f>
        <v>320</v>
      </c>
      <c r="T107" s="381">
        <f>IFERROR(CPBH!T$6/'3.Thanh pham'!O$136,0)</f>
        <v>320</v>
      </c>
      <c r="U107" s="381">
        <f>IFERROR(CPBH!U$6/'3.Thanh pham'!P$136,0)</f>
        <v>320</v>
      </c>
      <c r="V107" s="381">
        <f>IFERROR(CPBH!V$6/'3.Thanh pham'!Q$136,0)</f>
        <v>320</v>
      </c>
      <c r="W107" s="448">
        <f>IFERROR(CPBH!W$6/'3.Thanh pham'!R$136,0)</f>
        <v>320</v>
      </c>
      <c r="Y107" s="448">
        <f>IFERROR(CPBH!Y$6/'3.Thanh pham'!T$136,0)</f>
        <v>0</v>
      </c>
      <c r="Z107" s="149">
        <f t="shared" si="9"/>
        <v>320</v>
      </c>
    </row>
    <row r="108" spans="2:26" x14ac:dyDescent="0.35">
      <c r="B108" s="372">
        <v>3</v>
      </c>
      <c r="C108" s="372"/>
      <c r="D108" s="374" t="s">
        <v>910</v>
      </c>
      <c r="E108" s="373" t="s">
        <v>951</v>
      </c>
      <c r="F108" s="374" t="s">
        <v>970</v>
      </c>
      <c r="G108" s="380" t="s">
        <v>1032</v>
      </c>
      <c r="H108" s="380" t="s">
        <v>454</v>
      </c>
      <c r="I108" s="381" t="s">
        <v>709</v>
      </c>
      <c r="J108" s="381"/>
      <c r="K108" s="381">
        <f>IFERROR(CPBH!K$7/'3.Thanh pham'!F$155,0)</f>
        <v>0</v>
      </c>
      <c r="L108" s="381">
        <f>IFERROR(CPBH!L$7/'3.Thanh pham'!G$155,0)</f>
        <v>0</v>
      </c>
      <c r="M108" s="381">
        <f>IFERROR(CPBH!M$7/'3.Thanh pham'!H$155,0)</f>
        <v>0</v>
      </c>
      <c r="N108" s="381">
        <f>IFERROR(CPBH!N$7/'3.Thanh pham'!I$155,0)</f>
        <v>0</v>
      </c>
      <c r="O108" s="381">
        <f>IFERROR(CPBH!O$7/'3.Thanh pham'!J$155,0)</f>
        <v>0</v>
      </c>
      <c r="P108" s="381">
        <f>IFERROR(CPBH!P$7/'3.Thanh pham'!K$155,0)</f>
        <v>320</v>
      </c>
      <c r="Q108" s="381">
        <f>IFERROR(CPBH!Q$7/'3.Thanh pham'!L$155,0)</f>
        <v>320</v>
      </c>
      <c r="R108" s="381">
        <f>IFERROR(CPBH!R$7/'3.Thanh pham'!M$155,0)</f>
        <v>320</v>
      </c>
      <c r="S108" s="381">
        <f>IFERROR(CPBH!S$7/'3.Thanh pham'!N$155,0)</f>
        <v>320</v>
      </c>
      <c r="T108" s="381">
        <f>IFERROR(CPBH!T$7/'3.Thanh pham'!O$155,0)</f>
        <v>320</v>
      </c>
      <c r="U108" s="381">
        <f>IFERROR(CPBH!U$7/'3.Thanh pham'!P$155,0)</f>
        <v>320</v>
      </c>
      <c r="V108" s="381">
        <f>IFERROR(CPBH!V$7/'3.Thanh pham'!Q$155,0)</f>
        <v>320</v>
      </c>
      <c r="W108" s="448">
        <f>IFERROR(CPBH!W$7/'3.Thanh pham'!R$155,0)</f>
        <v>320</v>
      </c>
      <c r="Y108" s="448"/>
      <c r="Z108" s="149">
        <f t="shared" si="9"/>
        <v>320</v>
      </c>
    </row>
    <row r="109" spans="2:26" x14ac:dyDescent="0.35">
      <c r="B109" s="183"/>
      <c r="C109" s="183"/>
      <c r="D109" s="182"/>
      <c r="E109" s="449" t="s">
        <v>973</v>
      </c>
      <c r="F109" s="452"/>
      <c r="G109" s="453"/>
      <c r="H109" s="453"/>
      <c r="I109" s="454"/>
      <c r="J109" s="461"/>
      <c r="K109" s="461">
        <f>IFERROR(CPBH!K$8/('3.Thanh pham'!F$97+'3.Thanh pham'!F$136+'3.Thanh pham'!F$155),0)</f>
        <v>344.69857983165969</v>
      </c>
      <c r="L109" s="461">
        <f>IFERROR(CPBH!L$8/('3.Thanh pham'!G$97+'3.Thanh pham'!G$136+'3.Thanh pham'!G$155),0)</f>
        <v>344.69857983165963</v>
      </c>
      <c r="M109" s="461">
        <f>IFERROR(CPBH!M$8/('3.Thanh pham'!H$97+'3.Thanh pham'!H$136+'3.Thanh pham'!H$155),0)</f>
        <v>344.69857983165969</v>
      </c>
      <c r="N109" s="461">
        <f>IFERROR(CPBH!N$8/('3.Thanh pham'!I$97+'3.Thanh pham'!I$136+'3.Thanh pham'!I$155),0)</f>
        <v>344.69857983165969</v>
      </c>
      <c r="O109" s="461">
        <f>IFERROR(CPBH!O$8/('3.Thanh pham'!J$97+'3.Thanh pham'!J$136+'3.Thanh pham'!J$155),0)</f>
        <v>344.6664844532948</v>
      </c>
      <c r="P109" s="461">
        <f>IFERROR(CPBH!P$8/('3.Thanh pham'!K$97+'3.Thanh pham'!K$136+'3.Thanh pham'!K$155),0)</f>
        <v>322.52359097247603</v>
      </c>
      <c r="Q109" s="461">
        <f>IFERROR(CPBH!Q$8/('3.Thanh pham'!L$97+'3.Thanh pham'!L$136+'3.Thanh pham'!L$155),0)</f>
        <v>322.52359097247603</v>
      </c>
      <c r="R109" s="461">
        <f>IFERROR(CPBH!R$8/('3.Thanh pham'!M$97+'3.Thanh pham'!M$136+'3.Thanh pham'!M$155),0)</f>
        <v>322.52359097247603</v>
      </c>
      <c r="S109" s="461">
        <f>IFERROR(CPBH!S$8/('3.Thanh pham'!N$97+'3.Thanh pham'!N$136+'3.Thanh pham'!N$155),0)</f>
        <v>322.52359097247603</v>
      </c>
      <c r="T109" s="461">
        <f>IFERROR(CPBH!T$8/('3.Thanh pham'!O$97+'3.Thanh pham'!O$136+'3.Thanh pham'!O$155),0)</f>
        <v>322.52359097247603</v>
      </c>
      <c r="U109" s="461">
        <f>IFERROR(CPBH!U$8/('3.Thanh pham'!P$97+'3.Thanh pham'!P$136+'3.Thanh pham'!P$155),0)</f>
        <v>322.52359097247603</v>
      </c>
      <c r="V109" s="461">
        <f>IFERROR(CPBH!V$8/('3.Thanh pham'!Q$97+'3.Thanh pham'!Q$136+'3.Thanh pham'!Q$155),0)</f>
        <v>322.52359097247603</v>
      </c>
      <c r="W109" s="461">
        <f>IFERROR(CPBH!W$8/('3.Thanh pham'!R$97+'3.Thanh pham'!R$136+'3.Thanh pham'!R$155),0)</f>
        <v>331.24861611367993</v>
      </c>
      <c r="X109" s="1341">
        <f>W109/$W$172</f>
        <v>7.0336550450778704E-2</v>
      </c>
      <c r="Y109" s="461">
        <f>IFERROR(CPBH!Y$8/('3.Thanh pham'!T$97+'3.Thanh pham'!T$136),0)</f>
        <v>0</v>
      </c>
      <c r="Z109" s="149">
        <f t="shared" si="9"/>
        <v>331.24861611367993</v>
      </c>
    </row>
    <row r="110" spans="2:26" x14ac:dyDescent="0.35">
      <c r="B110" s="64" t="s">
        <v>976</v>
      </c>
      <c r="C110" s="64"/>
      <c r="D110" s="64"/>
      <c r="E110" s="64"/>
      <c r="F110" s="64"/>
      <c r="I110" s="398"/>
      <c r="J110" s="467"/>
      <c r="W110" s="89"/>
      <c r="X110" s="283"/>
      <c r="Y110" s="89"/>
      <c r="Z110" s="149" t="s">
        <v>2195</v>
      </c>
    </row>
    <row r="111" spans="2:26" x14ac:dyDescent="0.35">
      <c r="B111" s="382">
        <v>1</v>
      </c>
      <c r="C111" s="382"/>
      <c r="D111" s="363">
        <v>6421002604</v>
      </c>
      <c r="E111" s="364" t="s">
        <v>488</v>
      </c>
      <c r="F111" s="364" t="s">
        <v>489</v>
      </c>
      <c r="G111" s="364" t="s">
        <v>488</v>
      </c>
      <c r="H111" s="364" t="s">
        <v>359</v>
      </c>
      <c r="I111" s="365" t="s">
        <v>701</v>
      </c>
      <c r="J111" s="468"/>
      <c r="K111" s="467">
        <f>IFERROR(CPQL!K5/('3.Thanh pham'!F$97+'3.Thanh pham'!F$136+'3.Thanh pham'!F$155),0)</f>
        <v>275.68554808098537</v>
      </c>
      <c r="L111" s="467">
        <f>IFERROR(CPQL!L5/('3.Thanh pham'!G$97+'3.Thanh pham'!G$136+'3.Thanh pham'!G$155),0)</f>
        <v>360.71635983788076</v>
      </c>
      <c r="M111" s="467">
        <f>IFERROR(CPQL!M5/('3.Thanh pham'!H$97+'3.Thanh pham'!H$136+'3.Thanh pham'!H$155),0)</f>
        <v>231.48612810763382</v>
      </c>
      <c r="N111" s="467">
        <f>IFERROR(CPQL!N5/('3.Thanh pham'!I$97+'3.Thanh pham'!I$136+'3.Thanh pham'!I$155),0)</f>
        <v>232.52478502486107</v>
      </c>
      <c r="O111" s="467">
        <f>IFERROR(CPQL!O5/('3.Thanh pham'!J$97+'3.Thanh pham'!J$136+'3.Thanh pham'!J$155),0)</f>
        <v>218.26954753106799</v>
      </c>
      <c r="P111" s="467">
        <f>IFERROR(CPQL!P5/('3.Thanh pham'!K$97+'3.Thanh pham'!K$136+'3.Thanh pham'!K$155),0)</f>
        <v>242.48215603088272</v>
      </c>
      <c r="Q111" s="467">
        <f>IFERROR(CPQL!Q5/('3.Thanh pham'!L$97+'3.Thanh pham'!L$136+'3.Thanh pham'!L$155),0)</f>
        <v>235.22934966824329</v>
      </c>
      <c r="R111" s="467">
        <f>IFERROR(CPQL!R5/('3.Thanh pham'!M$97+'3.Thanh pham'!M$136+'3.Thanh pham'!M$155),0)</f>
        <v>235.22934966824329</v>
      </c>
      <c r="S111" s="467">
        <f>IFERROR(CPQL!S5/('3.Thanh pham'!N$97+'3.Thanh pham'!N$136+'3.Thanh pham'!N$155),0)</f>
        <v>241.86184299433964</v>
      </c>
      <c r="T111" s="467">
        <f>IFERROR(CPQL!T5/('3.Thanh pham'!O$97+'3.Thanh pham'!O$136+'3.Thanh pham'!O$155),0)</f>
        <v>227.35623026906077</v>
      </c>
      <c r="U111" s="467">
        <f>IFERROR(CPQL!U5/('3.Thanh pham'!P$97+'3.Thanh pham'!P$136+'3.Thanh pham'!P$155),0)</f>
        <v>242.79231254915427</v>
      </c>
      <c r="V111" s="467">
        <f>IFERROR(CPQL!V5/('3.Thanh pham'!Q$97+'3.Thanh pham'!Q$136+'3.Thanh pham'!Q$155),0)</f>
        <v>234.91919314997176</v>
      </c>
      <c r="W111" s="467">
        <f>IFERROR(CPQL!W5/('3.Thanh pham'!R$97+'3.Thanh pham'!R$136+'3.Thanh pham'!R$155),0)</f>
        <v>244.49045761769344</v>
      </c>
      <c r="X111" s="283"/>
      <c r="Y111" s="467">
        <f>IFERROR(CPQL!AK5/CP_Kg!$Y$1,0)</f>
        <v>168.31162296291154</v>
      </c>
      <c r="Z111" s="149">
        <f>W111+Y111</f>
        <v>412.80208058060498</v>
      </c>
    </row>
    <row r="112" spans="2:26" x14ac:dyDescent="0.35">
      <c r="B112" s="385">
        <v>2</v>
      </c>
      <c r="C112" s="385"/>
      <c r="D112" s="368">
        <v>6421002605</v>
      </c>
      <c r="E112" s="368" t="s">
        <v>490</v>
      </c>
      <c r="F112" s="369" t="s">
        <v>491</v>
      </c>
      <c r="G112" s="368" t="s">
        <v>490</v>
      </c>
      <c r="H112" s="369" t="s">
        <v>359</v>
      </c>
      <c r="I112" s="370" t="s">
        <v>701</v>
      </c>
      <c r="J112" s="468"/>
      <c r="K112" s="468">
        <f>IFERROR(CPQL!K6/('3.Thanh pham'!F$97+'3.Thanh pham'!F$136+'3.Thanh pham'!F$155),0)</f>
        <v>21.075916934776249</v>
      </c>
      <c r="L112" s="468">
        <f>IFERROR(CPQL!L6/('3.Thanh pham'!G$97+'3.Thanh pham'!G$136+'3.Thanh pham'!G$155),0)</f>
        <v>27.097607487569466</v>
      </c>
      <c r="M112" s="468">
        <f>IFERROR(CPQL!M6/('3.Thanh pham'!H$97+'3.Thanh pham'!H$136+'3.Thanh pham'!H$155),0)</f>
        <v>18.968325241298626</v>
      </c>
      <c r="N112" s="468">
        <f>IFERROR(CPQL!N6/('3.Thanh pham'!I$97+'3.Thanh pham'!I$136+'3.Thanh pham'!I$155),0)</f>
        <v>17.243932037544205</v>
      </c>
      <c r="O112" s="468">
        <f>IFERROR(CPQL!O6/('3.Thanh pham'!J$97+'3.Thanh pham'!J$136+'3.Thanh pham'!J$155),0)</f>
        <v>17.265141043798653</v>
      </c>
      <c r="P112" s="468">
        <f>IFERROR(CPQL!P6/('3.Thanh pham'!K$97+'3.Thanh pham'!K$136+'3.Thanh pham'!K$155),0)</f>
        <v>17.959365065299025</v>
      </c>
      <c r="Q112" s="468">
        <f>IFERROR(CPQL!Q6/('3.Thanh pham'!L$97+'3.Thanh pham'!L$136+'3.Thanh pham'!L$155),0)</f>
        <v>17.959365065299025</v>
      </c>
      <c r="R112" s="468">
        <f>IFERROR(CPQL!R6/('3.Thanh pham'!M$97+'3.Thanh pham'!M$136+'3.Thanh pham'!M$155),0)</f>
        <v>17.959365065299025</v>
      </c>
      <c r="S112" s="468">
        <f>IFERROR(CPQL!S6/('3.Thanh pham'!N$97+'3.Thanh pham'!N$136+'3.Thanh pham'!N$155),0)</f>
        <v>17.959365065299025</v>
      </c>
      <c r="T112" s="468">
        <f>IFERROR(CPQL!T6/('3.Thanh pham'!O$97+'3.Thanh pham'!O$136+'3.Thanh pham'!O$155),0)</f>
        <v>17.959365065299025</v>
      </c>
      <c r="U112" s="468">
        <f>IFERROR(CPQL!U6/('3.Thanh pham'!P$97+'3.Thanh pham'!P$136+'3.Thanh pham'!P$155),0)</f>
        <v>17.959365065299025</v>
      </c>
      <c r="V112" s="468">
        <f>IFERROR(CPQL!V6/('3.Thanh pham'!Q$97+'3.Thanh pham'!Q$136+'3.Thanh pham'!Q$155),0)</f>
        <v>17.959365065299025</v>
      </c>
      <c r="W112" s="468">
        <f>IFERROR(CPQL!W6/('3.Thanh pham'!R$97+'3.Thanh pham'!R$136+'3.Thanh pham'!R$155),0)</f>
        <v>18.669749405889146</v>
      </c>
      <c r="X112" s="283"/>
      <c r="Y112" s="467">
        <f>IFERROR(CPQL!AK6/CP_Kg!$Y$1,0)</f>
        <v>13.771888186056389</v>
      </c>
      <c r="Z112" s="149">
        <f t="shared" ref="Z112:Z172" si="11">W112+Y112</f>
        <v>32.441637591945536</v>
      </c>
    </row>
    <row r="113" spans="2:26" x14ac:dyDescent="0.35">
      <c r="B113" s="385">
        <v>3</v>
      </c>
      <c r="C113" s="385"/>
      <c r="D113" s="368">
        <v>6421002802</v>
      </c>
      <c r="E113" s="369" t="s">
        <v>492</v>
      </c>
      <c r="F113" s="369" t="s">
        <v>493</v>
      </c>
      <c r="G113" s="369" t="s">
        <v>492</v>
      </c>
      <c r="H113" s="369" t="s">
        <v>359</v>
      </c>
      <c r="I113" s="370" t="s">
        <v>701</v>
      </c>
      <c r="J113" s="468"/>
      <c r="K113" s="468">
        <f>IFERROR(CPQL!K7/('3.Thanh pham'!F$97+'3.Thanh pham'!F$136+'3.Thanh pham'!F$155),0)</f>
        <v>12.251795521757499</v>
      </c>
      <c r="L113" s="468">
        <f>IFERROR(CPQL!L7/('3.Thanh pham'!G$97+'3.Thanh pham'!G$136+'3.Thanh pham'!G$155),0)</f>
        <v>11.74111060042619</v>
      </c>
      <c r="M113" s="468">
        <f>IFERROR(CPQL!M7/('3.Thanh pham'!H$97+'3.Thanh pham'!H$136+'3.Thanh pham'!H$155),0)</f>
        <v>8.2187774202983324</v>
      </c>
      <c r="N113" s="468">
        <f>IFERROR(CPQL!N7/('3.Thanh pham'!I$97+'3.Thanh pham'!I$136+'3.Thanh pham'!I$155),0)</f>
        <v>7.4716158366348484</v>
      </c>
      <c r="O113" s="468">
        <f>IFERROR(CPQL!O7/('3.Thanh pham'!J$97+'3.Thanh pham'!J$136+'3.Thanh pham'!J$155),0)</f>
        <v>12.592245519503338</v>
      </c>
      <c r="P113" s="468">
        <f>IFERROR(CPQL!P7/('3.Thanh pham'!K$97+'3.Thanh pham'!K$136+'3.Thanh pham'!K$155),0)</f>
        <v>7.7816055030627957</v>
      </c>
      <c r="Q113" s="468">
        <f>IFERROR(CPQL!Q7/('3.Thanh pham'!L$97+'3.Thanh pham'!L$136+'3.Thanh pham'!L$155),0)</f>
        <v>7.7816055030627957</v>
      </c>
      <c r="R113" s="468">
        <f>IFERROR(CPQL!R7/('3.Thanh pham'!M$97+'3.Thanh pham'!M$136+'3.Thanh pham'!M$155),0)</f>
        <v>7.7816055030627957</v>
      </c>
      <c r="S113" s="468">
        <f>IFERROR(CPQL!S7/('3.Thanh pham'!N$97+'3.Thanh pham'!N$136+'3.Thanh pham'!N$155),0)</f>
        <v>10.440089945390298</v>
      </c>
      <c r="T113" s="468">
        <f>IFERROR(CPQL!T7/('3.Thanh pham'!O$97+'3.Thanh pham'!O$136+'3.Thanh pham'!O$155),0)</f>
        <v>7.7816055030627957</v>
      </c>
      <c r="U113" s="468">
        <f>IFERROR(CPQL!U7/('3.Thanh pham'!P$97+'3.Thanh pham'!P$136+'3.Thanh pham'!P$155),0)</f>
        <v>7.7816055030627957</v>
      </c>
      <c r="V113" s="468">
        <f>IFERROR(CPQL!V7/('3.Thanh pham'!Q$97+'3.Thanh pham'!Q$136+'3.Thanh pham'!Q$155),0)</f>
        <v>7.7816055030627957</v>
      </c>
      <c r="W113" s="468">
        <f>IFERROR(CPQL!W7/('3.Thanh pham'!R$97+'3.Thanh pham'!R$136+'3.Thanh pham'!R$155),0)</f>
        <v>9.0106213058491793</v>
      </c>
      <c r="X113" s="283"/>
      <c r="Y113" s="467">
        <f>IFERROR(CPQL!AK7/CP_Kg!$Y$1,0)</f>
        <v>0</v>
      </c>
      <c r="Z113" s="149">
        <f t="shared" si="11"/>
        <v>9.0106213058491793</v>
      </c>
    </row>
    <row r="114" spans="2:26" x14ac:dyDescent="0.35">
      <c r="B114" s="385">
        <v>4</v>
      </c>
      <c r="C114" s="385"/>
      <c r="D114" s="368">
        <v>6421002806</v>
      </c>
      <c r="E114" s="368" t="s">
        <v>494</v>
      </c>
      <c r="F114" s="369" t="s">
        <v>491</v>
      </c>
      <c r="G114" s="368" t="s">
        <v>501</v>
      </c>
      <c r="H114" s="369" t="s">
        <v>359</v>
      </c>
      <c r="I114" s="370" t="s">
        <v>701</v>
      </c>
      <c r="J114" s="468"/>
      <c r="K114" s="468">
        <f>IFERROR(CPQL!K8/('3.Thanh pham'!F$97+'3.Thanh pham'!F$136+'3.Thanh pham'!F$155),0)</f>
        <v>27.831341197881123</v>
      </c>
      <c r="L114" s="468">
        <f>IFERROR(CPQL!L8/('3.Thanh pham'!G$97+'3.Thanh pham'!G$136+'3.Thanh pham'!G$155),0)</f>
        <v>35.7831529687043</v>
      </c>
      <c r="M114" s="468">
        <f>IFERROR(CPQL!M8/('3.Thanh pham'!H$97+'3.Thanh pham'!H$136+'3.Thanh pham'!H$155),0)</f>
        <v>25.048207078093011</v>
      </c>
      <c r="N114" s="468">
        <f>IFERROR(CPQL!N8/('3.Thanh pham'!I$97+'3.Thanh pham'!I$136+'3.Thanh pham'!I$155),0)</f>
        <v>22.771097343720918</v>
      </c>
      <c r="O114" s="468">
        <f>IFERROR(CPQL!O8/('3.Thanh pham'!J$97+'3.Thanh pham'!J$136+'3.Thanh pham'!J$155),0)</f>
        <v>22.799104433109353</v>
      </c>
      <c r="P114" s="468">
        <f>IFERROR(CPQL!P8/('3.Thanh pham'!K$97+'3.Thanh pham'!K$136+'3.Thanh pham'!K$155),0)</f>
        <v>23.715846782679975</v>
      </c>
      <c r="Q114" s="468">
        <f>IFERROR(CPQL!Q8/('3.Thanh pham'!L$97+'3.Thanh pham'!L$136+'3.Thanh pham'!L$155),0)</f>
        <v>23.715846782679975</v>
      </c>
      <c r="R114" s="468">
        <f>IFERROR(CPQL!R8/('3.Thanh pham'!M$97+'3.Thanh pham'!M$136+'3.Thanh pham'!M$155),0)</f>
        <v>23.715846782679975</v>
      </c>
      <c r="S114" s="468">
        <f>IFERROR(CPQL!S8/('3.Thanh pham'!N$97+'3.Thanh pham'!N$136+'3.Thanh pham'!N$155),0)</f>
        <v>23.715846782679975</v>
      </c>
      <c r="T114" s="468">
        <f>IFERROR(CPQL!T8/('3.Thanh pham'!O$97+'3.Thanh pham'!O$136+'3.Thanh pham'!O$155),0)</f>
        <v>23.715846782679975</v>
      </c>
      <c r="U114" s="468">
        <f>IFERROR(CPQL!U8/('3.Thanh pham'!P$97+'3.Thanh pham'!P$136+'3.Thanh pham'!P$155),0)</f>
        <v>23.715846782679975</v>
      </c>
      <c r="V114" s="468">
        <f>IFERROR(CPQL!V8/('3.Thanh pham'!Q$97+'3.Thanh pham'!Q$136+'3.Thanh pham'!Q$155),0)</f>
        <v>23.715846782679975</v>
      </c>
      <c r="W114" s="468">
        <f>IFERROR(CPQL!W8/('3.Thanh pham'!R$97+'3.Thanh pham'!R$136+'3.Thanh pham'!R$155),0)</f>
        <v>24.653929288213696</v>
      </c>
      <c r="X114" s="283"/>
      <c r="Y114" s="467">
        <f>IFERROR(CPQL!AK8/CP_Kg!$Y$1,0)</f>
        <v>18.454127880672473</v>
      </c>
      <c r="Z114" s="149">
        <f t="shared" si="11"/>
        <v>43.10805716888617</v>
      </c>
    </row>
    <row r="115" spans="2:26" x14ac:dyDescent="0.35">
      <c r="B115" s="385">
        <v>5</v>
      </c>
      <c r="C115" s="385"/>
      <c r="D115" s="368">
        <v>6421007202</v>
      </c>
      <c r="E115" s="369" t="s">
        <v>495</v>
      </c>
      <c r="F115" s="369" t="s">
        <v>493</v>
      </c>
      <c r="G115" s="369" t="s">
        <v>495</v>
      </c>
      <c r="H115" s="369" t="s">
        <v>359</v>
      </c>
      <c r="I115" s="370" t="s">
        <v>701</v>
      </c>
      <c r="J115" s="468"/>
      <c r="K115" s="468">
        <f>IFERROR(CPQL!K9/('3.Thanh pham'!F$97+'3.Thanh pham'!F$136+'3.Thanh pham'!F$155),0)</f>
        <v>0.43701797146664068</v>
      </c>
      <c r="L115" s="468">
        <f>IFERROR(CPQL!L9/('3.Thanh pham'!G$97+'3.Thanh pham'!G$136+'3.Thanh pham'!G$155),0)</f>
        <v>4.2388116826139637</v>
      </c>
      <c r="M115" s="468">
        <f>IFERROR(CPQL!M9/('3.Thanh pham'!H$97+'3.Thanh pham'!H$136+'3.Thanh pham'!H$155),0)</f>
        <v>2.9671681778297749</v>
      </c>
      <c r="N115" s="468">
        <f>IFERROR(CPQL!N9/('3.Thanh pham'!I$97+'3.Thanh pham'!I$136+'3.Thanh pham'!I$155),0)</f>
        <v>2.6974256162088861</v>
      </c>
      <c r="O115" s="468">
        <f>IFERROR(CPQL!O9/('3.Thanh pham'!J$97+'3.Thanh pham'!J$136+'3.Thanh pham'!J$155),0)</f>
        <v>2.7007432885727369</v>
      </c>
      <c r="P115" s="468">
        <f>IFERROR(CPQL!P9/('3.Thanh pham'!K$97+'3.Thanh pham'!K$136+'3.Thanh pham'!K$155),0)</f>
        <v>2.8093390343055265</v>
      </c>
      <c r="Q115" s="468">
        <f>IFERROR(CPQL!Q9/('3.Thanh pham'!L$97+'3.Thanh pham'!L$136+'3.Thanh pham'!L$155),0)</f>
        <v>2.8093390343055265</v>
      </c>
      <c r="R115" s="468">
        <f>IFERROR(CPQL!R9/('3.Thanh pham'!M$97+'3.Thanh pham'!M$136+'3.Thanh pham'!M$155),0)</f>
        <v>2.8093390343055265</v>
      </c>
      <c r="S115" s="468">
        <f>IFERROR(CPQL!S9/('3.Thanh pham'!N$97+'3.Thanh pham'!N$136+'3.Thanh pham'!N$155),0)</f>
        <v>2.8093390343055265</v>
      </c>
      <c r="T115" s="468">
        <f>IFERROR(CPQL!T9/('3.Thanh pham'!O$97+'3.Thanh pham'!O$136+'3.Thanh pham'!O$155),0)</f>
        <v>2.8093390343055265</v>
      </c>
      <c r="U115" s="468">
        <f>IFERROR(CPQL!U9/('3.Thanh pham'!P$97+'3.Thanh pham'!P$136+'3.Thanh pham'!P$155),0)</f>
        <v>2.8093390343055265</v>
      </c>
      <c r="V115" s="468">
        <f>IFERROR(CPQL!V9/('3.Thanh pham'!Q$97+'3.Thanh pham'!Q$136+'3.Thanh pham'!Q$155),0)</f>
        <v>2.8093390343055265</v>
      </c>
      <c r="W115" s="468">
        <f>IFERROR(CPQL!W9/('3.Thanh pham'!R$97+'3.Thanh pham'!R$136+'3.Thanh pham'!R$155),0)</f>
        <v>2.7093512304679908</v>
      </c>
      <c r="X115" s="283"/>
      <c r="Y115" s="467">
        <f>IFERROR(CPQL!AK9/CP_Kg!$Y$1,0)</f>
        <v>0</v>
      </c>
      <c r="Z115" s="149">
        <f t="shared" si="11"/>
        <v>2.7093512304679908</v>
      </c>
    </row>
    <row r="116" spans="2:26" x14ac:dyDescent="0.35">
      <c r="B116" s="385">
        <v>6</v>
      </c>
      <c r="C116" s="385"/>
      <c r="D116" s="368">
        <v>6421003202</v>
      </c>
      <c r="E116" s="368" t="s">
        <v>496</v>
      </c>
      <c r="F116" s="369" t="s">
        <v>493</v>
      </c>
      <c r="G116" s="368" t="s">
        <v>496</v>
      </c>
      <c r="H116" s="369" t="s">
        <v>359</v>
      </c>
      <c r="I116" s="370" t="s">
        <v>701</v>
      </c>
      <c r="J116" s="468"/>
      <c r="K116" s="468">
        <f>IFERROR(CPQL!K10/('3.Thanh pham'!F$97+'3.Thanh pham'!F$136+'3.Thanh pham'!F$155),0)</f>
        <v>15.826589971076663</v>
      </c>
      <c r="L116" s="468">
        <f>IFERROR(CPQL!L10/('3.Thanh pham'!G$97+'3.Thanh pham'!G$136+'3.Thanh pham'!G$155),0)</f>
        <v>17.535620273262857</v>
      </c>
      <c r="M116" s="468">
        <f>IFERROR(CPQL!M10/('3.Thanh pham'!H$97+'3.Thanh pham'!H$136+'3.Thanh pham'!H$155),0)</f>
        <v>13.704591985960807</v>
      </c>
      <c r="N116" s="468">
        <f>IFERROR(CPQL!N10/('3.Thanh pham'!I$97+'3.Thanh pham'!I$136+'3.Thanh pham'!I$155),0)</f>
        <v>13.87646573958361</v>
      </c>
      <c r="O116" s="468">
        <f>IFERROR(CPQL!O10/('3.Thanh pham'!J$97+'3.Thanh pham'!J$136+'3.Thanh pham'!J$155),0)</f>
        <v>11.492221027186472</v>
      </c>
      <c r="P116" s="468">
        <f>IFERROR(CPQL!P10/('3.Thanh pham'!K$97+'3.Thanh pham'!K$136+'3.Thanh pham'!K$155),0)</f>
        <v>14.479878595877134</v>
      </c>
      <c r="Q116" s="468">
        <f>IFERROR(CPQL!Q10/('3.Thanh pham'!L$97+'3.Thanh pham'!L$136+'3.Thanh pham'!L$155),0)</f>
        <v>14.024613135128549</v>
      </c>
      <c r="R116" s="468">
        <f>IFERROR(CPQL!R10/('3.Thanh pham'!M$97+'3.Thanh pham'!M$136+'3.Thanh pham'!M$155),0)</f>
        <v>14.024613135128549</v>
      </c>
      <c r="S116" s="468">
        <f>IFERROR(CPQL!S10/('3.Thanh pham'!N$97+'3.Thanh pham'!N$136+'3.Thanh pham'!N$155),0)</f>
        <v>13.403192396734495</v>
      </c>
      <c r="T116" s="468">
        <f>IFERROR(CPQL!T10/('3.Thanh pham'!O$97+'3.Thanh pham'!O$136+'3.Thanh pham'!O$155),0)</f>
        <v>13.513962581831475</v>
      </c>
      <c r="U116" s="468">
        <f>IFERROR(CPQL!U10/('3.Thanh pham'!P$97+'3.Thanh pham'!P$136+'3.Thanh pham'!P$155),0)</f>
        <v>14.507571142151379</v>
      </c>
      <c r="V116" s="468">
        <f>IFERROR(CPQL!V10/('3.Thanh pham'!Q$97+'3.Thanh pham'!Q$136+'3.Thanh pham'!Q$155),0)</f>
        <v>13.996920588854303</v>
      </c>
      <c r="W116" s="468">
        <f>IFERROR(CPQL!W10/('3.Thanh pham'!R$97+'3.Thanh pham'!R$136+'3.Thanh pham'!R$155),0)</f>
        <v>14.072210677730187</v>
      </c>
      <c r="X116" s="283"/>
      <c r="Y116" s="467">
        <f>IFERROR(CPQL!AK10/CP_Kg!$Y$1,0)</f>
        <v>6.7451996618560903</v>
      </c>
      <c r="Z116" s="149">
        <f t="shared" si="11"/>
        <v>20.817410339586278</v>
      </c>
    </row>
    <row r="117" spans="2:26" x14ac:dyDescent="0.35">
      <c r="B117" s="385">
        <v>7</v>
      </c>
      <c r="C117" s="385"/>
      <c r="D117" s="368">
        <v>6421002603</v>
      </c>
      <c r="E117" s="369" t="s">
        <v>497</v>
      </c>
      <c r="F117" s="369" t="s">
        <v>491</v>
      </c>
      <c r="G117" s="369" t="s">
        <v>497</v>
      </c>
      <c r="H117" s="369" t="s">
        <v>359</v>
      </c>
      <c r="I117" s="370" t="s">
        <v>701</v>
      </c>
      <c r="J117" s="468"/>
      <c r="K117" s="468">
        <f>IFERROR(CPQL!K11/('3.Thanh pham'!F$97+'3.Thanh pham'!F$136+'3.Thanh pham'!F$155),0)</f>
        <v>2.7645510383152967</v>
      </c>
      <c r="L117" s="468">
        <f>IFERROR(CPQL!L11/('3.Thanh pham'!G$97+'3.Thanh pham'!G$136+'3.Thanh pham'!G$155),0)</f>
        <v>3.5544227635482391</v>
      </c>
      <c r="M117" s="468">
        <f>IFERROR(CPQL!M11/('3.Thanh pham'!H$97+'3.Thanh pham'!H$136+'3.Thanh pham'!H$155),0)</f>
        <v>2.4880959344837672</v>
      </c>
      <c r="N117" s="468">
        <f>IFERROR(CPQL!N11/('3.Thanh pham'!I$97+'3.Thanh pham'!I$136+'3.Thanh pham'!I$155),0)</f>
        <v>2.2619053949852428</v>
      </c>
      <c r="O117" s="468">
        <f>IFERROR(CPQL!O11/('3.Thanh pham'!J$97+'3.Thanh pham'!J$136+'3.Thanh pham'!J$155),0)</f>
        <v>2.2646874034949471</v>
      </c>
      <c r="P117" s="468">
        <f>IFERROR(CPQL!P11/('3.Thanh pham'!K$97+'3.Thanh pham'!K$136+'3.Thanh pham'!K$155),0)</f>
        <v>2.3557495264574588</v>
      </c>
      <c r="Q117" s="468">
        <f>IFERROR(CPQL!Q11/('3.Thanh pham'!L$97+'3.Thanh pham'!L$136+'3.Thanh pham'!L$155),0)</f>
        <v>2.3557495264574588</v>
      </c>
      <c r="R117" s="468">
        <f>IFERROR(CPQL!R11/('3.Thanh pham'!M$97+'3.Thanh pham'!M$136+'3.Thanh pham'!M$155),0)</f>
        <v>2.3557495264574588</v>
      </c>
      <c r="S117" s="468">
        <f>IFERROR(CPQL!S11/('3.Thanh pham'!N$97+'3.Thanh pham'!N$136+'3.Thanh pham'!N$155),0)</f>
        <v>2.3557495264574588</v>
      </c>
      <c r="T117" s="468">
        <f>IFERROR(CPQL!T11/('3.Thanh pham'!O$97+'3.Thanh pham'!O$136+'3.Thanh pham'!O$155),0)</f>
        <v>2.3557495264574588</v>
      </c>
      <c r="U117" s="468">
        <f>IFERROR(CPQL!U11/('3.Thanh pham'!P$97+'3.Thanh pham'!P$136+'3.Thanh pham'!P$155),0)</f>
        <v>2.3557495264574588</v>
      </c>
      <c r="V117" s="468">
        <f>IFERROR(CPQL!V11/('3.Thanh pham'!Q$97+'3.Thanh pham'!Q$136+'3.Thanh pham'!Q$155),0)</f>
        <v>2.3557495264574588</v>
      </c>
      <c r="W117" s="468">
        <f>IFERROR(CPQL!W11/('3.Thanh pham'!R$97+'3.Thanh pham'!R$136+'3.Thanh pham'!R$155),0)</f>
        <v>2.4489314161213351</v>
      </c>
      <c r="X117" s="283"/>
      <c r="Y117" s="467">
        <f>IFERROR(CPQL!AK11/CP_Kg!$Y$1,0)</f>
        <v>0</v>
      </c>
      <c r="Z117" s="149">
        <f t="shared" si="11"/>
        <v>2.4489314161213351</v>
      </c>
    </row>
    <row r="118" spans="2:26" x14ac:dyDescent="0.35">
      <c r="B118" s="385">
        <v>8</v>
      </c>
      <c r="C118" s="385"/>
      <c r="D118" s="368">
        <v>6421003401</v>
      </c>
      <c r="E118" s="368" t="s">
        <v>498</v>
      </c>
      <c r="F118" s="369" t="s">
        <v>493</v>
      </c>
      <c r="G118" s="368" t="s">
        <v>498</v>
      </c>
      <c r="H118" s="369" t="s">
        <v>359</v>
      </c>
      <c r="I118" s="370" t="s">
        <v>701</v>
      </c>
      <c r="J118" s="468"/>
      <c r="K118" s="468">
        <f>IFERROR(CPQL!K12/('3.Thanh pham'!F$97+'3.Thanh pham'!F$136+'3.Thanh pham'!F$155),0)</f>
        <v>56.595534756751483</v>
      </c>
      <c r="L118" s="468">
        <f>IFERROR(CPQL!L12/('3.Thanh pham'!G$97+'3.Thanh pham'!G$136+'3.Thanh pham'!G$155),0)</f>
        <v>72.765687544394765</v>
      </c>
      <c r="M118" s="468">
        <f>IFERROR(CPQL!M12/('3.Thanh pham'!H$97+'3.Thanh pham'!H$136+'3.Thanh pham'!H$155),0)</f>
        <v>50.935981281076337</v>
      </c>
      <c r="N118" s="468">
        <f>IFERROR(CPQL!N12/('3.Thanh pham'!I$97+'3.Thanh pham'!I$136+'3.Thanh pham'!I$155),0)</f>
        <v>46.305437528251218</v>
      </c>
      <c r="O118" s="468">
        <f>IFERROR(CPQL!O12/('3.Thanh pham'!J$97+'3.Thanh pham'!J$136+'3.Thanh pham'!J$155),0)</f>
        <v>46.362390450126192</v>
      </c>
      <c r="P118" s="468">
        <f>IFERROR(CPQL!P12/('3.Thanh pham'!K$97+'3.Thanh pham'!K$136+'3.Thanh pham'!K$155),0)</f>
        <v>48.22660256765289</v>
      </c>
      <c r="Q118" s="468">
        <f>IFERROR(CPQL!Q12/('3.Thanh pham'!L$97+'3.Thanh pham'!L$136+'3.Thanh pham'!L$155),0)</f>
        <v>48.22660256765289</v>
      </c>
      <c r="R118" s="468">
        <f>IFERROR(CPQL!R12/('3.Thanh pham'!M$97+'3.Thanh pham'!M$136+'3.Thanh pham'!M$155),0)</f>
        <v>48.22660256765289</v>
      </c>
      <c r="S118" s="468">
        <f>IFERROR(CPQL!S12/('3.Thanh pham'!N$97+'3.Thanh pham'!N$136+'3.Thanh pham'!N$155),0)</f>
        <v>48.22660256765289</v>
      </c>
      <c r="T118" s="468">
        <f>IFERROR(CPQL!T12/('3.Thanh pham'!O$97+'3.Thanh pham'!O$136+'3.Thanh pham'!O$155),0)</f>
        <v>48.22660256765289</v>
      </c>
      <c r="U118" s="468">
        <f>IFERROR(CPQL!U12/('3.Thanh pham'!P$97+'3.Thanh pham'!P$136+'3.Thanh pham'!P$155),0)</f>
        <v>48.22660256765289</v>
      </c>
      <c r="V118" s="468">
        <f>IFERROR(CPQL!V12/('3.Thanh pham'!Q$97+'3.Thanh pham'!Q$136+'3.Thanh pham'!Q$155),0)</f>
        <v>48.22660256765289</v>
      </c>
      <c r="W118" s="468">
        <f>IFERROR(CPQL!W12/('3.Thanh pham'!R$97+'3.Thanh pham'!R$136+'3.Thanh pham'!R$155),0)</f>
        <v>50.134210277577992</v>
      </c>
      <c r="X118" s="283"/>
      <c r="Y118" s="467">
        <f>IFERROR(CPQL!AK12/CP_Kg!$Y$1,0)</f>
        <v>29.920015717051818</v>
      </c>
      <c r="Z118" s="149">
        <f t="shared" si="11"/>
        <v>80.054225994629803</v>
      </c>
    </row>
    <row r="119" spans="2:26" x14ac:dyDescent="0.35">
      <c r="B119" s="385">
        <v>9</v>
      </c>
      <c r="C119" s="385"/>
      <c r="D119" s="368">
        <v>6421002703</v>
      </c>
      <c r="E119" s="369" t="s">
        <v>499</v>
      </c>
      <c r="F119" s="369" t="s">
        <v>491</v>
      </c>
      <c r="G119" s="369" t="s">
        <v>499</v>
      </c>
      <c r="H119" s="369" t="s">
        <v>359</v>
      </c>
      <c r="I119" s="370" t="s">
        <v>701</v>
      </c>
      <c r="J119" s="468"/>
      <c r="K119" s="468">
        <f>IFERROR(CPQL!K13/('3.Thanh pham'!F$97+'3.Thanh pham'!F$136+'3.Thanh pham'!F$155),0)</f>
        <v>9.5946482077280564</v>
      </c>
      <c r="L119" s="468">
        <f>IFERROR(CPQL!L13/('3.Thanh pham'!G$97+'3.Thanh pham'!G$136+'3.Thanh pham'!G$155),0)</f>
        <v>10.710207663059373</v>
      </c>
      <c r="M119" s="468">
        <f>IFERROR(CPQL!M13/('3.Thanh pham'!H$97+'3.Thanh pham'!H$136+'3.Thanh pham'!H$155),0)</f>
        <v>8.3213536121673002</v>
      </c>
      <c r="N119" s="468">
        <f>IFERROR(CPQL!N13/('3.Thanh pham'!I$97+'3.Thanh pham'!I$136+'3.Thanh pham'!I$155),0)</f>
        <v>8.5994469408918075</v>
      </c>
      <c r="O119" s="468">
        <f>IFERROR(CPQL!O13/('3.Thanh pham'!J$97+'3.Thanh pham'!J$136+'3.Thanh pham'!J$155),0)</f>
        <v>6.8239694591457507</v>
      </c>
      <c r="P119" s="468">
        <f>IFERROR(CPQL!P13/('3.Thanh pham'!K$97+'3.Thanh pham'!K$136+'3.Thanh pham'!K$155),0)</f>
        <v>8.9562291613589284</v>
      </c>
      <c r="Q119" s="468">
        <f>IFERROR(CPQL!Q13/('3.Thanh pham'!L$97+'3.Thanh pham'!L$136+'3.Thanh pham'!L$155),0)</f>
        <v>8.6590925706436863</v>
      </c>
      <c r="R119" s="468">
        <f>IFERROR(CPQL!R13/('3.Thanh pham'!M$97+'3.Thanh pham'!M$136+'3.Thanh pham'!M$155),0)</f>
        <v>8.6590925706436863</v>
      </c>
      <c r="S119" s="468">
        <f>IFERROR(CPQL!S13/('3.Thanh pham'!N$97+'3.Thanh pham'!N$136+'3.Thanh pham'!N$155),0)</f>
        <v>8.4174762121027502</v>
      </c>
      <c r="T119" s="468">
        <f>IFERROR(CPQL!T13/('3.Thanh pham'!O$97+'3.Thanh pham'!O$136+'3.Thanh pham'!O$155),0)</f>
        <v>8.1758620689655164</v>
      </c>
      <c r="U119" s="468">
        <f>IFERROR(CPQL!U13/('3.Thanh pham'!P$97+'3.Thanh pham'!P$136+'3.Thanh pham'!P$155),0)</f>
        <v>8.9562291613589284</v>
      </c>
      <c r="V119" s="468">
        <f>IFERROR(CPQL!V13/('3.Thanh pham'!Q$97+'3.Thanh pham'!Q$136+'3.Thanh pham'!Q$155),0)</f>
        <v>8.6590925706436863</v>
      </c>
      <c r="W119" s="468">
        <f>IFERROR(CPQL!W13/('3.Thanh pham'!R$97+'3.Thanh pham'!R$136+'3.Thanh pham'!R$155),0)</f>
        <v>8.6361565813760333</v>
      </c>
      <c r="X119" s="283"/>
      <c r="Y119" s="467">
        <f>IFERROR(CPQL!AK13/CP_Kg!$Y$1,0)</f>
        <v>0</v>
      </c>
      <c r="Z119" s="149">
        <f t="shared" si="11"/>
        <v>8.6361565813760333</v>
      </c>
    </row>
    <row r="120" spans="2:26" x14ac:dyDescent="0.35">
      <c r="B120" s="385">
        <v>10</v>
      </c>
      <c r="C120" s="385"/>
      <c r="D120" s="368" t="s">
        <v>835</v>
      </c>
      <c r="E120" s="369" t="s">
        <v>702</v>
      </c>
      <c r="F120" s="369" t="s">
        <v>493</v>
      </c>
      <c r="G120" s="387" t="s">
        <v>702</v>
      </c>
      <c r="H120" s="369" t="s">
        <v>359</v>
      </c>
      <c r="I120" s="370" t="s">
        <v>703</v>
      </c>
      <c r="J120" s="468"/>
      <c r="K120" s="468">
        <f>IFERROR(CPQL!K14/('3.Thanh pham'!F$97+'3.Thanh pham'!F$136+'3.Thanh pham'!F$155),0)</f>
        <v>0.15165794633475244</v>
      </c>
      <c r="L120" s="468">
        <f>IFERROR(CPQL!L14/('3.Thanh pham'!G$97+'3.Thanh pham'!G$136+'3.Thanh pham'!G$155),0)</f>
        <v>0.19498878814468168</v>
      </c>
      <c r="M120" s="468">
        <f>IFERROR(CPQL!M14/('3.Thanh pham'!H$97+'3.Thanh pham'!H$136+'3.Thanh pham'!H$155),0)</f>
        <v>0.13649215170127718</v>
      </c>
      <c r="N120" s="468">
        <f>IFERROR(CPQL!N14/('3.Thanh pham'!I$97+'3.Thanh pham'!I$136+'3.Thanh pham'!I$155),0)</f>
        <v>0.12408377427388835</v>
      </c>
      <c r="O120" s="468">
        <f>IFERROR(CPQL!O14/('3.Thanh pham'!J$97+'3.Thanh pham'!J$136+'3.Thanh pham'!J$155),0)</f>
        <v>0.12423638990348608</v>
      </c>
      <c r="P120" s="468">
        <f>IFERROR(CPQL!P14/('3.Thanh pham'!K$97+'3.Thanh pham'!K$136+'3.Thanh pham'!K$155),0)</f>
        <v>0.12923188261314253</v>
      </c>
      <c r="Q120" s="468">
        <f>IFERROR(CPQL!Q14/('3.Thanh pham'!L$97+'3.Thanh pham'!L$136+'3.Thanh pham'!L$155),0)</f>
        <v>0.12923188261314253</v>
      </c>
      <c r="R120" s="468">
        <f>IFERROR(CPQL!R14/('3.Thanh pham'!M$97+'3.Thanh pham'!M$136+'3.Thanh pham'!M$155),0)</f>
        <v>0.12923188261314253</v>
      </c>
      <c r="S120" s="468">
        <f>IFERROR(CPQL!S14/('3.Thanh pham'!N$97+'3.Thanh pham'!N$136+'3.Thanh pham'!N$155),0)</f>
        <v>0.12923188261314253</v>
      </c>
      <c r="T120" s="468">
        <f>IFERROR(CPQL!T14/('3.Thanh pham'!O$97+'3.Thanh pham'!O$136+'3.Thanh pham'!O$155),0)</f>
        <v>0.12923188261314253</v>
      </c>
      <c r="U120" s="468">
        <f>IFERROR(CPQL!U14/('3.Thanh pham'!P$97+'3.Thanh pham'!P$136+'3.Thanh pham'!P$155),0)</f>
        <v>0.12923188261314253</v>
      </c>
      <c r="V120" s="468">
        <f>IFERROR(CPQL!V14/('3.Thanh pham'!Q$97+'3.Thanh pham'!Q$136+'3.Thanh pham'!Q$155),0)</f>
        <v>0.12923188261314253</v>
      </c>
      <c r="W120" s="468">
        <f>IFERROR(CPQL!W14/('3.Thanh pham'!R$97+'3.Thanh pham'!R$136+'3.Thanh pham'!R$155),0)</f>
        <v>0.1343436616420538</v>
      </c>
      <c r="X120" s="283"/>
      <c r="Y120" s="467">
        <f>IFERROR(CPQL!AK14/CP_Kg!$Y$1,0)</f>
        <v>0</v>
      </c>
      <c r="Z120" s="149">
        <f t="shared" si="11"/>
        <v>0.1343436616420538</v>
      </c>
    </row>
    <row r="121" spans="2:26" x14ac:dyDescent="0.35">
      <c r="B121" s="385">
        <v>11</v>
      </c>
      <c r="C121" s="385"/>
      <c r="D121" s="368" t="s">
        <v>833</v>
      </c>
      <c r="E121" s="369" t="s">
        <v>705</v>
      </c>
      <c r="F121" s="369" t="s">
        <v>493</v>
      </c>
      <c r="G121" s="370" t="s">
        <v>705</v>
      </c>
      <c r="H121" s="369" t="s">
        <v>359</v>
      </c>
      <c r="I121" s="370" t="s">
        <v>703</v>
      </c>
      <c r="J121" s="468"/>
      <c r="K121" s="468">
        <f>IFERROR(CPQL!K15/('3.Thanh pham'!F$97+'3.Thanh pham'!F$136+'3.Thanh pham'!F$155),0)</f>
        <v>6.4549444606935102</v>
      </c>
      <c r="L121" s="468">
        <f>IFERROR(CPQL!L15/('3.Thanh pham'!G$97+'3.Thanh pham'!G$136+'3.Thanh pham'!G$155),0)</f>
        <v>7.7092423014248119</v>
      </c>
      <c r="M121" s="468">
        <f>IFERROR(CPQL!M15/('3.Thanh pham'!H$97+'3.Thanh pham'!H$136+'3.Thanh pham'!H$155),0)</f>
        <v>5.2172663351857276</v>
      </c>
      <c r="N121" s="468">
        <f>IFERROR(CPQL!N15/('3.Thanh pham'!I$97+'3.Thanh pham'!I$136+'3.Thanh pham'!I$155),0)</f>
        <v>4.5595909489749795</v>
      </c>
      <c r="O121" s="468">
        <f>IFERROR(CPQL!O15/('3.Thanh pham'!J$97+'3.Thanh pham'!J$136+'3.Thanh pham'!J$155),0)</f>
        <v>4.5651984410107875</v>
      </c>
      <c r="P121" s="468">
        <f>IFERROR(CPQL!P15/('3.Thanh pham'!K$97+'3.Thanh pham'!K$136+'3.Thanh pham'!K$155),0)</f>
        <v>4.7487629185728375</v>
      </c>
      <c r="Q121" s="468">
        <f>IFERROR(CPQL!Q15/('3.Thanh pham'!L$97+'3.Thanh pham'!L$136+'3.Thanh pham'!L$155),0)</f>
        <v>4.7487626970324666</v>
      </c>
      <c r="R121" s="468">
        <f>IFERROR(CPQL!R15/('3.Thanh pham'!M$97+'3.Thanh pham'!M$136+'3.Thanh pham'!M$155),0)</f>
        <v>4.7487624754920965</v>
      </c>
      <c r="S121" s="468">
        <f>IFERROR(CPQL!S15/('3.Thanh pham'!N$97+'3.Thanh pham'!N$136+'3.Thanh pham'!N$155),0)</f>
        <v>2.2154037019395858</v>
      </c>
      <c r="T121" s="468">
        <f>IFERROR(CPQL!T15/('3.Thanh pham'!O$97+'3.Thanh pham'!O$136+'3.Thanh pham'!O$155),0)</f>
        <v>4.8000413542024365</v>
      </c>
      <c r="U121" s="468">
        <f>IFERROR(CPQL!U15/('3.Thanh pham'!P$97+'3.Thanh pham'!P$136+'3.Thanh pham'!P$155),0)</f>
        <v>4.8000413542024365</v>
      </c>
      <c r="V121" s="468">
        <f>IFERROR(CPQL!V15/('3.Thanh pham'!Q$97+'3.Thanh pham'!Q$136+'3.Thanh pham'!Q$155),0)</f>
        <v>4.8000413542024365</v>
      </c>
      <c r="W121" s="468">
        <f>IFERROR(CPQL!W15/('3.Thanh pham'!R$97+'3.Thanh pham'!R$136+'3.Thanh pham'!R$155),0)</f>
        <v>4.8433693966098383</v>
      </c>
      <c r="X121" s="283"/>
      <c r="Y121" s="467">
        <f>IFERROR(CPQL!AK15/CP_Kg!$Y$1,0)</f>
        <v>5.236286922273254</v>
      </c>
      <c r="Z121" s="149">
        <f t="shared" si="11"/>
        <v>10.079656318883092</v>
      </c>
    </row>
    <row r="122" spans="2:26" x14ac:dyDescent="0.35">
      <c r="B122" s="385">
        <v>12</v>
      </c>
      <c r="C122" s="385"/>
      <c r="D122" s="368">
        <v>6422003502</v>
      </c>
      <c r="E122" s="369" t="s">
        <v>715</v>
      </c>
      <c r="F122" s="369" t="s">
        <v>977</v>
      </c>
      <c r="G122" s="370" t="s">
        <v>715</v>
      </c>
      <c r="H122" s="369" t="s">
        <v>359</v>
      </c>
      <c r="I122" s="370" t="s">
        <v>726</v>
      </c>
      <c r="J122" s="468"/>
      <c r="K122" s="468">
        <f>IFERROR(CPQL!K16/('3.Thanh pham'!F$97+'3.Thanh pham'!F$136+'3.Thanh pham'!F$155),0)</f>
        <v>0</v>
      </c>
      <c r="L122" s="468">
        <f>IFERROR(CPQL!L16/('3.Thanh pham'!G$97+'3.Thanh pham'!G$136+'3.Thanh pham'!G$155),0)</f>
        <v>0</v>
      </c>
      <c r="M122" s="468">
        <f>IFERROR(CPQL!M16/('3.Thanh pham'!H$97+'3.Thanh pham'!H$136+'3.Thanh pham'!H$155),0)</f>
        <v>0</v>
      </c>
      <c r="N122" s="468">
        <f>IFERROR(CPQL!N16/('3.Thanh pham'!I$97+'3.Thanh pham'!I$136+'3.Thanh pham'!I$155),0)</f>
        <v>0</v>
      </c>
      <c r="O122" s="468">
        <f>IFERROR(CPQL!O16/('3.Thanh pham'!J$97+'3.Thanh pham'!J$136+'3.Thanh pham'!J$155),0)</f>
        <v>0</v>
      </c>
      <c r="P122" s="468">
        <f>IFERROR(CPQL!P16/('3.Thanh pham'!K$97+'3.Thanh pham'!K$136+'3.Thanh pham'!K$155),0)</f>
        <v>0</v>
      </c>
      <c r="Q122" s="468">
        <f>IFERROR(CPQL!Q16/('3.Thanh pham'!L$97+'3.Thanh pham'!L$136+'3.Thanh pham'!L$155),0)</f>
        <v>0</v>
      </c>
      <c r="R122" s="468">
        <f>IFERROR(CPQL!R16/('3.Thanh pham'!M$97+'3.Thanh pham'!M$136+'3.Thanh pham'!M$155),0)</f>
        <v>0</v>
      </c>
      <c r="S122" s="468">
        <f>IFERROR(CPQL!S16/('3.Thanh pham'!N$97+'3.Thanh pham'!N$136+'3.Thanh pham'!N$155),0)</f>
        <v>0</v>
      </c>
      <c r="T122" s="468">
        <f>IFERROR(CPQL!T16/('3.Thanh pham'!O$97+'3.Thanh pham'!O$136+'3.Thanh pham'!O$155),0)</f>
        <v>0</v>
      </c>
      <c r="U122" s="468">
        <f>IFERROR(CPQL!U16/('3.Thanh pham'!P$97+'3.Thanh pham'!P$136+'3.Thanh pham'!P$155),0)</f>
        <v>0</v>
      </c>
      <c r="V122" s="468">
        <f>IFERROR(CPQL!V16/('3.Thanh pham'!Q$97+'3.Thanh pham'!Q$136+'3.Thanh pham'!Q$155),0)</f>
        <v>0</v>
      </c>
      <c r="W122" s="468">
        <f>IFERROR(CPQL!W16/('3.Thanh pham'!R$97+'3.Thanh pham'!R$136+'3.Thanh pham'!R$155),0)</f>
        <v>0</v>
      </c>
      <c r="X122" s="283"/>
      <c r="Y122" s="467">
        <f>IFERROR(CPQL!AK16/CP_Kg!$Y$1,0)</f>
        <v>0</v>
      </c>
      <c r="Z122" s="149">
        <f t="shared" si="11"/>
        <v>0</v>
      </c>
    </row>
    <row r="123" spans="2:26" x14ac:dyDescent="0.35">
      <c r="B123" s="385">
        <v>13</v>
      </c>
      <c r="C123" s="385"/>
      <c r="D123" s="368">
        <v>6423003002</v>
      </c>
      <c r="E123" s="369" t="s">
        <v>872</v>
      </c>
      <c r="F123" s="369" t="s">
        <v>725</v>
      </c>
      <c r="G123" s="370" t="s">
        <v>872</v>
      </c>
      <c r="H123" s="369" t="s">
        <v>359</v>
      </c>
      <c r="I123" s="370" t="s">
        <v>703</v>
      </c>
      <c r="J123" s="468"/>
      <c r="K123" s="468">
        <f>IFERROR(CPQL!K17/('3.Thanh pham'!F$97+'3.Thanh pham'!F$136+'3.Thanh pham'!F$155),0)</f>
        <v>0</v>
      </c>
      <c r="L123" s="468">
        <f>IFERROR(CPQL!L17/('3.Thanh pham'!G$97+'3.Thanh pham'!G$136+'3.Thanh pham'!G$155),0)</f>
        <v>0</v>
      </c>
      <c r="M123" s="468">
        <f>IFERROR(CPQL!M17/('3.Thanh pham'!H$97+'3.Thanh pham'!H$136+'3.Thanh pham'!H$155),0)</f>
        <v>0</v>
      </c>
      <c r="N123" s="468">
        <f>IFERROR(CPQL!N17/('3.Thanh pham'!I$97+'3.Thanh pham'!I$136+'3.Thanh pham'!I$155),0)</f>
        <v>0</v>
      </c>
      <c r="O123" s="468">
        <f>IFERROR(CPQL!O17/('3.Thanh pham'!J$97+'3.Thanh pham'!J$136+'3.Thanh pham'!J$155),0)</f>
        <v>0</v>
      </c>
      <c r="P123" s="468">
        <f>IFERROR(CPQL!P17/('3.Thanh pham'!K$97+'3.Thanh pham'!K$136+'3.Thanh pham'!K$155),0)</f>
        <v>0</v>
      </c>
      <c r="Q123" s="468">
        <f>IFERROR(CPQL!Q17/('3.Thanh pham'!L$97+'3.Thanh pham'!L$136+'3.Thanh pham'!L$155),0)</f>
        <v>0</v>
      </c>
      <c r="R123" s="468">
        <f>IFERROR(CPQL!R17/('3.Thanh pham'!M$97+'3.Thanh pham'!M$136+'3.Thanh pham'!M$155),0)</f>
        <v>0</v>
      </c>
      <c r="S123" s="468">
        <f>IFERROR(CPQL!S17/('3.Thanh pham'!N$97+'3.Thanh pham'!N$136+'3.Thanh pham'!N$155),0)</f>
        <v>0</v>
      </c>
      <c r="T123" s="468">
        <f>IFERROR(CPQL!T17/('3.Thanh pham'!O$97+'3.Thanh pham'!O$136+'3.Thanh pham'!O$155),0)</f>
        <v>0</v>
      </c>
      <c r="U123" s="468">
        <f>IFERROR(CPQL!U17/('3.Thanh pham'!P$97+'3.Thanh pham'!P$136+'3.Thanh pham'!P$155),0)</f>
        <v>0</v>
      </c>
      <c r="V123" s="468">
        <f>IFERROR(CPQL!V17/('3.Thanh pham'!Q$97+'3.Thanh pham'!Q$136+'3.Thanh pham'!Q$155),0)</f>
        <v>0</v>
      </c>
      <c r="W123" s="468">
        <f>IFERROR(CPQL!W17/('3.Thanh pham'!R$97+'3.Thanh pham'!R$136+'3.Thanh pham'!R$155),0)</f>
        <v>0</v>
      </c>
      <c r="X123" s="283"/>
      <c r="Y123" s="467">
        <f>IFERROR(CPQL!AK17/CP_Kg!$Y$1,0)</f>
        <v>0</v>
      </c>
      <c r="Z123" s="149">
        <f t="shared" si="11"/>
        <v>0</v>
      </c>
    </row>
    <row r="124" spans="2:26" x14ac:dyDescent="0.35">
      <c r="B124" s="385">
        <v>14</v>
      </c>
      <c r="C124" s="385"/>
      <c r="D124" s="368">
        <v>6423002402</v>
      </c>
      <c r="E124" s="369" t="s">
        <v>978</v>
      </c>
      <c r="F124" s="369" t="s">
        <v>725</v>
      </c>
      <c r="G124" s="370" t="s">
        <v>978</v>
      </c>
      <c r="H124" s="369" t="s">
        <v>359</v>
      </c>
      <c r="I124" s="370" t="s">
        <v>726</v>
      </c>
      <c r="J124" s="468"/>
      <c r="K124" s="468">
        <f>IFERROR(CPQL!K18/('3.Thanh pham'!F$97+'3.Thanh pham'!F$136+'3.Thanh pham'!F$155),0)</f>
        <v>5.9770797179162196</v>
      </c>
      <c r="L124" s="468">
        <f>IFERROR(CPQL!L18/('3.Thanh pham'!G$97+'3.Thanh pham'!G$136+'3.Thanh pham'!G$155),0)</f>
        <v>7.6848167801779965</v>
      </c>
      <c r="M124" s="468">
        <f>IFERROR(CPQL!M18/('3.Thanh pham'!H$97+'3.Thanh pham'!H$136+'3.Thanh pham'!H$155),0)</f>
        <v>5.3793717461245976</v>
      </c>
      <c r="N124" s="468">
        <f>IFERROR(CPQL!N18/('3.Thanh pham'!I$97+'3.Thanh pham'!I$136+'3.Thanh pham'!I$155),0)</f>
        <v>4.8903379510223619</v>
      </c>
      <c r="O124" s="468">
        <f>IFERROR(CPQL!O18/('3.Thanh pham'!J$97+'3.Thanh pham'!J$136+'3.Thanh pham'!J$155),0)</f>
        <v>4.8963527745535478</v>
      </c>
      <c r="P124" s="468">
        <f>IFERROR(CPQL!P18/('3.Thanh pham'!K$97+'3.Thanh pham'!K$136+'3.Thanh pham'!K$155),0)</f>
        <v>5.0932330493924258</v>
      </c>
      <c r="Q124" s="468">
        <f>IFERROR(CPQL!Q18/('3.Thanh pham'!L$97+'3.Thanh pham'!L$136+'3.Thanh pham'!L$155),0)</f>
        <v>2.8778293474528396</v>
      </c>
      <c r="R124" s="468">
        <f>IFERROR(CPQL!R18/('3.Thanh pham'!M$97+'3.Thanh pham'!M$136+'3.Thanh pham'!M$155),0)</f>
        <v>2.7393666160816155</v>
      </c>
      <c r="S124" s="468">
        <f>IFERROR(CPQL!S18/('3.Thanh pham'!N$97+'3.Thanh pham'!N$136+'3.Thanh pham'!N$155),0)</f>
        <v>2.3724403779478718</v>
      </c>
      <c r="T124" s="468">
        <f>IFERROR(CPQL!T18/('3.Thanh pham'!O$97+'3.Thanh pham'!O$136+'3.Thanh pham'!O$155),0)</f>
        <v>2.3724403779478718</v>
      </c>
      <c r="U124" s="468">
        <f>IFERROR(CPQL!U18/('3.Thanh pham'!P$97+'3.Thanh pham'!P$136+'3.Thanh pham'!P$155),0)</f>
        <v>2.3724403779478718</v>
      </c>
      <c r="V124" s="468">
        <f>IFERROR(CPQL!V18/('3.Thanh pham'!Q$97+'3.Thanh pham'!Q$136+'3.Thanh pham'!Q$155),0)</f>
        <v>2.3724403779478718</v>
      </c>
      <c r="W124" s="468">
        <f>IFERROR(CPQL!W18/('3.Thanh pham'!R$97+'3.Thanh pham'!R$136+'3.Thanh pham'!R$155),0)</f>
        <v>3.9560577236330174</v>
      </c>
      <c r="X124" s="283"/>
      <c r="Y124" s="467">
        <f>IFERROR(CPQL!AK18/CP_Kg!$Y$1,0)</f>
        <v>14.599862602071786</v>
      </c>
      <c r="Z124" s="149">
        <f t="shared" si="11"/>
        <v>18.555920325704804</v>
      </c>
    </row>
    <row r="125" spans="2:26" x14ac:dyDescent="0.35">
      <c r="B125" s="385">
        <v>15</v>
      </c>
      <c r="C125" s="385"/>
      <c r="D125" s="368" t="s">
        <v>834</v>
      </c>
      <c r="E125" s="369" t="s">
        <v>899</v>
      </c>
      <c r="F125" s="369" t="s">
        <v>711</v>
      </c>
      <c r="G125" s="370" t="s">
        <v>899</v>
      </c>
      <c r="H125" s="369" t="s">
        <v>359</v>
      </c>
      <c r="I125" s="370" t="s">
        <v>726</v>
      </c>
      <c r="J125" s="468"/>
      <c r="K125" s="468">
        <f>IFERROR(CPQL!K19/('3.Thanh pham'!F$97+'3.Thanh pham'!F$136+'3.Thanh pham'!F$155),0)</f>
        <v>6.4996262714893893</v>
      </c>
      <c r="L125" s="468">
        <f>IFERROR(CPQL!L19/('3.Thanh pham'!G$97+'3.Thanh pham'!G$136+'3.Thanh pham'!G$155),0)</f>
        <v>8.3566623490577872</v>
      </c>
      <c r="M125" s="468">
        <f>IFERROR(CPQL!M19/('3.Thanh pham'!H$97+'3.Thanh pham'!H$136+'3.Thanh pham'!H$155),0)</f>
        <v>5.8496636443404508</v>
      </c>
      <c r="N125" s="468">
        <f>IFERROR(CPQL!N19/('3.Thanh pham'!I$97+'3.Thanh pham'!I$136+'3.Thanh pham'!I$155),0)</f>
        <v>5.3178760403095007</v>
      </c>
      <c r="O125" s="468">
        <f>IFERROR(CPQL!O19/('3.Thanh pham'!J$97+'3.Thanh pham'!J$136+'3.Thanh pham'!J$155),0)</f>
        <v>5.3244167101494035</v>
      </c>
      <c r="P125" s="468">
        <f>IFERROR(CPQL!P19/('3.Thanh pham'!K$97+'3.Thanh pham'!K$136+'3.Thanh pham'!K$155),0)</f>
        <v>5.5385092548489645</v>
      </c>
      <c r="Q125" s="468">
        <f>IFERROR(CPQL!Q19/('3.Thanh pham'!L$97+'3.Thanh pham'!L$136+'3.Thanh pham'!L$155),0)</f>
        <v>5.5385092548489645</v>
      </c>
      <c r="R125" s="468">
        <f>IFERROR(CPQL!R19/('3.Thanh pham'!M$97+'3.Thanh pham'!M$136+'3.Thanh pham'!M$155),0)</f>
        <v>5.5385092548489645</v>
      </c>
      <c r="S125" s="468">
        <f>IFERROR(CPQL!S19/('3.Thanh pham'!N$97+'3.Thanh pham'!N$136+'3.Thanh pham'!N$155),0)</f>
        <v>5.5385092548489645</v>
      </c>
      <c r="T125" s="468">
        <f>IFERROR(CPQL!T19/('3.Thanh pham'!O$97+'3.Thanh pham'!O$136+'3.Thanh pham'!O$155),0)</f>
        <v>5.5385092548489645</v>
      </c>
      <c r="U125" s="468">
        <f>IFERROR(CPQL!U19/('3.Thanh pham'!P$97+'3.Thanh pham'!P$136+'3.Thanh pham'!P$155),0)</f>
        <v>5.5385092548489645</v>
      </c>
      <c r="V125" s="468">
        <f>IFERROR(CPQL!V19/('3.Thanh pham'!Q$97+'3.Thanh pham'!Q$136+'3.Thanh pham'!Q$155),0)</f>
        <v>5.5385092548489645</v>
      </c>
      <c r="W125" s="468">
        <f>IFERROR(CPQL!W19/('3.Thanh pham'!R$97+'3.Thanh pham'!R$136+'3.Thanh pham'!R$155),0)</f>
        <v>5.7575854989451623</v>
      </c>
      <c r="X125" s="283"/>
      <c r="Y125" s="467">
        <f>IFERROR(CPQL!AK19/CP_Kg!$Y$1,0)</f>
        <v>6.2936144373369638</v>
      </c>
      <c r="Z125" s="149">
        <f t="shared" si="11"/>
        <v>12.051199936282126</v>
      </c>
    </row>
    <row r="126" spans="2:26" x14ac:dyDescent="0.35">
      <c r="B126" s="385">
        <v>16</v>
      </c>
      <c r="C126" s="385"/>
      <c r="D126" s="368">
        <v>6423006501</v>
      </c>
      <c r="E126" s="369" t="s">
        <v>979</v>
      </c>
      <c r="F126" s="369" t="s">
        <v>738</v>
      </c>
      <c r="G126" s="370" t="s">
        <v>980</v>
      </c>
      <c r="H126" s="370" t="s">
        <v>401</v>
      </c>
      <c r="I126" s="370" t="s">
        <v>703</v>
      </c>
      <c r="J126" s="468"/>
      <c r="K126" s="468">
        <f>IFERROR(CPQL!K20/('3.Thanh pham'!F$97+'3.Thanh pham'!F$136+'3.Thanh pham'!F$155),0)</f>
        <v>0</v>
      </c>
      <c r="L126" s="468">
        <f>IFERROR(CPQL!L20/('3.Thanh pham'!G$97+'3.Thanh pham'!G$136+'3.Thanh pham'!G$155),0)</f>
        <v>0</v>
      </c>
      <c r="M126" s="468">
        <f>IFERROR(CPQL!M20/('3.Thanh pham'!H$97+'3.Thanh pham'!H$136+'3.Thanh pham'!H$155),0)</f>
        <v>0.93594618309447208</v>
      </c>
      <c r="N126" s="468">
        <f>IFERROR(CPQL!N20/('3.Thanh pham'!I$97+'3.Thanh pham'!I$136+'3.Thanh pham'!I$155),0)</f>
        <v>0.85086016644952012</v>
      </c>
      <c r="O126" s="468">
        <f>IFERROR(CPQL!O20/('3.Thanh pham'!J$97+'3.Thanh pham'!J$136+'3.Thanh pham'!J$155),0)</f>
        <v>0.85190667362390449</v>
      </c>
      <c r="P126" s="468">
        <f>IFERROR(CPQL!P20/('3.Thanh pham'!K$97+'3.Thanh pham'!K$136+'3.Thanh pham'!K$155),0)</f>
        <v>0.88616148077583434</v>
      </c>
      <c r="Q126" s="468">
        <f>IFERROR(CPQL!Q20/('3.Thanh pham'!L$97+'3.Thanh pham'!L$136+'3.Thanh pham'!L$155),0)</f>
        <v>0.88616148077583434</v>
      </c>
      <c r="R126" s="468">
        <f>IFERROR(CPQL!R20/('3.Thanh pham'!M$97+'3.Thanh pham'!M$136+'3.Thanh pham'!M$155),0)</f>
        <v>0.88616148077583434</v>
      </c>
      <c r="S126" s="468">
        <f>IFERROR(CPQL!S20/('3.Thanh pham'!N$97+'3.Thanh pham'!N$136+'3.Thanh pham'!N$155),0)</f>
        <v>0</v>
      </c>
      <c r="T126" s="468">
        <f>IFERROR(CPQL!T20/('3.Thanh pham'!O$97+'3.Thanh pham'!O$136+'3.Thanh pham'!O$155),0)</f>
        <v>0.88616148077583434</v>
      </c>
      <c r="U126" s="468">
        <f>IFERROR(CPQL!U20/('3.Thanh pham'!P$97+'3.Thanh pham'!P$136+'3.Thanh pham'!P$155),0)</f>
        <v>0.88616148077583434</v>
      </c>
      <c r="V126" s="468">
        <f>IFERROR(CPQL!V20/('3.Thanh pham'!Q$97+'3.Thanh pham'!Q$136+'3.Thanh pham'!Q$155),0)</f>
        <v>0.88616148077583434</v>
      </c>
      <c r="W126" s="468">
        <f>IFERROR(CPQL!W20/('3.Thanh pham'!R$97+'3.Thanh pham'!R$136+'3.Thanh pham'!R$155),0)</f>
        <v>0.69091025987341947</v>
      </c>
      <c r="X126" s="283"/>
      <c r="Y126" s="467">
        <f>IFERROR(CPQL!AK20/CP_Kg!$Y$1,0)</f>
        <v>0</v>
      </c>
      <c r="Z126" s="149">
        <f t="shared" si="11"/>
        <v>0.69091025987341947</v>
      </c>
    </row>
    <row r="127" spans="2:26" x14ac:dyDescent="0.35">
      <c r="B127" s="385">
        <v>17</v>
      </c>
      <c r="C127" s="385"/>
      <c r="D127" s="368">
        <v>6425006101</v>
      </c>
      <c r="E127" s="369" t="s">
        <v>981</v>
      </c>
      <c r="F127" s="369" t="s">
        <v>982</v>
      </c>
      <c r="G127" s="370" t="s">
        <v>981</v>
      </c>
      <c r="H127" s="370" t="s">
        <v>369</v>
      </c>
      <c r="I127" s="370" t="s">
        <v>726</v>
      </c>
      <c r="J127" s="468"/>
      <c r="K127" s="468">
        <f>IFERROR(CPQL!K21/('3.Thanh pham'!F$97+'3.Thanh pham'!F$136+'3.Thanh pham'!F$155),0)</f>
        <v>3.8997757628936336</v>
      </c>
      <c r="L127" s="468">
        <f>IFERROR(CPQL!L21/('3.Thanh pham'!G$97+'3.Thanh pham'!G$136+'3.Thanh pham'!G$155),0)</f>
        <v>0</v>
      </c>
      <c r="M127" s="468">
        <f>IFERROR(CPQL!M21/('3.Thanh pham'!H$97+'3.Thanh pham'!H$136+'3.Thanh pham'!H$155),0)</f>
        <v>0</v>
      </c>
      <c r="N127" s="468">
        <f>IFERROR(CPQL!N21/('3.Thanh pham'!I$97+'3.Thanh pham'!I$136+'3.Thanh pham'!I$155),0)</f>
        <v>0</v>
      </c>
      <c r="O127" s="468">
        <f>IFERROR(CPQL!O21/('3.Thanh pham'!J$97+'3.Thanh pham'!J$136+'3.Thanh pham'!J$155),0)</f>
        <v>0</v>
      </c>
      <c r="P127" s="468">
        <f>IFERROR(CPQL!P21/('3.Thanh pham'!K$97+'3.Thanh pham'!K$136+'3.Thanh pham'!K$155),0)</f>
        <v>0</v>
      </c>
      <c r="Q127" s="468">
        <f>IFERROR(CPQL!Q21/('3.Thanh pham'!L$97+'3.Thanh pham'!L$136+'3.Thanh pham'!L$155),0)</f>
        <v>0</v>
      </c>
      <c r="R127" s="468">
        <f>IFERROR(CPQL!R21/('3.Thanh pham'!M$97+'3.Thanh pham'!M$136+'3.Thanh pham'!M$155),0)</f>
        <v>0</v>
      </c>
      <c r="S127" s="468">
        <f>IFERROR(CPQL!S21/('3.Thanh pham'!N$97+'3.Thanh pham'!N$136+'3.Thanh pham'!N$155),0)</f>
        <v>0</v>
      </c>
      <c r="T127" s="468">
        <f>IFERROR(CPQL!T21/('3.Thanh pham'!O$97+'3.Thanh pham'!O$136+'3.Thanh pham'!O$155),0)</f>
        <v>0</v>
      </c>
      <c r="U127" s="468">
        <f>IFERROR(CPQL!U21/('3.Thanh pham'!P$97+'3.Thanh pham'!P$136+'3.Thanh pham'!P$155),0)</f>
        <v>0</v>
      </c>
      <c r="V127" s="468">
        <f>IFERROR(CPQL!V21/('3.Thanh pham'!Q$97+'3.Thanh pham'!Q$136+'3.Thanh pham'!Q$155),0)</f>
        <v>0</v>
      </c>
      <c r="W127" s="468">
        <f>IFERROR(CPQL!W21/('3.Thanh pham'!R$97+'3.Thanh pham'!R$136+'3.Thanh pham'!R$155),0)</f>
        <v>0.28787927494725812</v>
      </c>
      <c r="X127" s="283"/>
      <c r="Y127" s="467">
        <f>IFERROR(CPQL!AK21/CP_Kg!$Y$1,0)</f>
        <v>0.31568797169373281</v>
      </c>
      <c r="Z127" s="149">
        <f t="shared" si="11"/>
        <v>0.60356724664099093</v>
      </c>
    </row>
    <row r="128" spans="2:26" x14ac:dyDescent="0.35">
      <c r="B128" s="385">
        <v>18</v>
      </c>
      <c r="C128" s="385"/>
      <c r="D128" s="368">
        <v>6426007001</v>
      </c>
      <c r="E128" s="369" t="s">
        <v>983</v>
      </c>
      <c r="F128" s="369" t="s">
        <v>984</v>
      </c>
      <c r="G128" s="370" t="s">
        <v>983</v>
      </c>
      <c r="H128" s="370" t="s">
        <v>369</v>
      </c>
      <c r="I128" s="370" t="s">
        <v>726</v>
      </c>
      <c r="J128" s="468"/>
      <c r="K128" s="468">
        <f>IFERROR(CPQL!K22/('3.Thanh pham'!F$97+'3.Thanh pham'!F$136+'3.Thanh pham'!F$155),0)</f>
        <v>0</v>
      </c>
      <c r="L128" s="468">
        <f>IFERROR(CPQL!L22/('3.Thanh pham'!G$97+'3.Thanh pham'!G$136+'3.Thanh pham'!G$155),0)</f>
        <v>0</v>
      </c>
      <c r="M128" s="468">
        <f>IFERROR(CPQL!M22/('3.Thanh pham'!H$97+'3.Thanh pham'!H$136+'3.Thanh pham'!H$155),0)</f>
        <v>0</v>
      </c>
      <c r="N128" s="468">
        <f>IFERROR(CPQL!N22/('3.Thanh pham'!I$97+'3.Thanh pham'!I$136+'3.Thanh pham'!I$155),0)</f>
        <v>0</v>
      </c>
      <c r="O128" s="468">
        <f>IFERROR(CPQL!O22/('3.Thanh pham'!J$97+'3.Thanh pham'!J$136+'3.Thanh pham'!J$155),0)</f>
        <v>0</v>
      </c>
      <c r="P128" s="468">
        <f>IFERROR(CPQL!P22/('3.Thanh pham'!K$97+'3.Thanh pham'!K$136+'3.Thanh pham'!K$155),0)</f>
        <v>0</v>
      </c>
      <c r="Q128" s="468">
        <f>IFERROR(CPQL!Q22/('3.Thanh pham'!L$97+'3.Thanh pham'!L$136+'3.Thanh pham'!L$155),0)</f>
        <v>0</v>
      </c>
      <c r="R128" s="468">
        <f>IFERROR(CPQL!R22/('3.Thanh pham'!M$97+'3.Thanh pham'!M$136+'3.Thanh pham'!M$155),0)</f>
        <v>0</v>
      </c>
      <c r="S128" s="468">
        <f>IFERROR(CPQL!S22/('3.Thanh pham'!N$97+'3.Thanh pham'!N$136+'3.Thanh pham'!N$155),0)</f>
        <v>0</v>
      </c>
      <c r="T128" s="468">
        <f>IFERROR(CPQL!T22/('3.Thanh pham'!O$97+'3.Thanh pham'!O$136+'3.Thanh pham'!O$155),0)</f>
        <v>0</v>
      </c>
      <c r="U128" s="468">
        <f>IFERROR(CPQL!U22/('3.Thanh pham'!P$97+'3.Thanh pham'!P$136+'3.Thanh pham'!P$155),0)</f>
        <v>0</v>
      </c>
      <c r="V128" s="468">
        <f>IFERROR(CPQL!V22/('3.Thanh pham'!Q$97+'3.Thanh pham'!Q$136+'3.Thanh pham'!Q$155),0)</f>
        <v>0</v>
      </c>
      <c r="W128" s="468">
        <f>IFERROR(CPQL!W22/('3.Thanh pham'!R$97+'3.Thanh pham'!R$136+'3.Thanh pham'!R$155),0)</f>
        <v>0</v>
      </c>
      <c r="X128" s="283"/>
      <c r="Y128" s="467">
        <f>IFERROR(CPQL!AK22/CP_Kg!$Y$1,0)</f>
        <v>0</v>
      </c>
      <c r="Z128" s="149">
        <f t="shared" si="11"/>
        <v>0</v>
      </c>
    </row>
    <row r="129" spans="2:26" x14ac:dyDescent="0.35">
      <c r="B129" s="385">
        <v>19</v>
      </c>
      <c r="C129" s="385"/>
      <c r="D129" s="368" t="s">
        <v>839</v>
      </c>
      <c r="E129" s="369" t="s">
        <v>985</v>
      </c>
      <c r="F129" s="369" t="s">
        <v>716</v>
      </c>
      <c r="G129" s="370" t="s">
        <v>986</v>
      </c>
      <c r="H129" s="370" t="s">
        <v>401</v>
      </c>
      <c r="I129" s="370" t="s">
        <v>726</v>
      </c>
      <c r="J129" s="468"/>
      <c r="K129" s="468">
        <f>IFERROR(CPQL!K23/('3.Thanh pham'!F$97+'3.Thanh pham'!F$136+'3.Thanh pham'!F$155),0)</f>
        <v>2.9809885931558937</v>
      </c>
      <c r="L129" s="468">
        <f>IFERROR(CPQL!L23/('3.Thanh pham'!G$97+'3.Thanh pham'!G$136+'3.Thanh pham'!G$155),0)</f>
        <v>3.832699619771863</v>
      </c>
      <c r="M129" s="468">
        <f>IFERROR(CPQL!M23/('3.Thanh pham'!H$97+'3.Thanh pham'!H$136+'3.Thanh pham'!H$155),0)</f>
        <v>2.6828897338403044</v>
      </c>
      <c r="N129" s="468">
        <f>IFERROR(CPQL!N23/('3.Thanh pham'!I$97+'3.Thanh pham'!I$136+'3.Thanh pham'!I$155),0)</f>
        <v>2.4389906671275492</v>
      </c>
      <c r="O129" s="468">
        <f>IFERROR(CPQL!O23/('3.Thanh pham'!J$97+'3.Thanh pham'!J$136+'3.Thanh pham'!J$155),0)</f>
        <v>2.4419904799429224</v>
      </c>
      <c r="P129" s="468">
        <f>IFERROR(CPQL!P23/('3.Thanh pham'!K$97+'3.Thanh pham'!K$136+'3.Thanh pham'!K$155),0)</f>
        <v>2.5401818846439292</v>
      </c>
      <c r="Q129" s="468">
        <f>IFERROR(CPQL!Q23/('3.Thanh pham'!L$97+'3.Thanh pham'!L$136+'3.Thanh pham'!L$155),0)</f>
        <v>2.5401818846439292</v>
      </c>
      <c r="R129" s="468">
        <f>IFERROR(CPQL!R23/('3.Thanh pham'!M$97+'3.Thanh pham'!M$136+'3.Thanh pham'!M$155),0)</f>
        <v>2.5401818846439292</v>
      </c>
      <c r="S129" s="468">
        <f>IFERROR(CPQL!S23/('3.Thanh pham'!N$97+'3.Thanh pham'!N$136+'3.Thanh pham'!N$155),0)</f>
        <v>2.5401818846439292</v>
      </c>
      <c r="T129" s="468">
        <f>IFERROR(CPQL!T23/('3.Thanh pham'!O$97+'3.Thanh pham'!O$136+'3.Thanh pham'!O$155),0)</f>
        <v>2.5401818846439292</v>
      </c>
      <c r="U129" s="468">
        <f>IFERROR(CPQL!U23/('3.Thanh pham'!P$97+'3.Thanh pham'!P$136+'3.Thanh pham'!P$155),0)</f>
        <v>2.5401818846439292</v>
      </c>
      <c r="V129" s="468">
        <f>IFERROR(CPQL!V23/('3.Thanh pham'!Q$97+'3.Thanh pham'!Q$136+'3.Thanh pham'!Q$155),0)</f>
        <v>2.5401818846439292</v>
      </c>
      <c r="W129" s="468">
        <f>IFERROR(CPQL!W23/('3.Thanh pham'!R$97+'3.Thanh pham'!R$136+'3.Thanh pham'!R$155),0)</f>
        <v>2.6406590132362093</v>
      </c>
      <c r="X129" s="283"/>
      <c r="Y129" s="467">
        <f>IFERROR(CPQL!AK23/CP_Kg!$Y$1,0)</f>
        <v>0</v>
      </c>
      <c r="Z129" s="149">
        <f t="shared" si="11"/>
        <v>2.6406590132362093</v>
      </c>
    </row>
    <row r="130" spans="2:26" x14ac:dyDescent="0.35">
      <c r="B130" s="385">
        <v>20</v>
      </c>
      <c r="C130" s="385"/>
      <c r="D130" s="368" t="s">
        <v>847</v>
      </c>
      <c r="E130" s="369" t="s">
        <v>746</v>
      </c>
      <c r="F130" s="369" t="s">
        <v>738</v>
      </c>
      <c r="G130" s="370" t="s">
        <v>746</v>
      </c>
      <c r="H130" s="370" t="s">
        <v>379</v>
      </c>
      <c r="I130" s="370" t="s">
        <v>703</v>
      </c>
      <c r="J130" s="468"/>
      <c r="K130" s="468">
        <f>IFERROR(CPQL!K24/('3.Thanh pham'!F$97+'3.Thanh pham'!F$136+'3.Thanh pham'!F$155),0)</f>
        <v>5.6782360014299176</v>
      </c>
      <c r="L130" s="468">
        <f>IFERROR(CPQL!L24/('3.Thanh pham'!G$97+'3.Thanh pham'!G$136+'3.Thanh pham'!G$155),0)</f>
        <v>2.2865917352609366</v>
      </c>
      <c r="M130" s="468">
        <f>IFERROR(CPQL!M24/('3.Thanh pham'!H$97+'3.Thanh pham'!H$136+'3.Thanh pham'!H$155),0)</f>
        <v>5.1104124012869256</v>
      </c>
      <c r="N130" s="468">
        <f>IFERROR(CPQL!N24/('3.Thanh pham'!I$97+'3.Thanh pham'!I$136+'3.Thanh pham'!I$155),0)</f>
        <v>3.828058295738904</v>
      </c>
      <c r="O130" s="468">
        <f>IFERROR(CPQL!O24/('3.Thanh pham'!J$97+'3.Thanh pham'!J$136+'3.Thanh pham'!J$155),0)</f>
        <v>2.035775939079207</v>
      </c>
      <c r="P130" s="468">
        <f>IFERROR(CPQL!P24/('3.Thanh pham'!K$97+'3.Thanh pham'!K$136+'3.Thanh pham'!K$155),0)</f>
        <v>4.3330373307831573</v>
      </c>
      <c r="Q130" s="468">
        <f>IFERROR(CPQL!Q24/('3.Thanh pham'!L$97+'3.Thanh pham'!L$136+'3.Thanh pham'!L$155),0)</f>
        <v>3.2253354798133644</v>
      </c>
      <c r="R130" s="468">
        <f>IFERROR(CPQL!R24/('3.Thanh pham'!M$97+'3.Thanh pham'!M$136+'3.Thanh pham'!M$155),0)</f>
        <v>2.1176336288435715</v>
      </c>
      <c r="S130" s="468">
        <f>IFERROR(CPQL!S24/('3.Thanh pham'!N$97+'3.Thanh pham'!N$136+'3.Thanh pham'!N$155),0)</f>
        <v>4.3330373307831573</v>
      </c>
      <c r="T130" s="468">
        <f>IFERROR(CPQL!T24/('3.Thanh pham'!O$97+'3.Thanh pham'!O$136+'3.Thanh pham'!O$155),0)</f>
        <v>2.1176336288435715</v>
      </c>
      <c r="U130" s="468">
        <f>IFERROR(CPQL!U24/('3.Thanh pham'!P$97+'3.Thanh pham'!P$136+'3.Thanh pham'!P$155),0)</f>
        <v>2.1176336288435715</v>
      </c>
      <c r="V130" s="468">
        <f>IFERROR(CPQL!V24/('3.Thanh pham'!Q$97+'3.Thanh pham'!Q$136+'3.Thanh pham'!Q$155),0)</f>
        <v>4.3330373307831573</v>
      </c>
      <c r="W130" s="468">
        <f>IFERROR(CPQL!W24/('3.Thanh pham'!R$97+'3.Thanh pham'!R$136+'3.Thanh pham'!R$155),0)</f>
        <v>3.4543113999713086</v>
      </c>
      <c r="X130" s="283"/>
      <c r="Y130" s="467">
        <f>IFERROR(CPQL!AK24/CP_Kg!$Y$1,0)</f>
        <v>2.7227725569710244</v>
      </c>
      <c r="Z130" s="149">
        <f t="shared" si="11"/>
        <v>6.177083956942333</v>
      </c>
    </row>
    <row r="131" spans="2:26" x14ac:dyDescent="0.35">
      <c r="B131" s="385">
        <v>21</v>
      </c>
      <c r="C131" s="385"/>
      <c r="D131" s="368">
        <v>6427002301</v>
      </c>
      <c r="E131" s="369" t="s">
        <v>749</v>
      </c>
      <c r="F131" s="369" t="s">
        <v>750</v>
      </c>
      <c r="G131" s="370" t="s">
        <v>749</v>
      </c>
      <c r="H131" s="370" t="s">
        <v>369</v>
      </c>
      <c r="I131" s="370" t="s">
        <v>703</v>
      </c>
      <c r="J131" s="468"/>
      <c r="K131" s="468">
        <f>IFERROR(CPQL!K25/('3.Thanh pham'!F$97+'3.Thanh pham'!F$136+'3.Thanh pham'!F$155),0)</f>
        <v>0</v>
      </c>
      <c r="L131" s="468">
        <f>IFERROR(CPQL!L25/('3.Thanh pham'!G$97+'3.Thanh pham'!G$136+'3.Thanh pham'!G$155),0)</f>
        <v>0</v>
      </c>
      <c r="M131" s="468">
        <f>IFERROR(CPQL!M25/('3.Thanh pham'!H$97+'3.Thanh pham'!H$136+'3.Thanh pham'!H$155),0)</f>
        <v>0</v>
      </c>
      <c r="N131" s="468">
        <f>IFERROR(CPQL!N25/('3.Thanh pham'!I$97+'3.Thanh pham'!I$136+'3.Thanh pham'!I$155),0)</f>
        <v>0</v>
      </c>
      <c r="O131" s="468">
        <f>IFERROR(CPQL!O25/('3.Thanh pham'!J$97+'3.Thanh pham'!J$136+'3.Thanh pham'!J$155),0)</f>
        <v>0</v>
      </c>
      <c r="P131" s="468">
        <f>IFERROR(CPQL!P25/('3.Thanh pham'!K$97+'3.Thanh pham'!K$136+'3.Thanh pham'!K$155),0)</f>
        <v>0</v>
      </c>
      <c r="Q131" s="468">
        <f>IFERROR(CPQL!Q25/('3.Thanh pham'!L$97+'3.Thanh pham'!L$136+'3.Thanh pham'!L$155),0)</f>
        <v>0</v>
      </c>
      <c r="R131" s="468">
        <f>IFERROR(CPQL!R25/('3.Thanh pham'!M$97+'3.Thanh pham'!M$136+'3.Thanh pham'!M$155),0)</f>
        <v>0</v>
      </c>
      <c r="S131" s="468">
        <f>IFERROR(CPQL!S25/('3.Thanh pham'!N$97+'3.Thanh pham'!N$136+'3.Thanh pham'!N$155),0)</f>
        <v>0</v>
      </c>
      <c r="T131" s="468">
        <f>IFERROR(CPQL!T25/('3.Thanh pham'!O$97+'3.Thanh pham'!O$136+'3.Thanh pham'!O$155),0)</f>
        <v>0</v>
      </c>
      <c r="U131" s="468">
        <f>IFERROR(CPQL!U25/('3.Thanh pham'!P$97+'3.Thanh pham'!P$136+'3.Thanh pham'!P$155),0)</f>
        <v>0</v>
      </c>
      <c r="V131" s="468">
        <f>IFERROR(CPQL!V25/('3.Thanh pham'!Q$97+'3.Thanh pham'!Q$136+'3.Thanh pham'!Q$155),0)</f>
        <v>0</v>
      </c>
      <c r="W131" s="468">
        <f>IFERROR(CPQL!W25/('3.Thanh pham'!R$97+'3.Thanh pham'!R$136+'3.Thanh pham'!R$155),0)</f>
        <v>0</v>
      </c>
      <c r="X131" s="283"/>
      <c r="Y131" s="467">
        <f>IFERROR(CPQL!AK25/CP_Kg!$Y$1,0)</f>
        <v>0</v>
      </c>
      <c r="Z131" s="149">
        <f t="shared" si="11"/>
        <v>0</v>
      </c>
    </row>
    <row r="132" spans="2:26" x14ac:dyDescent="0.35">
      <c r="B132" s="385">
        <v>22</v>
      </c>
      <c r="C132" s="385"/>
      <c r="D132" s="368" t="s">
        <v>837</v>
      </c>
      <c r="E132" s="369" t="s">
        <v>728</v>
      </c>
      <c r="F132" s="369" t="s">
        <v>729</v>
      </c>
      <c r="G132" s="370" t="s">
        <v>728</v>
      </c>
      <c r="H132" s="369" t="s">
        <v>359</v>
      </c>
      <c r="I132" s="370" t="s">
        <v>726</v>
      </c>
      <c r="J132" s="468"/>
      <c r="K132" s="468">
        <f>IFERROR(CPQL!K26/('3.Thanh pham'!F$97+'3.Thanh pham'!F$136+'3.Thanh pham'!F$155),0)</f>
        <v>2.7363426602970331</v>
      </c>
      <c r="L132" s="468">
        <f>IFERROR(CPQL!L26/('3.Thanh pham'!G$97+'3.Thanh pham'!G$136+'3.Thanh pham'!G$155),0)</f>
        <v>3.5181548489533281</v>
      </c>
      <c r="M132" s="468">
        <f>IFERROR(CPQL!M26/('3.Thanh pham'!H$97+'3.Thanh pham'!H$136+'3.Thanh pham'!H$155),0)</f>
        <v>2.4627083942673296</v>
      </c>
      <c r="N132" s="468">
        <f>IFERROR(CPQL!N26/('3.Thanh pham'!I$97+'3.Thanh pham'!I$136+'3.Thanh pham'!I$155),0)</f>
        <v>2.2388258129702998</v>
      </c>
      <c r="O132" s="468">
        <f>IFERROR(CPQL!O26/('3.Thanh pham'!J$97+'3.Thanh pham'!J$136+'3.Thanh pham'!J$155),0)</f>
        <v>2.2415794349728988</v>
      </c>
      <c r="P132" s="468">
        <f>IFERROR(CPQL!P26/('3.Thanh pham'!K$97+'3.Thanh pham'!K$136+'3.Thanh pham'!K$155),0)</f>
        <v>2.3317123962914144</v>
      </c>
      <c r="Q132" s="468">
        <f>IFERROR(CPQL!Q26/('3.Thanh pham'!L$97+'3.Thanh pham'!L$136+'3.Thanh pham'!L$155),0)</f>
        <v>2.3317123962914144</v>
      </c>
      <c r="R132" s="468">
        <f>IFERROR(CPQL!R26/('3.Thanh pham'!M$97+'3.Thanh pham'!M$136+'3.Thanh pham'!M$155),0)</f>
        <v>2.3317123962914144</v>
      </c>
      <c r="S132" s="468">
        <f>IFERROR(CPQL!S26/('3.Thanh pham'!N$97+'3.Thanh pham'!N$136+'3.Thanh pham'!N$155),0)</f>
        <v>2.3317123962914144</v>
      </c>
      <c r="T132" s="468">
        <f>IFERROR(CPQL!T26/('3.Thanh pham'!O$97+'3.Thanh pham'!O$136+'3.Thanh pham'!O$155),0)</f>
        <v>2.3317123962914144</v>
      </c>
      <c r="U132" s="468">
        <f>IFERROR(CPQL!U26/('3.Thanh pham'!P$97+'3.Thanh pham'!P$136+'3.Thanh pham'!P$155),0)</f>
        <v>2.3317123962914144</v>
      </c>
      <c r="V132" s="468">
        <f>IFERROR(CPQL!V26/('3.Thanh pham'!Q$97+'3.Thanh pham'!Q$136+'3.Thanh pham'!Q$155),0)</f>
        <v>2.3317123962914144</v>
      </c>
      <c r="W132" s="468">
        <f>IFERROR(CPQL!W26/('3.Thanh pham'!R$97+'3.Thanh pham'!R$136+'3.Thanh pham'!R$155),0)</f>
        <v>2.4239434950559136</v>
      </c>
      <c r="X132" s="283"/>
      <c r="Y132" s="467">
        <f>IFERROR(CPQL!AK26/CP_Kg!$Y$1,0)</f>
        <v>1.4508214174716141</v>
      </c>
      <c r="Z132" s="149">
        <f t="shared" si="11"/>
        <v>3.8747649125275276</v>
      </c>
    </row>
    <row r="133" spans="2:26" x14ac:dyDescent="0.35">
      <c r="B133" s="385">
        <v>23</v>
      </c>
      <c r="C133" s="385"/>
      <c r="D133" s="368">
        <v>6427003302</v>
      </c>
      <c r="E133" s="369" t="s">
        <v>877</v>
      </c>
      <c r="F133" s="369" t="s">
        <v>987</v>
      </c>
      <c r="G133" s="370" t="s">
        <v>877</v>
      </c>
      <c r="H133" s="369" t="s">
        <v>359</v>
      </c>
      <c r="I133" s="370" t="s">
        <v>726</v>
      </c>
      <c r="J133" s="468"/>
      <c r="K133" s="468">
        <f>IFERROR(CPQL!K27/('3.Thanh pham'!F$97+'3.Thanh pham'!F$136+'3.Thanh pham'!F$155),0)</f>
        <v>1.2999252542978779</v>
      </c>
      <c r="L133" s="468">
        <f>IFERROR(CPQL!L27/('3.Thanh pham'!G$97+'3.Thanh pham'!G$136+'3.Thanh pham'!G$155),0)</f>
        <v>1.6713324698115573</v>
      </c>
      <c r="M133" s="468">
        <f>IFERROR(CPQL!M27/('3.Thanh pham'!H$97+'3.Thanh pham'!H$136+'3.Thanh pham'!H$155),0)</f>
        <v>1.1699327288680901</v>
      </c>
      <c r="N133" s="468">
        <f>IFERROR(CPQL!N27/('3.Thanh pham'!I$97+'3.Thanh pham'!I$136+'3.Thanh pham'!I$155),0)</f>
        <v>1.0635752080619001</v>
      </c>
      <c r="O133" s="468">
        <f>IFERROR(CPQL!O27/('3.Thanh pham'!J$97+'3.Thanh pham'!J$136+'3.Thanh pham'!J$155),0)</f>
        <v>1.0648833420298807</v>
      </c>
      <c r="P133" s="468">
        <f>IFERROR(CPQL!P27/('3.Thanh pham'!K$97+'3.Thanh pham'!K$136+'3.Thanh pham'!K$155),0)</f>
        <v>3.5077225280710107</v>
      </c>
      <c r="Q133" s="468">
        <f>IFERROR(CPQL!Q27/('3.Thanh pham'!L$97+'3.Thanh pham'!L$136+'3.Thanh pham'!L$155),0)</f>
        <v>3.5077225280710107</v>
      </c>
      <c r="R133" s="468">
        <f>IFERROR(CPQL!R27/('3.Thanh pham'!M$97+'3.Thanh pham'!M$136+'3.Thanh pham'!M$155),0)</f>
        <v>3.5077225280710107</v>
      </c>
      <c r="S133" s="468">
        <f>IFERROR(CPQL!S27/('3.Thanh pham'!N$97+'3.Thanh pham'!N$136+'3.Thanh pham'!N$155),0)</f>
        <v>3.5077225280710107</v>
      </c>
      <c r="T133" s="468">
        <f>IFERROR(CPQL!T27/('3.Thanh pham'!O$97+'3.Thanh pham'!O$136+'3.Thanh pham'!O$155),0)</f>
        <v>3.5077225280710107</v>
      </c>
      <c r="U133" s="468">
        <f>IFERROR(CPQL!U27/('3.Thanh pham'!P$97+'3.Thanh pham'!P$136+'3.Thanh pham'!P$155),0)</f>
        <v>3.5077225280710107</v>
      </c>
      <c r="V133" s="468">
        <f>IFERROR(CPQL!V27/('3.Thanh pham'!Q$97+'3.Thanh pham'!Q$136+'3.Thanh pham'!Q$155),0)</f>
        <v>3.5077225280710107</v>
      </c>
      <c r="W133" s="468">
        <f>IFERROR(CPQL!W27/('3.Thanh pham'!R$97+'3.Thanh pham'!R$136+'3.Thanh pham'!R$155),0)</f>
        <v>2.6069067675779487</v>
      </c>
      <c r="X133" s="283"/>
      <c r="Y133" s="467">
        <f>IFERROR(CPQL!AK27/CP_Kg!$Y$1,0)</f>
        <v>1.03475508848234</v>
      </c>
      <c r="Z133" s="149">
        <f t="shared" si="11"/>
        <v>3.6416618560602885</v>
      </c>
    </row>
    <row r="134" spans="2:26" x14ac:dyDescent="0.35">
      <c r="B134" s="385">
        <v>24</v>
      </c>
      <c r="C134" s="385"/>
      <c r="D134" s="368">
        <v>6427003301</v>
      </c>
      <c r="E134" s="369" t="s">
        <v>988</v>
      </c>
      <c r="F134" s="369" t="s">
        <v>989</v>
      </c>
      <c r="G134" s="370" t="s">
        <v>988</v>
      </c>
      <c r="H134" s="369" t="s">
        <v>359</v>
      </c>
      <c r="I134" s="370" t="s">
        <v>726</v>
      </c>
      <c r="J134" s="468"/>
      <c r="K134" s="468">
        <f>IFERROR(CPQL!K28/('3.Thanh pham'!F$97+'3.Thanh pham'!F$136+'3.Thanh pham'!F$155),0)</f>
        <v>0</v>
      </c>
      <c r="L134" s="468">
        <f>IFERROR(CPQL!L28/('3.Thanh pham'!G$97+'3.Thanh pham'!G$136+'3.Thanh pham'!G$155),0)</f>
        <v>0</v>
      </c>
      <c r="M134" s="468">
        <f>IFERROR(CPQL!M28/('3.Thanh pham'!H$97+'3.Thanh pham'!H$136+'3.Thanh pham'!H$155),0)</f>
        <v>0</v>
      </c>
      <c r="N134" s="468">
        <f>IFERROR(CPQL!N28/('3.Thanh pham'!I$97+'3.Thanh pham'!I$136+'3.Thanh pham'!I$155),0)</f>
        <v>0</v>
      </c>
      <c r="O134" s="468">
        <f>IFERROR(CPQL!O28/('3.Thanh pham'!J$97+'3.Thanh pham'!J$136+'3.Thanh pham'!J$155),0)</f>
        <v>0</v>
      </c>
      <c r="P134" s="468">
        <f>IFERROR(CPQL!P28/('3.Thanh pham'!K$97+'3.Thanh pham'!K$136+'3.Thanh pham'!K$155),0)</f>
        <v>0</v>
      </c>
      <c r="Q134" s="468">
        <f>IFERROR(CPQL!Q28/('3.Thanh pham'!L$97+'3.Thanh pham'!L$136+'3.Thanh pham'!L$155),0)</f>
        <v>0</v>
      </c>
      <c r="R134" s="468">
        <f>IFERROR(CPQL!R28/('3.Thanh pham'!M$97+'3.Thanh pham'!M$136+'3.Thanh pham'!M$155),0)</f>
        <v>0</v>
      </c>
      <c r="S134" s="468">
        <f>IFERROR(CPQL!S28/('3.Thanh pham'!N$97+'3.Thanh pham'!N$136+'3.Thanh pham'!N$155),0)</f>
        <v>0</v>
      </c>
      <c r="T134" s="468">
        <f>IFERROR(CPQL!T28/('3.Thanh pham'!O$97+'3.Thanh pham'!O$136+'3.Thanh pham'!O$155),0)</f>
        <v>0</v>
      </c>
      <c r="U134" s="468">
        <f>IFERROR(CPQL!U28/('3.Thanh pham'!P$97+'3.Thanh pham'!P$136+'3.Thanh pham'!P$155),0)</f>
        <v>0</v>
      </c>
      <c r="V134" s="468">
        <f>IFERROR(CPQL!V28/('3.Thanh pham'!Q$97+'3.Thanh pham'!Q$136+'3.Thanh pham'!Q$155),0)</f>
        <v>0</v>
      </c>
      <c r="W134" s="468">
        <f>IFERROR(CPQL!W28/('3.Thanh pham'!R$97+'3.Thanh pham'!R$136+'3.Thanh pham'!R$155),0)</f>
        <v>0</v>
      </c>
      <c r="X134" s="283"/>
      <c r="Y134" s="467">
        <f>IFERROR(CPQL!AK28/CP_Kg!$Y$1,0)</f>
        <v>0</v>
      </c>
      <c r="Z134" s="149">
        <f t="shared" si="11"/>
        <v>0</v>
      </c>
    </row>
    <row r="135" spans="2:26" x14ac:dyDescent="0.35">
      <c r="B135" s="385">
        <v>25</v>
      </c>
      <c r="C135" s="385"/>
      <c r="D135" s="368" t="s">
        <v>843</v>
      </c>
      <c r="E135" s="369" t="s">
        <v>936</v>
      </c>
      <c r="F135" s="369" t="s">
        <v>493</v>
      </c>
      <c r="G135" s="370" t="s">
        <v>842</v>
      </c>
      <c r="H135" s="369" t="s">
        <v>359</v>
      </c>
      <c r="I135" s="370" t="s">
        <v>726</v>
      </c>
      <c r="J135" s="468"/>
      <c r="K135" s="468">
        <f>IFERROR(CPQL!K29/('3.Thanh pham'!F$97+'3.Thanh pham'!F$136+'3.Thanh pham'!F$155),0)</f>
        <v>60.732507880796852</v>
      </c>
      <c r="L135" s="468">
        <f>IFERROR(CPQL!L29/('3.Thanh pham'!G$97+'3.Thanh pham'!G$136+'3.Thanh pham'!G$155),0)</f>
        <v>78.084652989595952</v>
      </c>
      <c r="M135" s="468">
        <f>IFERROR(CPQL!M29/('3.Thanh pham'!H$97+'3.Thanh pham'!H$136+'3.Thanh pham'!H$155),0)</f>
        <v>54.659257092717169</v>
      </c>
      <c r="N135" s="468">
        <f>IFERROR(CPQL!N29/('3.Thanh pham'!I$97+'3.Thanh pham'!I$136+'3.Thanh pham'!I$155),0)</f>
        <v>49.690233720651975</v>
      </c>
      <c r="O135" s="468">
        <f>IFERROR(CPQL!O29/('3.Thanh pham'!J$97+'3.Thanh pham'!J$136+'3.Thanh pham'!J$155),0)</f>
        <v>49.751349739636019</v>
      </c>
      <c r="P135" s="468">
        <f>IFERROR(CPQL!P29/('3.Thanh pham'!K$97+'3.Thanh pham'!K$136+'3.Thanh pham'!K$155),0)</f>
        <v>51.751830477308729</v>
      </c>
      <c r="Q135" s="468">
        <f>IFERROR(CPQL!Q29/('3.Thanh pham'!L$97+'3.Thanh pham'!L$136+'3.Thanh pham'!L$155),0)</f>
        <v>51.751830477308729</v>
      </c>
      <c r="R135" s="468">
        <f>IFERROR(CPQL!R29/('3.Thanh pham'!M$97+'3.Thanh pham'!M$136+'3.Thanh pham'!M$155),0)</f>
        <v>51.751830477308729</v>
      </c>
      <c r="S135" s="468">
        <f>IFERROR(CPQL!S29/('3.Thanh pham'!N$97+'3.Thanh pham'!N$136+'3.Thanh pham'!N$155),0)</f>
        <v>51.751830477308729</v>
      </c>
      <c r="T135" s="468">
        <f>IFERROR(CPQL!T29/('3.Thanh pham'!O$97+'3.Thanh pham'!O$136+'3.Thanh pham'!O$155),0)</f>
        <v>51.751830477308729</v>
      </c>
      <c r="U135" s="468">
        <f>IFERROR(CPQL!U29/('3.Thanh pham'!P$97+'3.Thanh pham'!P$136+'3.Thanh pham'!P$155),0)</f>
        <v>51.751830477308729</v>
      </c>
      <c r="V135" s="468">
        <f>IFERROR(CPQL!V29/('3.Thanh pham'!Q$97+'3.Thanh pham'!Q$136+'3.Thanh pham'!Q$155),0)</f>
        <v>51.751830477308729</v>
      </c>
      <c r="W135" s="468">
        <f>IFERROR(CPQL!W29/('3.Thanh pham'!R$97+'3.Thanh pham'!R$136+'3.Thanh pham'!R$155),0)</f>
        <v>53.798878902143599</v>
      </c>
      <c r="X135" s="283"/>
      <c r="Y135" s="467">
        <f>IFERROR(CPQL!AK29/CP_Kg!$Y$1,0)</f>
        <v>51.420796018795855</v>
      </c>
      <c r="Z135" s="149">
        <f t="shared" si="11"/>
        <v>105.21967492093945</v>
      </c>
    </row>
    <row r="136" spans="2:26" x14ac:dyDescent="0.35">
      <c r="B136" s="385">
        <v>26</v>
      </c>
      <c r="C136" s="385"/>
      <c r="D136" s="368">
        <v>6427003703</v>
      </c>
      <c r="E136" s="369" t="s">
        <v>990</v>
      </c>
      <c r="F136" s="369" t="s">
        <v>493</v>
      </c>
      <c r="G136" s="370" t="s">
        <v>990</v>
      </c>
      <c r="H136" s="369" t="s">
        <v>359</v>
      </c>
      <c r="I136" s="370" t="s">
        <v>726</v>
      </c>
      <c r="J136" s="468"/>
      <c r="K136" s="468">
        <f>IFERROR(CPQL!K30/('3.Thanh pham'!F$97+'3.Thanh pham'!F$136+'3.Thanh pham'!F$155),0)</f>
        <v>0</v>
      </c>
      <c r="L136" s="468">
        <f>IFERROR(CPQL!L30/('3.Thanh pham'!G$97+'3.Thanh pham'!G$136+'3.Thanh pham'!G$155),0)</f>
        <v>0</v>
      </c>
      <c r="M136" s="468">
        <f>IFERROR(CPQL!M30/('3.Thanh pham'!H$97+'3.Thanh pham'!H$136+'3.Thanh pham'!H$155),0)</f>
        <v>0</v>
      </c>
      <c r="N136" s="468">
        <f>IFERROR(CPQL!N30/('3.Thanh pham'!I$97+'3.Thanh pham'!I$136+'3.Thanh pham'!I$155),0)</f>
        <v>0</v>
      </c>
      <c r="O136" s="468">
        <f>IFERROR(CPQL!O30/('3.Thanh pham'!J$97+'3.Thanh pham'!J$136+'3.Thanh pham'!J$155),0)</f>
        <v>0</v>
      </c>
      <c r="P136" s="468">
        <f>IFERROR(CPQL!P30/('3.Thanh pham'!K$97+'3.Thanh pham'!K$136+'3.Thanh pham'!K$155),0)</f>
        <v>0</v>
      </c>
      <c r="Q136" s="468">
        <f>IFERROR(CPQL!Q30/('3.Thanh pham'!L$97+'3.Thanh pham'!L$136+'3.Thanh pham'!L$155),0)</f>
        <v>0</v>
      </c>
      <c r="R136" s="468">
        <f>IFERROR(CPQL!R30/('3.Thanh pham'!M$97+'3.Thanh pham'!M$136+'3.Thanh pham'!M$155),0)</f>
        <v>0</v>
      </c>
      <c r="S136" s="468">
        <f>IFERROR(CPQL!S30/('3.Thanh pham'!N$97+'3.Thanh pham'!N$136+'3.Thanh pham'!N$155),0)</f>
        <v>0</v>
      </c>
      <c r="T136" s="468">
        <f>IFERROR(CPQL!T30/('3.Thanh pham'!O$97+'3.Thanh pham'!O$136+'3.Thanh pham'!O$155),0)</f>
        <v>0</v>
      </c>
      <c r="U136" s="468">
        <f>IFERROR(CPQL!U30/('3.Thanh pham'!P$97+'3.Thanh pham'!P$136+'3.Thanh pham'!P$155),0)</f>
        <v>0</v>
      </c>
      <c r="V136" s="468">
        <f>IFERROR(CPQL!V30/('3.Thanh pham'!Q$97+'3.Thanh pham'!Q$136+'3.Thanh pham'!Q$155),0)</f>
        <v>0</v>
      </c>
      <c r="W136" s="468">
        <f>IFERROR(CPQL!W30/('3.Thanh pham'!R$97+'3.Thanh pham'!R$136+'3.Thanh pham'!R$155),0)</f>
        <v>0</v>
      </c>
      <c r="X136" s="283"/>
      <c r="Y136" s="467">
        <f>IFERROR(CPQL!AK30/CP_Kg!$Y$1,0)</f>
        <v>0</v>
      </c>
      <c r="Z136" s="149">
        <f t="shared" si="11"/>
        <v>0</v>
      </c>
    </row>
    <row r="137" spans="2:26" x14ac:dyDescent="0.35">
      <c r="B137" s="385">
        <v>27</v>
      </c>
      <c r="C137" s="385"/>
      <c r="D137" s="368">
        <v>6427003801</v>
      </c>
      <c r="E137" s="369" t="s">
        <v>991</v>
      </c>
      <c r="F137" s="369" t="s">
        <v>992</v>
      </c>
      <c r="G137" s="370" t="s">
        <v>991</v>
      </c>
      <c r="H137" s="369" t="s">
        <v>359</v>
      </c>
      <c r="I137" s="370" t="s">
        <v>726</v>
      </c>
      <c r="J137" s="468"/>
      <c r="K137" s="468">
        <f>IFERROR(CPQL!K31/('3.Thanh pham'!F$97+'3.Thanh pham'!F$136+'3.Thanh pham'!F$155),0)</f>
        <v>0</v>
      </c>
      <c r="L137" s="468">
        <f>IFERROR(CPQL!L31/('3.Thanh pham'!G$97+'3.Thanh pham'!G$136+'3.Thanh pham'!G$155),0)</f>
        <v>0</v>
      </c>
      <c r="M137" s="468">
        <f>IFERROR(CPQL!M31/('3.Thanh pham'!H$97+'3.Thanh pham'!H$136+'3.Thanh pham'!H$155),0)</f>
        <v>0</v>
      </c>
      <c r="N137" s="468">
        <f>IFERROR(CPQL!N31/('3.Thanh pham'!I$97+'3.Thanh pham'!I$136+'3.Thanh pham'!I$155),0)</f>
        <v>0</v>
      </c>
      <c r="O137" s="468">
        <f>IFERROR(CPQL!O31/('3.Thanh pham'!J$97+'3.Thanh pham'!J$136+'3.Thanh pham'!J$155),0)</f>
        <v>0</v>
      </c>
      <c r="P137" s="468">
        <f>IFERROR(CPQL!P31/('3.Thanh pham'!K$97+'3.Thanh pham'!K$136+'3.Thanh pham'!K$155),0)</f>
        <v>0</v>
      </c>
      <c r="Q137" s="468">
        <f>IFERROR(CPQL!Q31/('3.Thanh pham'!L$97+'3.Thanh pham'!L$136+'3.Thanh pham'!L$155),0)</f>
        <v>0</v>
      </c>
      <c r="R137" s="468">
        <f>IFERROR(CPQL!R31/('3.Thanh pham'!M$97+'3.Thanh pham'!M$136+'3.Thanh pham'!M$155),0)</f>
        <v>0</v>
      </c>
      <c r="S137" s="468">
        <f>IFERROR(CPQL!S31/('3.Thanh pham'!N$97+'3.Thanh pham'!N$136+'3.Thanh pham'!N$155),0)</f>
        <v>0</v>
      </c>
      <c r="T137" s="468">
        <f>IFERROR(CPQL!T31/('3.Thanh pham'!O$97+'3.Thanh pham'!O$136+'3.Thanh pham'!O$155),0)</f>
        <v>0</v>
      </c>
      <c r="U137" s="468">
        <f>IFERROR(CPQL!U31/('3.Thanh pham'!P$97+'3.Thanh pham'!P$136+'3.Thanh pham'!P$155),0)</f>
        <v>0</v>
      </c>
      <c r="V137" s="468">
        <f>IFERROR(CPQL!V31/('3.Thanh pham'!Q$97+'3.Thanh pham'!Q$136+'3.Thanh pham'!Q$155),0)</f>
        <v>0</v>
      </c>
      <c r="W137" s="468">
        <f>IFERROR(CPQL!W31/('3.Thanh pham'!R$97+'3.Thanh pham'!R$136+'3.Thanh pham'!R$155),0)</f>
        <v>0</v>
      </c>
      <c r="X137" s="283"/>
      <c r="Y137" s="467">
        <f>IFERROR(CPQL!AK31/CP_Kg!$Y$1,0)</f>
        <v>0</v>
      </c>
      <c r="Z137" s="149">
        <f t="shared" si="11"/>
        <v>0</v>
      </c>
    </row>
    <row r="138" spans="2:26" x14ac:dyDescent="0.35">
      <c r="B138" s="385">
        <v>28</v>
      </c>
      <c r="C138" s="385"/>
      <c r="D138" s="368">
        <v>6427003802</v>
      </c>
      <c r="E138" s="369" t="s">
        <v>993</v>
      </c>
      <c r="F138" s="369" t="s">
        <v>755</v>
      </c>
      <c r="G138" s="370" t="s">
        <v>993</v>
      </c>
      <c r="H138" s="369" t="s">
        <v>359</v>
      </c>
      <c r="I138" s="370" t="s">
        <v>703</v>
      </c>
      <c r="J138" s="468"/>
      <c r="K138" s="468">
        <f>IFERROR(CPQL!K32/('3.Thanh pham'!F$97+'3.Thanh pham'!F$136+'3.Thanh pham'!F$155),0)</f>
        <v>0</v>
      </c>
      <c r="L138" s="468">
        <f>IFERROR(CPQL!L32/('3.Thanh pham'!G$97+'3.Thanh pham'!G$136+'3.Thanh pham'!G$155),0)</f>
        <v>0</v>
      </c>
      <c r="M138" s="468">
        <f>IFERROR(CPQL!M32/('3.Thanh pham'!H$97+'3.Thanh pham'!H$136+'3.Thanh pham'!H$155),0)</f>
        <v>0</v>
      </c>
      <c r="N138" s="468">
        <f>IFERROR(CPQL!N32/('3.Thanh pham'!I$97+'3.Thanh pham'!I$136+'3.Thanh pham'!I$155),0)</f>
        <v>0</v>
      </c>
      <c r="O138" s="468">
        <f>IFERROR(CPQL!O32/('3.Thanh pham'!J$97+'3.Thanh pham'!J$136+'3.Thanh pham'!J$155),0)</f>
        <v>0</v>
      </c>
      <c r="P138" s="468">
        <f>IFERROR(CPQL!P32/('3.Thanh pham'!K$97+'3.Thanh pham'!K$136+'3.Thanh pham'!K$155),0)</f>
        <v>0</v>
      </c>
      <c r="Q138" s="468">
        <f>IFERROR(CPQL!Q32/('3.Thanh pham'!L$97+'3.Thanh pham'!L$136+'3.Thanh pham'!L$155),0)</f>
        <v>0</v>
      </c>
      <c r="R138" s="468">
        <f>IFERROR(CPQL!R32/('3.Thanh pham'!M$97+'3.Thanh pham'!M$136+'3.Thanh pham'!M$155),0)</f>
        <v>0</v>
      </c>
      <c r="S138" s="468">
        <f>IFERROR(CPQL!S32/('3.Thanh pham'!N$97+'3.Thanh pham'!N$136+'3.Thanh pham'!N$155),0)</f>
        <v>0</v>
      </c>
      <c r="T138" s="468">
        <f>IFERROR(CPQL!T32/('3.Thanh pham'!O$97+'3.Thanh pham'!O$136+'3.Thanh pham'!O$155),0)</f>
        <v>0</v>
      </c>
      <c r="U138" s="468">
        <f>IFERROR(CPQL!U32/('3.Thanh pham'!P$97+'3.Thanh pham'!P$136+'3.Thanh pham'!P$155),0)</f>
        <v>0</v>
      </c>
      <c r="V138" s="468">
        <f>IFERROR(CPQL!V32/('3.Thanh pham'!Q$97+'3.Thanh pham'!Q$136+'3.Thanh pham'!Q$155),0)</f>
        <v>0</v>
      </c>
      <c r="W138" s="468">
        <f>IFERROR(CPQL!W32/('3.Thanh pham'!R$97+'3.Thanh pham'!R$136+'3.Thanh pham'!R$155),0)</f>
        <v>0</v>
      </c>
      <c r="X138" s="283"/>
      <c r="Y138" s="467">
        <f>IFERROR(CPQL!AK32/CP_Kg!$Y$1,0)</f>
        <v>0</v>
      </c>
      <c r="Z138" s="149">
        <f t="shared" si="11"/>
        <v>0</v>
      </c>
    </row>
    <row r="139" spans="2:26" x14ac:dyDescent="0.35">
      <c r="B139" s="385">
        <v>29</v>
      </c>
      <c r="C139" s="385"/>
      <c r="D139" s="368">
        <v>6427004104</v>
      </c>
      <c r="E139" s="369" t="s">
        <v>994</v>
      </c>
      <c r="F139" s="369" t="s">
        <v>995</v>
      </c>
      <c r="G139" s="370" t="s">
        <v>994</v>
      </c>
      <c r="H139" s="369" t="s">
        <v>359</v>
      </c>
      <c r="I139" s="370" t="s">
        <v>726</v>
      </c>
      <c r="J139" s="468"/>
      <c r="K139" s="468">
        <f>IFERROR(CPQL!K33/('3.Thanh pham'!F$97+'3.Thanh pham'!F$136+'3.Thanh pham'!F$155),0)</f>
        <v>0</v>
      </c>
      <c r="L139" s="468">
        <f>IFERROR(CPQL!L33/('3.Thanh pham'!G$97+'3.Thanh pham'!G$136+'3.Thanh pham'!G$155),0)</f>
        <v>0</v>
      </c>
      <c r="M139" s="468">
        <f>IFERROR(CPQL!M33/('3.Thanh pham'!H$97+'3.Thanh pham'!H$136+'3.Thanh pham'!H$155),0)</f>
        <v>0</v>
      </c>
      <c r="N139" s="468">
        <f>IFERROR(CPQL!N33/('3.Thanh pham'!I$97+'3.Thanh pham'!I$136+'3.Thanh pham'!I$155),0)</f>
        <v>0</v>
      </c>
      <c r="O139" s="468">
        <f>IFERROR(CPQL!O33/('3.Thanh pham'!J$97+'3.Thanh pham'!J$136+'3.Thanh pham'!J$155),0)</f>
        <v>0</v>
      </c>
      <c r="P139" s="468">
        <f>IFERROR(CPQL!P33/('3.Thanh pham'!K$97+'3.Thanh pham'!K$136+'3.Thanh pham'!K$155),0)</f>
        <v>0</v>
      </c>
      <c r="Q139" s="468">
        <f>IFERROR(CPQL!Q33/('3.Thanh pham'!L$97+'3.Thanh pham'!L$136+'3.Thanh pham'!L$155),0)</f>
        <v>0</v>
      </c>
      <c r="R139" s="468">
        <f>IFERROR(CPQL!R33/('3.Thanh pham'!M$97+'3.Thanh pham'!M$136+'3.Thanh pham'!M$155),0)</f>
        <v>0</v>
      </c>
      <c r="S139" s="468">
        <f>IFERROR(CPQL!S33/('3.Thanh pham'!N$97+'3.Thanh pham'!N$136+'3.Thanh pham'!N$155),0)</f>
        <v>0</v>
      </c>
      <c r="T139" s="468">
        <f>IFERROR(CPQL!T33/('3.Thanh pham'!O$97+'3.Thanh pham'!O$136+'3.Thanh pham'!O$155),0)</f>
        <v>0</v>
      </c>
      <c r="U139" s="468">
        <f>IFERROR(CPQL!U33/('3.Thanh pham'!P$97+'3.Thanh pham'!P$136+'3.Thanh pham'!P$155),0)</f>
        <v>0</v>
      </c>
      <c r="V139" s="468">
        <f>IFERROR(CPQL!V33/('3.Thanh pham'!Q$97+'3.Thanh pham'!Q$136+'3.Thanh pham'!Q$155),0)</f>
        <v>0</v>
      </c>
      <c r="W139" s="468">
        <f>IFERROR(CPQL!W33/('3.Thanh pham'!R$97+'3.Thanh pham'!R$136+'3.Thanh pham'!R$155),0)</f>
        <v>0</v>
      </c>
      <c r="X139" s="283"/>
      <c r="Y139" s="467">
        <f>IFERROR(CPQL!AK33/CP_Kg!$Y$1,0)</f>
        <v>0</v>
      </c>
      <c r="Z139" s="149">
        <f t="shared" si="11"/>
        <v>0</v>
      </c>
    </row>
    <row r="140" spans="2:26" x14ac:dyDescent="0.35">
      <c r="B140" s="385">
        <v>30</v>
      </c>
      <c r="C140" s="385"/>
      <c r="D140" s="368">
        <v>6427004301</v>
      </c>
      <c r="E140" s="369" t="s">
        <v>996</v>
      </c>
      <c r="F140" s="369" t="s">
        <v>493</v>
      </c>
      <c r="G140" s="370" t="s">
        <v>996</v>
      </c>
      <c r="H140" s="369" t="s">
        <v>359</v>
      </c>
      <c r="I140" s="370" t="s">
        <v>726</v>
      </c>
      <c r="J140" s="468"/>
      <c r="K140" s="468">
        <f>IFERROR(CPQL!K34/('3.Thanh pham'!F$97+'3.Thanh pham'!F$136+'3.Thanh pham'!F$155),0)</f>
        <v>0</v>
      </c>
      <c r="L140" s="468">
        <f>IFERROR(CPQL!L34/('3.Thanh pham'!G$97+'3.Thanh pham'!G$136+'3.Thanh pham'!G$155),0)</f>
        <v>0</v>
      </c>
      <c r="M140" s="468">
        <f>IFERROR(CPQL!M34/('3.Thanh pham'!H$97+'3.Thanh pham'!H$136+'3.Thanh pham'!H$155),0)</f>
        <v>0</v>
      </c>
      <c r="N140" s="468">
        <f>IFERROR(CPQL!N34/('3.Thanh pham'!I$97+'3.Thanh pham'!I$136+'3.Thanh pham'!I$155),0)</f>
        <v>0</v>
      </c>
      <c r="O140" s="468">
        <f>IFERROR(CPQL!O34/('3.Thanh pham'!J$97+'3.Thanh pham'!J$136+'3.Thanh pham'!J$155),0)</f>
        <v>0</v>
      </c>
      <c r="P140" s="468">
        <f>IFERROR(CPQL!P34/('3.Thanh pham'!K$97+'3.Thanh pham'!K$136+'3.Thanh pham'!K$155),0)</f>
        <v>182.77080541001584</v>
      </c>
      <c r="Q140" s="468">
        <f>IFERROR(CPQL!Q34/('3.Thanh pham'!L$97+'3.Thanh pham'!L$136+'3.Thanh pham'!L$155),0)</f>
        <v>0</v>
      </c>
      <c r="R140" s="468">
        <f>IFERROR(CPQL!R34/('3.Thanh pham'!M$97+'3.Thanh pham'!M$136+'3.Thanh pham'!M$155),0)</f>
        <v>0</v>
      </c>
      <c r="S140" s="468">
        <f>IFERROR(CPQL!S34/('3.Thanh pham'!N$97+'3.Thanh pham'!N$136+'3.Thanh pham'!N$155),0)</f>
        <v>0</v>
      </c>
      <c r="T140" s="468">
        <f>IFERROR(CPQL!T34/('3.Thanh pham'!O$97+'3.Thanh pham'!O$136+'3.Thanh pham'!O$155),0)</f>
        <v>0</v>
      </c>
      <c r="U140" s="468">
        <f>IFERROR(CPQL!U34/('3.Thanh pham'!P$97+'3.Thanh pham'!P$136+'3.Thanh pham'!P$155),0)</f>
        <v>0</v>
      </c>
      <c r="V140" s="468">
        <f>IFERROR(CPQL!V34/('3.Thanh pham'!Q$97+'3.Thanh pham'!Q$136+'3.Thanh pham'!Q$155),0)</f>
        <v>0</v>
      </c>
      <c r="W140" s="468">
        <f>IFERROR(CPQL!W34/('3.Thanh pham'!R$97+'3.Thanh pham'!R$136+'3.Thanh pham'!R$155),0)</f>
        <v>15.833360122099197</v>
      </c>
      <c r="X140" s="283"/>
      <c r="Y140" s="467">
        <f>IFERROR(CPQL!AK34/CP_Kg!$Y$1,0)</f>
        <v>0</v>
      </c>
      <c r="Z140" s="149">
        <f t="shared" si="11"/>
        <v>15.833360122099197</v>
      </c>
    </row>
    <row r="141" spans="2:26" x14ac:dyDescent="0.35">
      <c r="B141" s="385">
        <v>31</v>
      </c>
      <c r="C141" s="385"/>
      <c r="D141" s="368">
        <v>6427004601</v>
      </c>
      <c r="E141" s="369" t="s">
        <v>997</v>
      </c>
      <c r="F141" s="369" t="s">
        <v>987</v>
      </c>
      <c r="G141" s="370" t="s">
        <v>998</v>
      </c>
      <c r="H141" s="369" t="s">
        <v>359</v>
      </c>
      <c r="I141" s="370" t="s">
        <v>726</v>
      </c>
      <c r="J141" s="468"/>
      <c r="K141" s="468">
        <f>IFERROR(CPQL!K35/('3.Thanh pham'!F$97+'3.Thanh pham'!F$136+'3.Thanh pham'!F$155),0)</f>
        <v>0</v>
      </c>
      <c r="L141" s="468">
        <f>IFERROR(CPQL!L35/('3.Thanh pham'!G$97+'3.Thanh pham'!G$136+'3.Thanh pham'!G$155),0)</f>
        <v>0</v>
      </c>
      <c r="M141" s="468">
        <f>IFERROR(CPQL!M35/('3.Thanh pham'!H$97+'3.Thanh pham'!H$136+'3.Thanh pham'!H$155),0)</f>
        <v>0</v>
      </c>
      <c r="N141" s="468">
        <f>IFERROR(CPQL!N35/('3.Thanh pham'!I$97+'3.Thanh pham'!I$136+'3.Thanh pham'!I$155),0)</f>
        <v>0</v>
      </c>
      <c r="O141" s="468">
        <f>IFERROR(CPQL!O35/('3.Thanh pham'!J$97+'3.Thanh pham'!J$136+'3.Thanh pham'!J$155),0)</f>
        <v>0</v>
      </c>
      <c r="P141" s="468">
        <f>IFERROR(CPQL!P35/('3.Thanh pham'!K$97+'3.Thanh pham'!K$136+'3.Thanh pham'!K$155),0)</f>
        <v>0</v>
      </c>
      <c r="Q141" s="468">
        <f>IFERROR(CPQL!Q35/('3.Thanh pham'!L$97+'3.Thanh pham'!L$136+'3.Thanh pham'!L$155),0)</f>
        <v>0</v>
      </c>
      <c r="R141" s="468">
        <f>IFERROR(CPQL!R35/('3.Thanh pham'!M$97+'3.Thanh pham'!M$136+'3.Thanh pham'!M$155),0)</f>
        <v>0</v>
      </c>
      <c r="S141" s="468">
        <f>IFERROR(CPQL!S35/('3.Thanh pham'!N$97+'3.Thanh pham'!N$136+'3.Thanh pham'!N$155),0)</f>
        <v>0</v>
      </c>
      <c r="T141" s="468">
        <f>IFERROR(CPQL!T35/('3.Thanh pham'!O$97+'3.Thanh pham'!O$136+'3.Thanh pham'!O$155),0)</f>
        <v>0</v>
      </c>
      <c r="U141" s="468">
        <f>IFERROR(CPQL!U35/('3.Thanh pham'!P$97+'3.Thanh pham'!P$136+'3.Thanh pham'!P$155),0)</f>
        <v>0</v>
      </c>
      <c r="V141" s="468">
        <f>IFERROR(CPQL!V35/('3.Thanh pham'!Q$97+'3.Thanh pham'!Q$136+'3.Thanh pham'!Q$155),0)</f>
        <v>0</v>
      </c>
      <c r="W141" s="468">
        <f>IFERROR(CPQL!W35/('3.Thanh pham'!R$97+'3.Thanh pham'!R$136+'3.Thanh pham'!R$155),0)</f>
        <v>0</v>
      </c>
      <c r="X141" s="283"/>
      <c r="Y141" s="467">
        <f>IFERROR(CPQL!AK35/CP_Kg!$Y$1,0)</f>
        <v>0</v>
      </c>
      <c r="Z141" s="149">
        <f t="shared" si="11"/>
        <v>0</v>
      </c>
    </row>
    <row r="142" spans="2:26" x14ac:dyDescent="0.35">
      <c r="B142" s="385">
        <v>32</v>
      </c>
      <c r="C142" s="385"/>
      <c r="D142" s="368">
        <v>6427004603</v>
      </c>
      <c r="E142" s="369" t="s">
        <v>999</v>
      </c>
      <c r="F142" s="369" t="s">
        <v>995</v>
      </c>
      <c r="G142" s="370" t="s">
        <v>999</v>
      </c>
      <c r="H142" s="370" t="s">
        <v>356</v>
      </c>
      <c r="I142" s="370" t="s">
        <v>726</v>
      </c>
      <c r="J142" s="468"/>
      <c r="K142" s="468">
        <f>IFERROR(CPQL!K36/('3.Thanh pham'!F$97+'3.Thanh pham'!F$136+'3.Thanh pham'!F$155),0)</f>
        <v>0</v>
      </c>
      <c r="L142" s="468">
        <f>IFERROR(CPQL!L36/('3.Thanh pham'!G$97+'3.Thanh pham'!G$136+'3.Thanh pham'!G$155),0)</f>
        <v>0</v>
      </c>
      <c r="M142" s="468">
        <f>IFERROR(CPQL!M36/('3.Thanh pham'!H$97+'3.Thanh pham'!H$136+'3.Thanh pham'!H$155),0)</f>
        <v>0</v>
      </c>
      <c r="N142" s="468">
        <f>IFERROR(CPQL!N36/('3.Thanh pham'!I$97+'3.Thanh pham'!I$136+'3.Thanh pham'!I$155),0)</f>
        <v>0</v>
      </c>
      <c r="O142" s="468">
        <f>IFERROR(CPQL!O36/('3.Thanh pham'!J$97+'3.Thanh pham'!J$136+'3.Thanh pham'!J$155),0)</f>
        <v>0</v>
      </c>
      <c r="P142" s="468">
        <f>IFERROR(CPQL!P36/('3.Thanh pham'!K$97+'3.Thanh pham'!K$136+'3.Thanh pham'!K$155),0)</f>
        <v>0</v>
      </c>
      <c r="Q142" s="468">
        <f>IFERROR(CPQL!Q36/('3.Thanh pham'!L$97+'3.Thanh pham'!L$136+'3.Thanh pham'!L$155),0)</f>
        <v>0</v>
      </c>
      <c r="R142" s="468">
        <f>IFERROR(CPQL!R36/('3.Thanh pham'!M$97+'3.Thanh pham'!M$136+'3.Thanh pham'!M$155),0)</f>
        <v>0</v>
      </c>
      <c r="S142" s="468">
        <f>IFERROR(CPQL!S36/('3.Thanh pham'!N$97+'3.Thanh pham'!N$136+'3.Thanh pham'!N$155),0)</f>
        <v>0</v>
      </c>
      <c r="T142" s="468">
        <f>IFERROR(CPQL!T36/('3.Thanh pham'!O$97+'3.Thanh pham'!O$136+'3.Thanh pham'!O$155),0)</f>
        <v>0</v>
      </c>
      <c r="U142" s="468">
        <f>IFERROR(CPQL!U36/('3.Thanh pham'!P$97+'3.Thanh pham'!P$136+'3.Thanh pham'!P$155),0)</f>
        <v>0</v>
      </c>
      <c r="V142" s="468">
        <f>IFERROR(CPQL!V36/('3.Thanh pham'!Q$97+'3.Thanh pham'!Q$136+'3.Thanh pham'!Q$155),0)</f>
        <v>0</v>
      </c>
      <c r="W142" s="468">
        <f>IFERROR(CPQL!W36/('3.Thanh pham'!R$97+'3.Thanh pham'!R$136+'3.Thanh pham'!R$155),0)</f>
        <v>0</v>
      </c>
      <c r="X142" s="283"/>
      <c r="Y142" s="467">
        <f>IFERROR(CPQL!AK36/CP_Kg!$Y$1,0)</f>
        <v>0</v>
      </c>
      <c r="Z142" s="149">
        <f t="shared" si="11"/>
        <v>0</v>
      </c>
    </row>
    <row r="143" spans="2:26" x14ac:dyDescent="0.35">
      <c r="B143" s="385">
        <v>33</v>
      </c>
      <c r="C143" s="385"/>
      <c r="D143" s="368">
        <v>6427004702</v>
      </c>
      <c r="E143" s="369" t="s">
        <v>1000</v>
      </c>
      <c r="F143" s="369" t="s">
        <v>995</v>
      </c>
      <c r="G143" s="370" t="s">
        <v>1000</v>
      </c>
      <c r="H143" s="370" t="s">
        <v>356</v>
      </c>
      <c r="I143" s="370" t="s">
        <v>726</v>
      </c>
      <c r="J143" s="468"/>
      <c r="K143" s="468">
        <f>IFERROR(CPQL!K37/('3.Thanh pham'!F$97+'3.Thanh pham'!F$136+'3.Thanh pham'!F$155),0)</f>
        <v>0</v>
      </c>
      <c r="L143" s="468">
        <f>IFERROR(CPQL!L37/('3.Thanh pham'!G$97+'3.Thanh pham'!G$136+'3.Thanh pham'!G$155),0)</f>
        <v>0</v>
      </c>
      <c r="M143" s="468">
        <f>IFERROR(CPQL!M37/('3.Thanh pham'!H$97+'3.Thanh pham'!H$136+'3.Thanh pham'!H$155),0)</f>
        <v>0</v>
      </c>
      <c r="N143" s="468">
        <f>IFERROR(CPQL!N37/('3.Thanh pham'!I$97+'3.Thanh pham'!I$136+'3.Thanh pham'!I$155),0)</f>
        <v>0</v>
      </c>
      <c r="O143" s="468">
        <f>IFERROR(CPQL!O37/('3.Thanh pham'!J$97+'3.Thanh pham'!J$136+'3.Thanh pham'!J$155),0)</f>
        <v>0</v>
      </c>
      <c r="P143" s="468">
        <f>IFERROR(CPQL!P37/('3.Thanh pham'!K$97+'3.Thanh pham'!K$136+'3.Thanh pham'!K$155),0)</f>
        <v>0</v>
      </c>
      <c r="Q143" s="468">
        <f>IFERROR(CPQL!Q37/('3.Thanh pham'!L$97+'3.Thanh pham'!L$136+'3.Thanh pham'!L$155),0)</f>
        <v>0</v>
      </c>
      <c r="R143" s="468">
        <f>IFERROR(CPQL!R37/('3.Thanh pham'!M$97+'3.Thanh pham'!M$136+'3.Thanh pham'!M$155),0)</f>
        <v>0</v>
      </c>
      <c r="S143" s="468">
        <f>IFERROR(CPQL!S37/('3.Thanh pham'!N$97+'3.Thanh pham'!N$136+'3.Thanh pham'!N$155),0)</f>
        <v>0</v>
      </c>
      <c r="T143" s="468">
        <f>IFERROR(CPQL!T37/('3.Thanh pham'!O$97+'3.Thanh pham'!O$136+'3.Thanh pham'!O$155),0)</f>
        <v>0</v>
      </c>
      <c r="U143" s="468">
        <f>IFERROR(CPQL!U37/('3.Thanh pham'!P$97+'3.Thanh pham'!P$136+'3.Thanh pham'!P$155),0)</f>
        <v>0</v>
      </c>
      <c r="V143" s="468">
        <f>IFERROR(CPQL!V37/('3.Thanh pham'!Q$97+'3.Thanh pham'!Q$136+'3.Thanh pham'!Q$155),0)</f>
        <v>0</v>
      </c>
      <c r="W143" s="468">
        <f>IFERROR(CPQL!W37/('3.Thanh pham'!R$97+'3.Thanh pham'!R$136+'3.Thanh pham'!R$155),0)</f>
        <v>0</v>
      </c>
      <c r="X143" s="283"/>
      <c r="Y143" s="467">
        <f>IFERROR(CPQL!AK37/CP_Kg!$Y$1,0)</f>
        <v>0</v>
      </c>
      <c r="Z143" s="149">
        <f t="shared" si="11"/>
        <v>0</v>
      </c>
    </row>
    <row r="144" spans="2:26" x14ac:dyDescent="0.35">
      <c r="B144" s="385">
        <v>34</v>
      </c>
      <c r="C144" s="385"/>
      <c r="D144" s="368">
        <v>6427004804</v>
      </c>
      <c r="E144" s="369" t="s">
        <v>1001</v>
      </c>
      <c r="F144" s="369" t="s">
        <v>1002</v>
      </c>
      <c r="G144" s="370" t="s">
        <v>1001</v>
      </c>
      <c r="H144" s="369" t="s">
        <v>359</v>
      </c>
      <c r="I144" s="370" t="s">
        <v>726</v>
      </c>
      <c r="J144" s="468"/>
      <c r="K144" s="468">
        <f>IFERROR(CPQL!K38/('3.Thanh pham'!F$97+'3.Thanh pham'!F$136+'3.Thanh pham'!F$155),0)</f>
        <v>0</v>
      </c>
      <c r="L144" s="468">
        <f>IFERROR(CPQL!L38/('3.Thanh pham'!G$97+'3.Thanh pham'!G$136+'3.Thanh pham'!G$155),0)</f>
        <v>0</v>
      </c>
      <c r="M144" s="468">
        <f>IFERROR(CPQL!M38/('3.Thanh pham'!H$97+'3.Thanh pham'!H$136+'3.Thanh pham'!H$155),0)</f>
        <v>0</v>
      </c>
      <c r="N144" s="468">
        <f>IFERROR(CPQL!N38/('3.Thanh pham'!I$97+'3.Thanh pham'!I$136+'3.Thanh pham'!I$155),0)</f>
        <v>0</v>
      </c>
      <c r="O144" s="468">
        <f>IFERROR(CPQL!O38/('3.Thanh pham'!J$97+'3.Thanh pham'!J$136+'3.Thanh pham'!J$155),0)</f>
        <v>0</v>
      </c>
      <c r="P144" s="468">
        <f>IFERROR(CPQL!P38/('3.Thanh pham'!K$97+'3.Thanh pham'!K$136+'3.Thanh pham'!K$155),0)</f>
        <v>0</v>
      </c>
      <c r="Q144" s="468">
        <f>IFERROR(CPQL!Q38/('3.Thanh pham'!L$97+'3.Thanh pham'!L$136+'3.Thanh pham'!L$155),0)</f>
        <v>0</v>
      </c>
      <c r="R144" s="468">
        <f>IFERROR(CPQL!R38/('3.Thanh pham'!M$97+'3.Thanh pham'!M$136+'3.Thanh pham'!M$155),0)</f>
        <v>0</v>
      </c>
      <c r="S144" s="468">
        <f>IFERROR(CPQL!S38/('3.Thanh pham'!N$97+'3.Thanh pham'!N$136+'3.Thanh pham'!N$155),0)</f>
        <v>0</v>
      </c>
      <c r="T144" s="468">
        <f>IFERROR(CPQL!T38/('3.Thanh pham'!O$97+'3.Thanh pham'!O$136+'3.Thanh pham'!O$155),0)</f>
        <v>0</v>
      </c>
      <c r="U144" s="468">
        <f>IFERROR(CPQL!U38/('3.Thanh pham'!P$97+'3.Thanh pham'!P$136+'3.Thanh pham'!P$155),0)</f>
        <v>0</v>
      </c>
      <c r="V144" s="468">
        <f>IFERROR(CPQL!V38/('3.Thanh pham'!Q$97+'3.Thanh pham'!Q$136+'3.Thanh pham'!Q$155),0)</f>
        <v>0</v>
      </c>
      <c r="W144" s="468">
        <f>IFERROR(CPQL!W38/('3.Thanh pham'!R$97+'3.Thanh pham'!R$136+'3.Thanh pham'!R$155),0)</f>
        <v>0</v>
      </c>
      <c r="X144" s="283"/>
      <c r="Y144" s="467">
        <f>IFERROR(CPQL!AK38/CP_Kg!$Y$1,0)</f>
        <v>0.28017738928046765</v>
      </c>
      <c r="Z144" s="149">
        <f t="shared" si="11"/>
        <v>0.28017738928046765</v>
      </c>
    </row>
    <row r="145" spans="2:26" x14ac:dyDescent="0.35">
      <c r="B145" s="385">
        <v>35</v>
      </c>
      <c r="C145" s="385"/>
      <c r="D145" s="368">
        <v>6427004901</v>
      </c>
      <c r="E145" s="369" t="s">
        <v>1003</v>
      </c>
      <c r="F145" s="369" t="s">
        <v>1002</v>
      </c>
      <c r="G145" s="370" t="s">
        <v>1003</v>
      </c>
      <c r="H145" s="369" t="s">
        <v>359</v>
      </c>
      <c r="I145" s="370" t="s">
        <v>726</v>
      </c>
      <c r="J145" s="468"/>
      <c r="K145" s="468">
        <f>IFERROR(CPQL!K39/('3.Thanh pham'!F$97+'3.Thanh pham'!F$136+'3.Thanh pham'!F$155),0)</f>
        <v>0</v>
      </c>
      <c r="L145" s="468">
        <f>IFERROR(CPQL!L39/('3.Thanh pham'!G$97+'3.Thanh pham'!G$136+'3.Thanh pham'!G$155),0)</f>
        <v>0</v>
      </c>
      <c r="M145" s="468">
        <f>IFERROR(CPQL!M39/('3.Thanh pham'!H$97+'3.Thanh pham'!H$136+'3.Thanh pham'!H$155),0)</f>
        <v>0</v>
      </c>
      <c r="N145" s="468">
        <f>IFERROR(CPQL!N39/('3.Thanh pham'!I$97+'3.Thanh pham'!I$136+'3.Thanh pham'!I$155),0)</f>
        <v>0</v>
      </c>
      <c r="O145" s="468">
        <f>IFERROR(CPQL!O39/('3.Thanh pham'!J$97+'3.Thanh pham'!J$136+'3.Thanh pham'!J$155),0)</f>
        <v>0</v>
      </c>
      <c r="P145" s="468">
        <f>IFERROR(CPQL!P39/('3.Thanh pham'!K$97+'3.Thanh pham'!K$136+'3.Thanh pham'!K$155),0)</f>
        <v>0</v>
      </c>
      <c r="Q145" s="468">
        <f>IFERROR(CPQL!Q39/('3.Thanh pham'!L$97+'3.Thanh pham'!L$136+'3.Thanh pham'!L$155),0)</f>
        <v>0</v>
      </c>
      <c r="R145" s="468">
        <f>IFERROR(CPQL!R39/('3.Thanh pham'!M$97+'3.Thanh pham'!M$136+'3.Thanh pham'!M$155),0)</f>
        <v>0</v>
      </c>
      <c r="S145" s="468">
        <f>IFERROR(CPQL!S39/('3.Thanh pham'!N$97+'3.Thanh pham'!N$136+'3.Thanh pham'!N$155),0)</f>
        <v>0</v>
      </c>
      <c r="T145" s="468">
        <f>IFERROR(CPQL!T39/('3.Thanh pham'!O$97+'3.Thanh pham'!O$136+'3.Thanh pham'!O$155),0)</f>
        <v>0</v>
      </c>
      <c r="U145" s="468">
        <f>IFERROR(CPQL!U39/('3.Thanh pham'!P$97+'3.Thanh pham'!P$136+'3.Thanh pham'!P$155),0)</f>
        <v>0</v>
      </c>
      <c r="V145" s="468">
        <f>IFERROR(CPQL!V39/('3.Thanh pham'!Q$97+'3.Thanh pham'!Q$136+'3.Thanh pham'!Q$155),0)</f>
        <v>0</v>
      </c>
      <c r="W145" s="468">
        <f>IFERROR(CPQL!W39/('3.Thanh pham'!R$97+'3.Thanh pham'!R$136+'3.Thanh pham'!R$155),0)</f>
        <v>0</v>
      </c>
      <c r="X145" s="283"/>
      <c r="Y145" s="467">
        <f>IFERROR(CPQL!AK39/CP_Kg!$Y$1,0)</f>
        <v>1.9583282406725123E-2</v>
      </c>
      <c r="Z145" s="149">
        <f t="shared" si="11"/>
        <v>1.9583282406725123E-2</v>
      </c>
    </row>
    <row r="146" spans="2:26" x14ac:dyDescent="0.35">
      <c r="B146" s="385">
        <v>36</v>
      </c>
      <c r="C146" s="385"/>
      <c r="D146" s="368" t="s">
        <v>845</v>
      </c>
      <c r="E146" s="369" t="s">
        <v>1004</v>
      </c>
      <c r="F146" s="369" t="s">
        <v>493</v>
      </c>
      <c r="G146" s="370" t="s">
        <v>1004</v>
      </c>
      <c r="H146" s="369" t="s">
        <v>359</v>
      </c>
      <c r="I146" s="370" t="s">
        <v>726</v>
      </c>
      <c r="J146" s="468"/>
      <c r="K146" s="468">
        <f>IFERROR(CPQL!K40/('3.Thanh pham'!F$97+'3.Thanh pham'!F$136+'3.Thanh pham'!F$155),0)</f>
        <v>0.32498131357446947</v>
      </c>
      <c r="L146" s="468">
        <f>IFERROR(CPQL!L40/('3.Thanh pham'!G$97+'3.Thanh pham'!G$136+'3.Thanh pham'!G$155),0)</f>
        <v>0.41783311745288931</v>
      </c>
      <c r="M146" s="468">
        <f>IFERROR(CPQL!M40/('3.Thanh pham'!H$97+'3.Thanh pham'!H$136+'3.Thanh pham'!H$155),0)</f>
        <v>0.29248318221702252</v>
      </c>
      <c r="N146" s="468">
        <f>IFERROR(CPQL!N40/('3.Thanh pham'!I$97+'3.Thanh pham'!I$136+'3.Thanh pham'!I$155),0)</f>
        <v>0.26589380201547502</v>
      </c>
      <c r="O146" s="468">
        <f>IFERROR(CPQL!O40/('3.Thanh pham'!J$97+'3.Thanh pham'!J$136+'3.Thanh pham'!J$155),0)</f>
        <v>0.26622083550747017</v>
      </c>
      <c r="P146" s="468">
        <f>IFERROR(CPQL!P40/('3.Thanh pham'!K$97+'3.Thanh pham'!K$136+'3.Thanh pham'!K$155),0)</f>
        <v>0.27692546274244823</v>
      </c>
      <c r="Q146" s="468">
        <f>IFERROR(CPQL!Q40/('3.Thanh pham'!L$97+'3.Thanh pham'!L$136+'3.Thanh pham'!L$155),0)</f>
        <v>0.27692546274244823</v>
      </c>
      <c r="R146" s="468">
        <f>IFERROR(CPQL!R40/('3.Thanh pham'!M$97+'3.Thanh pham'!M$136+'3.Thanh pham'!M$155),0)</f>
        <v>0.27692546274244823</v>
      </c>
      <c r="S146" s="468">
        <f>IFERROR(CPQL!S40/('3.Thanh pham'!N$97+'3.Thanh pham'!N$136+'3.Thanh pham'!N$155),0)</f>
        <v>0.27692546274244823</v>
      </c>
      <c r="T146" s="468">
        <f>IFERROR(CPQL!T40/('3.Thanh pham'!O$97+'3.Thanh pham'!O$136+'3.Thanh pham'!O$155),0)</f>
        <v>0.27692546274244823</v>
      </c>
      <c r="U146" s="468">
        <f>IFERROR(CPQL!U40/('3.Thanh pham'!P$97+'3.Thanh pham'!P$136+'3.Thanh pham'!P$155),0)</f>
        <v>0.27692546274244823</v>
      </c>
      <c r="V146" s="468">
        <f>IFERROR(CPQL!V40/('3.Thanh pham'!Q$97+'3.Thanh pham'!Q$136+'3.Thanh pham'!Q$155),0)</f>
        <v>0.27692546274244823</v>
      </c>
      <c r="W146" s="468">
        <f>IFERROR(CPQL!W40/('3.Thanh pham'!R$97+'3.Thanh pham'!R$136+'3.Thanh pham'!R$155),0)</f>
        <v>0.28787927494725812</v>
      </c>
      <c r="X146" s="283"/>
      <c r="Y146" s="467">
        <f>IFERROR(CPQL!AK40/CP_Kg!$Y$1,0)</f>
        <v>0</v>
      </c>
      <c r="Z146" s="149">
        <f t="shared" si="11"/>
        <v>0.28787927494725812</v>
      </c>
    </row>
    <row r="147" spans="2:26" x14ac:dyDescent="0.35">
      <c r="B147" s="385">
        <v>37</v>
      </c>
      <c r="C147" s="385"/>
      <c r="D147" s="368" t="s">
        <v>844</v>
      </c>
      <c r="E147" s="369" t="s">
        <v>880</v>
      </c>
      <c r="F147" s="369" t="s">
        <v>1002</v>
      </c>
      <c r="G147" s="370" t="s">
        <v>1005</v>
      </c>
      <c r="H147" s="369" t="s">
        <v>359</v>
      </c>
      <c r="I147" s="370" t="s">
        <v>726</v>
      </c>
      <c r="J147" s="468"/>
      <c r="K147" s="468">
        <f>IFERROR(CPQL!K41/('3.Thanh pham'!F$97+'3.Thanh pham'!F$136+'3.Thanh pham'!F$155),0)</f>
        <v>1.9758863865327743</v>
      </c>
      <c r="L147" s="468">
        <f>IFERROR(CPQL!L41/('3.Thanh pham'!G$97+'3.Thanh pham'!G$136+'3.Thanh pham'!G$155),0)</f>
        <v>2.5404253541135668</v>
      </c>
      <c r="M147" s="468">
        <f>IFERROR(CPQL!M41/('3.Thanh pham'!H$97+'3.Thanh pham'!H$136+'3.Thanh pham'!H$155),0)</f>
        <v>1.778297747879497</v>
      </c>
      <c r="N147" s="468">
        <f>IFERROR(CPQL!N41/('3.Thanh pham'!I$97+'3.Thanh pham'!I$136+'3.Thanh pham'!I$155),0)</f>
        <v>1.7017203328990402</v>
      </c>
      <c r="O147" s="468">
        <f>IFERROR(CPQL!O41/('3.Thanh pham'!J$97+'3.Thanh pham'!J$136+'3.Thanh pham'!J$155),0)</f>
        <v>1.703813347247809</v>
      </c>
      <c r="P147" s="468">
        <f>IFERROR(CPQL!P41/('3.Thanh pham'!K$97+'3.Thanh pham'!K$136+'3.Thanh pham'!K$155),0)</f>
        <v>1.7723229615516687</v>
      </c>
      <c r="Q147" s="468">
        <f>IFERROR(CPQL!Q41/('3.Thanh pham'!L$97+'3.Thanh pham'!L$136+'3.Thanh pham'!L$155),0)</f>
        <v>1.7723229615516687</v>
      </c>
      <c r="R147" s="468">
        <f>IFERROR(CPQL!R41/('3.Thanh pham'!M$97+'3.Thanh pham'!M$136+'3.Thanh pham'!M$155),0)</f>
        <v>1.7723229615516687</v>
      </c>
      <c r="S147" s="468">
        <f>IFERROR(CPQL!S41/('3.Thanh pham'!N$97+'3.Thanh pham'!N$136+'3.Thanh pham'!N$155),0)</f>
        <v>1.7723229615516687</v>
      </c>
      <c r="T147" s="468">
        <f>IFERROR(CPQL!T41/('3.Thanh pham'!O$97+'3.Thanh pham'!O$136+'3.Thanh pham'!O$155),0)</f>
        <v>1.7723229615516687</v>
      </c>
      <c r="U147" s="468">
        <f>IFERROR(CPQL!U41/('3.Thanh pham'!P$97+'3.Thanh pham'!P$136+'3.Thanh pham'!P$155),0)</f>
        <v>1.7723229615516687</v>
      </c>
      <c r="V147" s="468">
        <f>IFERROR(CPQL!V41/('3.Thanh pham'!Q$97+'3.Thanh pham'!Q$136+'3.Thanh pham'!Q$155),0)</f>
        <v>1.7723229615516687</v>
      </c>
      <c r="W147" s="468">
        <f>IFERROR(CPQL!W41/('3.Thanh pham'!R$97+'3.Thanh pham'!R$136+'3.Thanh pham'!R$155),0)</f>
        <v>1.8193970176666714</v>
      </c>
      <c r="X147" s="283"/>
      <c r="Y147" s="467">
        <f>IFERROR(CPQL!AK41/CP_Kg!$Y$1,0)</f>
        <v>1.8183627169559009</v>
      </c>
      <c r="Z147" s="149">
        <f t="shared" si="11"/>
        <v>3.6377597346225725</v>
      </c>
    </row>
    <row r="148" spans="2:26" x14ac:dyDescent="0.35">
      <c r="B148" s="385">
        <v>38</v>
      </c>
      <c r="C148" s="385"/>
      <c r="D148" s="368">
        <v>6427005001</v>
      </c>
      <c r="E148" s="369" t="s">
        <v>732</v>
      </c>
      <c r="F148" s="369" t="s">
        <v>733</v>
      </c>
      <c r="G148" s="370" t="s">
        <v>732</v>
      </c>
      <c r="H148" s="370" t="s">
        <v>356</v>
      </c>
      <c r="I148" s="370" t="s">
        <v>726</v>
      </c>
      <c r="J148" s="468"/>
      <c r="K148" s="468">
        <f>IFERROR(CPQL!K42/('3.Thanh pham'!F$97+'3.Thanh pham'!F$136+'3.Thanh pham'!F$155),0)</f>
        <v>0</v>
      </c>
      <c r="L148" s="468">
        <f>IFERROR(CPQL!L42/('3.Thanh pham'!G$97+'3.Thanh pham'!G$136+'3.Thanh pham'!G$155),0)</f>
        <v>0</v>
      </c>
      <c r="M148" s="468">
        <f>IFERROR(CPQL!M42/('3.Thanh pham'!H$97+'3.Thanh pham'!H$136+'3.Thanh pham'!H$155),0)</f>
        <v>0</v>
      </c>
      <c r="N148" s="468">
        <f>IFERROR(CPQL!N42/('3.Thanh pham'!I$97+'3.Thanh pham'!I$136+'3.Thanh pham'!I$155),0)</f>
        <v>0</v>
      </c>
      <c r="O148" s="468">
        <f>IFERROR(CPQL!O42/('3.Thanh pham'!J$97+'3.Thanh pham'!J$136+'3.Thanh pham'!J$155),0)</f>
        <v>0</v>
      </c>
      <c r="P148" s="468">
        <f>IFERROR(CPQL!P42/('3.Thanh pham'!K$97+'3.Thanh pham'!K$136+'3.Thanh pham'!K$155),0)</f>
        <v>0</v>
      </c>
      <c r="Q148" s="468">
        <f>IFERROR(CPQL!Q42/('3.Thanh pham'!L$97+'3.Thanh pham'!L$136+'3.Thanh pham'!L$155),0)</f>
        <v>0</v>
      </c>
      <c r="R148" s="468">
        <f>IFERROR(CPQL!R42/('3.Thanh pham'!M$97+'3.Thanh pham'!M$136+'3.Thanh pham'!M$155),0)</f>
        <v>0</v>
      </c>
      <c r="S148" s="468">
        <f>IFERROR(CPQL!S42/('3.Thanh pham'!N$97+'3.Thanh pham'!N$136+'3.Thanh pham'!N$155),0)</f>
        <v>0</v>
      </c>
      <c r="T148" s="468">
        <f>IFERROR(CPQL!T42/('3.Thanh pham'!O$97+'3.Thanh pham'!O$136+'3.Thanh pham'!O$155),0)</f>
        <v>0</v>
      </c>
      <c r="U148" s="468">
        <f>IFERROR(CPQL!U42/('3.Thanh pham'!P$97+'3.Thanh pham'!P$136+'3.Thanh pham'!P$155),0)</f>
        <v>0</v>
      </c>
      <c r="V148" s="468">
        <f>IFERROR(CPQL!V42/('3.Thanh pham'!Q$97+'3.Thanh pham'!Q$136+'3.Thanh pham'!Q$155),0)</f>
        <v>0</v>
      </c>
      <c r="W148" s="468">
        <f>IFERROR(CPQL!W42/('3.Thanh pham'!R$97+'3.Thanh pham'!R$136+'3.Thanh pham'!R$155),0)</f>
        <v>0</v>
      </c>
      <c r="X148" s="283"/>
      <c r="Y148" s="467">
        <f>IFERROR(CPQL!AK42/CP_Kg!$Y$1,0)</f>
        <v>0</v>
      </c>
      <c r="Z148" s="149">
        <f t="shared" si="11"/>
        <v>0</v>
      </c>
    </row>
    <row r="149" spans="2:26" x14ac:dyDescent="0.35">
      <c r="B149" s="385">
        <v>39</v>
      </c>
      <c r="C149" s="385"/>
      <c r="D149" s="368">
        <v>6427005102</v>
      </c>
      <c r="E149" s="369" t="s">
        <v>928</v>
      </c>
      <c r="F149" s="369" t="s">
        <v>711</v>
      </c>
      <c r="G149" s="370" t="s">
        <v>928</v>
      </c>
      <c r="H149" s="369" t="s">
        <v>359</v>
      </c>
      <c r="I149" s="370" t="s">
        <v>726</v>
      </c>
      <c r="J149" s="468"/>
      <c r="K149" s="468">
        <f>IFERROR(CPQL!K43/('3.Thanh pham'!F$97+'3.Thanh pham'!F$136+'3.Thanh pham'!F$155),0)</f>
        <v>0</v>
      </c>
      <c r="L149" s="468">
        <f>IFERROR(CPQL!L43/('3.Thanh pham'!G$97+'3.Thanh pham'!G$136+'3.Thanh pham'!G$155),0)</f>
        <v>0</v>
      </c>
      <c r="M149" s="468">
        <f>IFERROR(CPQL!M43/('3.Thanh pham'!H$97+'3.Thanh pham'!H$136+'3.Thanh pham'!H$155),0)</f>
        <v>0</v>
      </c>
      <c r="N149" s="468">
        <f>IFERROR(CPQL!N43/('3.Thanh pham'!I$97+'3.Thanh pham'!I$136+'3.Thanh pham'!I$155),0)</f>
        <v>0</v>
      </c>
      <c r="O149" s="468">
        <f>IFERROR(CPQL!O43/('3.Thanh pham'!J$97+'3.Thanh pham'!J$136+'3.Thanh pham'!J$155),0)</f>
        <v>0</v>
      </c>
      <c r="P149" s="468">
        <f>IFERROR(CPQL!P43/('3.Thanh pham'!K$97+'3.Thanh pham'!K$136+'3.Thanh pham'!K$155),0)</f>
        <v>0</v>
      </c>
      <c r="Q149" s="468">
        <f>IFERROR(CPQL!Q43/('3.Thanh pham'!L$97+'3.Thanh pham'!L$136+'3.Thanh pham'!L$155),0)</f>
        <v>0</v>
      </c>
      <c r="R149" s="468">
        <f>IFERROR(CPQL!R43/('3.Thanh pham'!M$97+'3.Thanh pham'!M$136+'3.Thanh pham'!M$155),0)</f>
        <v>0</v>
      </c>
      <c r="S149" s="468">
        <f>IFERROR(CPQL!S43/('3.Thanh pham'!N$97+'3.Thanh pham'!N$136+'3.Thanh pham'!N$155),0)</f>
        <v>0</v>
      </c>
      <c r="T149" s="468">
        <f>IFERROR(CPQL!T43/('3.Thanh pham'!O$97+'3.Thanh pham'!O$136+'3.Thanh pham'!O$155),0)</f>
        <v>0</v>
      </c>
      <c r="U149" s="468">
        <f>IFERROR(CPQL!U43/('3.Thanh pham'!P$97+'3.Thanh pham'!P$136+'3.Thanh pham'!P$155),0)</f>
        <v>0</v>
      </c>
      <c r="V149" s="468">
        <f>IFERROR(CPQL!V43/('3.Thanh pham'!Q$97+'3.Thanh pham'!Q$136+'3.Thanh pham'!Q$155),0)</f>
        <v>0</v>
      </c>
      <c r="W149" s="468">
        <f>IFERROR(CPQL!W43/('3.Thanh pham'!R$97+'3.Thanh pham'!R$136+'3.Thanh pham'!R$155),0)</f>
        <v>0</v>
      </c>
      <c r="X149" s="283"/>
      <c r="Y149" s="467">
        <f>IFERROR(CPQL!AK43/CP_Kg!$Y$1,0)</f>
        <v>0</v>
      </c>
      <c r="Z149" s="149">
        <f t="shared" si="11"/>
        <v>0</v>
      </c>
    </row>
    <row r="150" spans="2:26" x14ac:dyDescent="0.35">
      <c r="B150" s="385">
        <v>40</v>
      </c>
      <c r="C150" s="385"/>
      <c r="D150" s="368">
        <v>6427005501</v>
      </c>
      <c r="E150" s="369" t="s">
        <v>961</v>
      </c>
      <c r="F150" s="369" t="s">
        <v>1006</v>
      </c>
      <c r="G150" s="370" t="s">
        <v>961</v>
      </c>
      <c r="H150" s="370" t="s">
        <v>359</v>
      </c>
      <c r="I150" s="370" t="s">
        <v>726</v>
      </c>
      <c r="J150" s="468"/>
      <c r="K150" s="468">
        <f>IFERROR(CPQL!K44/('3.Thanh pham'!F$97+'3.Thanh pham'!F$136+'3.Thanh pham'!F$155),0)</f>
        <v>0.9099476780085145</v>
      </c>
      <c r="L150" s="468">
        <f>IFERROR(CPQL!L44/('3.Thanh pham'!G$97+'3.Thanh pham'!G$136+'3.Thanh pham'!G$155),0)</f>
        <v>1.1699327288680901</v>
      </c>
      <c r="M150" s="468">
        <f>IFERROR(CPQL!M44/('3.Thanh pham'!H$97+'3.Thanh pham'!H$136+'3.Thanh pham'!H$155),0)</f>
        <v>0.81895291020766303</v>
      </c>
      <c r="N150" s="468">
        <f>IFERROR(CPQL!N44/('3.Thanh pham'!I$97+'3.Thanh pham'!I$136+'3.Thanh pham'!I$155),0)</f>
        <v>0.74450264564333002</v>
      </c>
      <c r="O150" s="468">
        <f>IFERROR(CPQL!O44/('3.Thanh pham'!J$97+'3.Thanh pham'!J$136+'3.Thanh pham'!J$155),0)</f>
        <v>0.7454183394209164</v>
      </c>
      <c r="P150" s="468">
        <f>IFERROR(CPQL!P44/('3.Thanh pham'!K$97+'3.Thanh pham'!K$136+'3.Thanh pham'!K$155),0)</f>
        <v>0.77539129567885512</v>
      </c>
      <c r="Q150" s="468">
        <f>IFERROR(CPQL!Q44/('3.Thanh pham'!L$97+'3.Thanh pham'!L$136+'3.Thanh pham'!L$155),0)</f>
        <v>0.77539129567885512</v>
      </c>
      <c r="R150" s="468">
        <f>IFERROR(CPQL!R44/('3.Thanh pham'!M$97+'3.Thanh pham'!M$136+'3.Thanh pham'!M$155),0)</f>
        <v>0.77539129567885512</v>
      </c>
      <c r="S150" s="468">
        <f>IFERROR(CPQL!S44/('3.Thanh pham'!N$97+'3.Thanh pham'!N$136+'3.Thanh pham'!N$155),0)</f>
        <v>0.77539129567885512</v>
      </c>
      <c r="T150" s="468">
        <f>IFERROR(CPQL!T44/('3.Thanh pham'!O$97+'3.Thanh pham'!O$136+'3.Thanh pham'!O$155),0)</f>
        <v>0.77539129567885512</v>
      </c>
      <c r="U150" s="468">
        <f>IFERROR(CPQL!U44/('3.Thanh pham'!P$97+'3.Thanh pham'!P$136+'3.Thanh pham'!P$155),0)</f>
        <v>0.77539129567885512</v>
      </c>
      <c r="V150" s="468">
        <f>IFERROR(CPQL!V44/('3.Thanh pham'!Q$97+'3.Thanh pham'!Q$136+'3.Thanh pham'!Q$155),0)</f>
        <v>0.77539129567885512</v>
      </c>
      <c r="W150" s="468">
        <f>IFERROR(CPQL!W44/('3.Thanh pham'!R$97+'3.Thanh pham'!R$136+'3.Thanh pham'!R$155),0)</f>
        <v>0.8060619698523227</v>
      </c>
      <c r="X150" s="283"/>
      <c r="Y150" s="467">
        <f>IFERROR(CPQL!AK44/CP_Kg!$Y$1,0)</f>
        <v>0.5531075297947623</v>
      </c>
      <c r="Z150" s="149">
        <f t="shared" si="11"/>
        <v>1.3591694996470851</v>
      </c>
    </row>
    <row r="151" spans="2:26" x14ac:dyDescent="0.35">
      <c r="B151" s="385">
        <v>41</v>
      </c>
      <c r="C151" s="385"/>
      <c r="D151" s="368">
        <v>6427005601</v>
      </c>
      <c r="E151" s="369" t="s">
        <v>1007</v>
      </c>
      <c r="F151" s="369" t="s">
        <v>1008</v>
      </c>
      <c r="G151" s="370" t="s">
        <v>1007</v>
      </c>
      <c r="H151" s="370" t="s">
        <v>356</v>
      </c>
      <c r="I151" s="370" t="s">
        <v>726</v>
      </c>
      <c r="J151" s="468"/>
      <c r="K151" s="468">
        <f>IFERROR(CPQL!K45/('3.Thanh pham'!F$97+'3.Thanh pham'!F$136+'3.Thanh pham'!F$155),0)</f>
        <v>7.1495888986383287</v>
      </c>
      <c r="L151" s="468">
        <f>IFERROR(CPQL!L45/('3.Thanh pham'!G$97+'3.Thanh pham'!G$136+'3.Thanh pham'!G$155),0)</f>
        <v>2.5069987047173359</v>
      </c>
      <c r="M151" s="468">
        <f>IFERROR(CPQL!M45/('3.Thanh pham'!H$97+'3.Thanh pham'!H$136+'3.Thanh pham'!H$155),0)</f>
        <v>36.852880959344837</v>
      </c>
      <c r="N151" s="468">
        <f>IFERROR(CPQL!N45/('3.Thanh pham'!I$97+'3.Thanh pham'!I$136+'3.Thanh pham'!I$155),0)</f>
        <v>27.121167805578452</v>
      </c>
      <c r="O151" s="468">
        <f>IFERROR(CPQL!O45/('3.Thanh pham'!J$97+'3.Thanh pham'!J$136+'3.Thanh pham'!J$155),0)</f>
        <v>22.894991853642434</v>
      </c>
      <c r="P151" s="468">
        <f>IFERROR(CPQL!P45/('3.Thanh pham'!K$97+'3.Thanh pham'!K$136+'3.Thanh pham'!K$155),0)</f>
        <v>1.6615527764546894</v>
      </c>
      <c r="Q151" s="468">
        <f>IFERROR(CPQL!Q45/('3.Thanh pham'!L$97+'3.Thanh pham'!L$136+'3.Thanh pham'!L$155),0)</f>
        <v>1.6615527764546894</v>
      </c>
      <c r="R151" s="468">
        <f>IFERROR(CPQL!R45/('3.Thanh pham'!M$97+'3.Thanh pham'!M$136+'3.Thanh pham'!M$155),0)</f>
        <v>34.892608305548478</v>
      </c>
      <c r="S151" s="468">
        <f>IFERROR(CPQL!S45/('3.Thanh pham'!N$97+'3.Thanh pham'!N$136+'3.Thanh pham'!N$155),0)</f>
        <v>6.092360180333861</v>
      </c>
      <c r="T151" s="468">
        <f>IFERROR(CPQL!T45/('3.Thanh pham'!O$97+'3.Thanh pham'!O$136+'3.Thanh pham'!O$155),0)</f>
        <v>1.6615527764546894</v>
      </c>
      <c r="U151" s="468">
        <f>IFERROR(CPQL!U45/('3.Thanh pham'!P$97+'3.Thanh pham'!P$136+'3.Thanh pham'!P$155),0)</f>
        <v>1.6615527764546894</v>
      </c>
      <c r="V151" s="468">
        <f>IFERROR(CPQL!V45/('3.Thanh pham'!Q$97+'3.Thanh pham'!Q$136+'3.Thanh pham'!Q$155),0)</f>
        <v>1.6615527764546894</v>
      </c>
      <c r="W151" s="468">
        <f>IFERROR(CPQL!W45/('3.Thanh pham'!R$97+'3.Thanh pham'!R$136+'3.Thanh pham'!R$155),0)</f>
        <v>12.474768581047853</v>
      </c>
      <c r="X151" s="283"/>
      <c r="Y151" s="467">
        <f>IFERROR(CPQL!AK45/CP_Kg!$Y$1,0)</f>
        <v>1.4523399818447849</v>
      </c>
      <c r="Z151" s="149">
        <f t="shared" si="11"/>
        <v>13.927108562892638</v>
      </c>
    </row>
    <row r="152" spans="2:26" x14ac:dyDescent="0.35">
      <c r="B152" s="385">
        <v>42</v>
      </c>
      <c r="C152" s="385"/>
      <c r="D152" s="368">
        <v>6427005602</v>
      </c>
      <c r="E152" s="369" t="s">
        <v>1009</v>
      </c>
      <c r="F152" s="369" t="s">
        <v>493</v>
      </c>
      <c r="G152" s="370" t="s">
        <v>1009</v>
      </c>
      <c r="H152" s="369" t="s">
        <v>359</v>
      </c>
      <c r="I152" s="370" t="s">
        <v>726</v>
      </c>
      <c r="J152" s="468"/>
      <c r="K152" s="468">
        <f>IFERROR(CPQL!K46/('3.Thanh pham'!F$97+'3.Thanh pham'!F$136+'3.Thanh pham'!F$155),0)</f>
        <v>71.625881511813077</v>
      </c>
      <c r="L152" s="468">
        <f>IFERROR(CPQL!L46/('3.Thanh pham'!G$97+'3.Thanh pham'!G$136+'3.Thanh pham'!G$155),0)</f>
        <v>0</v>
      </c>
      <c r="M152" s="468">
        <f>IFERROR(CPQL!M46/('3.Thanh pham'!H$97+'3.Thanh pham'!H$136+'3.Thanh pham'!H$155),0)</f>
        <v>0</v>
      </c>
      <c r="N152" s="468">
        <f>IFERROR(CPQL!N46/('3.Thanh pham'!I$97+'3.Thanh pham'!I$136+'3.Thanh pham'!I$155),0)</f>
        <v>0</v>
      </c>
      <c r="O152" s="468">
        <f>IFERROR(CPQL!O46/('3.Thanh pham'!J$97+'3.Thanh pham'!J$136+'3.Thanh pham'!J$155),0)</f>
        <v>0</v>
      </c>
      <c r="P152" s="468">
        <f>IFERROR(CPQL!P46/('3.Thanh pham'!K$97+'3.Thanh pham'!K$136+'3.Thanh pham'!K$155),0)</f>
        <v>0</v>
      </c>
      <c r="Q152" s="468">
        <f>IFERROR(CPQL!Q46/('3.Thanh pham'!L$97+'3.Thanh pham'!L$136+'3.Thanh pham'!L$155),0)</f>
        <v>0</v>
      </c>
      <c r="R152" s="468">
        <f>IFERROR(CPQL!R46/('3.Thanh pham'!M$97+'3.Thanh pham'!M$136+'3.Thanh pham'!M$155),0)</f>
        <v>0</v>
      </c>
      <c r="S152" s="468">
        <f>IFERROR(CPQL!S46/('3.Thanh pham'!N$97+'3.Thanh pham'!N$136+'3.Thanh pham'!N$155),0)</f>
        <v>0</v>
      </c>
      <c r="T152" s="468">
        <f>IFERROR(CPQL!T46/('3.Thanh pham'!O$97+'3.Thanh pham'!O$136+'3.Thanh pham'!O$155),0)</f>
        <v>0</v>
      </c>
      <c r="U152" s="468">
        <f>IFERROR(CPQL!U46/('3.Thanh pham'!P$97+'3.Thanh pham'!P$136+'3.Thanh pham'!P$155),0)</f>
        <v>0</v>
      </c>
      <c r="V152" s="468">
        <f>IFERROR(CPQL!V46/('3.Thanh pham'!Q$97+'3.Thanh pham'!Q$136+'3.Thanh pham'!Q$155),0)</f>
        <v>0</v>
      </c>
      <c r="W152" s="468">
        <f>IFERROR(CPQL!W46/('3.Thanh pham'!R$97+'3.Thanh pham'!R$136+'3.Thanh pham'!R$155),0)</f>
        <v>5.2873826831979738</v>
      </c>
      <c r="X152" s="283"/>
      <c r="Y152" s="467">
        <f>IFERROR(CPQL!AK46/CP_Kg!$Y$1,0)</f>
        <v>1.9907283495006789</v>
      </c>
      <c r="Z152" s="149">
        <f t="shared" si="11"/>
        <v>7.2781110326986527</v>
      </c>
    </row>
    <row r="153" spans="2:26" x14ac:dyDescent="0.35">
      <c r="B153" s="385">
        <v>43</v>
      </c>
      <c r="C153" s="385"/>
      <c r="D153" s="368">
        <v>6427005701</v>
      </c>
      <c r="E153" s="369" t="s">
        <v>941</v>
      </c>
      <c r="F153" s="369" t="s">
        <v>1010</v>
      </c>
      <c r="G153" s="370" t="s">
        <v>941</v>
      </c>
      <c r="H153" s="369" t="s">
        <v>359</v>
      </c>
      <c r="I153" s="370" t="s">
        <v>726</v>
      </c>
      <c r="J153" s="468"/>
      <c r="K153" s="468">
        <f>IFERROR(CPQL!K47/('3.Thanh pham'!F$97+'3.Thanh pham'!F$136+'3.Thanh pham'!F$155),0)</f>
        <v>1.9498878814468168</v>
      </c>
      <c r="L153" s="468">
        <f>IFERROR(CPQL!L47/('3.Thanh pham'!G$97+'3.Thanh pham'!G$136+'3.Thanh pham'!G$155),0)</f>
        <v>2.5069987047173359</v>
      </c>
      <c r="M153" s="468">
        <f>IFERROR(CPQL!M47/('3.Thanh pham'!H$97+'3.Thanh pham'!H$136+'3.Thanh pham'!H$155),0)</f>
        <v>1.7548990933021351</v>
      </c>
      <c r="N153" s="468">
        <f>IFERROR(CPQL!N47/('3.Thanh pham'!I$97+'3.Thanh pham'!I$136+'3.Thanh pham'!I$155),0)</f>
        <v>1.59536281209285</v>
      </c>
      <c r="O153" s="468">
        <f>IFERROR(CPQL!O47/('3.Thanh pham'!J$97+'3.Thanh pham'!J$136+'3.Thanh pham'!J$155),0)</f>
        <v>1.5973250130448209</v>
      </c>
      <c r="P153" s="468">
        <f>IFERROR(CPQL!P47/('3.Thanh pham'!K$97+'3.Thanh pham'!K$136+'3.Thanh pham'!K$155),0)</f>
        <v>1.6615527764546894</v>
      </c>
      <c r="Q153" s="468">
        <f>IFERROR(CPQL!Q47/('3.Thanh pham'!L$97+'3.Thanh pham'!L$136+'3.Thanh pham'!L$155),0)</f>
        <v>1.6615527764546894</v>
      </c>
      <c r="R153" s="468">
        <f>IFERROR(CPQL!R47/('3.Thanh pham'!M$97+'3.Thanh pham'!M$136+'3.Thanh pham'!M$155),0)</f>
        <v>1.6615527764546894</v>
      </c>
      <c r="S153" s="468">
        <f>IFERROR(CPQL!S47/('3.Thanh pham'!N$97+'3.Thanh pham'!N$136+'3.Thanh pham'!N$155),0)</f>
        <v>1.6615527764546894</v>
      </c>
      <c r="T153" s="468">
        <f>IFERROR(CPQL!T47/('3.Thanh pham'!O$97+'3.Thanh pham'!O$136+'3.Thanh pham'!O$155),0)</f>
        <v>1.6615527764546894</v>
      </c>
      <c r="U153" s="468">
        <f>IFERROR(CPQL!U47/('3.Thanh pham'!P$97+'3.Thanh pham'!P$136+'3.Thanh pham'!P$155),0)</f>
        <v>1.6615527764546894</v>
      </c>
      <c r="V153" s="468">
        <f>IFERROR(CPQL!V47/('3.Thanh pham'!Q$97+'3.Thanh pham'!Q$136+'3.Thanh pham'!Q$155),0)</f>
        <v>1.6615527764546894</v>
      </c>
      <c r="W153" s="468">
        <f>IFERROR(CPQL!W47/('3.Thanh pham'!R$97+'3.Thanh pham'!R$136+'3.Thanh pham'!R$155),0)</f>
        <v>1.7272756496835486</v>
      </c>
      <c r="X153" s="283"/>
      <c r="Y153" s="467">
        <f>IFERROR(CPQL!AK47/CP_Kg!$Y$1,0)</f>
        <v>0.95541722927086237</v>
      </c>
      <c r="Z153" s="149">
        <f t="shared" si="11"/>
        <v>2.6826928789544109</v>
      </c>
    </row>
    <row r="154" spans="2:26" x14ac:dyDescent="0.35">
      <c r="B154" s="385">
        <v>44</v>
      </c>
      <c r="C154" s="385"/>
      <c r="D154" s="368">
        <v>6427005702</v>
      </c>
      <c r="E154" s="369" t="s">
        <v>945</v>
      </c>
      <c r="F154" s="369" t="s">
        <v>1011</v>
      </c>
      <c r="G154" s="370" t="s">
        <v>1012</v>
      </c>
      <c r="H154" s="369" t="s">
        <v>359</v>
      </c>
      <c r="I154" s="370" t="s">
        <v>726</v>
      </c>
      <c r="J154" s="468"/>
      <c r="K154" s="468">
        <f>IFERROR(CPQL!K48/('3.Thanh pham'!F$97+'3.Thanh pham'!F$136+'3.Thanh pham'!F$155),0)</f>
        <v>0</v>
      </c>
      <c r="L154" s="468">
        <f>IFERROR(CPQL!L48/('3.Thanh pham'!G$97+'3.Thanh pham'!G$136+'3.Thanh pham'!G$155),0)</f>
        <v>0</v>
      </c>
      <c r="M154" s="468">
        <f>IFERROR(CPQL!M48/('3.Thanh pham'!H$97+'3.Thanh pham'!H$136+'3.Thanh pham'!H$155),0)</f>
        <v>0</v>
      </c>
      <c r="N154" s="468">
        <f>IFERROR(CPQL!N48/('3.Thanh pham'!I$97+'3.Thanh pham'!I$136+'3.Thanh pham'!I$155),0)</f>
        <v>0</v>
      </c>
      <c r="O154" s="468">
        <f>IFERROR(CPQL!O48/('3.Thanh pham'!J$97+'3.Thanh pham'!J$136+'3.Thanh pham'!J$155),0)</f>
        <v>0</v>
      </c>
      <c r="P154" s="468">
        <f>IFERROR(CPQL!P48/('3.Thanh pham'!K$97+'3.Thanh pham'!K$136+'3.Thanh pham'!K$155),0)</f>
        <v>0</v>
      </c>
      <c r="Q154" s="468">
        <f>IFERROR(CPQL!Q48/('3.Thanh pham'!L$97+'3.Thanh pham'!L$136+'3.Thanh pham'!L$155),0)</f>
        <v>0</v>
      </c>
      <c r="R154" s="468">
        <f>IFERROR(CPQL!R48/('3.Thanh pham'!M$97+'3.Thanh pham'!M$136+'3.Thanh pham'!M$155),0)</f>
        <v>0</v>
      </c>
      <c r="S154" s="468">
        <f>IFERROR(CPQL!S48/('3.Thanh pham'!N$97+'3.Thanh pham'!N$136+'3.Thanh pham'!N$155),0)</f>
        <v>0</v>
      </c>
      <c r="T154" s="468">
        <f>IFERROR(CPQL!T48/('3.Thanh pham'!O$97+'3.Thanh pham'!O$136+'3.Thanh pham'!O$155),0)</f>
        <v>0</v>
      </c>
      <c r="U154" s="468">
        <f>IFERROR(CPQL!U48/('3.Thanh pham'!P$97+'3.Thanh pham'!P$136+'3.Thanh pham'!P$155),0)</f>
        <v>0</v>
      </c>
      <c r="V154" s="468">
        <f>IFERROR(CPQL!V48/('3.Thanh pham'!Q$97+'3.Thanh pham'!Q$136+'3.Thanh pham'!Q$155),0)</f>
        <v>0</v>
      </c>
      <c r="W154" s="468">
        <f>IFERROR(CPQL!W48/('3.Thanh pham'!R$97+'3.Thanh pham'!R$136+'3.Thanh pham'!R$155),0)</f>
        <v>0</v>
      </c>
      <c r="X154" s="283"/>
      <c r="Y154" s="467">
        <f>IFERROR(CPQL!AK48/CP_Kg!$Y$1,0)</f>
        <v>0.49044662429327329</v>
      </c>
      <c r="Z154" s="149">
        <f t="shared" si="11"/>
        <v>0.49044662429327329</v>
      </c>
    </row>
    <row r="155" spans="2:26" x14ac:dyDescent="0.35">
      <c r="B155" s="385">
        <v>45</v>
      </c>
      <c r="C155" s="385"/>
      <c r="D155" s="368" t="s">
        <v>840</v>
      </c>
      <c r="E155" s="369" t="s">
        <v>1013</v>
      </c>
      <c r="F155" s="369" t="s">
        <v>1014</v>
      </c>
      <c r="G155" s="370" t="s">
        <v>1015</v>
      </c>
      <c r="H155" s="370" t="s">
        <v>356</v>
      </c>
      <c r="I155" s="370" t="s">
        <v>703</v>
      </c>
      <c r="J155" s="468"/>
      <c r="K155" s="468">
        <f>IFERROR(CPQL!K49/('3.Thanh pham'!F$97+'3.Thanh pham'!F$136+'3.Thanh pham'!F$155),0)</f>
        <v>46.797309154723607</v>
      </c>
      <c r="L155" s="468">
        <f>IFERROR(CPQL!L49/('3.Thanh pham'!G$97+'3.Thanh pham'!G$136+'3.Thanh pham'!G$155),0)</f>
        <v>60.167968913216065</v>
      </c>
      <c r="M155" s="468">
        <f>IFERROR(CPQL!M49/('3.Thanh pham'!H$97+'3.Thanh pham'!H$136+'3.Thanh pham'!H$155),0)</f>
        <v>42.117578239251245</v>
      </c>
      <c r="N155" s="468">
        <f>IFERROR(CPQL!N49/('3.Thanh pham'!I$97+'3.Thanh pham'!I$136+'3.Thanh pham'!I$155),0)</f>
        <v>38.288707490228404</v>
      </c>
      <c r="O155" s="468">
        <f>IFERROR(CPQL!O49/('3.Thanh pham'!J$97+'3.Thanh pham'!J$136+'3.Thanh pham'!J$155),0)</f>
        <v>38.335800313075701</v>
      </c>
      <c r="P155" s="468">
        <f>IFERROR(CPQL!P49/('3.Thanh pham'!K$97+'3.Thanh pham'!K$136+'3.Thanh pham'!K$155),0)</f>
        <v>39.877266634912544</v>
      </c>
      <c r="Q155" s="468">
        <f>IFERROR(CPQL!Q49/('3.Thanh pham'!L$97+'3.Thanh pham'!L$136+'3.Thanh pham'!L$155),0)</f>
        <v>39.877266634912544</v>
      </c>
      <c r="R155" s="468">
        <f>IFERROR(CPQL!R49/('3.Thanh pham'!M$97+'3.Thanh pham'!M$136+'3.Thanh pham'!M$155),0)</f>
        <v>39.877266634912544</v>
      </c>
      <c r="S155" s="468">
        <f>IFERROR(CPQL!S49/('3.Thanh pham'!N$97+'3.Thanh pham'!N$136+'3.Thanh pham'!N$155),0)</f>
        <v>39.877266634912544</v>
      </c>
      <c r="T155" s="468">
        <f>IFERROR(CPQL!T49/('3.Thanh pham'!O$97+'3.Thanh pham'!O$136+'3.Thanh pham'!O$155),0)</f>
        <v>39.877266634912544</v>
      </c>
      <c r="U155" s="468">
        <f>IFERROR(CPQL!U49/('3.Thanh pham'!P$97+'3.Thanh pham'!P$136+'3.Thanh pham'!P$155),0)</f>
        <v>39.877266634912544</v>
      </c>
      <c r="V155" s="468">
        <f>IFERROR(CPQL!V49/('3.Thanh pham'!Q$97+'3.Thanh pham'!Q$136+'3.Thanh pham'!Q$155),0)</f>
        <v>39.877266634912544</v>
      </c>
      <c r="W155" s="468">
        <f>IFERROR(CPQL!W49/('3.Thanh pham'!R$97+'3.Thanh pham'!R$136+'3.Thanh pham'!R$155),0)</f>
        <v>41.454615592405169</v>
      </c>
      <c r="X155" s="283"/>
      <c r="Y155" s="467">
        <f>IFERROR(CPQL!AK49/CP_Kg!$Y$1,0)</f>
        <v>40.062670376140638</v>
      </c>
      <c r="Z155" s="149">
        <f t="shared" si="11"/>
        <v>81.517285968545806</v>
      </c>
    </row>
    <row r="156" spans="2:26" x14ac:dyDescent="0.35">
      <c r="B156" s="385">
        <v>46</v>
      </c>
      <c r="C156" s="385"/>
      <c r="D156" s="368">
        <v>6427005802</v>
      </c>
      <c r="E156" s="369" t="s">
        <v>1016</v>
      </c>
      <c r="F156" s="369" t="s">
        <v>1017</v>
      </c>
      <c r="G156" s="370" t="s">
        <v>1016</v>
      </c>
      <c r="H156" s="370" t="s">
        <v>369</v>
      </c>
      <c r="I156" s="370" t="s">
        <v>726</v>
      </c>
      <c r="J156" s="468"/>
      <c r="K156" s="468">
        <f>IFERROR(CPQL!K50/('3.Thanh pham'!F$97+'3.Thanh pham'!F$136+'3.Thanh pham'!F$155),0)</f>
        <v>0</v>
      </c>
      <c r="L156" s="468">
        <f>IFERROR(CPQL!L50/('3.Thanh pham'!G$97+'3.Thanh pham'!G$136+'3.Thanh pham'!G$155),0)</f>
        <v>0</v>
      </c>
      <c r="M156" s="468">
        <f>IFERROR(CPQL!M50/('3.Thanh pham'!H$97+'3.Thanh pham'!H$136+'3.Thanh pham'!H$155),0)</f>
        <v>0</v>
      </c>
      <c r="N156" s="468">
        <f>IFERROR(CPQL!N50/('3.Thanh pham'!I$97+'3.Thanh pham'!I$136+'3.Thanh pham'!I$155),0)</f>
        <v>0</v>
      </c>
      <c r="O156" s="468">
        <f>IFERROR(CPQL!O50/('3.Thanh pham'!J$97+'3.Thanh pham'!J$136+'3.Thanh pham'!J$155),0)</f>
        <v>0</v>
      </c>
      <c r="P156" s="468">
        <f>IFERROR(CPQL!P50/('3.Thanh pham'!K$97+'3.Thanh pham'!K$136+'3.Thanh pham'!K$155),0)</f>
        <v>0</v>
      </c>
      <c r="Q156" s="468">
        <f>IFERROR(CPQL!Q50/('3.Thanh pham'!L$97+'3.Thanh pham'!L$136+'3.Thanh pham'!L$155),0)</f>
        <v>0</v>
      </c>
      <c r="R156" s="468">
        <f>IFERROR(CPQL!R50/('3.Thanh pham'!M$97+'3.Thanh pham'!M$136+'3.Thanh pham'!M$155),0)</f>
        <v>0</v>
      </c>
      <c r="S156" s="468">
        <f>IFERROR(CPQL!S50/('3.Thanh pham'!N$97+'3.Thanh pham'!N$136+'3.Thanh pham'!N$155),0)</f>
        <v>0</v>
      </c>
      <c r="T156" s="468">
        <f>IFERROR(CPQL!T50/('3.Thanh pham'!O$97+'3.Thanh pham'!O$136+'3.Thanh pham'!O$155),0)</f>
        <v>0</v>
      </c>
      <c r="U156" s="468">
        <f>IFERROR(CPQL!U50/('3.Thanh pham'!P$97+'3.Thanh pham'!P$136+'3.Thanh pham'!P$155),0)</f>
        <v>0</v>
      </c>
      <c r="V156" s="468">
        <f>IFERROR(CPQL!V50/('3.Thanh pham'!Q$97+'3.Thanh pham'!Q$136+'3.Thanh pham'!Q$155),0)</f>
        <v>0</v>
      </c>
      <c r="W156" s="468">
        <f>IFERROR(CPQL!W50/('3.Thanh pham'!R$97+'3.Thanh pham'!R$136+'3.Thanh pham'!R$155),0)</f>
        <v>0</v>
      </c>
      <c r="X156" s="283"/>
      <c r="Y156" s="467">
        <f>IFERROR(CPQL!AK50/CP_Kg!$Y$1,0)</f>
        <v>0</v>
      </c>
      <c r="Z156" s="149">
        <f t="shared" si="11"/>
        <v>0</v>
      </c>
    </row>
    <row r="157" spans="2:26" x14ac:dyDescent="0.35">
      <c r="B157" s="385">
        <v>47</v>
      </c>
      <c r="C157" s="385"/>
      <c r="D157" s="368">
        <v>6427005803</v>
      </c>
      <c r="E157" s="369" t="s">
        <v>1018</v>
      </c>
      <c r="F157" s="369" t="s">
        <v>729</v>
      </c>
      <c r="G157" s="370" t="s">
        <v>1018</v>
      </c>
      <c r="H157" s="369" t="s">
        <v>359</v>
      </c>
      <c r="I157" s="370" t="s">
        <v>726</v>
      </c>
      <c r="J157" s="468"/>
      <c r="K157" s="468">
        <f>IFERROR(CPQL!K51/('3.Thanh pham'!F$97+'3.Thanh pham'!F$136+'3.Thanh pham'!F$155),0)</f>
        <v>0</v>
      </c>
      <c r="L157" s="468">
        <f>IFERROR(CPQL!L51/('3.Thanh pham'!G$97+'3.Thanh pham'!G$136+'3.Thanh pham'!G$155),0)</f>
        <v>0</v>
      </c>
      <c r="M157" s="468">
        <f>IFERROR(CPQL!M51/('3.Thanh pham'!H$97+'3.Thanh pham'!H$136+'3.Thanh pham'!H$155),0)</f>
        <v>0</v>
      </c>
      <c r="N157" s="468">
        <f>IFERROR(CPQL!N51/('3.Thanh pham'!I$97+'3.Thanh pham'!I$136+'3.Thanh pham'!I$155),0)</f>
        <v>0</v>
      </c>
      <c r="O157" s="468">
        <f>IFERROR(CPQL!O51/('3.Thanh pham'!J$97+'3.Thanh pham'!J$136+'3.Thanh pham'!J$155),0)</f>
        <v>0</v>
      </c>
      <c r="P157" s="468">
        <f>IFERROR(CPQL!P51/('3.Thanh pham'!K$97+'3.Thanh pham'!K$136+'3.Thanh pham'!K$155),0)</f>
        <v>0</v>
      </c>
      <c r="Q157" s="468">
        <f>IFERROR(CPQL!Q51/('3.Thanh pham'!L$97+'3.Thanh pham'!L$136+'3.Thanh pham'!L$155),0)</f>
        <v>0</v>
      </c>
      <c r="R157" s="468">
        <f>IFERROR(CPQL!R51/('3.Thanh pham'!M$97+'3.Thanh pham'!M$136+'3.Thanh pham'!M$155),0)</f>
        <v>0</v>
      </c>
      <c r="S157" s="468">
        <f>IFERROR(CPQL!S51/('3.Thanh pham'!N$97+'3.Thanh pham'!N$136+'3.Thanh pham'!N$155),0)</f>
        <v>0</v>
      </c>
      <c r="T157" s="468">
        <f>IFERROR(CPQL!T51/('3.Thanh pham'!O$97+'3.Thanh pham'!O$136+'3.Thanh pham'!O$155),0)</f>
        <v>0</v>
      </c>
      <c r="U157" s="468">
        <f>IFERROR(CPQL!U51/('3.Thanh pham'!P$97+'3.Thanh pham'!P$136+'3.Thanh pham'!P$155),0)</f>
        <v>0</v>
      </c>
      <c r="V157" s="468">
        <f>IFERROR(CPQL!V51/('3.Thanh pham'!Q$97+'3.Thanh pham'!Q$136+'3.Thanh pham'!Q$155),0)</f>
        <v>0</v>
      </c>
      <c r="W157" s="468">
        <f>IFERROR(CPQL!W51/('3.Thanh pham'!R$97+'3.Thanh pham'!R$136+'3.Thanh pham'!R$155),0)</f>
        <v>0</v>
      </c>
      <c r="X157" s="283"/>
      <c r="Y157" s="467">
        <f>IFERROR(CPQL!AK51/CP_Kg!$Y$1,0)</f>
        <v>0</v>
      </c>
      <c r="Z157" s="149">
        <f t="shared" si="11"/>
        <v>0</v>
      </c>
    </row>
    <row r="158" spans="2:26" x14ac:dyDescent="0.35">
      <c r="B158" s="385">
        <v>48</v>
      </c>
      <c r="C158" s="385"/>
      <c r="D158" s="368">
        <v>6428002803</v>
      </c>
      <c r="E158" s="369" t="s">
        <v>1019</v>
      </c>
      <c r="F158" s="369" t="s">
        <v>729</v>
      </c>
      <c r="G158" s="370" t="s">
        <v>1019</v>
      </c>
      <c r="H158" s="369" t="s">
        <v>359</v>
      </c>
      <c r="I158" s="370" t="s">
        <v>726</v>
      </c>
      <c r="J158" s="468"/>
      <c r="K158" s="468">
        <f>IFERROR(CPQL!K52/('3.Thanh pham'!F$97+'3.Thanh pham'!F$136+'3.Thanh pham'!F$155),0)</f>
        <v>0</v>
      </c>
      <c r="L158" s="468">
        <f>IFERROR(CPQL!L52/('3.Thanh pham'!G$97+'3.Thanh pham'!G$136+'3.Thanh pham'!G$155),0)</f>
        <v>0</v>
      </c>
      <c r="M158" s="468">
        <f>IFERROR(CPQL!M52/('3.Thanh pham'!H$97+'3.Thanh pham'!H$136+'3.Thanh pham'!H$155),0)</f>
        <v>0</v>
      </c>
      <c r="N158" s="468">
        <f>IFERROR(CPQL!N52/('3.Thanh pham'!I$97+'3.Thanh pham'!I$136+'3.Thanh pham'!I$155),0)</f>
        <v>0</v>
      </c>
      <c r="O158" s="468">
        <f>IFERROR(CPQL!O52/('3.Thanh pham'!J$97+'3.Thanh pham'!J$136+'3.Thanh pham'!J$155),0)</f>
        <v>0</v>
      </c>
      <c r="P158" s="468">
        <f>IFERROR(CPQL!P52/('3.Thanh pham'!K$97+'3.Thanh pham'!K$136+'3.Thanh pham'!K$155),0)</f>
        <v>0</v>
      </c>
      <c r="Q158" s="468">
        <f>IFERROR(CPQL!Q52/('3.Thanh pham'!L$97+'3.Thanh pham'!L$136+'3.Thanh pham'!L$155),0)</f>
        <v>0</v>
      </c>
      <c r="R158" s="468">
        <f>IFERROR(CPQL!R52/('3.Thanh pham'!M$97+'3.Thanh pham'!M$136+'3.Thanh pham'!M$155),0)</f>
        <v>0</v>
      </c>
      <c r="S158" s="468">
        <f>IFERROR(CPQL!S52/('3.Thanh pham'!N$97+'3.Thanh pham'!N$136+'3.Thanh pham'!N$155),0)</f>
        <v>0</v>
      </c>
      <c r="T158" s="468">
        <f>IFERROR(CPQL!T52/('3.Thanh pham'!O$97+'3.Thanh pham'!O$136+'3.Thanh pham'!O$155),0)</f>
        <v>0</v>
      </c>
      <c r="U158" s="468">
        <f>IFERROR(CPQL!U52/('3.Thanh pham'!P$97+'3.Thanh pham'!P$136+'3.Thanh pham'!P$155),0)</f>
        <v>0</v>
      </c>
      <c r="V158" s="468">
        <f>IFERROR(CPQL!V52/('3.Thanh pham'!Q$97+'3.Thanh pham'!Q$136+'3.Thanh pham'!Q$155),0)</f>
        <v>0</v>
      </c>
      <c r="W158" s="468">
        <f>IFERROR(CPQL!W52/('3.Thanh pham'!R$97+'3.Thanh pham'!R$136+'3.Thanh pham'!R$155),0)</f>
        <v>0</v>
      </c>
      <c r="X158" s="283"/>
      <c r="Y158" s="467">
        <f>IFERROR(CPQL!AK52/CP_Kg!$Y$1,0)</f>
        <v>0</v>
      </c>
      <c r="Z158" s="149">
        <f t="shared" si="11"/>
        <v>0</v>
      </c>
    </row>
    <row r="159" spans="2:26" x14ac:dyDescent="0.35">
      <c r="B159" s="385">
        <v>49</v>
      </c>
      <c r="C159" s="385"/>
      <c r="D159" s="368">
        <v>6428004108</v>
      </c>
      <c r="E159" s="369" t="s">
        <v>1020</v>
      </c>
      <c r="F159" s="369" t="s">
        <v>1021</v>
      </c>
      <c r="G159" s="370" t="s">
        <v>1020</v>
      </c>
      <c r="H159" s="370" t="s">
        <v>392</v>
      </c>
      <c r="I159" s="370" t="s">
        <v>726</v>
      </c>
      <c r="J159" s="468"/>
      <c r="K159" s="468">
        <f>IFERROR(CPQL!K53/('3.Thanh pham'!F$97+'3.Thanh pham'!F$136+'3.Thanh pham'!F$155),0)</f>
        <v>0</v>
      </c>
      <c r="L159" s="468">
        <f>IFERROR(CPQL!L53/('3.Thanh pham'!G$97+'3.Thanh pham'!G$136+'3.Thanh pham'!G$155),0)</f>
        <v>0</v>
      </c>
      <c r="M159" s="468">
        <f>IFERROR(CPQL!M53/('3.Thanh pham'!H$97+'3.Thanh pham'!H$136+'3.Thanh pham'!H$155),0)</f>
        <v>0</v>
      </c>
      <c r="N159" s="468">
        <f>IFERROR(CPQL!N53/('3.Thanh pham'!I$97+'3.Thanh pham'!I$136+'3.Thanh pham'!I$155),0)</f>
        <v>0</v>
      </c>
      <c r="O159" s="468">
        <f>IFERROR(CPQL!O53/('3.Thanh pham'!J$97+'3.Thanh pham'!J$136+'3.Thanh pham'!J$155),0)</f>
        <v>0</v>
      </c>
      <c r="P159" s="468">
        <f>IFERROR(CPQL!P53/('3.Thanh pham'!K$97+'3.Thanh pham'!K$136+'3.Thanh pham'!K$155),0)</f>
        <v>0</v>
      </c>
      <c r="Q159" s="468">
        <f>IFERROR(CPQL!Q53/('3.Thanh pham'!L$97+'3.Thanh pham'!L$136+'3.Thanh pham'!L$155),0)</f>
        <v>0</v>
      </c>
      <c r="R159" s="468">
        <f>IFERROR(CPQL!R53/('3.Thanh pham'!M$97+'3.Thanh pham'!M$136+'3.Thanh pham'!M$155),0)</f>
        <v>0</v>
      </c>
      <c r="S159" s="468">
        <f>IFERROR(CPQL!S53/('3.Thanh pham'!N$97+'3.Thanh pham'!N$136+'3.Thanh pham'!N$155),0)</f>
        <v>0</v>
      </c>
      <c r="T159" s="468">
        <f>IFERROR(CPQL!T53/('3.Thanh pham'!O$97+'3.Thanh pham'!O$136+'3.Thanh pham'!O$155),0)</f>
        <v>0</v>
      </c>
      <c r="U159" s="468">
        <f>IFERROR(CPQL!U53/('3.Thanh pham'!P$97+'3.Thanh pham'!P$136+'3.Thanh pham'!P$155),0)</f>
        <v>0</v>
      </c>
      <c r="V159" s="468">
        <f>IFERROR(CPQL!V53/('3.Thanh pham'!Q$97+'3.Thanh pham'!Q$136+'3.Thanh pham'!Q$155),0)</f>
        <v>0</v>
      </c>
      <c r="W159" s="468">
        <f>IFERROR(CPQL!W53/('3.Thanh pham'!R$97+'3.Thanh pham'!R$136+'3.Thanh pham'!R$155),0)</f>
        <v>0</v>
      </c>
      <c r="X159" s="283"/>
      <c r="Y159" s="467">
        <f>IFERROR(CPQL!AK53/CP_Kg!$Y$1,0)</f>
        <v>0</v>
      </c>
      <c r="Z159" s="149">
        <f t="shared" si="11"/>
        <v>0</v>
      </c>
    </row>
    <row r="160" spans="2:26" x14ac:dyDescent="0.35">
      <c r="B160" s="385">
        <v>50</v>
      </c>
      <c r="C160" s="385"/>
      <c r="D160" s="368">
        <v>6428004202</v>
      </c>
      <c r="E160" s="369" t="s">
        <v>1022</v>
      </c>
      <c r="F160" s="369" t="s">
        <v>729</v>
      </c>
      <c r="G160" s="370" t="s">
        <v>1022</v>
      </c>
      <c r="H160" s="370" t="s">
        <v>369</v>
      </c>
      <c r="I160" s="370" t="s">
        <v>726</v>
      </c>
      <c r="J160" s="468"/>
      <c r="K160" s="468">
        <f>IFERROR(CPQL!K54/('3.Thanh pham'!F$97+'3.Thanh pham'!F$136+'3.Thanh pham'!F$155),0)</f>
        <v>0</v>
      </c>
      <c r="L160" s="468">
        <f>IFERROR(CPQL!L54/('3.Thanh pham'!G$97+'3.Thanh pham'!G$136+'3.Thanh pham'!G$155),0)</f>
        <v>0</v>
      </c>
      <c r="M160" s="468">
        <f>IFERROR(CPQL!M54/('3.Thanh pham'!H$97+'3.Thanh pham'!H$136+'3.Thanh pham'!H$155),0)</f>
        <v>0</v>
      </c>
      <c r="N160" s="468">
        <f>IFERROR(CPQL!N54/('3.Thanh pham'!I$97+'3.Thanh pham'!I$136+'3.Thanh pham'!I$155),0)</f>
        <v>0</v>
      </c>
      <c r="O160" s="468">
        <f>IFERROR(CPQL!O54/('3.Thanh pham'!J$97+'3.Thanh pham'!J$136+'3.Thanh pham'!J$155),0)</f>
        <v>0</v>
      </c>
      <c r="P160" s="468">
        <f>IFERROR(CPQL!P54/('3.Thanh pham'!K$97+'3.Thanh pham'!K$136+'3.Thanh pham'!K$155),0)</f>
        <v>0</v>
      </c>
      <c r="Q160" s="468">
        <f>IFERROR(CPQL!Q54/('3.Thanh pham'!L$97+'3.Thanh pham'!L$136+'3.Thanh pham'!L$155),0)</f>
        <v>0</v>
      </c>
      <c r="R160" s="468">
        <f>IFERROR(CPQL!R54/('3.Thanh pham'!M$97+'3.Thanh pham'!M$136+'3.Thanh pham'!M$155),0)</f>
        <v>0</v>
      </c>
      <c r="S160" s="468">
        <f>IFERROR(CPQL!S54/('3.Thanh pham'!N$97+'3.Thanh pham'!N$136+'3.Thanh pham'!N$155),0)</f>
        <v>0</v>
      </c>
      <c r="T160" s="468">
        <f>IFERROR(CPQL!T54/('3.Thanh pham'!O$97+'3.Thanh pham'!O$136+'3.Thanh pham'!O$155),0)</f>
        <v>0</v>
      </c>
      <c r="U160" s="468">
        <f>IFERROR(CPQL!U54/('3.Thanh pham'!P$97+'3.Thanh pham'!P$136+'3.Thanh pham'!P$155),0)</f>
        <v>0</v>
      </c>
      <c r="V160" s="468">
        <f>IFERROR(CPQL!V54/('3.Thanh pham'!Q$97+'3.Thanh pham'!Q$136+'3.Thanh pham'!Q$155),0)</f>
        <v>0</v>
      </c>
      <c r="W160" s="468">
        <f>IFERROR(CPQL!W54/('3.Thanh pham'!R$97+'3.Thanh pham'!R$136+'3.Thanh pham'!R$155),0)</f>
        <v>0</v>
      </c>
      <c r="X160" s="283"/>
      <c r="Y160" s="467">
        <f>IFERROR(CPQL!AK54/CP_Kg!$Y$1,0)</f>
        <v>0</v>
      </c>
      <c r="Z160" s="149">
        <f t="shared" si="11"/>
        <v>0</v>
      </c>
    </row>
    <row r="161" spans="2:26" x14ac:dyDescent="0.35">
      <c r="B161" s="385">
        <v>51</v>
      </c>
      <c r="C161" s="385"/>
      <c r="D161" s="368">
        <v>6428004302</v>
      </c>
      <c r="E161" s="369" t="s">
        <v>944</v>
      </c>
      <c r="F161" s="369" t="s">
        <v>493</v>
      </c>
      <c r="G161" s="370" t="s">
        <v>944</v>
      </c>
      <c r="H161" s="369" t="s">
        <v>359</v>
      </c>
      <c r="I161" s="370" t="s">
        <v>726</v>
      </c>
      <c r="J161" s="468"/>
      <c r="K161" s="468">
        <f>IFERROR(CPQL!K55/('3.Thanh pham'!F$97+'3.Thanh pham'!F$136+'3.Thanh pham'!F$155),0)</f>
        <v>0</v>
      </c>
      <c r="L161" s="468">
        <f>IFERROR(CPQL!L55/('3.Thanh pham'!G$97+'3.Thanh pham'!G$136+'3.Thanh pham'!G$155),0)</f>
        <v>0</v>
      </c>
      <c r="M161" s="468">
        <f>IFERROR(CPQL!M55/('3.Thanh pham'!H$97+'3.Thanh pham'!H$136+'3.Thanh pham'!H$155),0)</f>
        <v>0</v>
      </c>
      <c r="N161" s="468">
        <f>IFERROR(CPQL!N55/('3.Thanh pham'!I$97+'3.Thanh pham'!I$136+'3.Thanh pham'!I$155),0)</f>
        <v>0</v>
      </c>
      <c r="O161" s="468">
        <f>IFERROR(CPQL!O55/('3.Thanh pham'!J$97+'3.Thanh pham'!J$136+'3.Thanh pham'!J$155),0)</f>
        <v>0</v>
      </c>
      <c r="P161" s="468">
        <f>IFERROR(CPQL!P55/('3.Thanh pham'!K$97+'3.Thanh pham'!K$136+'3.Thanh pham'!K$155),0)</f>
        <v>0</v>
      </c>
      <c r="Q161" s="468">
        <f>IFERROR(CPQL!Q55/('3.Thanh pham'!L$97+'3.Thanh pham'!L$136+'3.Thanh pham'!L$155),0)</f>
        <v>0</v>
      </c>
      <c r="R161" s="468">
        <f>IFERROR(CPQL!R55/('3.Thanh pham'!M$97+'3.Thanh pham'!M$136+'3.Thanh pham'!M$155),0)</f>
        <v>0</v>
      </c>
      <c r="S161" s="468">
        <f>IFERROR(CPQL!S55/('3.Thanh pham'!N$97+'3.Thanh pham'!N$136+'3.Thanh pham'!N$155),0)</f>
        <v>0</v>
      </c>
      <c r="T161" s="468">
        <f>IFERROR(CPQL!T55/('3.Thanh pham'!O$97+'3.Thanh pham'!O$136+'3.Thanh pham'!O$155),0)</f>
        <v>0</v>
      </c>
      <c r="U161" s="468">
        <f>IFERROR(CPQL!U55/('3.Thanh pham'!P$97+'3.Thanh pham'!P$136+'3.Thanh pham'!P$155),0)</f>
        <v>0</v>
      </c>
      <c r="V161" s="468">
        <f>IFERROR(CPQL!V55/('3.Thanh pham'!Q$97+'3.Thanh pham'!Q$136+'3.Thanh pham'!Q$155),0)</f>
        <v>0</v>
      </c>
      <c r="W161" s="468">
        <f>IFERROR(CPQL!W55/('3.Thanh pham'!R$97+'3.Thanh pham'!R$136+'3.Thanh pham'!R$155),0)</f>
        <v>0</v>
      </c>
      <c r="X161" s="283"/>
      <c r="Y161" s="467">
        <f>IFERROR(CPQL!AK55/CP_Kg!$Y$1,0)</f>
        <v>0</v>
      </c>
      <c r="Z161" s="149">
        <f t="shared" si="11"/>
        <v>0</v>
      </c>
    </row>
    <row r="162" spans="2:26" x14ac:dyDescent="0.35">
      <c r="B162" s="385">
        <v>52</v>
      </c>
      <c r="C162" s="385"/>
      <c r="D162" s="368">
        <v>6428004701</v>
      </c>
      <c r="E162" s="369" t="s">
        <v>1023</v>
      </c>
      <c r="F162" s="369" t="s">
        <v>1024</v>
      </c>
      <c r="G162" s="370" t="s">
        <v>1023</v>
      </c>
      <c r="H162" s="369" t="s">
        <v>356</v>
      </c>
      <c r="I162" s="370" t="s">
        <v>726</v>
      </c>
      <c r="J162" s="468"/>
      <c r="K162" s="468">
        <f>IFERROR(CPQL!K56/('3.Thanh pham'!F$97+'3.Thanh pham'!F$136+'3.Thanh pham'!F$155),0)</f>
        <v>0</v>
      </c>
      <c r="L162" s="468">
        <f>IFERROR(CPQL!L56/('3.Thanh pham'!G$97+'3.Thanh pham'!G$136+'3.Thanh pham'!G$155),0)</f>
        <v>0</v>
      </c>
      <c r="M162" s="468">
        <f>IFERROR(CPQL!M56/('3.Thanh pham'!H$97+'3.Thanh pham'!H$136+'3.Thanh pham'!H$155),0)</f>
        <v>0</v>
      </c>
      <c r="N162" s="468">
        <f>IFERROR(CPQL!N56/('3.Thanh pham'!I$97+'3.Thanh pham'!I$136+'3.Thanh pham'!I$155),0)</f>
        <v>0</v>
      </c>
      <c r="O162" s="468">
        <f>IFERROR(CPQL!O56/('3.Thanh pham'!J$97+'3.Thanh pham'!J$136+'3.Thanh pham'!J$155),0)</f>
        <v>0</v>
      </c>
      <c r="P162" s="468">
        <f>IFERROR(CPQL!P56/('3.Thanh pham'!K$97+'3.Thanh pham'!K$136+'3.Thanh pham'!K$155),0)</f>
        <v>0</v>
      </c>
      <c r="Q162" s="468">
        <f>IFERROR(CPQL!Q56/('3.Thanh pham'!L$97+'3.Thanh pham'!L$136+'3.Thanh pham'!L$155),0)</f>
        <v>0</v>
      </c>
      <c r="R162" s="468">
        <f>IFERROR(CPQL!R56/('3.Thanh pham'!M$97+'3.Thanh pham'!M$136+'3.Thanh pham'!M$155),0)</f>
        <v>0</v>
      </c>
      <c r="S162" s="468">
        <f>IFERROR(CPQL!S56/('3.Thanh pham'!N$97+'3.Thanh pham'!N$136+'3.Thanh pham'!N$155),0)</f>
        <v>0</v>
      </c>
      <c r="T162" s="468">
        <f>IFERROR(CPQL!T56/('3.Thanh pham'!O$97+'3.Thanh pham'!O$136+'3.Thanh pham'!O$155),0)</f>
        <v>0</v>
      </c>
      <c r="U162" s="468">
        <f>IFERROR(CPQL!U56/('3.Thanh pham'!P$97+'3.Thanh pham'!P$136+'3.Thanh pham'!P$155),0)</f>
        <v>0</v>
      </c>
      <c r="V162" s="468">
        <f>IFERROR(CPQL!V56/('3.Thanh pham'!Q$97+'3.Thanh pham'!Q$136+'3.Thanh pham'!Q$155),0)</f>
        <v>0</v>
      </c>
      <c r="W162" s="468">
        <f>IFERROR(CPQL!W56/('3.Thanh pham'!R$97+'3.Thanh pham'!R$136+'3.Thanh pham'!R$155),0)</f>
        <v>0</v>
      </c>
      <c r="X162" s="283"/>
      <c r="Y162" s="467">
        <f>IFERROR(CPQL!AK56/CP_Kg!$Y$1,0)</f>
        <v>0</v>
      </c>
      <c r="Z162" s="149">
        <f t="shared" si="11"/>
        <v>0</v>
      </c>
    </row>
    <row r="163" spans="2:26" x14ac:dyDescent="0.35">
      <c r="B163" s="385">
        <v>53</v>
      </c>
      <c r="C163" s="385"/>
      <c r="D163" s="368">
        <v>6428004802</v>
      </c>
      <c r="E163" s="369" t="s">
        <v>1025</v>
      </c>
      <c r="F163" s="369" t="s">
        <v>755</v>
      </c>
      <c r="G163" s="370" t="s">
        <v>1025</v>
      </c>
      <c r="H163" s="370" t="s">
        <v>388</v>
      </c>
      <c r="I163" s="370" t="s">
        <v>726</v>
      </c>
      <c r="J163" s="468"/>
      <c r="K163" s="468">
        <f>IFERROR(CPQL!K57/('3.Thanh pham'!F$97+'3.Thanh pham'!F$136+'3.Thanh pham'!F$155),0)</f>
        <v>0</v>
      </c>
      <c r="L163" s="468">
        <f>IFERROR(CPQL!L57/('3.Thanh pham'!G$97+'3.Thanh pham'!G$136+'3.Thanh pham'!G$155),0)</f>
        <v>0</v>
      </c>
      <c r="M163" s="468">
        <f>IFERROR(CPQL!M57/('3.Thanh pham'!H$97+'3.Thanh pham'!H$136+'3.Thanh pham'!H$155),0)</f>
        <v>0</v>
      </c>
      <c r="N163" s="468">
        <f>IFERROR(CPQL!N57/('3.Thanh pham'!I$97+'3.Thanh pham'!I$136+'3.Thanh pham'!I$155),0)</f>
        <v>0</v>
      </c>
      <c r="O163" s="468">
        <f>IFERROR(CPQL!O57/('3.Thanh pham'!J$97+'3.Thanh pham'!J$136+'3.Thanh pham'!J$155),0)</f>
        <v>0</v>
      </c>
      <c r="P163" s="468">
        <f>IFERROR(CPQL!P57/('3.Thanh pham'!K$97+'3.Thanh pham'!K$136+'3.Thanh pham'!K$155),0)</f>
        <v>0</v>
      </c>
      <c r="Q163" s="468">
        <f>IFERROR(CPQL!Q57/('3.Thanh pham'!L$97+'3.Thanh pham'!L$136+'3.Thanh pham'!L$155),0)</f>
        <v>0</v>
      </c>
      <c r="R163" s="468">
        <f>IFERROR(CPQL!R57/('3.Thanh pham'!M$97+'3.Thanh pham'!M$136+'3.Thanh pham'!M$155),0)</f>
        <v>0</v>
      </c>
      <c r="S163" s="468">
        <f>IFERROR(CPQL!S57/('3.Thanh pham'!N$97+'3.Thanh pham'!N$136+'3.Thanh pham'!N$155),0)</f>
        <v>0</v>
      </c>
      <c r="T163" s="468">
        <f>IFERROR(CPQL!T57/('3.Thanh pham'!O$97+'3.Thanh pham'!O$136+'3.Thanh pham'!O$155),0)</f>
        <v>0</v>
      </c>
      <c r="U163" s="468">
        <f>IFERROR(CPQL!U57/('3.Thanh pham'!P$97+'3.Thanh pham'!P$136+'3.Thanh pham'!P$155),0)</f>
        <v>0</v>
      </c>
      <c r="V163" s="468">
        <f>IFERROR(CPQL!V57/('3.Thanh pham'!Q$97+'3.Thanh pham'!Q$136+'3.Thanh pham'!Q$155),0)</f>
        <v>0</v>
      </c>
      <c r="W163" s="468">
        <f>IFERROR(CPQL!W57/('3.Thanh pham'!R$97+'3.Thanh pham'!R$136+'3.Thanh pham'!R$155),0)</f>
        <v>0</v>
      </c>
      <c r="X163" s="283"/>
      <c r="Y163" s="467">
        <f>IFERROR(CPQL!AK57/CP_Kg!$Y$1,0)</f>
        <v>0</v>
      </c>
      <c r="Z163" s="149">
        <f t="shared" si="11"/>
        <v>0</v>
      </c>
    </row>
    <row r="164" spans="2:26" x14ac:dyDescent="0.35">
      <c r="B164" s="385">
        <v>54</v>
      </c>
      <c r="C164" s="385"/>
      <c r="D164" s="368">
        <v>6428005703</v>
      </c>
      <c r="E164" s="369" t="s">
        <v>1026</v>
      </c>
      <c r="F164" s="369" t="s">
        <v>1010</v>
      </c>
      <c r="G164" s="370" t="s">
        <v>1026</v>
      </c>
      <c r="H164" s="369" t="s">
        <v>359</v>
      </c>
      <c r="I164" s="370" t="s">
        <v>726</v>
      </c>
      <c r="J164" s="468"/>
      <c r="K164" s="468">
        <f>IFERROR(CPQL!K58/('3.Thanh pham'!F$97+'3.Thanh pham'!F$136+'3.Thanh pham'!F$155),0)</f>
        <v>0</v>
      </c>
      <c r="L164" s="468">
        <f>IFERROR(CPQL!L58/('3.Thanh pham'!G$97+'3.Thanh pham'!G$136+'3.Thanh pham'!G$155),0)</f>
        <v>0</v>
      </c>
      <c r="M164" s="468">
        <f>IFERROR(CPQL!M58/('3.Thanh pham'!H$97+'3.Thanh pham'!H$136+'3.Thanh pham'!H$155),0)</f>
        <v>0</v>
      </c>
      <c r="N164" s="468">
        <f>IFERROR(CPQL!N58/('3.Thanh pham'!I$97+'3.Thanh pham'!I$136+'3.Thanh pham'!I$155),0)</f>
        <v>0</v>
      </c>
      <c r="O164" s="468">
        <f>IFERROR(CPQL!O58/('3.Thanh pham'!J$97+'3.Thanh pham'!J$136+'3.Thanh pham'!J$155),0)</f>
        <v>0</v>
      </c>
      <c r="P164" s="468">
        <f>IFERROR(CPQL!P58/('3.Thanh pham'!K$97+'3.Thanh pham'!K$136+'3.Thanh pham'!K$155),0)</f>
        <v>0</v>
      </c>
      <c r="Q164" s="468">
        <f>IFERROR(CPQL!Q58/('3.Thanh pham'!L$97+'3.Thanh pham'!L$136+'3.Thanh pham'!L$155),0)</f>
        <v>0</v>
      </c>
      <c r="R164" s="468">
        <f>IFERROR(CPQL!R58/('3.Thanh pham'!M$97+'3.Thanh pham'!M$136+'3.Thanh pham'!M$155),0)</f>
        <v>0</v>
      </c>
      <c r="S164" s="468">
        <f>IFERROR(CPQL!S58/('3.Thanh pham'!N$97+'3.Thanh pham'!N$136+'3.Thanh pham'!N$155),0)</f>
        <v>0</v>
      </c>
      <c r="T164" s="468">
        <f>IFERROR(CPQL!T58/('3.Thanh pham'!O$97+'3.Thanh pham'!O$136+'3.Thanh pham'!O$155),0)</f>
        <v>0</v>
      </c>
      <c r="U164" s="468">
        <f>IFERROR(CPQL!U58/('3.Thanh pham'!P$97+'3.Thanh pham'!P$136+'3.Thanh pham'!P$155),0)</f>
        <v>0</v>
      </c>
      <c r="V164" s="468">
        <f>IFERROR(CPQL!V58/('3.Thanh pham'!Q$97+'3.Thanh pham'!Q$136+'3.Thanh pham'!Q$155),0)</f>
        <v>0</v>
      </c>
      <c r="W164" s="468">
        <f>IFERROR(CPQL!W58/('3.Thanh pham'!R$97+'3.Thanh pham'!R$136+'3.Thanh pham'!R$155),0)</f>
        <v>0</v>
      </c>
      <c r="X164" s="283"/>
      <c r="Y164" s="467">
        <f>IFERROR(CPQL!AK58/CP_Kg!$Y$1,0)</f>
        <v>0</v>
      </c>
      <c r="Z164" s="149">
        <f t="shared" si="11"/>
        <v>0</v>
      </c>
    </row>
    <row r="165" spans="2:26" x14ac:dyDescent="0.35">
      <c r="B165" s="385">
        <v>55</v>
      </c>
      <c r="C165" s="385"/>
      <c r="D165" s="368" t="s">
        <v>846</v>
      </c>
      <c r="E165" s="369" t="s">
        <v>734</v>
      </c>
      <c r="F165" s="369" t="s">
        <v>729</v>
      </c>
      <c r="G165" s="370" t="s">
        <v>734</v>
      </c>
      <c r="H165" s="369" t="s">
        <v>359</v>
      </c>
      <c r="I165" s="370" t="s">
        <v>726</v>
      </c>
      <c r="J165" s="468"/>
      <c r="K165" s="468">
        <f>IFERROR(CPQL!K59/('3.Thanh pham'!F$97+'3.Thanh pham'!F$136+'3.Thanh pham'!F$155),0)</f>
        <v>7.7995515257872672</v>
      </c>
      <c r="L165" s="468">
        <f>IFERROR(CPQL!L59/('3.Thanh pham'!G$97+'3.Thanh pham'!G$136+'3.Thanh pham'!G$155),0)</f>
        <v>6.685329879246229</v>
      </c>
      <c r="M165" s="468">
        <f>IFERROR(CPQL!M59/('3.Thanh pham'!H$97+'3.Thanh pham'!H$136+'3.Thanh pham'!H$155),0)</f>
        <v>17.548990933021351</v>
      </c>
      <c r="N165" s="468">
        <f>IFERROR(CPQL!N59/('3.Thanh pham'!I$97+'3.Thanh pham'!I$136+'3.Thanh pham'!I$155),0)</f>
        <v>4.2543008322476004</v>
      </c>
      <c r="O165" s="468">
        <f>IFERROR(CPQL!O59/('3.Thanh pham'!J$97+'3.Thanh pham'!J$136+'3.Thanh pham'!J$155),0)</f>
        <v>4.2595333681195227</v>
      </c>
      <c r="P165" s="468">
        <f>IFERROR(CPQL!P59/('3.Thanh pham'!K$97+'3.Thanh pham'!K$136+'3.Thanh pham'!K$155),0)</f>
        <v>4.4308074038791716</v>
      </c>
      <c r="Q165" s="468">
        <f>IFERROR(CPQL!Q59/('3.Thanh pham'!L$97+'3.Thanh pham'!L$136+'3.Thanh pham'!L$155),0)</f>
        <v>4.4308074038791716</v>
      </c>
      <c r="R165" s="468">
        <f>IFERROR(CPQL!R59/('3.Thanh pham'!M$97+'3.Thanh pham'!M$136+'3.Thanh pham'!M$155),0)</f>
        <v>6.092360180333861</v>
      </c>
      <c r="S165" s="468">
        <f>IFERROR(CPQL!S59/('3.Thanh pham'!N$97+'3.Thanh pham'!N$136+'3.Thanh pham'!N$155),0)</f>
        <v>4.4308074038791716</v>
      </c>
      <c r="T165" s="468">
        <f>IFERROR(CPQL!T59/('3.Thanh pham'!O$97+'3.Thanh pham'!O$136+'3.Thanh pham'!O$155),0)</f>
        <v>4.4308074038791716</v>
      </c>
      <c r="U165" s="468">
        <f>IFERROR(CPQL!U59/('3.Thanh pham'!P$97+'3.Thanh pham'!P$136+'3.Thanh pham'!P$155),0)</f>
        <v>4.4308074038791716</v>
      </c>
      <c r="V165" s="468">
        <f>IFERROR(CPQL!V59/('3.Thanh pham'!Q$97+'3.Thanh pham'!Q$136+'3.Thanh pham'!Q$155),0)</f>
        <v>4.4308074038791716</v>
      </c>
      <c r="W165" s="468">
        <f>IFERROR(CPQL!W59/('3.Thanh pham'!R$97+'3.Thanh pham'!R$136+'3.Thanh pham'!R$155),0)</f>
        <v>5.9974848947345443</v>
      </c>
      <c r="X165" s="283"/>
      <c r="Y165" s="467">
        <f>IFERROR(CPQL!AK59/CP_Kg!$Y$1,0)</f>
        <v>4.3330389192232879</v>
      </c>
      <c r="Z165" s="149">
        <f t="shared" si="11"/>
        <v>10.330523813957832</v>
      </c>
    </row>
    <row r="166" spans="2:26" x14ac:dyDescent="0.35">
      <c r="B166" s="385">
        <v>56</v>
      </c>
      <c r="C166" s="385"/>
      <c r="D166" s="368">
        <v>6423001908</v>
      </c>
      <c r="E166" s="369" t="s">
        <v>751</v>
      </c>
      <c r="F166" s="369" t="s">
        <v>725</v>
      </c>
      <c r="G166" s="370" t="s">
        <v>751</v>
      </c>
      <c r="H166" s="370" t="s">
        <v>369</v>
      </c>
      <c r="I166" s="370" t="s">
        <v>703</v>
      </c>
      <c r="J166" s="468"/>
      <c r="K166" s="468">
        <f>IFERROR(CPQL!K60/('3.Thanh pham'!F$97+'3.Thanh pham'!F$136+'3.Thanh pham'!F$155),0)</f>
        <v>2.581795991174952</v>
      </c>
      <c r="L166" s="468">
        <f>IFERROR(CPQL!L60/('3.Thanh pham'!G$97+'3.Thanh pham'!G$136+'3.Thanh pham'!G$155),0)</f>
        <v>4.0158405177416592</v>
      </c>
      <c r="M166" s="468">
        <f>IFERROR(CPQL!M60/('3.Thanh pham'!H$97+'3.Thanh pham'!H$136+'3.Thanh pham'!H$155),0)</f>
        <v>3.5179227194436322</v>
      </c>
      <c r="N166" s="468">
        <f>IFERROR(CPQL!N60/('3.Thanh pham'!I$97+'3.Thanh pham'!I$136+'3.Thanh pham'!I$155),0)</f>
        <v>3.5526366324845413</v>
      </c>
      <c r="O166" s="468">
        <f>IFERROR(CPQL!O60/('3.Thanh pham'!J$97+'3.Thanh pham'!J$136+'3.Thanh pham'!J$155),0)</f>
        <v>3.5570061633081433</v>
      </c>
      <c r="P166" s="468">
        <f>IFERROR(CPQL!P60/('3.Thanh pham'!K$97+'3.Thanh pham'!K$136+'3.Thanh pham'!K$155),0)</f>
        <v>4.2846522985428797</v>
      </c>
      <c r="Q166" s="468">
        <f>IFERROR(CPQL!Q60/('3.Thanh pham'!L$97+'3.Thanh pham'!L$136+'3.Thanh pham'!L$155),0)</f>
        <v>4.2846522985428797</v>
      </c>
      <c r="R166" s="468">
        <f>IFERROR(CPQL!R60/('3.Thanh pham'!M$97+'3.Thanh pham'!M$136+'3.Thanh pham'!M$155),0)</f>
        <v>4.2846522985428797</v>
      </c>
      <c r="S166" s="468">
        <f>IFERROR(CPQL!S60/('3.Thanh pham'!N$97+'3.Thanh pham'!N$136+'3.Thanh pham'!N$155),0)</f>
        <v>4.2846522985428797</v>
      </c>
      <c r="T166" s="468">
        <f>IFERROR(CPQL!T60/('3.Thanh pham'!O$97+'3.Thanh pham'!O$136+'3.Thanh pham'!O$155),0)</f>
        <v>4.2846522985428797</v>
      </c>
      <c r="U166" s="468">
        <f>IFERROR(CPQL!U60/('3.Thanh pham'!P$97+'3.Thanh pham'!P$136+'3.Thanh pham'!P$155),0)</f>
        <v>4.2846522985428797</v>
      </c>
      <c r="V166" s="468">
        <f>IFERROR(CPQL!V60/('3.Thanh pham'!Q$97+'3.Thanh pham'!Q$136+'3.Thanh pham'!Q$155),0)</f>
        <v>4.2846522985428797</v>
      </c>
      <c r="W166" s="468">
        <f>IFERROR(CPQL!W60/('3.Thanh pham'!R$97+'3.Thanh pham'!R$136+'3.Thanh pham'!R$155),0)</f>
        <v>3.9490106095774342</v>
      </c>
      <c r="X166" s="283"/>
      <c r="Y166" s="467">
        <f>IFERROR(CPQL!AK60/CP_Kg!$Y$1,0)</f>
        <v>0.12992801419796129</v>
      </c>
      <c r="Z166" s="149">
        <f t="shared" si="11"/>
        <v>4.0789386237753957</v>
      </c>
    </row>
    <row r="167" spans="2:26" x14ac:dyDescent="0.35">
      <c r="B167" s="385">
        <v>57</v>
      </c>
      <c r="C167" s="385"/>
      <c r="D167" s="368"/>
      <c r="E167" s="369" t="s">
        <v>756</v>
      </c>
      <c r="F167" s="369" t="s">
        <v>757</v>
      </c>
      <c r="G167" s="370" t="s">
        <v>756</v>
      </c>
      <c r="H167" s="370" t="s">
        <v>369</v>
      </c>
      <c r="I167" s="370" t="s">
        <v>703</v>
      </c>
      <c r="J167" s="469"/>
      <c r="K167" s="468">
        <f>IFERROR(CPQL!K61/('3.Thanh pham'!F$97+'3.Thanh pham'!F$136+'3.Thanh pham'!F$155),0)</f>
        <v>11.185293945598128</v>
      </c>
      <c r="L167" s="468">
        <f>IFERROR(CPQL!L61/('3.Thanh pham'!G$97+'3.Thanh pham'!G$136+'3.Thanh pham'!G$155),0)</f>
        <v>14.381092215769021</v>
      </c>
      <c r="M167" s="468">
        <f>IFERROR(CPQL!M61/('3.Thanh pham'!H$97+'3.Thanh pham'!H$136+'3.Thanh pham'!H$155),0)</f>
        <v>10.066764551038315</v>
      </c>
      <c r="N167" s="468">
        <f>IFERROR(CPQL!N61/('3.Thanh pham'!I$97+'3.Thanh pham'!I$136+'3.Thanh pham'!I$155),0)</f>
        <v>9.1516041373075598</v>
      </c>
      <c r="O167" s="468">
        <f>IFERROR(CPQL!O61/('3.Thanh pham'!J$97+'3.Thanh pham'!J$136+'3.Thanh pham'!J$155),0)</f>
        <v>9.1628600636800233</v>
      </c>
      <c r="P167" s="468">
        <f>IFERROR(CPQL!P61/('3.Thanh pham'!K$97+'3.Thanh pham'!K$136+'3.Thanh pham'!K$155),0)</f>
        <v>9.5312947926935987</v>
      </c>
      <c r="Q167" s="468">
        <f>IFERROR(CPQL!Q61/('3.Thanh pham'!L$97+'3.Thanh pham'!L$136+'3.Thanh pham'!L$155),0)</f>
        <v>9.5312947926935987</v>
      </c>
      <c r="R167" s="468">
        <f>IFERROR(CPQL!R61/('3.Thanh pham'!M$97+'3.Thanh pham'!M$136+'3.Thanh pham'!M$155),0)</f>
        <v>9.5312947926935987</v>
      </c>
      <c r="S167" s="468">
        <f>IFERROR(CPQL!S61/('3.Thanh pham'!N$97+'3.Thanh pham'!N$136+'3.Thanh pham'!N$155),0)</f>
        <v>9.5312947926935987</v>
      </c>
      <c r="T167" s="468">
        <f>IFERROR(CPQL!T61/('3.Thanh pham'!O$97+'3.Thanh pham'!O$136+'3.Thanh pham'!O$155),0)</f>
        <v>9.5312947926935987</v>
      </c>
      <c r="U167" s="468">
        <f>IFERROR(CPQL!U61/('3.Thanh pham'!P$97+'3.Thanh pham'!P$136+'3.Thanh pham'!P$155),0)</f>
        <v>9.5312947926935987</v>
      </c>
      <c r="V167" s="468">
        <f>IFERROR(CPQL!V61/('3.Thanh pham'!Q$97+'3.Thanh pham'!Q$136+'3.Thanh pham'!Q$155),0)</f>
        <v>9.5312947926935987</v>
      </c>
      <c r="W167" s="468">
        <f>IFERROR(CPQL!W61/('3.Thanh pham'!R$97+'3.Thanh pham'!R$136+'3.Thanh pham'!R$155),0)</f>
        <v>9.9083060367804165</v>
      </c>
      <c r="X167" s="283"/>
      <c r="Y167" s="467">
        <f>IFERROR(CPQL!AK61/CP_Kg!$Y$1,0)</f>
        <v>9.0604001060922048</v>
      </c>
      <c r="Z167" s="149">
        <f t="shared" si="11"/>
        <v>18.96870614287262</v>
      </c>
    </row>
    <row r="168" spans="2:26" x14ac:dyDescent="0.35">
      <c r="B168" s="388">
        <v>58</v>
      </c>
      <c r="C168" s="388"/>
      <c r="D168" s="373">
        <v>6427004904</v>
      </c>
      <c r="E168" s="450" t="s">
        <v>741</v>
      </c>
      <c r="F168" s="450"/>
      <c r="G168" s="451"/>
      <c r="H168" s="451"/>
      <c r="I168" s="451"/>
      <c r="J168" s="469"/>
      <c r="K168" s="468">
        <f>IFERROR(CPQL!K62/('3.Thanh pham'!F$97+'3.Thanh pham'!F$136+'3.Thanh pham'!F$155),0)</f>
        <v>53.869605502944289</v>
      </c>
      <c r="L168" s="468">
        <f>IFERROR(CPQL!L62/('3.Thanh pham'!G$97+'3.Thanh pham'!G$136+'3.Thanh pham'!G$155),0)</f>
        <v>69.260921360928378</v>
      </c>
      <c r="M168" s="468">
        <f>IFERROR(CPQL!M62/('3.Thanh pham'!H$97+'3.Thanh pham'!H$136+'3.Thanh pham'!H$155),0)</f>
        <v>48.482644952649864</v>
      </c>
      <c r="N168" s="468">
        <f>IFERROR(CPQL!N62/('3.Thanh pham'!I$97+'3.Thanh pham'!I$136+'3.Thanh pham'!I$155),0)</f>
        <v>43.32129838419258</v>
      </c>
      <c r="O168" s="468">
        <f>IFERROR(CPQL!O62/('3.Thanh pham'!J$97+'3.Thanh pham'!J$136+'3.Thanh pham'!J$155),0)</f>
        <v>43.374580993192701</v>
      </c>
      <c r="P168" s="468">
        <f>IFERROR(CPQL!P62/('3.Thanh pham'!K$97+'3.Thanh pham'!K$136+'3.Thanh pham'!K$155),0)</f>
        <v>45.118654555731212</v>
      </c>
      <c r="Q168" s="468">
        <f>IFERROR(CPQL!Q62/('3.Thanh pham'!L$97+'3.Thanh pham'!L$136+'3.Thanh pham'!L$155),0)</f>
        <v>45.118654555731212</v>
      </c>
      <c r="R168" s="468">
        <f>IFERROR(CPQL!R62/('3.Thanh pham'!M$97+'3.Thanh pham'!M$136+'3.Thanh pham'!M$155),0)</f>
        <v>45.118654555731212</v>
      </c>
      <c r="S168" s="468">
        <f>IFERROR(CPQL!S62/('3.Thanh pham'!N$97+'3.Thanh pham'!N$136+'3.Thanh pham'!N$155),0)</f>
        <v>45.118654555731212</v>
      </c>
      <c r="T168" s="468">
        <f>IFERROR(CPQL!T62/('3.Thanh pham'!O$97+'3.Thanh pham'!O$136+'3.Thanh pham'!O$155),0)</f>
        <v>45.118654555731212</v>
      </c>
      <c r="U168" s="468">
        <f>IFERROR(CPQL!U62/('3.Thanh pham'!P$97+'3.Thanh pham'!P$136+'3.Thanh pham'!P$155),0)</f>
        <v>45.118654555731212</v>
      </c>
      <c r="V168" s="468">
        <f>IFERROR(CPQL!V62/('3.Thanh pham'!Q$97+'3.Thanh pham'!Q$136+'3.Thanh pham'!Q$155),0)</f>
        <v>45.118654555731212</v>
      </c>
      <c r="W168" s="468">
        <f>IFERROR(CPQL!W62/('3.Thanh pham'!R$97+'3.Thanh pham'!R$136+'3.Thanh pham'!R$155),0)</f>
        <v>47.107368152907036</v>
      </c>
      <c r="X168" s="283"/>
      <c r="Y168" s="467">
        <f>IFERROR(CPQL!AK62/CP_Kg!$Y$1,0)</f>
        <v>39.399053009745444</v>
      </c>
      <c r="Z168" s="149">
        <f t="shared" si="11"/>
        <v>86.506421162652487</v>
      </c>
    </row>
    <row r="169" spans="2:26" x14ac:dyDescent="0.35">
      <c r="B169" s="388">
        <v>59</v>
      </c>
      <c r="C169" s="388"/>
      <c r="D169" s="373">
        <v>6421002901</v>
      </c>
      <c r="E169" s="450" t="s">
        <v>1027</v>
      </c>
      <c r="F169" s="450"/>
      <c r="G169" s="451"/>
      <c r="H169" s="451"/>
      <c r="I169" s="451"/>
      <c r="J169" s="469"/>
      <c r="K169" s="468">
        <f>IFERROR(CPQL!K63/('3.Thanh pham'!F$97+'3.Thanh pham'!F$136+'3.Thanh pham'!F$155),0)</f>
        <v>0</v>
      </c>
      <c r="L169" s="468">
        <f>IFERROR(CPQL!L63/('3.Thanh pham'!G$97+'3.Thanh pham'!G$136+'3.Thanh pham'!G$155),0)</f>
        <v>0</v>
      </c>
      <c r="M169" s="468">
        <f>IFERROR(CPQL!M63/('3.Thanh pham'!H$97+'3.Thanh pham'!H$136+'3.Thanh pham'!H$155),0)</f>
        <v>0</v>
      </c>
      <c r="N169" s="468">
        <f>IFERROR(CPQL!N63/('3.Thanh pham'!I$97+'3.Thanh pham'!I$136+'3.Thanh pham'!I$155),0)</f>
        <v>0</v>
      </c>
      <c r="O169" s="468">
        <f>IFERROR(CPQL!O63/('3.Thanh pham'!J$97+'3.Thanh pham'!J$136+'3.Thanh pham'!J$155),0)</f>
        <v>0</v>
      </c>
      <c r="P169" s="468">
        <f>IFERROR(CPQL!P63/('3.Thanh pham'!K$97+'3.Thanh pham'!K$136+'3.Thanh pham'!K$155),0)</f>
        <v>0</v>
      </c>
      <c r="Q169" s="468">
        <f>IFERROR(CPQL!Q63/('3.Thanh pham'!L$97+'3.Thanh pham'!L$136+'3.Thanh pham'!L$155),0)</f>
        <v>0</v>
      </c>
      <c r="R169" s="468">
        <f>IFERROR(CPQL!R63/('3.Thanh pham'!M$97+'3.Thanh pham'!M$136+'3.Thanh pham'!M$155),0)</f>
        <v>0</v>
      </c>
      <c r="S169" s="468">
        <f>IFERROR(CPQL!S63/('3.Thanh pham'!N$97+'3.Thanh pham'!N$136+'3.Thanh pham'!N$155),0)</f>
        <v>0</v>
      </c>
      <c r="T169" s="468">
        <f>IFERROR(CPQL!T63/('3.Thanh pham'!O$97+'3.Thanh pham'!O$136+'3.Thanh pham'!O$155),0)</f>
        <v>0</v>
      </c>
      <c r="U169" s="468">
        <f>IFERROR(CPQL!U63/('3.Thanh pham'!P$97+'3.Thanh pham'!P$136+'3.Thanh pham'!P$155),0)</f>
        <v>0</v>
      </c>
      <c r="V169" s="468">
        <f>IFERROR(CPQL!V63/('3.Thanh pham'!Q$97+'3.Thanh pham'!Q$136+'3.Thanh pham'!Q$155),0)</f>
        <v>0</v>
      </c>
      <c r="W169" s="468">
        <f>IFERROR(CPQL!W63/('3.Thanh pham'!R$97+'3.Thanh pham'!R$136+'3.Thanh pham'!R$155),0)</f>
        <v>0</v>
      </c>
      <c r="X169" s="283"/>
      <c r="Y169" s="467">
        <f>IFERROR(CPQL!AK63/CP_Kg!$Y$1,0)</f>
        <v>0</v>
      </c>
      <c r="Z169" s="149">
        <f t="shared" si="11"/>
        <v>0</v>
      </c>
    </row>
    <row r="170" spans="2:26" x14ac:dyDescent="0.35">
      <c r="B170" s="388"/>
      <c r="C170" s="388"/>
      <c r="D170" s="373"/>
      <c r="E170" s="450"/>
      <c r="F170" s="450"/>
      <c r="G170" s="451"/>
      <c r="H170" s="451"/>
      <c r="I170" s="451"/>
      <c r="J170" s="469"/>
      <c r="K170" s="468">
        <f>IFERROR(CPQL!K64/('3.Thanh pham'!F$97+'3.Thanh pham'!F$136+'3.Thanh pham'!F$155),0)</f>
        <v>0</v>
      </c>
      <c r="L170" s="468">
        <f>IFERROR(CPQL!L64/('3.Thanh pham'!G$97+'3.Thanh pham'!G$136+'3.Thanh pham'!G$155),0)</f>
        <v>0</v>
      </c>
      <c r="M170" s="468">
        <f>IFERROR(CPQL!M64/('3.Thanh pham'!H$97+'3.Thanh pham'!H$136+'3.Thanh pham'!H$155),0)</f>
        <v>0</v>
      </c>
      <c r="N170" s="468">
        <f>IFERROR(CPQL!N64/('3.Thanh pham'!I$97+'3.Thanh pham'!I$136+'3.Thanh pham'!I$155),0)</f>
        <v>0</v>
      </c>
      <c r="O170" s="468">
        <f>IFERROR(CPQL!O64/('3.Thanh pham'!J$97+'3.Thanh pham'!J$136+'3.Thanh pham'!J$155),0)</f>
        <v>0</v>
      </c>
      <c r="P170" s="468">
        <f>IFERROR(CPQL!P64/('3.Thanh pham'!K$97+'3.Thanh pham'!K$136+'3.Thanh pham'!K$155),0)</f>
        <v>0</v>
      </c>
      <c r="Q170" s="468">
        <f>IFERROR(CPQL!Q64/('3.Thanh pham'!L$97+'3.Thanh pham'!L$136+'3.Thanh pham'!L$155),0)</f>
        <v>0</v>
      </c>
      <c r="R170" s="468">
        <f>IFERROR(CPQL!R64/('3.Thanh pham'!M$97+'3.Thanh pham'!M$136+'3.Thanh pham'!M$155),0)</f>
        <v>0</v>
      </c>
      <c r="S170" s="468">
        <f>IFERROR(CPQL!S64/('3.Thanh pham'!N$97+'3.Thanh pham'!N$136+'3.Thanh pham'!N$155),0)</f>
        <v>0</v>
      </c>
      <c r="T170" s="468">
        <f>IFERROR(CPQL!T64/('3.Thanh pham'!O$97+'3.Thanh pham'!O$136+'3.Thanh pham'!O$155),0)</f>
        <v>0</v>
      </c>
      <c r="U170" s="468">
        <f>IFERROR(CPQL!U64/('3.Thanh pham'!P$97+'3.Thanh pham'!P$136+'3.Thanh pham'!P$155),0)</f>
        <v>0</v>
      </c>
      <c r="V170" s="468">
        <f>IFERROR(CPQL!V64/('3.Thanh pham'!Q$97+'3.Thanh pham'!Q$136+'3.Thanh pham'!Q$155),0)</f>
        <v>0</v>
      </c>
      <c r="W170" s="468">
        <f>IFERROR(CPQL!W64/('3.Thanh pham'!R$97+'3.Thanh pham'!R$136+'3.Thanh pham'!R$155),0)</f>
        <v>0</v>
      </c>
      <c r="X170" s="283"/>
      <c r="Y170" s="467">
        <f>IFERROR(CPQL!AK64/CP_Kg!$Y$1,0)</f>
        <v>0</v>
      </c>
      <c r="Z170" s="149">
        <f t="shared" si="11"/>
        <v>0</v>
      </c>
    </row>
    <row r="171" spans="2:26" x14ac:dyDescent="0.35">
      <c r="B171" s="183"/>
      <c r="C171" s="183"/>
      <c r="D171" s="449"/>
      <c r="E171" s="449" t="s">
        <v>1028</v>
      </c>
      <c r="F171" s="452"/>
      <c r="G171" s="453"/>
      <c r="H171" s="453"/>
      <c r="I171" s="454"/>
      <c r="J171" s="461"/>
      <c r="K171" s="461">
        <f>SUM(K111:K170)</f>
        <v>724.64375802028565</v>
      </c>
      <c r="L171" s="461">
        <f t="shared" ref="L171:W171" si="12">SUM(L111:L170)</f>
        <v>821.13546420042974</v>
      </c>
      <c r="M171" s="461">
        <f t="shared" si="12"/>
        <v>608.97398453862365</v>
      </c>
      <c r="N171" s="461">
        <f t="shared" si="12"/>
        <v>558.75173892295254</v>
      </c>
      <c r="O171" s="461">
        <f t="shared" si="12"/>
        <v>539.76529037114699</v>
      </c>
      <c r="P171" s="461">
        <f t="shared" si="12"/>
        <v>741.78838183953553</v>
      </c>
      <c r="Q171" s="461">
        <f t="shared" si="12"/>
        <v>547.68926224096663</v>
      </c>
      <c r="R171" s="461">
        <f t="shared" si="12"/>
        <v>581.33570574263376</v>
      </c>
      <c r="S171" s="461">
        <f t="shared" si="12"/>
        <v>557.73080272193079</v>
      </c>
      <c r="T171" s="461">
        <f t="shared" si="12"/>
        <v>537.2604496235042</v>
      </c>
      <c r="U171" s="461">
        <f t="shared" si="12"/>
        <v>554.47050755631096</v>
      </c>
      <c r="V171" s="461">
        <f t="shared" si="12"/>
        <v>548.00500471505575</v>
      </c>
      <c r="W171" s="461">
        <f t="shared" si="12"/>
        <v>602.07337377945419</v>
      </c>
      <c r="X171" s="1341">
        <f>W171/$W$172</f>
        <v>0.12784284120714923</v>
      </c>
      <c r="Y171" s="461">
        <f t="shared" ref="Y171" si="13">SUM(Y111:Y170)</f>
        <v>420.8227049523918</v>
      </c>
      <c r="Z171" s="149">
        <f t="shared" si="11"/>
        <v>1022.896078731846</v>
      </c>
    </row>
    <row r="172" spans="2:26" x14ac:dyDescent="0.35">
      <c r="B172" s="970" t="s">
        <v>1033</v>
      </c>
      <c r="C172" s="470"/>
      <c r="D172" s="471"/>
      <c r="E172" s="471" t="s">
        <v>1034</v>
      </c>
      <c r="F172" s="472"/>
      <c r="G172" s="455"/>
      <c r="H172" s="455"/>
      <c r="I172" s="456"/>
      <c r="J172" s="480"/>
      <c r="K172" s="480">
        <f t="shared" ref="K172:W172" si="14">K104+K109+K171</f>
        <v>5165.7754113243445</v>
      </c>
      <c r="L172" s="480">
        <f t="shared" si="14"/>
        <v>5802.4904852098007</v>
      </c>
      <c r="M172" s="480">
        <f t="shared" si="14"/>
        <v>4671.2923047182039</v>
      </c>
      <c r="N172" s="480">
        <f t="shared" si="14"/>
        <v>4457.1786277487981</v>
      </c>
      <c r="O172" s="480">
        <f t="shared" si="14"/>
        <v>4434.6809163313392</v>
      </c>
      <c r="P172" s="480">
        <f t="shared" si="14"/>
        <v>4757.1613666348758</v>
      </c>
      <c r="Q172" s="480">
        <f t="shared" si="14"/>
        <v>4571.8737505069766</v>
      </c>
      <c r="R172" s="480">
        <f t="shared" si="14"/>
        <v>4613.3886938915148</v>
      </c>
      <c r="S172" s="480">
        <f t="shared" si="14"/>
        <v>4611.05156760724</v>
      </c>
      <c r="T172" s="480">
        <f t="shared" si="14"/>
        <v>4586.8704557791261</v>
      </c>
      <c r="U172" s="480">
        <f t="shared" si="14"/>
        <v>4669.3363701657881</v>
      </c>
      <c r="V172" s="480">
        <f t="shared" si="14"/>
        <v>4641.2496624509004</v>
      </c>
      <c r="W172" s="480">
        <f t="shared" si="14"/>
        <v>4709.480547322074</v>
      </c>
      <c r="X172" s="1341">
        <f>W172/$W$172</f>
        <v>1</v>
      </c>
      <c r="Y172" s="480">
        <f>Y104+Y109+Y171</f>
        <v>3691.3186142589648</v>
      </c>
      <c r="Z172" s="149">
        <f t="shared" si="11"/>
        <v>8400.7991615810388</v>
      </c>
    </row>
    <row r="176" spans="2:26" ht="19" x14ac:dyDescent="0.4">
      <c r="E176" s="47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V142"/>
  <sheetViews>
    <sheetView workbookViewId="0"/>
  </sheetViews>
  <sheetFormatPr defaultRowHeight="14.5" x14ac:dyDescent="0.35"/>
  <sheetData>
    <row r="1" spans="1:46" x14ac:dyDescent="0.35">
      <c r="D1" s="221" t="s">
        <v>764</v>
      </c>
      <c r="E1" s="222"/>
      <c r="U1" s="220"/>
      <c r="AG1" s="220"/>
      <c r="AH1" s="220"/>
      <c r="AI1" s="220"/>
      <c r="AJ1" s="220"/>
      <c r="AK1" s="220"/>
      <c r="AL1" s="220"/>
      <c r="AM1" s="220"/>
      <c r="AN1" s="220"/>
    </row>
    <row r="2" spans="1:46" x14ac:dyDescent="0.35">
      <c r="D2" s="224" t="s">
        <v>765</v>
      </c>
      <c r="E2" s="222"/>
      <c r="U2" s="220"/>
      <c r="AG2" s="220"/>
      <c r="AH2" s="220"/>
      <c r="AI2" s="220"/>
      <c r="AJ2" s="220"/>
      <c r="AK2" s="220"/>
      <c r="AL2" s="220"/>
      <c r="AM2" s="220"/>
      <c r="AN2" s="220"/>
    </row>
    <row r="3" spans="1:46" x14ac:dyDescent="0.35">
      <c r="D3" s="225" t="s">
        <v>1035</v>
      </c>
      <c r="E3" s="222"/>
      <c r="U3" s="220"/>
      <c r="AG3" s="220"/>
      <c r="AH3" s="220"/>
      <c r="AI3" s="220"/>
      <c r="AJ3" s="220"/>
      <c r="AK3" s="220"/>
      <c r="AL3" s="220"/>
      <c r="AM3" s="220"/>
      <c r="AN3" s="220"/>
    </row>
    <row r="4" spans="1:46" x14ac:dyDescent="0.35">
      <c r="D4" s="226"/>
      <c r="E4" s="226"/>
      <c r="U4" s="220"/>
      <c r="AG4" s="220"/>
      <c r="AH4" s="220"/>
      <c r="AI4" s="220"/>
      <c r="AJ4" s="220"/>
      <c r="AK4" s="220"/>
      <c r="AL4" s="220"/>
      <c r="AM4" s="220"/>
      <c r="AN4" s="220"/>
    </row>
    <row r="5" spans="1:46" x14ac:dyDescent="0.35">
      <c r="L5" s="227" t="s">
        <v>767</v>
      </c>
      <c r="M5" s="228">
        <v>26500</v>
      </c>
      <c r="U5" s="220"/>
      <c r="AF5" s="1029">
        <f>AF8-AF6</f>
        <v>-271824497.94186723</v>
      </c>
      <c r="AG5" s="1029">
        <f t="shared" ref="AG5:AR5" si="0">AG8-AG6</f>
        <v>-271824497.94186723</v>
      </c>
      <c r="AH5" s="1029">
        <f t="shared" si="0"/>
        <v>-271824497.94186723</v>
      </c>
      <c r="AI5" s="1029">
        <f t="shared" si="0"/>
        <v>-271824497.94186723</v>
      </c>
      <c r="AJ5" s="1029">
        <f t="shared" si="0"/>
        <v>-271824497.94186723</v>
      </c>
      <c r="AK5" s="1029">
        <f t="shared" si="0"/>
        <v>-271824497.94186723</v>
      </c>
      <c r="AL5" s="1029">
        <f t="shared" si="0"/>
        <v>-271824497.94186723</v>
      </c>
      <c r="AM5" s="1029">
        <f t="shared" si="0"/>
        <v>-232365649.94186723</v>
      </c>
      <c r="AN5" s="1029">
        <f t="shared" si="0"/>
        <v>-232365649.94186723</v>
      </c>
      <c r="AO5" s="1029">
        <f t="shared" si="0"/>
        <v>-232365649.94186723</v>
      </c>
      <c r="AP5" s="1029">
        <f t="shared" si="0"/>
        <v>-232365649.94186723</v>
      </c>
      <c r="AQ5" s="1029">
        <f t="shared" si="0"/>
        <v>-232365649.94186723</v>
      </c>
      <c r="AR5" s="1029">
        <f t="shared" si="0"/>
        <v>-3064599735.3024073</v>
      </c>
    </row>
    <row r="6" spans="1:46" ht="39.5" x14ac:dyDescent="0.35">
      <c r="B6" s="230" t="s">
        <v>768</v>
      </c>
      <c r="C6" s="230"/>
      <c r="D6" s="230" t="s">
        <v>768</v>
      </c>
      <c r="E6" s="230"/>
      <c r="F6" s="230"/>
      <c r="G6" s="230"/>
      <c r="H6" s="230" t="s">
        <v>768</v>
      </c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 t="s">
        <v>768</v>
      </c>
      <c r="T6" s="230"/>
      <c r="U6" s="230"/>
      <c r="V6" s="230"/>
      <c r="W6" s="230"/>
      <c r="X6" s="510"/>
      <c r="Y6" s="231"/>
      <c r="Z6" s="510" t="s">
        <v>769</v>
      </c>
      <c r="AA6" s="510" t="s">
        <v>769</v>
      </c>
      <c r="AB6" s="510" t="s">
        <v>769</v>
      </c>
      <c r="AC6" s="232"/>
      <c r="AD6" s="232"/>
      <c r="AE6" s="232"/>
      <c r="AF6" s="229">
        <v>624238779</v>
      </c>
      <c r="AG6" s="229">
        <v>624238779</v>
      </c>
      <c r="AH6" s="229">
        <v>621675143</v>
      </c>
      <c r="AI6" s="229">
        <v>621675143</v>
      </c>
      <c r="AJ6" s="229">
        <v>621675143</v>
      </c>
      <c r="AK6" s="229">
        <v>621675143</v>
      </c>
      <c r="AL6" s="229">
        <v>621675143</v>
      </c>
      <c r="AM6" s="229">
        <v>582216295</v>
      </c>
      <c r="AN6" s="229">
        <v>582216295</v>
      </c>
      <c r="AO6" s="229">
        <v>582216295</v>
      </c>
      <c r="AP6" s="229">
        <v>582216295</v>
      </c>
      <c r="AQ6" s="229">
        <v>582216295</v>
      </c>
      <c r="AR6" s="233">
        <v>7267934748</v>
      </c>
      <c r="AS6" s="232"/>
      <c r="AT6" s="1265"/>
    </row>
    <row r="7" spans="1:46" ht="65" x14ac:dyDescent="0.35">
      <c r="A7" s="489" t="s">
        <v>36</v>
      </c>
      <c r="B7" s="489" t="s">
        <v>770</v>
      </c>
      <c r="C7" s="489" t="s">
        <v>771</v>
      </c>
      <c r="D7" s="495" t="s">
        <v>772</v>
      </c>
      <c r="E7" s="495" t="s">
        <v>773</v>
      </c>
      <c r="F7" s="496" t="s">
        <v>774</v>
      </c>
      <c r="G7" s="496" t="s">
        <v>775</v>
      </c>
      <c r="H7" s="489" t="s">
        <v>776</v>
      </c>
      <c r="I7" s="489" t="s">
        <v>777</v>
      </c>
      <c r="J7" s="489" t="s">
        <v>778</v>
      </c>
      <c r="K7" s="489" t="s">
        <v>779</v>
      </c>
      <c r="L7" s="489" t="s">
        <v>780</v>
      </c>
      <c r="M7" s="489" t="s">
        <v>781</v>
      </c>
      <c r="N7" s="489" t="s">
        <v>782</v>
      </c>
      <c r="O7" s="490" t="s">
        <v>783</v>
      </c>
      <c r="P7" s="490" t="s">
        <v>784</v>
      </c>
      <c r="Q7" s="490" t="s">
        <v>785</v>
      </c>
      <c r="R7" s="490" t="s">
        <v>786</v>
      </c>
      <c r="S7" s="490" t="s">
        <v>787</v>
      </c>
      <c r="T7" s="489" t="s">
        <v>788</v>
      </c>
      <c r="U7" s="489" t="s">
        <v>789</v>
      </c>
      <c r="V7" s="489" t="s">
        <v>790</v>
      </c>
      <c r="W7" s="489" t="s">
        <v>791</v>
      </c>
      <c r="X7" s="489" t="s">
        <v>792</v>
      </c>
      <c r="Y7" s="491" t="s">
        <v>793</v>
      </c>
      <c r="Z7" s="492" t="s">
        <v>482</v>
      </c>
      <c r="AA7" s="492" t="s">
        <v>483</v>
      </c>
      <c r="AB7" s="1218" t="s">
        <v>484</v>
      </c>
      <c r="AC7" s="494" t="s">
        <v>794</v>
      </c>
      <c r="AD7" s="494" t="s">
        <v>795</v>
      </c>
      <c r="AE7" s="494" t="s">
        <v>796</v>
      </c>
      <c r="AF7" s="359" t="s">
        <v>149</v>
      </c>
      <c r="AG7" s="359" t="s">
        <v>150</v>
      </c>
      <c r="AH7" s="359" t="s">
        <v>151</v>
      </c>
      <c r="AI7" s="359" t="s">
        <v>152</v>
      </c>
      <c r="AJ7" s="359" t="s">
        <v>153</v>
      </c>
      <c r="AK7" s="359" t="s">
        <v>154</v>
      </c>
      <c r="AL7" s="359" t="s">
        <v>155</v>
      </c>
      <c r="AM7" s="359" t="s">
        <v>156</v>
      </c>
      <c r="AN7" s="359" t="s">
        <v>157</v>
      </c>
      <c r="AO7" s="359" t="s">
        <v>158</v>
      </c>
      <c r="AP7" s="359" t="s">
        <v>159</v>
      </c>
      <c r="AQ7" s="359" t="s">
        <v>160</v>
      </c>
      <c r="AR7" s="493" t="s">
        <v>2147</v>
      </c>
      <c r="AS7" s="494" t="s">
        <v>797</v>
      </c>
    </row>
    <row r="8" spans="1:46" x14ac:dyDescent="0.35">
      <c r="A8" s="63" t="s">
        <v>1036</v>
      </c>
      <c r="B8" s="497"/>
      <c r="C8" s="497"/>
      <c r="D8" s="497"/>
      <c r="E8" s="497"/>
      <c r="F8" s="497"/>
      <c r="G8" s="497"/>
      <c r="H8" s="497"/>
      <c r="I8" s="497"/>
      <c r="J8" s="497"/>
      <c r="K8" s="497"/>
      <c r="L8" s="497"/>
      <c r="M8" s="497"/>
      <c r="N8" s="504"/>
      <c r="O8" s="497"/>
      <c r="P8" s="498"/>
      <c r="Q8" s="499"/>
      <c r="R8" s="499"/>
      <c r="S8" s="499"/>
      <c r="T8" s="498"/>
      <c r="U8" s="499"/>
      <c r="V8" s="499"/>
      <c r="W8" s="499"/>
      <c r="X8" s="805"/>
      <c r="Y8" s="500"/>
      <c r="Z8" s="501"/>
      <c r="AA8" s="1204"/>
      <c r="AB8" s="502"/>
      <c r="AC8" s="207">
        <f t="shared" ref="AC8:AQ8" si="1">SUM(AC9,AC16,AC24,AC27,AC30,AC38,AC42,AC45,AC46,AC47,AC50,AC55,AC59,AC61,AC72)</f>
        <v>35916388860</v>
      </c>
      <c r="AD8" s="207">
        <f t="shared" si="1"/>
        <v>17576005191</v>
      </c>
      <c r="AE8" s="207">
        <f t="shared" si="1"/>
        <v>18340383669</v>
      </c>
      <c r="AF8" s="207">
        <f>SUM(AF9,AF16,AF24,AF27,AF30,AF38,AF42,AF45,AF46,AF47,AF50,AF55,AF59,AF61,AF72)</f>
        <v>352414281.05813277</v>
      </c>
      <c r="AG8" s="207">
        <f t="shared" si="1"/>
        <v>352414281.05813277</v>
      </c>
      <c r="AH8" s="207">
        <f t="shared" si="1"/>
        <v>349850645.05813277</v>
      </c>
      <c r="AI8" s="207">
        <f t="shared" si="1"/>
        <v>349850645.05813277</v>
      </c>
      <c r="AJ8" s="207">
        <f t="shared" si="1"/>
        <v>349850645.05813277</v>
      </c>
      <c r="AK8" s="207">
        <f t="shared" si="1"/>
        <v>349850645.05813277</v>
      </c>
      <c r="AL8" s="207">
        <f t="shared" si="1"/>
        <v>349850645.05813277</v>
      </c>
      <c r="AM8" s="207">
        <f t="shared" si="1"/>
        <v>349850645.05813277</v>
      </c>
      <c r="AN8" s="207">
        <f t="shared" si="1"/>
        <v>349850645.05813277</v>
      </c>
      <c r="AO8" s="207">
        <f t="shared" si="1"/>
        <v>349850645.05813277</v>
      </c>
      <c r="AP8" s="207">
        <f t="shared" si="1"/>
        <v>349850645.05813277</v>
      </c>
      <c r="AQ8" s="207">
        <f t="shared" si="1"/>
        <v>349850645.05813277</v>
      </c>
      <c r="AR8" s="207">
        <f>SUM(AR9,AR16,AR24,AR27,AR30,AR38,AR42,AR45,AR46,AR47,AR50,AR55,AR59,AR61,AR72)</f>
        <v>4203335012.6975927</v>
      </c>
      <c r="AS8" s="207">
        <f>SUM(AS9,AS16,AS24,AS27,AS30,AS38,AS42,AS45,AS46,AS47,AS50,AS55,AS59)</f>
        <v>7804522358.9697046</v>
      </c>
      <c r="AT8" s="1265"/>
    </row>
    <row r="9" spans="1:46" ht="75" x14ac:dyDescent="0.35">
      <c r="A9" s="237" t="s">
        <v>164</v>
      </c>
      <c r="B9" s="484"/>
      <c r="C9" s="484"/>
      <c r="D9" s="484"/>
      <c r="E9" s="484"/>
      <c r="F9" s="484"/>
      <c r="G9" s="484"/>
      <c r="H9" s="484"/>
      <c r="I9" s="989"/>
      <c r="J9" s="484"/>
      <c r="K9" s="484"/>
      <c r="L9" s="484"/>
      <c r="M9" s="484"/>
      <c r="N9" s="484"/>
      <c r="O9" s="484"/>
      <c r="P9" s="485"/>
      <c r="Q9" s="486"/>
      <c r="R9" s="486"/>
      <c r="S9" s="485" t="s">
        <v>1037</v>
      </c>
      <c r="T9" s="485"/>
      <c r="U9" s="486"/>
      <c r="V9" s="486"/>
      <c r="W9" s="486"/>
      <c r="X9" s="806" t="s">
        <v>1037</v>
      </c>
      <c r="Y9" s="235">
        <v>627</v>
      </c>
      <c r="Z9" s="488">
        <v>6274001903</v>
      </c>
      <c r="AA9" s="1205" t="s">
        <v>896</v>
      </c>
      <c r="AB9" s="1205" t="s">
        <v>1038</v>
      </c>
      <c r="AC9" s="356">
        <f>SUM(AC10:AC15)</f>
        <v>2903971700</v>
      </c>
      <c r="AD9" s="202">
        <f>AC9-AE9</f>
        <v>1880693019</v>
      </c>
      <c r="AE9" s="356">
        <f>SUM(AE10:AE15)</f>
        <v>1023278681</v>
      </c>
      <c r="AF9" s="863">
        <f>SUM(AF10:AF15)</f>
        <v>11142052.008421317</v>
      </c>
      <c r="AG9" s="863">
        <f t="shared" ref="AG9:AQ9" si="2">SUM(AG10:AG15)</f>
        <v>11142052.008421317</v>
      </c>
      <c r="AH9" s="863">
        <f t="shared" si="2"/>
        <v>11142052.008421317</v>
      </c>
      <c r="AI9" s="863">
        <f t="shared" si="2"/>
        <v>11142052.008421317</v>
      </c>
      <c r="AJ9" s="863">
        <f t="shared" si="2"/>
        <v>11142052.008421317</v>
      </c>
      <c r="AK9" s="863">
        <f t="shared" si="2"/>
        <v>11142052.008421317</v>
      </c>
      <c r="AL9" s="863">
        <f t="shared" si="2"/>
        <v>11142052.008421317</v>
      </c>
      <c r="AM9" s="863">
        <f t="shared" si="2"/>
        <v>11142052.008421317</v>
      </c>
      <c r="AN9" s="863">
        <f t="shared" si="2"/>
        <v>11142052.008421317</v>
      </c>
      <c r="AO9" s="863">
        <f t="shared" si="2"/>
        <v>11142052.008421317</v>
      </c>
      <c r="AP9" s="863">
        <f t="shared" si="2"/>
        <v>11142052.008421317</v>
      </c>
      <c r="AQ9" s="863">
        <f t="shared" si="2"/>
        <v>11142052.008421317</v>
      </c>
      <c r="AR9" s="810">
        <f t="shared" ref="AR9:AR128" si="3">SUM(AF9:AQ9)</f>
        <v>133704624.1010558</v>
      </c>
      <c r="AS9" s="810">
        <f>AE9-AR9</f>
        <v>889574056.89894414</v>
      </c>
    </row>
    <row r="10" spans="1:46" ht="76" x14ac:dyDescent="0.35">
      <c r="A10" s="826"/>
      <c r="B10" s="826"/>
      <c r="C10" s="826"/>
      <c r="D10" s="827"/>
      <c r="E10" s="827"/>
      <c r="F10" s="826"/>
      <c r="G10" s="828"/>
      <c r="H10" s="826" t="s">
        <v>799</v>
      </c>
      <c r="I10" s="990" t="s">
        <v>1039</v>
      </c>
      <c r="J10" s="826"/>
      <c r="K10" s="826"/>
      <c r="L10" s="826"/>
      <c r="M10" s="826"/>
      <c r="N10" s="829"/>
      <c r="O10" s="830"/>
      <c r="P10" s="831" t="s">
        <v>1041</v>
      </c>
      <c r="Q10" s="831"/>
      <c r="R10" s="831" t="s">
        <v>857</v>
      </c>
      <c r="S10" s="831" t="s">
        <v>1042</v>
      </c>
      <c r="T10" s="832"/>
      <c r="U10" s="833"/>
      <c r="V10" s="833"/>
      <c r="W10" s="834">
        <v>44571</v>
      </c>
      <c r="X10" s="841" t="s">
        <v>1043</v>
      </c>
      <c r="Y10" s="487"/>
      <c r="Z10" s="835" t="s">
        <v>895</v>
      </c>
      <c r="AA10" s="1206" t="s">
        <v>896</v>
      </c>
      <c r="AB10" s="1206" t="s">
        <v>1038</v>
      </c>
      <c r="AC10" s="836">
        <v>847880000</v>
      </c>
      <c r="AD10" s="836">
        <v>593515999</v>
      </c>
      <c r="AE10" s="836">
        <v>254364001</v>
      </c>
      <c r="AF10" s="1263">
        <v>2493764.7156862747</v>
      </c>
      <c r="AG10" s="1263">
        <v>2493764.7156862747</v>
      </c>
      <c r="AH10" s="1263">
        <v>2493764.7156862747</v>
      </c>
      <c r="AI10" s="1263">
        <v>2493764.7156862747</v>
      </c>
      <c r="AJ10" s="1263">
        <v>2493764.7156862747</v>
      </c>
      <c r="AK10" s="1263">
        <v>2493764.7156862747</v>
      </c>
      <c r="AL10" s="1263">
        <v>2493764.7156862747</v>
      </c>
      <c r="AM10" s="1263">
        <v>2493764.7156862747</v>
      </c>
      <c r="AN10" s="1263">
        <v>2493764.7156862747</v>
      </c>
      <c r="AO10" s="1263">
        <v>2493764.7156862747</v>
      </c>
      <c r="AP10" s="1263">
        <v>2493764.7156862747</v>
      </c>
      <c r="AQ10" s="1263">
        <v>2493764.7156862747</v>
      </c>
      <c r="AR10" s="999">
        <f t="shared" ref="AR10:AR15" si="4">SUM(AF10:AQ10)</f>
        <v>29925176.588235304</v>
      </c>
      <c r="AS10" s="999">
        <f t="shared" ref="AS10:AS14" si="5">AE10-AR10</f>
        <v>224438824.41176468</v>
      </c>
      <c r="AT10" s="1264" t="s">
        <v>2218</v>
      </c>
    </row>
    <row r="11" spans="1:46" ht="76" x14ac:dyDescent="0.35">
      <c r="A11" s="826"/>
      <c r="B11" s="826"/>
      <c r="C11" s="826"/>
      <c r="D11" s="827"/>
      <c r="E11" s="827"/>
      <c r="F11" s="826"/>
      <c r="G11" s="828"/>
      <c r="H11" s="826" t="s">
        <v>799</v>
      </c>
      <c r="I11" s="990" t="s">
        <v>1044</v>
      </c>
      <c r="J11" s="826"/>
      <c r="K11" s="826"/>
      <c r="L11" s="826"/>
      <c r="M11" s="826"/>
      <c r="N11" s="829"/>
      <c r="O11" s="830"/>
      <c r="P11" s="831" t="s">
        <v>1041</v>
      </c>
      <c r="Q11" s="831"/>
      <c r="R11" s="831" t="s">
        <v>857</v>
      </c>
      <c r="S11" s="831" t="s">
        <v>1042</v>
      </c>
      <c r="T11" s="832"/>
      <c r="U11" s="833"/>
      <c r="V11" s="833"/>
      <c r="W11" s="834">
        <v>44629</v>
      </c>
      <c r="X11" s="841" t="s">
        <v>1045</v>
      </c>
      <c r="Y11" s="487"/>
      <c r="Z11" s="835" t="s">
        <v>895</v>
      </c>
      <c r="AA11" s="1206" t="s">
        <v>896</v>
      </c>
      <c r="AB11" s="1206" t="s">
        <v>1038</v>
      </c>
      <c r="AC11" s="836">
        <v>1177830000</v>
      </c>
      <c r="AD11" s="836">
        <v>785220000</v>
      </c>
      <c r="AE11" s="836">
        <v>392610000</v>
      </c>
      <c r="AF11" s="1263">
        <v>3775096.153846154</v>
      </c>
      <c r="AG11" s="1263">
        <v>3775096.153846154</v>
      </c>
      <c r="AH11" s="1263">
        <v>3775096.153846154</v>
      </c>
      <c r="AI11" s="1263">
        <v>3775096.153846154</v>
      </c>
      <c r="AJ11" s="1263">
        <v>3775096.153846154</v>
      </c>
      <c r="AK11" s="1263">
        <v>3775096.153846154</v>
      </c>
      <c r="AL11" s="1263">
        <v>3775096.153846154</v>
      </c>
      <c r="AM11" s="1263">
        <v>3775096.153846154</v>
      </c>
      <c r="AN11" s="1263">
        <v>3775096.153846154</v>
      </c>
      <c r="AO11" s="1263">
        <v>3775096.153846154</v>
      </c>
      <c r="AP11" s="1263">
        <v>3775096.153846154</v>
      </c>
      <c r="AQ11" s="1263">
        <v>3775096.153846154</v>
      </c>
      <c r="AR11" s="999">
        <f t="shared" si="4"/>
        <v>45301153.846153833</v>
      </c>
      <c r="AS11" s="999">
        <f t="shared" si="5"/>
        <v>347308846.15384614</v>
      </c>
      <c r="AT11" s="1264" t="s">
        <v>2219</v>
      </c>
    </row>
    <row r="12" spans="1:46" ht="87.5" x14ac:dyDescent="0.35">
      <c r="A12" s="826"/>
      <c r="B12" s="826"/>
      <c r="C12" s="826"/>
      <c r="D12" s="827"/>
      <c r="E12" s="827"/>
      <c r="F12" s="826"/>
      <c r="G12" s="828"/>
      <c r="H12" s="826" t="s">
        <v>799</v>
      </c>
      <c r="I12" s="990" t="s">
        <v>1044</v>
      </c>
      <c r="J12" s="826"/>
      <c r="K12" s="826"/>
      <c r="L12" s="826"/>
      <c r="M12" s="826"/>
      <c r="N12" s="829"/>
      <c r="O12" s="830"/>
      <c r="P12" s="831" t="s">
        <v>1041</v>
      </c>
      <c r="Q12" s="831"/>
      <c r="R12" s="831" t="s">
        <v>857</v>
      </c>
      <c r="S12" s="831" t="s">
        <v>1042</v>
      </c>
      <c r="T12" s="832"/>
      <c r="U12" s="833"/>
      <c r="V12" s="833"/>
      <c r="W12" s="834">
        <v>44698</v>
      </c>
      <c r="X12" s="841" t="s">
        <v>1046</v>
      </c>
      <c r="Y12" s="487"/>
      <c r="Z12" s="835" t="s">
        <v>895</v>
      </c>
      <c r="AA12" s="1206" t="s">
        <v>896</v>
      </c>
      <c r="AB12" s="1206" t="s">
        <v>1038</v>
      </c>
      <c r="AC12" s="836">
        <v>753261700</v>
      </c>
      <c r="AD12" s="836">
        <v>451957021</v>
      </c>
      <c r="AE12" s="836">
        <v>301304679</v>
      </c>
      <c r="AF12" s="1263">
        <v>2789858.138888889</v>
      </c>
      <c r="AG12" s="1263">
        <v>2789858.138888889</v>
      </c>
      <c r="AH12" s="1263">
        <v>2789858.138888889</v>
      </c>
      <c r="AI12" s="1263">
        <v>2789858.138888889</v>
      </c>
      <c r="AJ12" s="1263">
        <v>2789858.138888889</v>
      </c>
      <c r="AK12" s="1263">
        <v>2789858.138888889</v>
      </c>
      <c r="AL12" s="1263">
        <v>2789858.138888889</v>
      </c>
      <c r="AM12" s="1263">
        <v>2789858.138888889</v>
      </c>
      <c r="AN12" s="1263">
        <v>2789858.138888889</v>
      </c>
      <c r="AO12" s="1263">
        <v>2789858.138888889</v>
      </c>
      <c r="AP12" s="1263">
        <v>2789858.138888889</v>
      </c>
      <c r="AQ12" s="1263">
        <v>2789858.138888889</v>
      </c>
      <c r="AR12" s="999">
        <f t="shared" si="4"/>
        <v>33478297.66666666</v>
      </c>
      <c r="AS12" s="999">
        <f t="shared" si="5"/>
        <v>267826381.33333334</v>
      </c>
      <c r="AT12" s="1264" t="s">
        <v>2220</v>
      </c>
    </row>
    <row r="13" spans="1:46" ht="76" x14ac:dyDescent="0.35">
      <c r="A13" s="826"/>
      <c r="B13" s="826"/>
      <c r="C13" s="826"/>
      <c r="D13" s="827"/>
      <c r="E13" s="827"/>
      <c r="F13" s="826"/>
      <c r="G13" s="828"/>
      <c r="H13" s="826" t="s">
        <v>799</v>
      </c>
      <c r="I13" s="990" t="s">
        <v>1047</v>
      </c>
      <c r="J13" s="826"/>
      <c r="K13" s="826"/>
      <c r="L13" s="826"/>
      <c r="M13" s="826"/>
      <c r="N13" s="829"/>
      <c r="O13" s="830"/>
      <c r="P13" s="831" t="s">
        <v>1041</v>
      </c>
      <c r="Q13" s="831"/>
      <c r="R13" s="831" t="s">
        <v>857</v>
      </c>
      <c r="S13" s="831" t="s">
        <v>1042</v>
      </c>
      <c r="T13" s="832"/>
      <c r="U13" s="833"/>
      <c r="V13" s="833"/>
      <c r="W13" s="834"/>
      <c r="X13" s="841" t="s">
        <v>1048</v>
      </c>
      <c r="Y13" s="487"/>
      <c r="Z13" s="835" t="s">
        <v>895</v>
      </c>
      <c r="AA13" s="1206" t="s">
        <v>896</v>
      </c>
      <c r="AB13" s="1206" t="s">
        <v>1038</v>
      </c>
      <c r="AC13" s="836">
        <v>125000000</v>
      </c>
      <c r="AD13" s="836">
        <v>49999999</v>
      </c>
      <c r="AE13" s="836">
        <v>75000001</v>
      </c>
      <c r="AF13" s="1263">
        <v>2083333</v>
      </c>
      <c r="AG13" s="1263">
        <v>2083333</v>
      </c>
      <c r="AH13" s="1263">
        <v>2083333</v>
      </c>
      <c r="AI13" s="1263">
        <v>2083333</v>
      </c>
      <c r="AJ13" s="1263">
        <v>2083333</v>
      </c>
      <c r="AK13" s="1263">
        <v>2083333</v>
      </c>
      <c r="AL13" s="1263">
        <v>2083333</v>
      </c>
      <c r="AM13" s="1263">
        <v>2083333</v>
      </c>
      <c r="AN13" s="1263">
        <v>2083333</v>
      </c>
      <c r="AO13" s="1263">
        <v>2083333</v>
      </c>
      <c r="AP13" s="1263">
        <v>2083333</v>
      </c>
      <c r="AQ13" s="1263">
        <v>2083333</v>
      </c>
      <c r="AR13" s="999">
        <f t="shared" si="4"/>
        <v>24999996</v>
      </c>
      <c r="AS13" s="999">
        <f t="shared" si="5"/>
        <v>50000005</v>
      </c>
      <c r="AT13" s="1264" t="s">
        <v>2221</v>
      </c>
    </row>
    <row r="14" spans="1:46" x14ac:dyDescent="0.35">
      <c r="A14" s="826"/>
      <c r="B14" s="826"/>
      <c r="C14" s="826"/>
      <c r="D14" s="827"/>
      <c r="E14" s="827"/>
      <c r="F14" s="826"/>
      <c r="G14" s="828"/>
      <c r="H14" s="826"/>
      <c r="I14" s="990"/>
      <c r="J14" s="826"/>
      <c r="K14" s="826"/>
      <c r="L14" s="826"/>
      <c r="M14" s="826"/>
      <c r="N14" s="829"/>
      <c r="O14" s="830"/>
      <c r="P14" s="831"/>
      <c r="Q14" s="831"/>
      <c r="R14" s="831"/>
      <c r="S14" s="831"/>
      <c r="T14" s="832"/>
      <c r="U14" s="833"/>
      <c r="V14" s="833"/>
      <c r="W14" s="834"/>
      <c r="X14" s="841"/>
      <c r="Y14" s="839"/>
      <c r="Z14" s="835"/>
      <c r="AA14" s="1206"/>
      <c r="AB14" s="1206"/>
      <c r="AC14" s="840"/>
      <c r="AD14" s="813">
        <f t="shared" ref="AD14:AD15" si="6">AC14-AE14</f>
        <v>0</v>
      </c>
      <c r="AE14" s="813"/>
      <c r="AF14" s="833"/>
      <c r="AG14" s="833"/>
      <c r="AH14" s="833"/>
      <c r="AI14" s="833"/>
      <c r="AJ14" s="833"/>
      <c r="AK14" s="833"/>
      <c r="AL14" s="833"/>
      <c r="AM14" s="833"/>
      <c r="AN14" s="833"/>
      <c r="AO14" s="833"/>
      <c r="AP14" s="833"/>
      <c r="AQ14" s="833"/>
      <c r="AR14" s="999">
        <f t="shared" si="4"/>
        <v>0</v>
      </c>
      <c r="AS14" s="999">
        <f t="shared" si="5"/>
        <v>0</v>
      </c>
      <c r="AT14" s="1264" t="e">
        <v>#N/A</v>
      </c>
    </row>
    <row r="15" spans="1:46" x14ac:dyDescent="0.35">
      <c r="A15" s="826"/>
      <c r="B15" s="826"/>
      <c r="C15" s="826"/>
      <c r="D15" s="827"/>
      <c r="E15" s="827"/>
      <c r="F15" s="826"/>
      <c r="G15" s="828"/>
      <c r="H15" s="826"/>
      <c r="I15" s="990"/>
      <c r="J15" s="826"/>
      <c r="K15" s="826"/>
      <c r="L15" s="826"/>
      <c r="M15" s="826"/>
      <c r="N15" s="829"/>
      <c r="O15" s="830"/>
      <c r="P15" s="831"/>
      <c r="Q15" s="831"/>
      <c r="R15" s="831"/>
      <c r="S15" s="831"/>
      <c r="T15" s="832"/>
      <c r="U15" s="833"/>
      <c r="V15" s="833"/>
      <c r="W15" s="834"/>
      <c r="X15" s="841"/>
      <c r="Y15" s="839"/>
      <c r="Z15" s="835"/>
      <c r="AA15" s="1206"/>
      <c r="AB15" s="1206"/>
      <c r="AC15" s="840"/>
      <c r="AD15" s="813">
        <f t="shared" si="6"/>
        <v>0</v>
      </c>
      <c r="AE15" s="813"/>
      <c r="AF15" s="833"/>
      <c r="AG15" s="833"/>
      <c r="AH15" s="833"/>
      <c r="AI15" s="833"/>
      <c r="AJ15" s="833"/>
      <c r="AK15" s="833"/>
      <c r="AL15" s="833"/>
      <c r="AM15" s="833"/>
      <c r="AN15" s="833"/>
      <c r="AO15" s="833"/>
      <c r="AP15" s="833"/>
      <c r="AQ15" s="833"/>
      <c r="AR15" s="999">
        <f t="shared" si="4"/>
        <v>0</v>
      </c>
      <c r="AS15" s="999"/>
      <c r="AT15" s="1264" t="e">
        <v>#N/A</v>
      </c>
    </row>
    <row r="16" spans="1:46" ht="75" x14ac:dyDescent="0.35">
      <c r="A16" s="237" t="s">
        <v>166</v>
      </c>
      <c r="B16" s="237"/>
      <c r="C16" s="237"/>
      <c r="D16" s="237"/>
      <c r="E16" s="237"/>
      <c r="F16" s="237"/>
      <c r="G16" s="237"/>
      <c r="H16" s="237"/>
      <c r="I16" s="991"/>
      <c r="J16" s="237"/>
      <c r="K16" s="237"/>
      <c r="L16" s="237"/>
      <c r="M16" s="237"/>
      <c r="N16" s="484"/>
      <c r="O16" s="237"/>
      <c r="P16" s="482"/>
      <c r="Q16" s="234"/>
      <c r="R16" s="234"/>
      <c r="S16" s="485" t="s">
        <v>1049</v>
      </c>
      <c r="T16" s="482"/>
      <c r="U16" s="234"/>
      <c r="V16" s="234"/>
      <c r="W16" s="234"/>
      <c r="X16" s="806" t="s">
        <v>1049</v>
      </c>
      <c r="Y16" s="1024">
        <v>627</v>
      </c>
      <c r="Z16" s="238">
        <v>6274001903</v>
      </c>
      <c r="AA16" s="1207" t="s">
        <v>896</v>
      </c>
      <c r="AB16" s="1207" t="s">
        <v>1038</v>
      </c>
      <c r="AC16" s="202">
        <f>SUM(AC17:AC23)</f>
        <v>5533954619</v>
      </c>
      <c r="AD16" s="202">
        <f>AC16-AE16</f>
        <v>1978417268</v>
      </c>
      <c r="AE16" s="202">
        <f>SUM(AE17:AE23)</f>
        <v>3555537351</v>
      </c>
      <c r="AF16" s="810">
        <f>SUM(AF17:AF23)</f>
        <v>27899187.110193375</v>
      </c>
      <c r="AG16" s="810">
        <f t="shared" ref="AG16:AQ16" si="7">SUM(AG17:AG23)</f>
        <v>27899187.110193375</v>
      </c>
      <c r="AH16" s="810">
        <f t="shared" si="7"/>
        <v>27899187.110193375</v>
      </c>
      <c r="AI16" s="810">
        <f t="shared" si="7"/>
        <v>27899187.110193375</v>
      </c>
      <c r="AJ16" s="810">
        <f t="shared" si="7"/>
        <v>27899187.110193375</v>
      </c>
      <c r="AK16" s="810">
        <f t="shared" si="7"/>
        <v>27899187.110193375</v>
      </c>
      <c r="AL16" s="810">
        <f t="shared" si="7"/>
        <v>27899187.110193375</v>
      </c>
      <c r="AM16" s="810">
        <f t="shared" si="7"/>
        <v>27899187.110193375</v>
      </c>
      <c r="AN16" s="810">
        <f t="shared" si="7"/>
        <v>27899187.110193375</v>
      </c>
      <c r="AO16" s="810">
        <f t="shared" si="7"/>
        <v>27899187.110193375</v>
      </c>
      <c r="AP16" s="810">
        <f t="shared" si="7"/>
        <v>27899187.110193375</v>
      </c>
      <c r="AQ16" s="810">
        <f t="shared" si="7"/>
        <v>27899187.110193375</v>
      </c>
      <c r="AR16" s="810">
        <f>SUM(AF16:AQ16)</f>
        <v>334790245.32232052</v>
      </c>
      <c r="AS16" s="810">
        <f>AE16-AR16</f>
        <v>3220747105.6776795</v>
      </c>
      <c r="AT16" s="1264" t="s">
        <v>2195</v>
      </c>
    </row>
    <row r="17" spans="1:46" ht="100" x14ac:dyDescent="0.35">
      <c r="A17" s="826"/>
      <c r="B17" s="826"/>
      <c r="C17" s="826"/>
      <c r="D17" s="826"/>
      <c r="E17" s="826"/>
      <c r="F17" s="826"/>
      <c r="G17" s="826"/>
      <c r="H17" s="826" t="s">
        <v>799</v>
      </c>
      <c r="I17" s="992" t="s">
        <v>1044</v>
      </c>
      <c r="J17" s="826"/>
      <c r="K17" s="826"/>
      <c r="L17" s="826"/>
      <c r="M17" s="826"/>
      <c r="N17" s="847"/>
      <c r="O17" s="830"/>
      <c r="P17" s="848" t="s">
        <v>1041</v>
      </c>
      <c r="Q17" s="849"/>
      <c r="R17" s="849" t="s">
        <v>862</v>
      </c>
      <c r="S17" s="850" t="s">
        <v>1050</v>
      </c>
      <c r="T17" s="832"/>
      <c r="U17" s="833"/>
      <c r="V17" s="833"/>
      <c r="W17" s="851">
        <v>44599</v>
      </c>
      <c r="X17" s="841" t="s">
        <v>1051</v>
      </c>
      <c r="Y17" s="1033"/>
      <c r="Z17" s="852" t="s">
        <v>895</v>
      </c>
      <c r="AA17" s="1208" t="s">
        <v>896</v>
      </c>
      <c r="AB17" s="1208"/>
      <c r="AC17" s="853">
        <v>641608000</v>
      </c>
      <c r="AD17" s="853">
        <v>449125601</v>
      </c>
      <c r="AE17" s="853">
        <v>192482399</v>
      </c>
      <c r="AF17" s="1263">
        <v>1887082.3431372549</v>
      </c>
      <c r="AG17" s="1263">
        <v>1887082.3431372549</v>
      </c>
      <c r="AH17" s="1263">
        <v>1887082.3431372549</v>
      </c>
      <c r="AI17" s="1263">
        <v>1887082.3431372549</v>
      </c>
      <c r="AJ17" s="1263">
        <v>1887082.3431372549</v>
      </c>
      <c r="AK17" s="1263">
        <v>1887082.3431372549</v>
      </c>
      <c r="AL17" s="1263">
        <v>1887082.3431372549</v>
      </c>
      <c r="AM17" s="1263">
        <v>1887082.3431372549</v>
      </c>
      <c r="AN17" s="1263">
        <v>1887082.3431372549</v>
      </c>
      <c r="AO17" s="1263">
        <v>1887082.3431372549</v>
      </c>
      <c r="AP17" s="1263">
        <v>1887082.3431372549</v>
      </c>
      <c r="AQ17" s="1263">
        <v>1887082.3431372549</v>
      </c>
      <c r="AR17" s="999">
        <f t="shared" ref="AR17:AR20" si="8">SUM(AF17:AQ17)</f>
        <v>22644988.117647067</v>
      </c>
      <c r="AS17" s="999">
        <f t="shared" ref="AS17:AS135" si="9">AE17-AR17</f>
        <v>169837410.88235295</v>
      </c>
      <c r="AT17" s="1264" t="s">
        <v>1052</v>
      </c>
    </row>
    <row r="18" spans="1:46" ht="62.5" x14ac:dyDescent="0.35">
      <c r="A18" s="826"/>
      <c r="B18" s="826"/>
      <c r="C18" s="826"/>
      <c r="D18" s="826"/>
      <c r="E18" s="826"/>
      <c r="F18" s="826"/>
      <c r="G18" s="826"/>
      <c r="H18" s="826" t="s">
        <v>799</v>
      </c>
      <c r="I18" s="992" t="s">
        <v>1053</v>
      </c>
      <c r="J18" s="826"/>
      <c r="K18" s="826"/>
      <c r="L18" s="826"/>
      <c r="M18" s="826"/>
      <c r="N18" s="847"/>
      <c r="O18" s="830"/>
      <c r="P18" s="848" t="s">
        <v>1041</v>
      </c>
      <c r="Q18" s="849"/>
      <c r="R18" s="849" t="s">
        <v>862</v>
      </c>
      <c r="S18" s="850" t="s">
        <v>1050</v>
      </c>
      <c r="T18" s="832"/>
      <c r="U18" s="833"/>
      <c r="V18" s="833"/>
      <c r="W18" s="851">
        <v>44876</v>
      </c>
      <c r="X18" s="841" t="s">
        <v>1054</v>
      </c>
      <c r="Y18" s="1033"/>
      <c r="Z18" s="852" t="s">
        <v>895</v>
      </c>
      <c r="AA18" s="1208" t="s">
        <v>896</v>
      </c>
      <c r="AB18" s="1208"/>
      <c r="AC18" s="853">
        <v>988266537</v>
      </c>
      <c r="AD18" s="853">
        <v>589967225</v>
      </c>
      <c r="AE18" s="853">
        <v>398299312</v>
      </c>
      <c r="AF18" s="1263">
        <v>3687956.5925925928</v>
      </c>
      <c r="AG18" s="1263">
        <v>3687956.5925925928</v>
      </c>
      <c r="AH18" s="1263">
        <v>3687956.5925925928</v>
      </c>
      <c r="AI18" s="1263">
        <v>3687956.5925925928</v>
      </c>
      <c r="AJ18" s="1263">
        <v>3687956.5925925928</v>
      </c>
      <c r="AK18" s="1263">
        <v>3687956.5925925928</v>
      </c>
      <c r="AL18" s="1263">
        <v>3687956.5925925928</v>
      </c>
      <c r="AM18" s="1263">
        <v>3687956.5925925928</v>
      </c>
      <c r="AN18" s="1263">
        <v>3687956.5925925928</v>
      </c>
      <c r="AO18" s="1263">
        <v>3687956.5925925928</v>
      </c>
      <c r="AP18" s="1263">
        <v>3687956.5925925928</v>
      </c>
      <c r="AQ18" s="1263">
        <v>3687956.5925925928</v>
      </c>
      <c r="AR18" s="999">
        <f t="shared" si="8"/>
        <v>44255479.111111104</v>
      </c>
      <c r="AS18" s="999">
        <f t="shared" si="9"/>
        <v>354043832.8888889</v>
      </c>
      <c r="AT18" s="1264" t="s">
        <v>1055</v>
      </c>
    </row>
    <row r="19" spans="1:46" ht="75" x14ac:dyDescent="0.35">
      <c r="A19" s="826"/>
      <c r="B19" s="826"/>
      <c r="C19" s="826"/>
      <c r="D19" s="826"/>
      <c r="E19" s="826"/>
      <c r="F19" s="826"/>
      <c r="G19" s="826"/>
      <c r="H19" s="826" t="s">
        <v>799</v>
      </c>
      <c r="I19" s="992" t="s">
        <v>1056</v>
      </c>
      <c r="J19" s="826"/>
      <c r="K19" s="826"/>
      <c r="L19" s="826"/>
      <c r="M19" s="826"/>
      <c r="N19" s="847"/>
      <c r="O19" s="830"/>
      <c r="P19" s="848" t="s">
        <v>1041</v>
      </c>
      <c r="Q19" s="849"/>
      <c r="R19" s="849" t="s">
        <v>862</v>
      </c>
      <c r="S19" s="850" t="s">
        <v>1050</v>
      </c>
      <c r="T19" s="832"/>
      <c r="U19" s="833"/>
      <c r="V19" s="833"/>
      <c r="W19" s="851">
        <v>44872</v>
      </c>
      <c r="X19" s="841" t="s">
        <v>1057</v>
      </c>
      <c r="Y19" s="1033"/>
      <c r="Z19" s="852" t="s">
        <v>895</v>
      </c>
      <c r="AA19" s="1208" t="s">
        <v>896</v>
      </c>
      <c r="AB19" s="1208"/>
      <c r="AC19" s="853">
        <v>1021300257</v>
      </c>
      <c r="AD19" s="853">
        <v>612398458</v>
      </c>
      <c r="AE19" s="853">
        <v>408901799</v>
      </c>
      <c r="AF19" s="1263">
        <v>3786127.7685185187</v>
      </c>
      <c r="AG19" s="1263">
        <v>3786127.7685185187</v>
      </c>
      <c r="AH19" s="1263">
        <v>3786127.7685185187</v>
      </c>
      <c r="AI19" s="1263">
        <v>3786127.7685185187</v>
      </c>
      <c r="AJ19" s="1263">
        <v>3786127.7685185187</v>
      </c>
      <c r="AK19" s="1263">
        <v>3786127.7685185187</v>
      </c>
      <c r="AL19" s="1263">
        <v>3786127.7685185187</v>
      </c>
      <c r="AM19" s="1263">
        <v>3786127.7685185187</v>
      </c>
      <c r="AN19" s="1263">
        <v>3786127.7685185187</v>
      </c>
      <c r="AO19" s="1263">
        <v>3786127.7685185187</v>
      </c>
      <c r="AP19" s="1263">
        <v>3786127.7685185187</v>
      </c>
      <c r="AQ19" s="1263">
        <v>3786127.7685185187</v>
      </c>
      <c r="AR19" s="999">
        <f t="shared" si="8"/>
        <v>45433533.222222239</v>
      </c>
      <c r="AS19" s="999">
        <f t="shared" si="9"/>
        <v>363468265.77777779</v>
      </c>
      <c r="AT19" s="1264" t="s">
        <v>1058</v>
      </c>
    </row>
    <row r="20" spans="1:46" ht="87.5" x14ac:dyDescent="0.35">
      <c r="A20" s="826"/>
      <c r="B20" s="826"/>
      <c r="C20" s="826"/>
      <c r="D20" s="826"/>
      <c r="E20" s="826"/>
      <c r="F20" s="826"/>
      <c r="G20" s="826"/>
      <c r="H20" s="826" t="s">
        <v>799</v>
      </c>
      <c r="I20" s="992" t="s">
        <v>1056</v>
      </c>
      <c r="J20" s="826"/>
      <c r="K20" s="826"/>
      <c r="L20" s="826"/>
      <c r="M20" s="826"/>
      <c r="N20" s="847"/>
      <c r="O20" s="830"/>
      <c r="P20" s="848" t="s">
        <v>1041</v>
      </c>
      <c r="Q20" s="849"/>
      <c r="R20" s="849" t="s">
        <v>862</v>
      </c>
      <c r="S20" s="850" t="s">
        <v>1050</v>
      </c>
      <c r="T20" s="832"/>
      <c r="U20" s="833"/>
      <c r="V20" s="833"/>
      <c r="W20" s="851">
        <v>45519</v>
      </c>
      <c r="X20" s="841" t="s">
        <v>1060</v>
      </c>
      <c r="Y20" s="1033"/>
      <c r="Z20" s="852" t="s">
        <v>895</v>
      </c>
      <c r="AA20" s="1208" t="s">
        <v>896</v>
      </c>
      <c r="AB20" s="1208"/>
      <c r="AC20" s="853">
        <v>389131825</v>
      </c>
      <c r="AD20" s="853">
        <v>119121984</v>
      </c>
      <c r="AE20" s="853">
        <v>270009841</v>
      </c>
      <c r="AF20" s="1263">
        <v>2093099.542635659</v>
      </c>
      <c r="AG20" s="1263">
        <v>2093099.542635659</v>
      </c>
      <c r="AH20" s="1263">
        <v>2093099.542635659</v>
      </c>
      <c r="AI20" s="1263">
        <v>2093099.542635659</v>
      </c>
      <c r="AJ20" s="1263">
        <v>2093099.542635659</v>
      </c>
      <c r="AK20" s="1263">
        <v>2093099.542635659</v>
      </c>
      <c r="AL20" s="1263">
        <v>2093099.542635659</v>
      </c>
      <c r="AM20" s="1263">
        <v>2093099.542635659</v>
      </c>
      <c r="AN20" s="1263">
        <v>2093099.542635659</v>
      </c>
      <c r="AO20" s="1263">
        <v>2093099.542635659</v>
      </c>
      <c r="AP20" s="1263">
        <v>2093099.542635659</v>
      </c>
      <c r="AQ20" s="1263">
        <v>2093099.542635659</v>
      </c>
      <c r="AR20" s="999">
        <f t="shared" si="8"/>
        <v>25117194.511627913</v>
      </c>
      <c r="AS20" s="999">
        <f t="shared" si="9"/>
        <v>244892646.48837209</v>
      </c>
      <c r="AT20" s="1264" t="s">
        <v>1061</v>
      </c>
    </row>
    <row r="21" spans="1:46" ht="62.5" x14ac:dyDescent="0.35">
      <c r="A21" s="826"/>
      <c r="B21" s="826"/>
      <c r="C21" s="826"/>
      <c r="D21" s="826"/>
      <c r="E21" s="826"/>
      <c r="F21" s="826"/>
      <c r="G21" s="826"/>
      <c r="H21" s="826" t="s">
        <v>799</v>
      </c>
      <c r="I21" s="992" t="s">
        <v>1062</v>
      </c>
      <c r="J21" s="826"/>
      <c r="K21" s="826"/>
      <c r="L21" s="826"/>
      <c r="M21" s="826"/>
      <c r="N21" s="847"/>
      <c r="O21" s="830"/>
      <c r="P21" s="848" t="s">
        <v>1041</v>
      </c>
      <c r="Q21" s="849"/>
      <c r="R21" s="849" t="s">
        <v>862</v>
      </c>
      <c r="S21" s="850" t="s">
        <v>1063</v>
      </c>
      <c r="T21" s="832"/>
      <c r="U21" s="833"/>
      <c r="V21" s="833"/>
      <c r="W21" s="851">
        <v>45775</v>
      </c>
      <c r="X21" s="841" t="s">
        <v>1064</v>
      </c>
      <c r="Y21" s="1033"/>
      <c r="Z21" s="852" t="s">
        <v>895</v>
      </c>
      <c r="AA21" s="1208" t="s">
        <v>896</v>
      </c>
      <c r="AB21" s="1208"/>
      <c r="AC21" s="853">
        <v>1193648000</v>
      </c>
      <c r="AD21" s="853">
        <v>99470669</v>
      </c>
      <c r="AE21" s="853">
        <v>1094177331</v>
      </c>
      <c r="AF21" s="1263">
        <v>7871779.35971223</v>
      </c>
      <c r="AG21" s="1263">
        <v>7871779.35971223</v>
      </c>
      <c r="AH21" s="1263">
        <v>7871779.35971223</v>
      </c>
      <c r="AI21" s="1263">
        <v>7871779.35971223</v>
      </c>
      <c r="AJ21" s="1263">
        <v>7871779.35971223</v>
      </c>
      <c r="AK21" s="1263">
        <v>7871779.35971223</v>
      </c>
      <c r="AL21" s="1263">
        <v>7871779.35971223</v>
      </c>
      <c r="AM21" s="1263">
        <v>7871779.35971223</v>
      </c>
      <c r="AN21" s="1263">
        <v>7871779.35971223</v>
      </c>
      <c r="AO21" s="1263">
        <v>7871779.35971223</v>
      </c>
      <c r="AP21" s="1263">
        <v>7871779.35971223</v>
      </c>
      <c r="AQ21" s="1263">
        <v>7871779.35971223</v>
      </c>
      <c r="AR21" s="999">
        <f>SUM(AF21:AQ21)</f>
        <v>94461352.316546753</v>
      </c>
      <c r="AS21" s="999">
        <f t="shared" si="9"/>
        <v>999715978.6834532</v>
      </c>
      <c r="AT21" s="1264" t="s">
        <v>1065</v>
      </c>
    </row>
    <row r="22" spans="1:46" ht="75" x14ac:dyDescent="0.35">
      <c r="A22" s="826"/>
      <c r="B22" s="826"/>
      <c r="C22" s="826"/>
      <c r="D22" s="826"/>
      <c r="E22" s="826"/>
      <c r="F22" s="826"/>
      <c r="G22" s="826"/>
      <c r="H22" s="826" t="s">
        <v>799</v>
      </c>
      <c r="I22" s="992" t="s">
        <v>1062</v>
      </c>
      <c r="J22" s="826"/>
      <c r="K22" s="826"/>
      <c r="L22" s="826"/>
      <c r="M22" s="826"/>
      <c r="N22" s="847"/>
      <c r="O22" s="830"/>
      <c r="P22" s="848" t="s">
        <v>1041</v>
      </c>
      <c r="Q22" s="849"/>
      <c r="R22" s="849" t="s">
        <v>859</v>
      </c>
      <c r="S22" s="850" t="s">
        <v>1063</v>
      </c>
      <c r="T22" s="832"/>
      <c r="U22" s="833"/>
      <c r="V22" s="833"/>
      <c r="W22" s="851">
        <v>45839</v>
      </c>
      <c r="X22" s="841" t="s">
        <v>1066</v>
      </c>
      <c r="Y22" s="1033"/>
      <c r="Z22" s="852" t="s">
        <v>895</v>
      </c>
      <c r="AA22" s="1208" t="s">
        <v>896</v>
      </c>
      <c r="AB22" s="1208"/>
      <c r="AC22" s="853">
        <v>1300000000</v>
      </c>
      <c r="AD22" s="853">
        <v>108333331</v>
      </c>
      <c r="AE22" s="853">
        <v>1191666669</v>
      </c>
      <c r="AF22" s="1263">
        <v>8573141.5035971217</v>
      </c>
      <c r="AG22" s="1263">
        <v>8573141.5035971217</v>
      </c>
      <c r="AH22" s="1263">
        <v>8573141.5035971217</v>
      </c>
      <c r="AI22" s="1263">
        <v>8573141.5035971217</v>
      </c>
      <c r="AJ22" s="1263">
        <v>8573141.5035971217</v>
      </c>
      <c r="AK22" s="1263">
        <v>8573141.5035971217</v>
      </c>
      <c r="AL22" s="1263">
        <v>8573141.5035971217</v>
      </c>
      <c r="AM22" s="1263">
        <v>8573141.5035971217</v>
      </c>
      <c r="AN22" s="1263">
        <v>8573141.5035971217</v>
      </c>
      <c r="AO22" s="1263">
        <v>8573141.5035971217</v>
      </c>
      <c r="AP22" s="1263">
        <v>8573141.5035971217</v>
      </c>
      <c r="AQ22" s="1263">
        <v>8573141.5035971217</v>
      </c>
      <c r="AR22" s="999">
        <f>SUM(AF22:AQ22)</f>
        <v>102877698.04316549</v>
      </c>
      <c r="AS22" s="999">
        <f t="shared" si="9"/>
        <v>1088788970.9568346</v>
      </c>
      <c r="AT22" s="1264" t="s">
        <v>1067</v>
      </c>
    </row>
    <row r="23" spans="1:46" x14ac:dyDescent="0.35">
      <c r="A23" s="826"/>
      <c r="B23" s="826"/>
      <c r="C23" s="826"/>
      <c r="D23" s="826"/>
      <c r="E23" s="826"/>
      <c r="F23" s="826"/>
      <c r="G23" s="826"/>
      <c r="H23" s="826"/>
      <c r="I23" s="992"/>
      <c r="J23" s="826"/>
      <c r="K23" s="826"/>
      <c r="L23" s="826"/>
      <c r="M23" s="826"/>
      <c r="N23" s="860"/>
      <c r="O23" s="830"/>
      <c r="P23" s="848"/>
      <c r="Q23" s="849"/>
      <c r="R23" s="849"/>
      <c r="S23" s="850"/>
      <c r="T23" s="832"/>
      <c r="U23" s="833"/>
      <c r="V23" s="833"/>
      <c r="W23" s="851"/>
      <c r="X23" s="841"/>
      <c r="Y23" s="1034"/>
      <c r="Z23" s="861"/>
      <c r="AA23" s="1209"/>
      <c r="AB23" s="1209"/>
      <c r="AC23" s="853"/>
      <c r="AD23" s="853">
        <f>AC23-AE23</f>
        <v>0</v>
      </c>
      <c r="AE23" s="853"/>
      <c r="AF23" s="853"/>
      <c r="AG23" s="853"/>
      <c r="AH23" s="853"/>
      <c r="AI23" s="853"/>
      <c r="AJ23" s="853"/>
      <c r="AK23" s="853"/>
      <c r="AL23" s="853"/>
      <c r="AM23" s="853"/>
      <c r="AN23" s="853"/>
      <c r="AO23" s="853"/>
      <c r="AP23" s="853"/>
      <c r="AQ23" s="853"/>
      <c r="AR23" s="999">
        <f>SUM(AF23:AQ23)</f>
        <v>0</v>
      </c>
      <c r="AS23" s="999">
        <f t="shared" si="9"/>
        <v>0</v>
      </c>
      <c r="AT23" s="1264" t="e">
        <v>#N/A</v>
      </c>
    </row>
    <row r="24" spans="1:46" ht="75" x14ac:dyDescent="0.35">
      <c r="A24" s="237" t="s">
        <v>168</v>
      </c>
      <c r="B24" s="237"/>
      <c r="C24" s="237"/>
      <c r="D24" s="237"/>
      <c r="E24" s="237"/>
      <c r="F24" s="237"/>
      <c r="G24" s="237"/>
      <c r="H24" s="237"/>
      <c r="I24" s="991"/>
      <c r="J24" s="237"/>
      <c r="K24" s="237"/>
      <c r="L24" s="237"/>
      <c r="M24" s="237"/>
      <c r="N24" s="484"/>
      <c r="O24" s="237"/>
      <c r="P24" s="482"/>
      <c r="Q24" s="234"/>
      <c r="R24" s="234"/>
      <c r="S24" s="234"/>
      <c r="T24" s="482"/>
      <c r="U24" s="234"/>
      <c r="V24" s="234"/>
      <c r="W24" s="234"/>
      <c r="X24" s="807" t="s">
        <v>1068</v>
      </c>
      <c r="Y24" s="1024">
        <v>627</v>
      </c>
      <c r="Z24" s="238">
        <v>6274001903</v>
      </c>
      <c r="AA24" s="1207" t="s">
        <v>896</v>
      </c>
      <c r="AB24" s="1207" t="s">
        <v>1038</v>
      </c>
      <c r="AC24" s="202">
        <f>SUM(AC25:AC26)</f>
        <v>0</v>
      </c>
      <c r="AD24" s="202">
        <f t="shared" ref="AD24:AD55" si="10">AC24-AE24</f>
        <v>0</v>
      </c>
      <c r="AE24" s="202">
        <f t="shared" ref="AE24:AR24" si="11">SUM(AE25:AE26)</f>
        <v>0</v>
      </c>
      <c r="AF24" s="810">
        <f t="shared" si="11"/>
        <v>0</v>
      </c>
      <c r="AG24" s="810">
        <f t="shared" si="11"/>
        <v>0</v>
      </c>
      <c r="AH24" s="810">
        <f t="shared" si="11"/>
        <v>0</v>
      </c>
      <c r="AI24" s="810">
        <f t="shared" si="11"/>
        <v>0</v>
      </c>
      <c r="AJ24" s="810">
        <f t="shared" si="11"/>
        <v>0</v>
      </c>
      <c r="AK24" s="810">
        <f t="shared" si="11"/>
        <v>0</v>
      </c>
      <c r="AL24" s="810">
        <f t="shared" si="11"/>
        <v>0</v>
      </c>
      <c r="AM24" s="810">
        <f t="shared" si="11"/>
        <v>0</v>
      </c>
      <c r="AN24" s="810">
        <f t="shared" si="11"/>
        <v>0</v>
      </c>
      <c r="AO24" s="810">
        <f t="shared" si="11"/>
        <v>0</v>
      </c>
      <c r="AP24" s="810">
        <f t="shared" si="11"/>
        <v>0</v>
      </c>
      <c r="AQ24" s="810">
        <f t="shared" si="11"/>
        <v>0</v>
      </c>
      <c r="AR24" s="810">
        <f t="shared" si="11"/>
        <v>0</v>
      </c>
      <c r="AS24" s="810">
        <f t="shared" si="9"/>
        <v>0</v>
      </c>
      <c r="AT24" s="1264" t="s">
        <v>2195</v>
      </c>
    </row>
    <row r="25" spans="1:46" x14ac:dyDescent="0.35">
      <c r="A25" s="237"/>
      <c r="B25" s="237"/>
      <c r="C25" s="237"/>
      <c r="D25" s="237"/>
      <c r="E25" s="237"/>
      <c r="F25" s="237"/>
      <c r="G25" s="237"/>
      <c r="H25" s="237"/>
      <c r="I25" s="991"/>
      <c r="J25" s="237"/>
      <c r="K25" s="237"/>
      <c r="L25" s="237"/>
      <c r="M25" s="237"/>
      <c r="N25" s="484"/>
      <c r="O25" s="237"/>
      <c r="P25" s="482"/>
      <c r="Q25" s="234"/>
      <c r="R25" s="234"/>
      <c r="S25" s="234"/>
      <c r="T25" s="482"/>
      <c r="U25" s="234"/>
      <c r="V25" s="234"/>
      <c r="W25" s="234"/>
      <c r="X25" s="807"/>
      <c r="Y25" s="1024"/>
      <c r="Z25" s="238"/>
      <c r="AA25" s="1207"/>
      <c r="AB25" s="1207"/>
      <c r="AC25" s="202"/>
      <c r="AD25" s="202">
        <f t="shared" ref="AD25:AD26" si="12">AC25-AE25</f>
        <v>0</v>
      </c>
      <c r="AE25" s="202"/>
      <c r="AF25" s="810"/>
      <c r="AG25" s="810"/>
      <c r="AH25" s="810"/>
      <c r="AI25" s="810"/>
      <c r="AJ25" s="810"/>
      <c r="AK25" s="810"/>
      <c r="AL25" s="810"/>
      <c r="AM25" s="810"/>
      <c r="AN25" s="810"/>
      <c r="AO25" s="810"/>
      <c r="AP25" s="810"/>
      <c r="AQ25" s="810"/>
      <c r="AR25" s="810">
        <f t="shared" ref="AR25:AR26" si="13">SUM(AF25:AQ25)</f>
        <v>0</v>
      </c>
      <c r="AS25" s="197">
        <f t="shared" si="9"/>
        <v>0</v>
      </c>
      <c r="AT25" s="1264" t="e">
        <v>#N/A</v>
      </c>
    </row>
    <row r="26" spans="1:46" x14ac:dyDescent="0.35">
      <c r="A26" s="237"/>
      <c r="B26" s="237"/>
      <c r="C26" s="237"/>
      <c r="D26" s="237"/>
      <c r="E26" s="237"/>
      <c r="F26" s="237"/>
      <c r="G26" s="237"/>
      <c r="H26" s="237"/>
      <c r="I26" s="991"/>
      <c r="J26" s="237"/>
      <c r="K26" s="237"/>
      <c r="L26" s="237"/>
      <c r="M26" s="237"/>
      <c r="N26" s="484"/>
      <c r="O26" s="237"/>
      <c r="P26" s="482"/>
      <c r="Q26" s="234"/>
      <c r="R26" s="234"/>
      <c r="S26" s="234"/>
      <c r="T26" s="482"/>
      <c r="U26" s="234"/>
      <c r="V26" s="234"/>
      <c r="W26" s="234"/>
      <c r="X26" s="807"/>
      <c r="Y26" s="1024"/>
      <c r="Z26" s="238"/>
      <c r="AA26" s="1207"/>
      <c r="AB26" s="1207"/>
      <c r="AC26" s="202"/>
      <c r="AD26" s="202">
        <f t="shared" si="12"/>
        <v>0</v>
      </c>
      <c r="AE26" s="202"/>
      <c r="AF26" s="810"/>
      <c r="AG26" s="810"/>
      <c r="AH26" s="810"/>
      <c r="AI26" s="810"/>
      <c r="AJ26" s="810"/>
      <c r="AK26" s="810"/>
      <c r="AL26" s="810"/>
      <c r="AM26" s="810"/>
      <c r="AN26" s="810"/>
      <c r="AO26" s="810"/>
      <c r="AP26" s="810"/>
      <c r="AQ26" s="810"/>
      <c r="AR26" s="810">
        <f t="shared" si="13"/>
        <v>0</v>
      </c>
      <c r="AS26" s="810"/>
      <c r="AT26" s="1264" t="e">
        <v>#N/A</v>
      </c>
    </row>
    <row r="27" spans="1:46" ht="75" x14ac:dyDescent="0.35">
      <c r="A27" s="237">
        <v>1.4</v>
      </c>
      <c r="B27" s="237"/>
      <c r="C27" s="237"/>
      <c r="D27" s="237"/>
      <c r="E27" s="237"/>
      <c r="F27" s="237"/>
      <c r="G27" s="237"/>
      <c r="H27" s="237"/>
      <c r="I27" s="991"/>
      <c r="J27" s="237"/>
      <c r="K27" s="237"/>
      <c r="L27" s="237"/>
      <c r="M27" s="237"/>
      <c r="N27" s="484"/>
      <c r="O27" s="237"/>
      <c r="P27" s="482"/>
      <c r="Q27" s="234"/>
      <c r="R27" s="234"/>
      <c r="S27" s="234"/>
      <c r="T27" s="482"/>
      <c r="U27" s="234"/>
      <c r="V27" s="234"/>
      <c r="W27" s="234"/>
      <c r="X27" s="807" t="s">
        <v>1069</v>
      </c>
      <c r="Y27" s="1024">
        <v>627</v>
      </c>
      <c r="Z27" s="238">
        <v>6274001903</v>
      </c>
      <c r="AA27" s="1207" t="s">
        <v>896</v>
      </c>
      <c r="AB27" s="1207" t="s">
        <v>1038</v>
      </c>
      <c r="AC27" s="202">
        <f>SUM(AC28:AC29)</f>
        <v>0</v>
      </c>
      <c r="AD27" s="202">
        <f t="shared" si="10"/>
        <v>0</v>
      </c>
      <c r="AE27" s="202">
        <f t="shared" ref="AE27:AQ27" si="14">SUM(AE28:AE29)</f>
        <v>0</v>
      </c>
      <c r="AF27" s="810">
        <f t="shared" si="14"/>
        <v>0</v>
      </c>
      <c r="AG27" s="810">
        <f t="shared" si="14"/>
        <v>0</v>
      </c>
      <c r="AH27" s="810">
        <f t="shared" si="14"/>
        <v>0</v>
      </c>
      <c r="AI27" s="810">
        <f t="shared" si="14"/>
        <v>0</v>
      </c>
      <c r="AJ27" s="810">
        <f t="shared" si="14"/>
        <v>0</v>
      </c>
      <c r="AK27" s="810">
        <f t="shared" si="14"/>
        <v>0</v>
      </c>
      <c r="AL27" s="810">
        <f t="shared" si="14"/>
        <v>0</v>
      </c>
      <c r="AM27" s="810">
        <f t="shared" si="14"/>
        <v>0</v>
      </c>
      <c r="AN27" s="810">
        <f t="shared" si="14"/>
        <v>0</v>
      </c>
      <c r="AO27" s="810">
        <f t="shared" si="14"/>
        <v>0</v>
      </c>
      <c r="AP27" s="810">
        <f t="shared" si="14"/>
        <v>0</v>
      </c>
      <c r="AQ27" s="810">
        <f t="shared" si="14"/>
        <v>0</v>
      </c>
      <c r="AR27" s="810">
        <f t="shared" si="3"/>
        <v>0</v>
      </c>
      <c r="AS27" s="810">
        <f t="shared" si="9"/>
        <v>0</v>
      </c>
      <c r="AT27" s="1264" t="s">
        <v>2195</v>
      </c>
    </row>
    <row r="28" spans="1:46" x14ac:dyDescent="0.35">
      <c r="A28" s="237"/>
      <c r="B28" s="237"/>
      <c r="C28" s="237"/>
      <c r="D28" s="237"/>
      <c r="E28" s="237"/>
      <c r="F28" s="237"/>
      <c r="G28" s="237"/>
      <c r="H28" s="237"/>
      <c r="I28" s="991"/>
      <c r="J28" s="237"/>
      <c r="K28" s="237"/>
      <c r="L28" s="237"/>
      <c r="M28" s="237"/>
      <c r="N28" s="484"/>
      <c r="O28" s="237"/>
      <c r="P28" s="482"/>
      <c r="Q28" s="234"/>
      <c r="R28" s="234"/>
      <c r="S28" s="234"/>
      <c r="T28" s="482"/>
      <c r="U28" s="234"/>
      <c r="V28" s="234"/>
      <c r="W28" s="234"/>
      <c r="X28" s="807"/>
      <c r="Y28" s="1024"/>
      <c r="Z28" s="238"/>
      <c r="AA28" s="1207"/>
      <c r="AB28" s="1207"/>
      <c r="AC28" s="202"/>
      <c r="AD28" s="202">
        <f>AC28-AE28</f>
        <v>0</v>
      </c>
      <c r="AE28" s="202"/>
      <c r="AF28" s="810"/>
      <c r="AG28" s="810"/>
      <c r="AH28" s="810"/>
      <c r="AI28" s="810"/>
      <c r="AJ28" s="810"/>
      <c r="AK28" s="810"/>
      <c r="AL28" s="810"/>
      <c r="AM28" s="810"/>
      <c r="AN28" s="810"/>
      <c r="AO28" s="810"/>
      <c r="AP28" s="810"/>
      <c r="AQ28" s="810"/>
      <c r="AR28" s="810">
        <f t="shared" ref="AR28:AR29" si="15">SUM(AF28:AQ28)</f>
        <v>0</v>
      </c>
      <c r="AS28" s="810"/>
      <c r="AT28" s="1264" t="e">
        <v>#N/A</v>
      </c>
    </row>
    <row r="29" spans="1:46" x14ac:dyDescent="0.35">
      <c r="A29" s="237"/>
      <c r="B29" s="237"/>
      <c r="C29" s="237"/>
      <c r="D29" s="237"/>
      <c r="E29" s="237"/>
      <c r="F29" s="237"/>
      <c r="G29" s="237"/>
      <c r="H29" s="237"/>
      <c r="I29" s="991"/>
      <c r="J29" s="237"/>
      <c r="K29" s="237"/>
      <c r="L29" s="237"/>
      <c r="M29" s="237"/>
      <c r="N29" s="484"/>
      <c r="O29" s="237"/>
      <c r="P29" s="482"/>
      <c r="Q29" s="234"/>
      <c r="R29" s="234"/>
      <c r="S29" s="234"/>
      <c r="T29" s="482"/>
      <c r="U29" s="234"/>
      <c r="V29" s="234"/>
      <c r="W29" s="234"/>
      <c r="X29" s="807"/>
      <c r="Y29" s="1024"/>
      <c r="Z29" s="238"/>
      <c r="AA29" s="1207"/>
      <c r="AB29" s="1207"/>
      <c r="AC29" s="202"/>
      <c r="AD29" s="202">
        <f>AC29-AE29</f>
        <v>0</v>
      </c>
      <c r="AE29" s="202"/>
      <c r="AF29" s="810"/>
      <c r="AG29" s="810"/>
      <c r="AH29" s="810"/>
      <c r="AI29" s="810"/>
      <c r="AJ29" s="810"/>
      <c r="AK29" s="810"/>
      <c r="AL29" s="810"/>
      <c r="AM29" s="810"/>
      <c r="AN29" s="810"/>
      <c r="AO29" s="810"/>
      <c r="AP29" s="810"/>
      <c r="AQ29" s="810"/>
      <c r="AR29" s="810">
        <f t="shared" si="15"/>
        <v>0</v>
      </c>
      <c r="AS29" s="810"/>
      <c r="AT29" s="1264" t="e">
        <v>#N/A</v>
      </c>
    </row>
    <row r="30" spans="1:46" ht="75" x14ac:dyDescent="0.35">
      <c r="A30" s="237" t="s">
        <v>801</v>
      </c>
      <c r="B30" s="237"/>
      <c r="C30" s="237"/>
      <c r="D30" s="237"/>
      <c r="E30" s="237"/>
      <c r="F30" s="237"/>
      <c r="G30" s="237"/>
      <c r="H30" s="237"/>
      <c r="I30" s="991"/>
      <c r="J30" s="237"/>
      <c r="K30" s="237"/>
      <c r="L30" s="237"/>
      <c r="M30" s="237"/>
      <c r="N30" s="484"/>
      <c r="O30" s="237"/>
      <c r="P30" s="482"/>
      <c r="Q30" s="234"/>
      <c r="R30" s="234"/>
      <c r="S30" s="234"/>
      <c r="T30" s="482"/>
      <c r="U30" s="234"/>
      <c r="V30" s="234"/>
      <c r="W30" s="234"/>
      <c r="X30" s="807" t="s">
        <v>1070</v>
      </c>
      <c r="Y30" s="1024">
        <v>627</v>
      </c>
      <c r="Z30" s="238">
        <v>6274001906</v>
      </c>
      <c r="AA30" s="1207" t="s">
        <v>1071</v>
      </c>
      <c r="AB30" s="1207" t="s">
        <v>1038</v>
      </c>
      <c r="AC30" s="202">
        <f>SUM(AC31:AC37)</f>
        <v>1237265000</v>
      </c>
      <c r="AD30" s="202">
        <f t="shared" si="10"/>
        <v>622272297</v>
      </c>
      <c r="AE30" s="202">
        <f t="shared" ref="AE30:AQ30" si="16">SUM(AE31:AE37)</f>
        <v>614992703</v>
      </c>
      <c r="AF30" s="810">
        <f>SUM(AF31:AF37)</f>
        <v>8327686.9962943345</v>
      </c>
      <c r="AG30" s="810">
        <f t="shared" si="16"/>
        <v>8327686.9962943345</v>
      </c>
      <c r="AH30" s="810">
        <f t="shared" si="16"/>
        <v>5764050.9962943345</v>
      </c>
      <c r="AI30" s="810">
        <f t="shared" si="16"/>
        <v>5764050.9962943345</v>
      </c>
      <c r="AJ30" s="810">
        <f t="shared" si="16"/>
        <v>5764050.9962943345</v>
      </c>
      <c r="AK30" s="810">
        <f t="shared" si="16"/>
        <v>5764050.9962943345</v>
      </c>
      <c r="AL30" s="810">
        <f t="shared" si="16"/>
        <v>5764050.9962943345</v>
      </c>
      <c r="AM30" s="810">
        <f t="shared" si="16"/>
        <v>5764050.9962943345</v>
      </c>
      <c r="AN30" s="810">
        <f t="shared" si="16"/>
        <v>5764050.9962943345</v>
      </c>
      <c r="AO30" s="810">
        <f t="shared" si="16"/>
        <v>5764050.9962943345</v>
      </c>
      <c r="AP30" s="810">
        <f t="shared" si="16"/>
        <v>5764050.9962943345</v>
      </c>
      <c r="AQ30" s="810">
        <f t="shared" si="16"/>
        <v>5764050.9962943345</v>
      </c>
      <c r="AR30" s="810">
        <f>SUM(AF30:AQ30)</f>
        <v>74295883.955532014</v>
      </c>
      <c r="AS30" s="810">
        <f>AE30-AR30</f>
        <v>540696819.04446793</v>
      </c>
      <c r="AT30" s="1264" t="s">
        <v>2195</v>
      </c>
    </row>
    <row r="31" spans="1:46" ht="87.5" x14ac:dyDescent="0.35">
      <c r="A31" s="237"/>
      <c r="B31" s="237"/>
      <c r="C31" s="237"/>
      <c r="D31" s="237"/>
      <c r="E31" s="237"/>
      <c r="F31" s="237"/>
      <c r="G31" s="237"/>
      <c r="H31" s="237" t="s">
        <v>799</v>
      </c>
      <c r="I31" s="991" t="s">
        <v>949</v>
      </c>
      <c r="J31" s="237"/>
      <c r="K31" s="237"/>
      <c r="L31" s="237"/>
      <c r="M31" s="237"/>
      <c r="N31" s="484"/>
      <c r="O31" s="237"/>
      <c r="P31" s="842" t="s">
        <v>1041</v>
      </c>
      <c r="Q31" s="234"/>
      <c r="R31" s="234" t="s">
        <v>861</v>
      </c>
      <c r="S31" s="234" t="s">
        <v>1072</v>
      </c>
      <c r="T31" s="842"/>
      <c r="U31" s="234"/>
      <c r="V31" s="234"/>
      <c r="W31" s="809">
        <v>44907</v>
      </c>
      <c r="X31" s="843" t="s">
        <v>1073</v>
      </c>
      <c r="Y31" s="1024"/>
      <c r="Z31" s="845" t="s">
        <v>895</v>
      </c>
      <c r="AA31" s="1210" t="s">
        <v>896</v>
      </c>
      <c r="AB31" s="1210"/>
      <c r="AC31" s="825">
        <v>318800000</v>
      </c>
      <c r="AD31" s="825">
        <v>185966665</v>
      </c>
      <c r="AE31" s="825">
        <v>132833335</v>
      </c>
      <c r="AF31" s="1263">
        <v>1218654.4495412845</v>
      </c>
      <c r="AG31" s="1263">
        <v>1218654.4495412845</v>
      </c>
      <c r="AH31" s="1263">
        <v>1218654.4495412845</v>
      </c>
      <c r="AI31" s="1263">
        <v>1218654.4495412845</v>
      </c>
      <c r="AJ31" s="1263">
        <v>1218654.4495412845</v>
      </c>
      <c r="AK31" s="1263">
        <v>1218654.4495412845</v>
      </c>
      <c r="AL31" s="1263">
        <v>1218654.4495412845</v>
      </c>
      <c r="AM31" s="1263">
        <v>1218654.4495412845</v>
      </c>
      <c r="AN31" s="1263">
        <v>1218654.4495412845</v>
      </c>
      <c r="AO31" s="1263">
        <v>1218654.4495412845</v>
      </c>
      <c r="AP31" s="1263">
        <v>1218654.4495412845</v>
      </c>
      <c r="AQ31" s="1263">
        <v>1218654.4495412845</v>
      </c>
      <c r="AR31" s="197">
        <f>SUM(AF31:AQ31)</f>
        <v>14623853.394495411</v>
      </c>
      <c r="AS31" s="197"/>
      <c r="AT31" s="1264" t="s">
        <v>2222</v>
      </c>
    </row>
    <row r="32" spans="1:46" ht="100" x14ac:dyDescent="0.35">
      <c r="A32" s="237"/>
      <c r="B32" s="237"/>
      <c r="C32" s="237"/>
      <c r="D32" s="237"/>
      <c r="E32" s="237"/>
      <c r="F32" s="237"/>
      <c r="G32" s="237"/>
      <c r="H32" s="237" t="s">
        <v>799</v>
      </c>
      <c r="I32" s="991" t="s">
        <v>1074</v>
      </c>
      <c r="J32" s="237"/>
      <c r="K32" s="237"/>
      <c r="L32" s="237"/>
      <c r="M32" s="237"/>
      <c r="N32" s="484"/>
      <c r="O32" s="237"/>
      <c r="P32" s="842" t="s">
        <v>1041</v>
      </c>
      <c r="Q32" s="234"/>
      <c r="R32" s="234" t="s">
        <v>859</v>
      </c>
      <c r="S32" s="234" t="s">
        <v>1063</v>
      </c>
      <c r="T32" s="842"/>
      <c r="U32" s="234"/>
      <c r="V32" s="234"/>
      <c r="W32" s="809">
        <v>45383</v>
      </c>
      <c r="X32" s="843" t="s">
        <v>1076</v>
      </c>
      <c r="Y32" s="1024"/>
      <c r="Z32" s="845" t="s">
        <v>895</v>
      </c>
      <c r="AA32" s="1210" t="s">
        <v>896</v>
      </c>
      <c r="AB32" s="1210"/>
      <c r="AC32" s="825">
        <v>56400000</v>
      </c>
      <c r="AD32" s="825">
        <v>51272726</v>
      </c>
      <c r="AE32" s="825">
        <v>5127274</v>
      </c>
      <c r="AF32" s="1263">
        <v>2563636</v>
      </c>
      <c r="AG32" s="1263">
        <v>2563636</v>
      </c>
      <c r="AH32" s="1263">
        <v>0</v>
      </c>
      <c r="AI32" s="1263">
        <v>0</v>
      </c>
      <c r="AJ32" s="1263">
        <v>0</v>
      </c>
      <c r="AK32" s="1263">
        <v>0</v>
      </c>
      <c r="AL32" s="1263">
        <v>0</v>
      </c>
      <c r="AM32" s="1263">
        <v>0</v>
      </c>
      <c r="AN32" s="1263">
        <v>0</v>
      </c>
      <c r="AO32" s="1263">
        <v>0</v>
      </c>
      <c r="AP32" s="1263">
        <v>0</v>
      </c>
      <c r="AQ32" s="1263">
        <v>0</v>
      </c>
      <c r="AR32" s="197">
        <f>SUM(AF32:AQ32)</f>
        <v>5127272</v>
      </c>
      <c r="AS32" s="197"/>
      <c r="AT32" s="1264" t="s">
        <v>2223</v>
      </c>
    </row>
    <row r="33" spans="1:48" ht="112.5" x14ac:dyDescent="0.35">
      <c r="A33" s="237"/>
      <c r="B33" s="237"/>
      <c r="C33" s="237"/>
      <c r="D33" s="237"/>
      <c r="E33" s="237"/>
      <c r="F33" s="237"/>
      <c r="G33" s="237"/>
      <c r="H33" s="237" t="s">
        <v>799</v>
      </c>
      <c r="I33" s="991" t="s">
        <v>1077</v>
      </c>
      <c r="J33" s="237"/>
      <c r="K33" s="237"/>
      <c r="L33" s="237"/>
      <c r="M33" s="237"/>
      <c r="N33" s="484"/>
      <c r="O33" s="237"/>
      <c r="P33" s="842" t="s">
        <v>1041</v>
      </c>
      <c r="Q33" s="234"/>
      <c r="R33" s="234" t="s">
        <v>859</v>
      </c>
      <c r="S33" s="234" t="s">
        <v>1063</v>
      </c>
      <c r="T33" s="842"/>
      <c r="U33" s="234"/>
      <c r="V33" s="234"/>
      <c r="W33" s="809">
        <v>45421</v>
      </c>
      <c r="X33" s="843" t="s">
        <v>1078</v>
      </c>
      <c r="Y33" s="1024"/>
      <c r="Z33" s="845" t="s">
        <v>895</v>
      </c>
      <c r="AA33" s="1210" t="s">
        <v>896</v>
      </c>
      <c r="AB33" s="1210"/>
      <c r="AC33" s="825">
        <v>133000000</v>
      </c>
      <c r="AD33" s="825">
        <v>37683334</v>
      </c>
      <c r="AE33" s="825">
        <v>95316666</v>
      </c>
      <c r="AF33" s="1263">
        <v>750524.9291338583</v>
      </c>
      <c r="AG33" s="1263">
        <v>750524.9291338583</v>
      </c>
      <c r="AH33" s="1263">
        <v>750524.9291338583</v>
      </c>
      <c r="AI33" s="1263">
        <v>750524.9291338583</v>
      </c>
      <c r="AJ33" s="1263">
        <v>750524.9291338583</v>
      </c>
      <c r="AK33" s="1263">
        <v>750524.9291338583</v>
      </c>
      <c r="AL33" s="1263">
        <v>750524.9291338583</v>
      </c>
      <c r="AM33" s="1263">
        <v>750524.9291338583</v>
      </c>
      <c r="AN33" s="1263">
        <v>750524.9291338583</v>
      </c>
      <c r="AO33" s="1263">
        <v>750524.9291338583</v>
      </c>
      <c r="AP33" s="1263">
        <v>750524.9291338583</v>
      </c>
      <c r="AQ33" s="1263">
        <v>750524.9291338583</v>
      </c>
      <c r="AR33" s="197">
        <f>SUM(AF33:AQ33)</f>
        <v>9006299.1496063005</v>
      </c>
      <c r="AS33" s="197"/>
      <c r="AT33" s="1264" t="s">
        <v>2224</v>
      </c>
    </row>
    <row r="34" spans="1:48" ht="100" x14ac:dyDescent="0.35">
      <c r="A34" s="237"/>
      <c r="B34" s="237"/>
      <c r="C34" s="237"/>
      <c r="D34" s="237"/>
      <c r="E34" s="237"/>
      <c r="F34" s="237"/>
      <c r="G34" s="237"/>
      <c r="H34" s="237" t="s">
        <v>799</v>
      </c>
      <c r="I34" s="991"/>
      <c r="J34" s="237"/>
      <c r="K34" s="237"/>
      <c r="L34" s="237"/>
      <c r="M34" s="237"/>
      <c r="N34" s="484"/>
      <c r="O34" s="237"/>
      <c r="P34" s="842" t="s">
        <v>1041</v>
      </c>
      <c r="Q34" s="234"/>
      <c r="R34" s="234" t="s">
        <v>859</v>
      </c>
      <c r="S34" s="234" t="s">
        <v>1063</v>
      </c>
      <c r="T34" s="842"/>
      <c r="U34" s="234"/>
      <c r="V34" s="234"/>
      <c r="W34" s="809"/>
      <c r="X34" s="843" t="s">
        <v>1079</v>
      </c>
      <c r="Y34" s="1024"/>
      <c r="Z34" s="845" t="s">
        <v>895</v>
      </c>
      <c r="AA34" s="1210" t="s">
        <v>896</v>
      </c>
      <c r="AB34" s="1210"/>
      <c r="AC34" s="825">
        <v>322375000</v>
      </c>
      <c r="AD34" s="825">
        <v>107458334</v>
      </c>
      <c r="AE34" s="825">
        <v>214916666</v>
      </c>
      <c r="AF34" s="1263">
        <v>1733198.9193548388</v>
      </c>
      <c r="AG34" s="1263">
        <v>1733198.9193548388</v>
      </c>
      <c r="AH34" s="1263">
        <v>1733198.9193548388</v>
      </c>
      <c r="AI34" s="1263">
        <v>1733198.9193548388</v>
      </c>
      <c r="AJ34" s="1263">
        <v>1733198.9193548388</v>
      </c>
      <c r="AK34" s="1263">
        <v>1733198.9193548388</v>
      </c>
      <c r="AL34" s="1263">
        <v>1733198.9193548388</v>
      </c>
      <c r="AM34" s="1263">
        <v>1733198.9193548388</v>
      </c>
      <c r="AN34" s="1263">
        <v>1733198.9193548388</v>
      </c>
      <c r="AO34" s="1263">
        <v>1733198.9193548388</v>
      </c>
      <c r="AP34" s="1263">
        <v>1733198.9193548388</v>
      </c>
      <c r="AQ34" s="1263">
        <v>1733198.9193548388</v>
      </c>
      <c r="AR34" s="197">
        <f>SUM(AF34:AQ34)</f>
        <v>20798387.032258064</v>
      </c>
      <c r="AS34" s="197"/>
      <c r="AT34" s="1264" t="s">
        <v>2225</v>
      </c>
    </row>
    <row r="35" spans="1:48" ht="75" x14ac:dyDescent="0.35">
      <c r="A35" s="237"/>
      <c r="B35" s="237"/>
      <c r="C35" s="237"/>
      <c r="D35" s="237"/>
      <c r="E35" s="237"/>
      <c r="F35" s="237"/>
      <c r="G35" s="237"/>
      <c r="H35" s="237" t="s">
        <v>799</v>
      </c>
      <c r="I35" s="991" t="s">
        <v>1080</v>
      </c>
      <c r="J35" s="237"/>
      <c r="K35" s="237"/>
      <c r="L35" s="237"/>
      <c r="M35" s="237"/>
      <c r="N35" s="484"/>
      <c r="O35" s="237"/>
      <c r="P35" s="842" t="s">
        <v>1041</v>
      </c>
      <c r="Q35" s="234"/>
      <c r="R35" s="234" t="s">
        <v>859</v>
      </c>
      <c r="S35" s="234" t="s">
        <v>1063</v>
      </c>
      <c r="T35" s="842"/>
      <c r="U35" s="234"/>
      <c r="V35" s="234"/>
      <c r="W35" s="809">
        <v>45444</v>
      </c>
      <c r="X35" s="843" t="s">
        <v>1082</v>
      </c>
      <c r="Y35" s="1024"/>
      <c r="Z35" s="845" t="s">
        <v>906</v>
      </c>
      <c r="AA35" s="1210" t="s">
        <v>1083</v>
      </c>
      <c r="AB35" s="1210"/>
      <c r="AC35" s="825">
        <v>37980000</v>
      </c>
      <c r="AD35" s="825">
        <v>14242500</v>
      </c>
      <c r="AE35" s="825">
        <v>23737500</v>
      </c>
      <c r="AF35" s="1263">
        <v>188392.85714285713</v>
      </c>
      <c r="AG35" s="1263">
        <v>188392.85714285713</v>
      </c>
      <c r="AH35" s="1263">
        <v>188392.85714285713</v>
      </c>
      <c r="AI35" s="1263">
        <v>188392.85714285713</v>
      </c>
      <c r="AJ35" s="1263">
        <v>188392.85714285713</v>
      </c>
      <c r="AK35" s="1263">
        <v>188392.85714285713</v>
      </c>
      <c r="AL35" s="1263">
        <v>188392.85714285713</v>
      </c>
      <c r="AM35" s="1263">
        <v>188392.85714285713</v>
      </c>
      <c r="AN35" s="1263">
        <v>188392.85714285713</v>
      </c>
      <c r="AO35" s="1263">
        <v>188392.85714285713</v>
      </c>
      <c r="AP35" s="1263">
        <v>188392.85714285713</v>
      </c>
      <c r="AQ35" s="1263">
        <v>188392.85714285713</v>
      </c>
      <c r="AR35" s="197">
        <v>9495000</v>
      </c>
      <c r="AS35" s="197"/>
      <c r="AT35" s="1264" t="s">
        <v>2226</v>
      </c>
    </row>
    <row r="36" spans="1:48" ht="112.5" x14ac:dyDescent="0.35">
      <c r="A36" s="237"/>
      <c r="B36" s="237"/>
      <c r="C36" s="237"/>
      <c r="D36" s="237"/>
      <c r="E36" s="237"/>
      <c r="F36" s="237"/>
      <c r="G36" s="237"/>
      <c r="H36" s="237" t="s">
        <v>799</v>
      </c>
      <c r="I36" s="991" t="s">
        <v>1084</v>
      </c>
      <c r="J36" s="237"/>
      <c r="K36" s="237"/>
      <c r="L36" s="237"/>
      <c r="M36" s="237"/>
      <c r="N36" s="854"/>
      <c r="O36" s="811"/>
      <c r="P36" s="855" t="s">
        <v>1041</v>
      </c>
      <c r="Q36" s="856"/>
      <c r="R36" s="856" t="s">
        <v>855</v>
      </c>
      <c r="S36" s="857" t="s">
        <v>1085</v>
      </c>
      <c r="T36" s="842"/>
      <c r="U36" s="234"/>
      <c r="V36" s="234"/>
      <c r="W36" s="809">
        <v>45016</v>
      </c>
      <c r="X36" s="843" t="s">
        <v>1086</v>
      </c>
      <c r="Y36" s="1033"/>
      <c r="Z36" s="812" t="s">
        <v>895</v>
      </c>
      <c r="AA36" s="1211" t="s">
        <v>896</v>
      </c>
      <c r="AB36" s="1211"/>
      <c r="AC36" s="858">
        <v>48560000</v>
      </c>
      <c r="AD36" s="858">
        <v>28222906</v>
      </c>
      <c r="AE36" s="858">
        <v>20337094</v>
      </c>
      <c r="AF36" s="1263">
        <v>726325</v>
      </c>
      <c r="AG36" s="1263">
        <v>726325</v>
      </c>
      <c r="AH36" s="1263">
        <v>726325</v>
      </c>
      <c r="AI36" s="1263">
        <v>726325</v>
      </c>
      <c r="AJ36" s="1263">
        <v>726325</v>
      </c>
      <c r="AK36" s="1263">
        <v>726325</v>
      </c>
      <c r="AL36" s="1263">
        <v>726325</v>
      </c>
      <c r="AM36" s="1263">
        <v>726325</v>
      </c>
      <c r="AN36" s="1263">
        <v>726325</v>
      </c>
      <c r="AO36" s="1263">
        <v>726325</v>
      </c>
      <c r="AP36" s="1263">
        <v>726325</v>
      </c>
      <c r="AQ36" s="1263">
        <v>726325</v>
      </c>
      <c r="AR36" s="197">
        <f>SUM(AF36:AQ36)</f>
        <v>8715900</v>
      </c>
      <c r="AS36" s="197"/>
      <c r="AT36" s="1264" t="s">
        <v>2227</v>
      </c>
    </row>
    <row r="37" spans="1:48" ht="75" x14ac:dyDescent="0.35">
      <c r="A37" s="237"/>
      <c r="B37" s="237"/>
      <c r="C37" s="237"/>
      <c r="D37" s="237"/>
      <c r="E37" s="237"/>
      <c r="F37" s="237"/>
      <c r="G37" s="237"/>
      <c r="H37" s="237" t="s">
        <v>799</v>
      </c>
      <c r="I37" s="991" t="s">
        <v>1088</v>
      </c>
      <c r="J37" s="237"/>
      <c r="K37" s="237"/>
      <c r="L37" s="237"/>
      <c r="M37" s="237"/>
      <c r="N37" s="854"/>
      <c r="O37" s="811"/>
      <c r="P37" s="855" t="s">
        <v>1041</v>
      </c>
      <c r="Q37" s="856"/>
      <c r="R37" s="856" t="s">
        <v>860</v>
      </c>
      <c r="S37" s="857" t="s">
        <v>1089</v>
      </c>
      <c r="T37" s="842"/>
      <c r="U37" s="234"/>
      <c r="V37" s="234"/>
      <c r="W37" s="809">
        <v>44841</v>
      </c>
      <c r="X37" s="843" t="s">
        <v>1090</v>
      </c>
      <c r="Y37" s="1033"/>
      <c r="Z37" s="812" t="s">
        <v>903</v>
      </c>
      <c r="AA37" s="1211" t="s">
        <v>1092</v>
      </c>
      <c r="AB37" s="1211"/>
      <c r="AC37" s="858">
        <v>320150000</v>
      </c>
      <c r="AD37" s="858">
        <v>197425832</v>
      </c>
      <c r="AE37" s="858">
        <v>122724168</v>
      </c>
      <c r="AF37" s="1263">
        <v>1146954.8411214952</v>
      </c>
      <c r="AG37" s="1263">
        <v>1146954.8411214952</v>
      </c>
      <c r="AH37" s="1263">
        <v>1146954.8411214952</v>
      </c>
      <c r="AI37" s="1263">
        <v>1146954.8411214952</v>
      </c>
      <c r="AJ37" s="1263">
        <v>1146954.8411214952</v>
      </c>
      <c r="AK37" s="1263">
        <v>1146954.8411214952</v>
      </c>
      <c r="AL37" s="1263">
        <v>1146954.8411214952</v>
      </c>
      <c r="AM37" s="1263">
        <v>1146954.8411214952</v>
      </c>
      <c r="AN37" s="1263">
        <v>1146954.8411214952</v>
      </c>
      <c r="AO37" s="1263">
        <v>1146954.8411214952</v>
      </c>
      <c r="AP37" s="1263">
        <v>1146954.8411214952</v>
      </c>
      <c r="AQ37" s="1263">
        <v>1146954.8411214952</v>
      </c>
      <c r="AR37" s="197">
        <v>9495000</v>
      </c>
      <c r="AS37" s="197"/>
      <c r="AT37" s="1264" t="s">
        <v>2228</v>
      </c>
    </row>
    <row r="38" spans="1:48" ht="62.5" x14ac:dyDescent="0.35">
      <c r="A38" s="237" t="s">
        <v>802</v>
      </c>
      <c r="B38" s="237"/>
      <c r="C38" s="237"/>
      <c r="D38" s="237"/>
      <c r="E38" s="237"/>
      <c r="F38" s="237"/>
      <c r="G38" s="237"/>
      <c r="H38" s="237"/>
      <c r="I38" s="991"/>
      <c r="J38" s="237"/>
      <c r="K38" s="237"/>
      <c r="L38" s="237"/>
      <c r="M38" s="237"/>
      <c r="N38" s="484"/>
      <c r="O38" s="237"/>
      <c r="P38" s="482"/>
      <c r="Q38" s="234"/>
      <c r="R38" s="234"/>
      <c r="S38" s="482" t="s">
        <v>1093</v>
      </c>
      <c r="T38" s="482"/>
      <c r="U38" s="234"/>
      <c r="V38" s="234"/>
      <c r="W38" s="234"/>
      <c r="X38" s="807" t="s">
        <v>1094</v>
      </c>
      <c r="Y38" s="1024">
        <v>627</v>
      </c>
      <c r="Z38" s="238">
        <v>6274001901</v>
      </c>
      <c r="AA38" s="1207" t="s">
        <v>1095</v>
      </c>
      <c r="AB38" s="1207" t="s">
        <v>1096</v>
      </c>
      <c r="AC38" s="202">
        <f>SUM(AC39:AC41)</f>
        <v>4068620825</v>
      </c>
      <c r="AD38" s="202">
        <f t="shared" si="10"/>
        <v>1418063419</v>
      </c>
      <c r="AE38" s="202">
        <f t="shared" ref="AE38:AQ38" si="17">SUM(AE39:AE41)</f>
        <v>2650557406</v>
      </c>
      <c r="AF38" s="810">
        <f t="shared" si="17"/>
        <v>17735120.620071687</v>
      </c>
      <c r="AG38" s="810">
        <f t="shared" si="17"/>
        <v>17735120.620071687</v>
      </c>
      <c r="AH38" s="810">
        <f t="shared" si="17"/>
        <v>17735120.620071687</v>
      </c>
      <c r="AI38" s="810">
        <f t="shared" si="17"/>
        <v>17735120.620071687</v>
      </c>
      <c r="AJ38" s="810">
        <f t="shared" si="17"/>
        <v>17735120.620071687</v>
      </c>
      <c r="AK38" s="810">
        <f t="shared" si="17"/>
        <v>17735120.620071687</v>
      </c>
      <c r="AL38" s="810">
        <f t="shared" si="17"/>
        <v>17735120.620071687</v>
      </c>
      <c r="AM38" s="810">
        <f t="shared" si="17"/>
        <v>17735120.620071687</v>
      </c>
      <c r="AN38" s="810">
        <f t="shared" si="17"/>
        <v>17735120.620071687</v>
      </c>
      <c r="AO38" s="810">
        <f t="shared" si="17"/>
        <v>17735120.620071687</v>
      </c>
      <c r="AP38" s="810">
        <f t="shared" si="17"/>
        <v>17735120.620071687</v>
      </c>
      <c r="AQ38" s="810">
        <f t="shared" si="17"/>
        <v>17735120.620071687</v>
      </c>
      <c r="AR38" s="810">
        <f t="shared" si="3"/>
        <v>212821447.44086018</v>
      </c>
      <c r="AS38" s="810">
        <f t="shared" si="9"/>
        <v>2437735958.5591397</v>
      </c>
      <c r="AT38" s="1264" t="s">
        <v>2195</v>
      </c>
      <c r="AV38" s="838"/>
    </row>
    <row r="39" spans="1:48" ht="87.5" x14ac:dyDescent="0.35">
      <c r="A39" s="237"/>
      <c r="B39" s="237"/>
      <c r="C39" s="237"/>
      <c r="D39" s="237"/>
      <c r="E39" s="237"/>
      <c r="F39" s="237"/>
      <c r="G39" s="237"/>
      <c r="H39" s="237" t="s">
        <v>799</v>
      </c>
      <c r="I39" s="991" t="s">
        <v>1097</v>
      </c>
      <c r="J39" s="237"/>
      <c r="K39" s="237"/>
      <c r="L39" s="237"/>
      <c r="M39" s="237"/>
      <c r="N39" s="854"/>
      <c r="O39" s="811"/>
      <c r="P39" s="855" t="s">
        <v>1041</v>
      </c>
      <c r="Q39" s="856"/>
      <c r="R39" s="856" t="s">
        <v>859</v>
      </c>
      <c r="S39" s="857" t="s">
        <v>1063</v>
      </c>
      <c r="T39" s="842"/>
      <c r="U39" s="234"/>
      <c r="V39" s="234"/>
      <c r="W39" s="809">
        <v>44801</v>
      </c>
      <c r="X39" s="843" t="s">
        <v>1098</v>
      </c>
      <c r="Y39" s="1033"/>
      <c r="Z39" s="812" t="s">
        <v>900</v>
      </c>
      <c r="AA39" s="1211" t="s">
        <v>1095</v>
      </c>
      <c r="AB39" s="1211"/>
      <c r="AC39" s="858">
        <v>394675925</v>
      </c>
      <c r="AD39" s="858">
        <v>230227621</v>
      </c>
      <c r="AE39" s="858">
        <v>180000000</v>
      </c>
      <c r="AF39" s="1263">
        <v>6852012</v>
      </c>
      <c r="AG39" s="1263">
        <v>6852012</v>
      </c>
      <c r="AH39" s="1263">
        <v>6852012</v>
      </c>
      <c r="AI39" s="1263">
        <v>6852012</v>
      </c>
      <c r="AJ39" s="1263">
        <v>6852012</v>
      </c>
      <c r="AK39" s="1263">
        <v>6852012</v>
      </c>
      <c r="AL39" s="1263">
        <v>6852012</v>
      </c>
      <c r="AM39" s="1263">
        <v>6852012</v>
      </c>
      <c r="AN39" s="1263">
        <v>6852012</v>
      </c>
      <c r="AO39" s="1263">
        <v>6852012</v>
      </c>
      <c r="AP39" s="1263">
        <v>6852012</v>
      </c>
      <c r="AQ39" s="1263">
        <v>6852012</v>
      </c>
      <c r="AR39" s="197">
        <f t="shared" si="3"/>
        <v>82224144</v>
      </c>
      <c r="AS39" s="197">
        <f t="shared" si="9"/>
        <v>97775856</v>
      </c>
      <c r="AT39" s="1264" t="s">
        <v>2229</v>
      </c>
    </row>
    <row r="40" spans="1:48" ht="112.5" x14ac:dyDescent="0.35">
      <c r="A40" s="237"/>
      <c r="B40" s="237"/>
      <c r="C40" s="237"/>
      <c r="D40" s="237"/>
      <c r="E40" s="237"/>
      <c r="F40" s="237"/>
      <c r="G40" s="237"/>
      <c r="H40" s="237" t="s">
        <v>799</v>
      </c>
      <c r="I40" s="1016" t="s">
        <v>968</v>
      </c>
      <c r="J40" s="237"/>
      <c r="K40" s="237"/>
      <c r="L40" s="237"/>
      <c r="M40" s="237"/>
      <c r="N40" s="854"/>
      <c r="O40" s="811"/>
      <c r="P40" s="855" t="s">
        <v>1041</v>
      </c>
      <c r="Q40" s="856"/>
      <c r="R40" s="856" t="s">
        <v>861</v>
      </c>
      <c r="S40" s="857" t="s">
        <v>1072</v>
      </c>
      <c r="T40" s="842"/>
      <c r="U40" s="234"/>
      <c r="V40" s="234"/>
      <c r="W40" s="809">
        <v>44694</v>
      </c>
      <c r="X40" s="843" t="s">
        <v>2110</v>
      </c>
      <c r="Y40" s="1033"/>
      <c r="Z40" s="812" t="s">
        <v>900</v>
      </c>
      <c r="AA40" s="1211" t="s">
        <v>1095</v>
      </c>
      <c r="AB40" s="1211"/>
      <c r="AC40" s="858">
        <v>219905500</v>
      </c>
      <c r="AD40" s="858">
        <v>99359129</v>
      </c>
      <c r="AE40" s="858">
        <v>120546371</v>
      </c>
      <c r="AF40" s="1263">
        <v>2460130</v>
      </c>
      <c r="AG40" s="1263">
        <v>2460130</v>
      </c>
      <c r="AH40" s="1263">
        <v>2460130</v>
      </c>
      <c r="AI40" s="1263">
        <v>2460130</v>
      </c>
      <c r="AJ40" s="1263">
        <v>2460130</v>
      </c>
      <c r="AK40" s="1263">
        <v>2460130</v>
      </c>
      <c r="AL40" s="1263">
        <v>2460130</v>
      </c>
      <c r="AM40" s="1263">
        <v>2460130</v>
      </c>
      <c r="AN40" s="1263">
        <v>2460130</v>
      </c>
      <c r="AO40" s="1263">
        <v>2460130</v>
      </c>
      <c r="AP40" s="1263">
        <v>2460130</v>
      </c>
      <c r="AQ40" s="1263">
        <v>2460130</v>
      </c>
      <c r="AR40" s="197">
        <f>SUM(AF40:AQ40)</f>
        <v>29521560</v>
      </c>
      <c r="AS40" s="197"/>
      <c r="AT40" s="1264" t="s">
        <v>2230</v>
      </c>
    </row>
    <row r="41" spans="1:48" ht="87.5" x14ac:dyDescent="0.35">
      <c r="A41" s="237"/>
      <c r="B41" s="237"/>
      <c r="C41" s="237"/>
      <c r="D41" s="237"/>
      <c r="E41" s="237"/>
      <c r="F41" s="237"/>
      <c r="G41" s="237"/>
      <c r="H41" s="237" t="s">
        <v>799</v>
      </c>
      <c r="I41" s="991" t="s">
        <v>1100</v>
      </c>
      <c r="J41" s="237"/>
      <c r="K41" s="237"/>
      <c r="L41" s="237"/>
      <c r="M41" s="237"/>
      <c r="N41" s="854"/>
      <c r="O41" s="811"/>
      <c r="P41" s="855" t="s">
        <v>1041</v>
      </c>
      <c r="Q41" s="856"/>
      <c r="R41" s="856" t="s">
        <v>861</v>
      </c>
      <c r="S41" s="857" t="s">
        <v>1072</v>
      </c>
      <c r="T41" s="842"/>
      <c r="U41" s="234"/>
      <c r="V41" s="234"/>
      <c r="W41" s="809">
        <v>44840</v>
      </c>
      <c r="X41" s="843" t="s">
        <v>1101</v>
      </c>
      <c r="Y41" s="1033"/>
      <c r="Z41" s="812" t="s">
        <v>900</v>
      </c>
      <c r="AA41" s="1211" t="s">
        <v>1095</v>
      </c>
      <c r="AB41" s="1211"/>
      <c r="AC41" s="858">
        <v>3454039400</v>
      </c>
      <c r="AD41" s="858">
        <v>1104028365</v>
      </c>
      <c r="AE41" s="858">
        <v>2350011035</v>
      </c>
      <c r="AF41" s="1263">
        <v>8422978.6200716849</v>
      </c>
      <c r="AG41" s="1263">
        <v>8422978.6200716849</v>
      </c>
      <c r="AH41" s="1263">
        <v>8422978.6200716849</v>
      </c>
      <c r="AI41" s="1263">
        <v>8422978.6200716849</v>
      </c>
      <c r="AJ41" s="1263">
        <v>8422978.6200716849</v>
      </c>
      <c r="AK41" s="1263">
        <v>8422978.6200716849</v>
      </c>
      <c r="AL41" s="1263">
        <v>8422978.6200716849</v>
      </c>
      <c r="AM41" s="1263">
        <v>8422978.6200716849</v>
      </c>
      <c r="AN41" s="1263">
        <v>8422978.6200716849</v>
      </c>
      <c r="AO41" s="1263">
        <v>8422978.6200716849</v>
      </c>
      <c r="AP41" s="1263">
        <v>8422978.6200716849</v>
      </c>
      <c r="AQ41" s="1263">
        <v>8422978.6200716849</v>
      </c>
      <c r="AR41" s="197">
        <f t="shared" si="3"/>
        <v>101075743.4408602</v>
      </c>
      <c r="AS41" s="197">
        <f t="shared" si="9"/>
        <v>2248935291.5591397</v>
      </c>
      <c r="AT41" s="1264" t="s">
        <v>2231</v>
      </c>
    </row>
    <row r="42" spans="1:48" ht="62.5" x14ac:dyDescent="0.35">
      <c r="A42" s="237" t="s">
        <v>803</v>
      </c>
      <c r="B42" s="237"/>
      <c r="C42" s="237"/>
      <c r="D42" s="237"/>
      <c r="E42" s="237"/>
      <c r="F42" s="237"/>
      <c r="G42" s="237"/>
      <c r="H42" s="237"/>
      <c r="I42" s="991"/>
      <c r="J42" s="237"/>
      <c r="K42" s="237"/>
      <c r="L42" s="237"/>
      <c r="M42" s="237"/>
      <c r="N42" s="484"/>
      <c r="O42" s="237"/>
      <c r="P42" s="482"/>
      <c r="Q42" s="234"/>
      <c r="R42" s="234"/>
      <c r="S42" s="482" t="s">
        <v>1093</v>
      </c>
      <c r="T42" s="482"/>
      <c r="U42" s="234"/>
      <c r="V42" s="234"/>
      <c r="W42" s="234"/>
      <c r="X42" s="807" t="s">
        <v>1102</v>
      </c>
      <c r="Y42" s="1024">
        <v>627</v>
      </c>
      <c r="Z42" s="238">
        <v>6274001901</v>
      </c>
      <c r="AA42" s="1207" t="s">
        <v>1095</v>
      </c>
      <c r="AB42" s="1207" t="s">
        <v>1096</v>
      </c>
      <c r="AC42" s="202">
        <f>SUM(AC43:AC44)</f>
        <v>797993464</v>
      </c>
      <c r="AD42" s="202">
        <f t="shared" si="10"/>
        <v>414582295</v>
      </c>
      <c r="AE42" s="202">
        <f>SUM(AE43:AE44)</f>
        <v>383411169</v>
      </c>
      <c r="AF42" s="810">
        <f t="shared" ref="AF42:AR42" si="18">SUM(AF43:AF44)</f>
        <v>13088523</v>
      </c>
      <c r="AG42" s="810">
        <f t="shared" si="18"/>
        <v>13088523</v>
      </c>
      <c r="AH42" s="810">
        <f t="shared" si="18"/>
        <v>13088523</v>
      </c>
      <c r="AI42" s="810">
        <f t="shared" si="18"/>
        <v>13088523</v>
      </c>
      <c r="AJ42" s="810">
        <f t="shared" si="18"/>
        <v>13088523</v>
      </c>
      <c r="AK42" s="810">
        <f t="shared" si="18"/>
        <v>13088523</v>
      </c>
      <c r="AL42" s="810">
        <f t="shared" si="18"/>
        <v>13088523</v>
      </c>
      <c r="AM42" s="810">
        <f t="shared" si="18"/>
        <v>13088523</v>
      </c>
      <c r="AN42" s="810">
        <f t="shared" si="18"/>
        <v>13088523</v>
      </c>
      <c r="AO42" s="810">
        <f t="shared" si="18"/>
        <v>13088523</v>
      </c>
      <c r="AP42" s="810">
        <f t="shared" si="18"/>
        <v>13088523</v>
      </c>
      <c r="AQ42" s="810">
        <f t="shared" si="18"/>
        <v>13088523</v>
      </c>
      <c r="AR42" s="810">
        <f t="shared" si="18"/>
        <v>157062276</v>
      </c>
      <c r="AS42" s="810">
        <f>AE42-AR42</f>
        <v>226348893</v>
      </c>
      <c r="AT42" s="1264" t="s">
        <v>2195</v>
      </c>
    </row>
    <row r="43" spans="1:48" ht="112.5" x14ac:dyDescent="0.35">
      <c r="A43" s="237"/>
      <c r="B43" s="237"/>
      <c r="C43" s="237"/>
      <c r="D43" s="237"/>
      <c r="E43" s="237"/>
      <c r="F43" s="237"/>
      <c r="G43" s="237"/>
      <c r="H43" s="237" t="s">
        <v>799</v>
      </c>
      <c r="I43" s="1016" t="s">
        <v>968</v>
      </c>
      <c r="J43" s="237"/>
      <c r="K43" s="237"/>
      <c r="L43" s="237"/>
      <c r="M43" s="237"/>
      <c r="N43" s="854"/>
      <c r="O43" s="811"/>
      <c r="P43" s="855" t="s">
        <v>1041</v>
      </c>
      <c r="Q43" s="856"/>
      <c r="R43" s="856" t="s">
        <v>859</v>
      </c>
      <c r="S43" s="857" t="s">
        <v>1063</v>
      </c>
      <c r="T43" s="842"/>
      <c r="U43" s="234"/>
      <c r="V43" s="234"/>
      <c r="W43" s="809">
        <v>44694</v>
      </c>
      <c r="X43" s="843" t="s">
        <v>2109</v>
      </c>
      <c r="Y43" s="1033"/>
      <c r="Z43" s="812" t="s">
        <v>900</v>
      </c>
      <c r="AA43" s="1211" t="s">
        <v>1095</v>
      </c>
      <c r="AB43" s="1211"/>
      <c r="AC43" s="858">
        <v>219905500</v>
      </c>
      <c r="AD43" s="858">
        <v>102622565</v>
      </c>
      <c r="AE43" s="858">
        <v>117282935</v>
      </c>
      <c r="AF43" s="1263">
        <v>2443394</v>
      </c>
      <c r="AG43" s="1263">
        <v>2443394</v>
      </c>
      <c r="AH43" s="1263">
        <v>2443394</v>
      </c>
      <c r="AI43" s="1263">
        <v>2443394</v>
      </c>
      <c r="AJ43" s="1263">
        <v>2443394</v>
      </c>
      <c r="AK43" s="1263">
        <v>2443394</v>
      </c>
      <c r="AL43" s="1263">
        <v>2443394</v>
      </c>
      <c r="AM43" s="1263">
        <v>2443394</v>
      </c>
      <c r="AN43" s="1263">
        <v>2443394</v>
      </c>
      <c r="AO43" s="1263">
        <v>2443394</v>
      </c>
      <c r="AP43" s="1263">
        <v>2443394</v>
      </c>
      <c r="AQ43" s="1263">
        <v>2443394</v>
      </c>
      <c r="AR43" s="197">
        <f>SUM(AF43:AQ43)</f>
        <v>29320728</v>
      </c>
      <c r="AS43" s="197"/>
      <c r="AT43" s="1264" t="s">
        <v>2232</v>
      </c>
      <c r="AV43" s="838"/>
    </row>
    <row r="44" spans="1:48" ht="87.5" x14ac:dyDescent="0.35">
      <c r="A44" s="237"/>
      <c r="B44" s="237"/>
      <c r="C44" s="237"/>
      <c r="D44" s="237"/>
      <c r="E44" s="237"/>
      <c r="F44" s="237"/>
      <c r="G44" s="237"/>
      <c r="H44" s="237" t="s">
        <v>799</v>
      </c>
      <c r="I44" s="991" t="s">
        <v>1097</v>
      </c>
      <c r="J44" s="237"/>
      <c r="K44" s="237"/>
      <c r="L44" s="237"/>
      <c r="M44" s="237"/>
      <c r="N44" s="854"/>
      <c r="O44" s="811"/>
      <c r="P44" s="855" t="s">
        <v>1041</v>
      </c>
      <c r="Q44" s="856"/>
      <c r="R44" s="856" t="s">
        <v>861</v>
      </c>
      <c r="S44" s="857" t="s">
        <v>1072</v>
      </c>
      <c r="T44" s="842"/>
      <c r="U44" s="234"/>
      <c r="V44" s="234"/>
      <c r="W44" s="809">
        <v>44801</v>
      </c>
      <c r="X44" s="843" t="s">
        <v>1099</v>
      </c>
      <c r="Y44" s="1033"/>
      <c r="Z44" s="812" t="s">
        <v>900</v>
      </c>
      <c r="AA44" s="1211" t="s">
        <v>1095</v>
      </c>
      <c r="AB44" s="1211"/>
      <c r="AC44" s="858">
        <v>578087964</v>
      </c>
      <c r="AD44" s="858">
        <v>311959730</v>
      </c>
      <c r="AE44" s="858">
        <v>266128234</v>
      </c>
      <c r="AF44" s="1263">
        <v>10645129</v>
      </c>
      <c r="AG44" s="1263">
        <v>10645129</v>
      </c>
      <c r="AH44" s="1263">
        <v>10645129</v>
      </c>
      <c r="AI44" s="1263">
        <v>10645129</v>
      </c>
      <c r="AJ44" s="1263">
        <v>10645129</v>
      </c>
      <c r="AK44" s="1263">
        <v>10645129</v>
      </c>
      <c r="AL44" s="1263">
        <v>10645129</v>
      </c>
      <c r="AM44" s="1263">
        <v>10645129</v>
      </c>
      <c r="AN44" s="1263">
        <v>10645129</v>
      </c>
      <c r="AO44" s="1263">
        <v>10645129</v>
      </c>
      <c r="AP44" s="1263">
        <v>10645129</v>
      </c>
      <c r="AQ44" s="1263">
        <v>10645129</v>
      </c>
      <c r="AR44" s="197">
        <f t="shared" ref="AR44" si="19">SUM(AF44:AQ44)</f>
        <v>127741548</v>
      </c>
      <c r="AS44" s="197">
        <f t="shared" ref="AS44" si="20">AE44-AR44</f>
        <v>138386686</v>
      </c>
      <c r="AT44" s="1264" t="s">
        <v>2233</v>
      </c>
    </row>
    <row r="45" spans="1:48" ht="62.5" x14ac:dyDescent="0.35">
      <c r="A45" s="237" t="s">
        <v>804</v>
      </c>
      <c r="B45" s="237"/>
      <c r="C45" s="237"/>
      <c r="D45" s="237"/>
      <c r="E45" s="237"/>
      <c r="F45" s="237"/>
      <c r="G45" s="237"/>
      <c r="H45" s="237"/>
      <c r="I45" s="991"/>
      <c r="J45" s="237"/>
      <c r="K45" s="237"/>
      <c r="L45" s="237"/>
      <c r="M45" s="237"/>
      <c r="N45" s="484"/>
      <c r="O45" s="237"/>
      <c r="P45" s="482"/>
      <c r="Q45" s="234"/>
      <c r="R45" s="234"/>
      <c r="S45" s="482" t="s">
        <v>1093</v>
      </c>
      <c r="T45" s="482"/>
      <c r="U45" s="234"/>
      <c r="V45" s="234"/>
      <c r="W45" s="234"/>
      <c r="X45" s="807" t="s">
        <v>1103</v>
      </c>
      <c r="Y45" s="1024">
        <v>627</v>
      </c>
      <c r="Z45" s="238">
        <v>6274001901</v>
      </c>
      <c r="AA45" s="1207" t="s">
        <v>1095</v>
      </c>
      <c r="AB45" s="1207" t="s">
        <v>1096</v>
      </c>
      <c r="AC45" s="202"/>
      <c r="AD45" s="202">
        <f t="shared" si="10"/>
        <v>0</v>
      </c>
      <c r="AE45" s="202"/>
      <c r="AF45" s="810"/>
      <c r="AG45" s="810"/>
      <c r="AH45" s="810"/>
      <c r="AI45" s="810"/>
      <c r="AJ45" s="810"/>
      <c r="AK45" s="810"/>
      <c r="AL45" s="810"/>
      <c r="AM45" s="810"/>
      <c r="AN45" s="810"/>
      <c r="AO45" s="810"/>
      <c r="AP45" s="810"/>
      <c r="AQ45" s="810"/>
      <c r="AR45" s="810"/>
      <c r="AS45" s="810">
        <f t="shared" si="9"/>
        <v>0</v>
      </c>
      <c r="AT45" s="1264" t="s">
        <v>2195</v>
      </c>
      <c r="AV45" s="838"/>
    </row>
    <row r="46" spans="1:48" ht="62.5" x14ac:dyDescent="0.35">
      <c r="A46" s="237" t="s">
        <v>805</v>
      </c>
      <c r="B46" s="237"/>
      <c r="C46" s="237"/>
      <c r="D46" s="237"/>
      <c r="E46" s="237"/>
      <c r="F46" s="237"/>
      <c r="G46" s="237"/>
      <c r="H46" s="237"/>
      <c r="I46" s="991"/>
      <c r="J46" s="237"/>
      <c r="K46" s="237"/>
      <c r="L46" s="237"/>
      <c r="M46" s="237"/>
      <c r="N46" s="484"/>
      <c r="O46" s="237"/>
      <c r="P46" s="482"/>
      <c r="Q46" s="234"/>
      <c r="R46" s="234"/>
      <c r="S46" s="482" t="s">
        <v>1093</v>
      </c>
      <c r="T46" s="482"/>
      <c r="U46" s="234"/>
      <c r="V46" s="234"/>
      <c r="W46" s="234"/>
      <c r="X46" s="807" t="s">
        <v>1104</v>
      </c>
      <c r="Y46" s="1024">
        <v>627</v>
      </c>
      <c r="Z46" s="238">
        <v>6274001901</v>
      </c>
      <c r="AA46" s="1207" t="s">
        <v>1095</v>
      </c>
      <c r="AB46" s="1207" t="s">
        <v>1096</v>
      </c>
      <c r="AC46" s="202"/>
      <c r="AD46" s="202">
        <f>AC46-AE46</f>
        <v>0</v>
      </c>
      <c r="AE46" s="202"/>
      <c r="AF46" s="810"/>
      <c r="AG46" s="810"/>
      <c r="AH46" s="810"/>
      <c r="AI46" s="810"/>
      <c r="AJ46" s="810"/>
      <c r="AK46" s="810"/>
      <c r="AL46" s="810"/>
      <c r="AM46" s="810"/>
      <c r="AN46" s="810"/>
      <c r="AO46" s="810"/>
      <c r="AP46" s="810"/>
      <c r="AQ46" s="810"/>
      <c r="AR46" s="810"/>
      <c r="AS46" s="810">
        <f t="shared" si="9"/>
        <v>0</v>
      </c>
      <c r="AT46" s="1264" t="s">
        <v>2195</v>
      </c>
    </row>
    <row r="47" spans="1:48" ht="75" x14ac:dyDescent="0.35">
      <c r="A47" s="237" t="s">
        <v>806</v>
      </c>
      <c r="B47" s="237"/>
      <c r="C47" s="237"/>
      <c r="D47" s="237"/>
      <c r="E47" s="237"/>
      <c r="F47" s="237"/>
      <c r="G47" s="237"/>
      <c r="H47" s="237"/>
      <c r="I47" s="991"/>
      <c r="J47" s="237"/>
      <c r="K47" s="237"/>
      <c r="L47" s="237"/>
      <c r="M47" s="237"/>
      <c r="N47" s="484"/>
      <c r="O47" s="237"/>
      <c r="P47" s="482"/>
      <c r="Q47" s="234"/>
      <c r="R47" s="234"/>
      <c r="S47" s="234"/>
      <c r="T47" s="482"/>
      <c r="U47" s="234"/>
      <c r="V47" s="234"/>
      <c r="W47" s="234"/>
      <c r="X47" s="807" t="s">
        <v>1105</v>
      </c>
      <c r="Y47" s="1024">
        <v>627</v>
      </c>
      <c r="Z47" s="238">
        <v>6274001905</v>
      </c>
      <c r="AA47" s="1207" t="s">
        <v>1106</v>
      </c>
      <c r="AB47" s="1207" t="s">
        <v>1107</v>
      </c>
      <c r="AC47" s="202">
        <f>SUM(AC48:AC49)</f>
        <v>710000000</v>
      </c>
      <c r="AD47" s="202">
        <f t="shared" si="10"/>
        <v>173124998</v>
      </c>
      <c r="AE47" s="202">
        <f t="shared" ref="AE47:AQ47" si="21">SUM(AE48:AE49)</f>
        <v>536875002</v>
      </c>
      <c r="AF47" s="810">
        <f t="shared" si="21"/>
        <v>8541666</v>
      </c>
      <c r="AG47" s="810">
        <f t="shared" si="21"/>
        <v>8541666</v>
      </c>
      <c r="AH47" s="810">
        <f t="shared" si="21"/>
        <v>8541666</v>
      </c>
      <c r="AI47" s="810">
        <f t="shared" si="21"/>
        <v>8541666</v>
      </c>
      <c r="AJ47" s="810">
        <f t="shared" si="21"/>
        <v>8541666</v>
      </c>
      <c r="AK47" s="810">
        <f t="shared" si="21"/>
        <v>8541666</v>
      </c>
      <c r="AL47" s="810">
        <f t="shared" si="21"/>
        <v>8541666</v>
      </c>
      <c r="AM47" s="810">
        <f t="shared" si="21"/>
        <v>8541666</v>
      </c>
      <c r="AN47" s="810">
        <f t="shared" si="21"/>
        <v>8541666</v>
      </c>
      <c r="AO47" s="810">
        <f t="shared" si="21"/>
        <v>8541666</v>
      </c>
      <c r="AP47" s="810">
        <f t="shared" si="21"/>
        <v>8541666</v>
      </c>
      <c r="AQ47" s="810">
        <f t="shared" si="21"/>
        <v>8541666</v>
      </c>
      <c r="AR47" s="810">
        <f t="shared" si="3"/>
        <v>102499992</v>
      </c>
      <c r="AS47" s="810">
        <f t="shared" si="9"/>
        <v>434375010</v>
      </c>
      <c r="AT47" s="1264" t="s">
        <v>2195</v>
      </c>
    </row>
    <row r="48" spans="1:48" ht="87.5" x14ac:dyDescent="0.35">
      <c r="A48" s="237"/>
      <c r="B48" s="237"/>
      <c r="C48" s="237"/>
      <c r="D48" s="237"/>
      <c r="E48" s="237"/>
      <c r="F48" s="237"/>
      <c r="G48" s="237"/>
      <c r="H48" s="237" t="s">
        <v>799</v>
      </c>
      <c r="I48" s="991" t="s">
        <v>1056</v>
      </c>
      <c r="J48" s="237"/>
      <c r="K48" s="237"/>
      <c r="L48" s="237"/>
      <c r="M48" s="237"/>
      <c r="N48" s="854"/>
      <c r="O48" s="811"/>
      <c r="P48" s="855" t="s">
        <v>1041</v>
      </c>
      <c r="Q48" s="856"/>
      <c r="R48" s="856" t="s">
        <v>860</v>
      </c>
      <c r="S48" s="857" t="s">
        <v>1089</v>
      </c>
      <c r="T48" s="842"/>
      <c r="U48" s="234"/>
      <c r="V48" s="234"/>
      <c r="W48" s="809">
        <v>45748</v>
      </c>
      <c r="X48" s="843" t="s">
        <v>1108</v>
      </c>
      <c r="Y48" s="1033"/>
      <c r="Z48" s="812" t="s">
        <v>904</v>
      </c>
      <c r="AA48" s="1211" t="s">
        <v>1106</v>
      </c>
      <c r="AB48" s="1211"/>
      <c r="AC48" s="858">
        <v>380000000</v>
      </c>
      <c r="AD48" s="858">
        <v>35624999</v>
      </c>
      <c r="AE48" s="858">
        <v>344375001</v>
      </c>
      <c r="AF48" s="1263">
        <v>3958333</v>
      </c>
      <c r="AG48" s="1263">
        <v>3958333</v>
      </c>
      <c r="AH48" s="1263">
        <v>3958333</v>
      </c>
      <c r="AI48" s="1263">
        <v>3958333</v>
      </c>
      <c r="AJ48" s="1263">
        <v>3958333</v>
      </c>
      <c r="AK48" s="1263">
        <v>3958333</v>
      </c>
      <c r="AL48" s="1263">
        <v>3958333</v>
      </c>
      <c r="AM48" s="1263">
        <v>3958333</v>
      </c>
      <c r="AN48" s="1263">
        <v>3958333</v>
      </c>
      <c r="AO48" s="1263">
        <v>3958333</v>
      </c>
      <c r="AP48" s="1263">
        <v>3958333</v>
      </c>
      <c r="AQ48" s="1263">
        <v>3958333</v>
      </c>
      <c r="AR48" s="197">
        <f>SUM(AF48:AQ48)</f>
        <v>47499996</v>
      </c>
      <c r="AS48" s="197">
        <f t="shared" si="9"/>
        <v>296875005</v>
      </c>
      <c r="AT48" s="1264" t="s">
        <v>1109</v>
      </c>
    </row>
    <row r="49" spans="1:46" ht="100" x14ac:dyDescent="0.35">
      <c r="A49" s="237"/>
      <c r="B49" s="237"/>
      <c r="C49" s="237"/>
      <c r="D49" s="237"/>
      <c r="E49" s="237"/>
      <c r="F49" s="237"/>
      <c r="G49" s="237"/>
      <c r="H49" s="237" t="s">
        <v>799</v>
      </c>
      <c r="I49" s="991" t="s">
        <v>967</v>
      </c>
      <c r="J49" s="237"/>
      <c r="K49" s="237"/>
      <c r="L49" s="237"/>
      <c r="M49" s="237"/>
      <c r="N49" s="854"/>
      <c r="O49" s="811"/>
      <c r="P49" s="855" t="s">
        <v>1041</v>
      </c>
      <c r="Q49" s="856"/>
      <c r="R49" s="856" t="s">
        <v>860</v>
      </c>
      <c r="S49" s="857" t="s">
        <v>1089</v>
      </c>
      <c r="T49" s="842"/>
      <c r="U49" s="234"/>
      <c r="V49" s="234"/>
      <c r="W49" s="809">
        <v>44912</v>
      </c>
      <c r="X49" s="843" t="s">
        <v>1111</v>
      </c>
      <c r="Y49" s="1033"/>
      <c r="Z49" s="812" t="s">
        <v>904</v>
      </c>
      <c r="AA49" s="1211" t="s">
        <v>1106</v>
      </c>
      <c r="AB49" s="1211"/>
      <c r="AC49" s="858">
        <v>330000000</v>
      </c>
      <c r="AD49" s="858">
        <v>137499999</v>
      </c>
      <c r="AE49" s="858">
        <v>192500001</v>
      </c>
      <c r="AF49" s="1263">
        <v>4583333</v>
      </c>
      <c r="AG49" s="1263">
        <v>4583333</v>
      </c>
      <c r="AH49" s="1263">
        <v>4583333</v>
      </c>
      <c r="AI49" s="1263">
        <v>4583333</v>
      </c>
      <c r="AJ49" s="1263">
        <v>4583333</v>
      </c>
      <c r="AK49" s="1263">
        <v>4583333</v>
      </c>
      <c r="AL49" s="1263">
        <v>4583333</v>
      </c>
      <c r="AM49" s="1263">
        <v>4583333</v>
      </c>
      <c r="AN49" s="1263">
        <v>4583333</v>
      </c>
      <c r="AO49" s="1263">
        <v>4583333</v>
      </c>
      <c r="AP49" s="1263">
        <v>4583333</v>
      </c>
      <c r="AQ49" s="1263">
        <v>4583333</v>
      </c>
      <c r="AR49" s="197">
        <f>SUM(AF49:AQ49)</f>
        <v>54999996</v>
      </c>
      <c r="AS49" s="197">
        <f t="shared" si="9"/>
        <v>137500005</v>
      </c>
      <c r="AT49" s="1264" t="s">
        <v>1112</v>
      </c>
    </row>
    <row r="50" spans="1:46" ht="75" x14ac:dyDescent="0.35">
      <c r="A50" s="237" t="s">
        <v>807</v>
      </c>
      <c r="B50" s="237"/>
      <c r="C50" s="237"/>
      <c r="D50" s="237"/>
      <c r="E50" s="237"/>
      <c r="F50" s="237"/>
      <c r="G50" s="237"/>
      <c r="H50" s="237"/>
      <c r="I50" s="991"/>
      <c r="J50" s="237"/>
      <c r="K50" s="237"/>
      <c r="L50" s="237"/>
      <c r="M50" s="237"/>
      <c r="N50" s="484"/>
      <c r="O50" s="237"/>
      <c r="P50" s="482"/>
      <c r="Q50" s="234"/>
      <c r="R50" s="234"/>
      <c r="S50" s="234"/>
      <c r="T50" s="482"/>
      <c r="U50" s="234"/>
      <c r="V50" s="234"/>
      <c r="W50" s="234"/>
      <c r="X50" s="807" t="s">
        <v>1113</v>
      </c>
      <c r="Y50" s="1024">
        <v>627</v>
      </c>
      <c r="Z50" s="238">
        <v>6274001905</v>
      </c>
      <c r="AA50" s="1207" t="s">
        <v>1106</v>
      </c>
      <c r="AB50" s="1207" t="s">
        <v>1107</v>
      </c>
      <c r="AC50" s="202">
        <v>440000000</v>
      </c>
      <c r="AD50" s="202">
        <f t="shared" si="10"/>
        <v>342444431</v>
      </c>
      <c r="AE50" s="202">
        <v>97555569</v>
      </c>
      <c r="AF50" s="810">
        <f>SUM(AF51:AF54)</f>
        <v>15123271</v>
      </c>
      <c r="AG50" s="810">
        <f t="shared" ref="AG50:AQ50" si="22">SUM(AG51:AG54)</f>
        <v>15123271</v>
      </c>
      <c r="AH50" s="810">
        <f t="shared" si="22"/>
        <v>15123271</v>
      </c>
      <c r="AI50" s="810">
        <f t="shared" si="22"/>
        <v>15123271</v>
      </c>
      <c r="AJ50" s="810">
        <f t="shared" si="22"/>
        <v>15123271</v>
      </c>
      <c r="AK50" s="810">
        <f t="shared" si="22"/>
        <v>15123271</v>
      </c>
      <c r="AL50" s="810">
        <f t="shared" si="22"/>
        <v>15123271</v>
      </c>
      <c r="AM50" s="810">
        <f t="shared" si="22"/>
        <v>15123271</v>
      </c>
      <c r="AN50" s="810">
        <f t="shared" si="22"/>
        <v>15123271</v>
      </c>
      <c r="AO50" s="810">
        <f t="shared" si="22"/>
        <v>15123271</v>
      </c>
      <c r="AP50" s="810">
        <f t="shared" si="22"/>
        <v>15123271</v>
      </c>
      <c r="AQ50" s="810">
        <f t="shared" si="22"/>
        <v>15123271</v>
      </c>
      <c r="AR50" s="810">
        <f t="shared" si="3"/>
        <v>181479252</v>
      </c>
      <c r="AS50" s="810">
        <f t="shared" si="9"/>
        <v>-83923683</v>
      </c>
      <c r="AT50" s="1264" t="s">
        <v>2195</v>
      </c>
    </row>
    <row r="51" spans="1:46" ht="87.5" x14ac:dyDescent="0.35">
      <c r="A51" s="237"/>
      <c r="B51" s="237"/>
      <c r="C51" s="237"/>
      <c r="D51" s="237"/>
      <c r="E51" s="237"/>
      <c r="F51" s="237"/>
      <c r="G51" s="237"/>
      <c r="H51" s="237" t="s">
        <v>799</v>
      </c>
      <c r="I51" s="991" t="s">
        <v>1056</v>
      </c>
      <c r="J51" s="237"/>
      <c r="K51" s="237"/>
      <c r="L51" s="237"/>
      <c r="M51" s="237"/>
      <c r="N51" s="854"/>
      <c r="O51" s="811"/>
      <c r="P51" s="855" t="s">
        <v>1041</v>
      </c>
      <c r="Q51" s="856"/>
      <c r="R51" s="856" t="s">
        <v>860</v>
      </c>
      <c r="S51" s="857" t="s">
        <v>1089</v>
      </c>
      <c r="T51" s="842"/>
      <c r="U51" s="234"/>
      <c r="V51" s="234"/>
      <c r="W51" s="809">
        <v>45748</v>
      </c>
      <c r="X51" s="843" t="s">
        <v>1115</v>
      </c>
      <c r="Y51" s="1033"/>
      <c r="Z51" s="812" t="s">
        <v>904</v>
      </c>
      <c r="AA51" s="1211" t="s">
        <v>1106</v>
      </c>
      <c r="AB51" s="1211"/>
      <c r="AC51" s="858">
        <v>100000000</v>
      </c>
      <c r="AD51" s="858">
        <v>37500001</v>
      </c>
      <c r="AE51" s="858">
        <v>62499999</v>
      </c>
      <c r="AF51" s="1263">
        <v>4166667</v>
      </c>
      <c r="AG51" s="1263">
        <v>4166667</v>
      </c>
      <c r="AH51" s="1263">
        <v>4166667</v>
      </c>
      <c r="AI51" s="1263">
        <v>4166667</v>
      </c>
      <c r="AJ51" s="1263">
        <v>4166667</v>
      </c>
      <c r="AK51" s="1263">
        <v>4166667</v>
      </c>
      <c r="AL51" s="1263">
        <v>4166667</v>
      </c>
      <c r="AM51" s="1263">
        <v>4166667</v>
      </c>
      <c r="AN51" s="1263">
        <v>4166667</v>
      </c>
      <c r="AO51" s="1263">
        <v>4166667</v>
      </c>
      <c r="AP51" s="1263">
        <v>4166667</v>
      </c>
      <c r="AQ51" s="1263">
        <v>4166667</v>
      </c>
      <c r="AR51" s="197">
        <f>SUM(AF51:AQ51)</f>
        <v>50000004</v>
      </c>
      <c r="AS51" s="197">
        <f t="shared" si="9"/>
        <v>12499995</v>
      </c>
      <c r="AT51" s="1264" t="s">
        <v>1116</v>
      </c>
    </row>
    <row r="52" spans="1:46" ht="76" x14ac:dyDescent="0.35">
      <c r="A52" s="237"/>
      <c r="B52" s="237"/>
      <c r="C52" s="237"/>
      <c r="D52" s="237"/>
      <c r="E52" s="237"/>
      <c r="F52" s="237"/>
      <c r="G52" s="237"/>
      <c r="H52" s="237" t="s">
        <v>799</v>
      </c>
      <c r="I52" s="991" t="s">
        <v>1117</v>
      </c>
      <c r="J52" s="237"/>
      <c r="K52" s="237"/>
      <c r="L52" s="237"/>
      <c r="M52" s="237"/>
      <c r="N52" s="854"/>
      <c r="O52" s="811"/>
      <c r="P52" s="855" t="s">
        <v>1041</v>
      </c>
      <c r="Q52" s="856"/>
      <c r="R52" s="856" t="s">
        <v>860</v>
      </c>
      <c r="S52" s="857" t="s">
        <v>1089</v>
      </c>
      <c r="T52" s="842"/>
      <c r="U52" s="234"/>
      <c r="V52" s="234"/>
      <c r="W52" s="809">
        <v>44616</v>
      </c>
      <c r="X52" s="843" t="s">
        <v>1118</v>
      </c>
      <c r="Y52" s="1033"/>
      <c r="Z52" s="812" t="s">
        <v>904</v>
      </c>
      <c r="AA52" s="1211" t="s">
        <v>1106</v>
      </c>
      <c r="AB52" s="1211"/>
      <c r="AC52" s="858">
        <v>122000000</v>
      </c>
      <c r="AD52" s="858">
        <v>76384277</v>
      </c>
      <c r="AE52" s="858">
        <v>45615723</v>
      </c>
      <c r="AF52" s="1263">
        <v>1572956</v>
      </c>
      <c r="AG52" s="1263">
        <v>1572956</v>
      </c>
      <c r="AH52" s="1263">
        <v>1572956</v>
      </c>
      <c r="AI52" s="1263">
        <v>1572956</v>
      </c>
      <c r="AJ52" s="1263">
        <v>1572956</v>
      </c>
      <c r="AK52" s="1263">
        <v>1572956</v>
      </c>
      <c r="AL52" s="1263">
        <v>1572956</v>
      </c>
      <c r="AM52" s="1263">
        <v>1572956</v>
      </c>
      <c r="AN52" s="1263">
        <v>1572956</v>
      </c>
      <c r="AO52" s="1263">
        <v>1572956</v>
      </c>
      <c r="AP52" s="1263">
        <v>1572956</v>
      </c>
      <c r="AQ52" s="1263">
        <v>1572956</v>
      </c>
      <c r="AR52" s="197">
        <f>SUM(AF52:AQ52)</f>
        <v>18875472</v>
      </c>
      <c r="AS52" s="197">
        <f t="shared" si="9"/>
        <v>26740251</v>
      </c>
      <c r="AT52" s="1264" t="s">
        <v>1119</v>
      </c>
    </row>
    <row r="53" spans="1:46" ht="100" x14ac:dyDescent="0.35">
      <c r="A53" s="237"/>
      <c r="B53" s="237"/>
      <c r="C53" s="237"/>
      <c r="D53" s="237"/>
      <c r="E53" s="237"/>
      <c r="F53" s="237"/>
      <c r="G53" s="237"/>
      <c r="H53" s="237" t="s">
        <v>799</v>
      </c>
      <c r="I53" s="991" t="s">
        <v>1120</v>
      </c>
      <c r="J53" s="237"/>
      <c r="K53" s="237"/>
      <c r="L53" s="237"/>
      <c r="M53" s="237"/>
      <c r="N53" s="854"/>
      <c r="O53" s="811"/>
      <c r="P53" s="855" t="s">
        <v>1041</v>
      </c>
      <c r="Q53" s="856"/>
      <c r="R53" s="856" t="s">
        <v>860</v>
      </c>
      <c r="S53" s="857" t="s">
        <v>1089</v>
      </c>
      <c r="T53" s="842"/>
      <c r="U53" s="234"/>
      <c r="V53" s="234"/>
      <c r="W53" s="809">
        <v>44884</v>
      </c>
      <c r="X53" s="843" t="s">
        <v>1121</v>
      </c>
      <c r="Y53" s="1033"/>
      <c r="Z53" s="812" t="s">
        <v>904</v>
      </c>
      <c r="AA53" s="1211" t="s">
        <v>1106</v>
      </c>
      <c r="AB53" s="1211"/>
      <c r="AC53" s="858">
        <v>360000000</v>
      </c>
      <c r="AD53" s="858">
        <v>180000000</v>
      </c>
      <c r="AE53" s="858">
        <v>180000000</v>
      </c>
      <c r="AF53" s="1263">
        <v>5000000</v>
      </c>
      <c r="AG53" s="1263">
        <v>5000000</v>
      </c>
      <c r="AH53" s="1263">
        <v>5000000</v>
      </c>
      <c r="AI53" s="1263">
        <v>5000000</v>
      </c>
      <c r="AJ53" s="1263">
        <v>5000000</v>
      </c>
      <c r="AK53" s="1263">
        <v>5000000</v>
      </c>
      <c r="AL53" s="1263">
        <v>5000000</v>
      </c>
      <c r="AM53" s="1263">
        <v>5000000</v>
      </c>
      <c r="AN53" s="1263">
        <v>5000000</v>
      </c>
      <c r="AO53" s="1263">
        <v>5000000</v>
      </c>
      <c r="AP53" s="1263">
        <v>5000000</v>
      </c>
      <c r="AQ53" s="1263">
        <v>5000000</v>
      </c>
      <c r="AR53" s="197">
        <f>SUM(AF53:AQ53)</f>
        <v>60000000</v>
      </c>
      <c r="AS53" s="197"/>
      <c r="AT53" s="1264" t="s">
        <v>1122</v>
      </c>
    </row>
    <row r="54" spans="1:46" ht="100" x14ac:dyDescent="0.35">
      <c r="A54" s="237"/>
      <c r="B54" s="237"/>
      <c r="C54" s="237"/>
      <c r="D54" s="237"/>
      <c r="E54" s="237"/>
      <c r="F54" s="237"/>
      <c r="G54" s="237"/>
      <c r="H54" s="237" t="s">
        <v>799</v>
      </c>
      <c r="I54" s="991" t="s">
        <v>1123</v>
      </c>
      <c r="J54" s="237"/>
      <c r="K54" s="237"/>
      <c r="L54" s="237"/>
      <c r="M54" s="237"/>
      <c r="N54" s="854"/>
      <c r="O54" s="811"/>
      <c r="P54" s="855" t="s">
        <v>1041</v>
      </c>
      <c r="Q54" s="856"/>
      <c r="R54" s="856" t="s">
        <v>860</v>
      </c>
      <c r="S54" s="857" t="s">
        <v>1089</v>
      </c>
      <c r="T54" s="842"/>
      <c r="U54" s="234"/>
      <c r="V54" s="234"/>
      <c r="W54" s="809">
        <v>44615</v>
      </c>
      <c r="X54" s="843" t="s">
        <v>1124</v>
      </c>
      <c r="Y54" s="1033"/>
      <c r="Z54" s="812" t="s">
        <v>904</v>
      </c>
      <c r="AA54" s="1211" t="s">
        <v>1106</v>
      </c>
      <c r="AB54" s="1211"/>
      <c r="AC54" s="858">
        <v>340000000</v>
      </c>
      <c r="AD54" s="858">
        <v>212874215</v>
      </c>
      <c r="AE54" s="858">
        <v>127125785</v>
      </c>
      <c r="AF54" s="1263">
        <v>4383648</v>
      </c>
      <c r="AG54" s="1263">
        <v>4383648</v>
      </c>
      <c r="AH54" s="1263">
        <v>4383648</v>
      </c>
      <c r="AI54" s="1263">
        <v>4383648</v>
      </c>
      <c r="AJ54" s="1263">
        <v>4383648</v>
      </c>
      <c r="AK54" s="1263">
        <v>4383648</v>
      </c>
      <c r="AL54" s="1263">
        <v>4383648</v>
      </c>
      <c r="AM54" s="1263">
        <v>4383648</v>
      </c>
      <c r="AN54" s="1263">
        <v>4383648</v>
      </c>
      <c r="AO54" s="1263">
        <v>4383648</v>
      </c>
      <c r="AP54" s="1263">
        <v>4383648</v>
      </c>
      <c r="AQ54" s="1263">
        <v>4383648</v>
      </c>
      <c r="AR54" s="197">
        <f>SUM(AF54:AQ54)</f>
        <v>52603776</v>
      </c>
      <c r="AS54" s="197">
        <f t="shared" si="9"/>
        <v>74522009</v>
      </c>
      <c r="AT54" s="1264" t="s">
        <v>1125</v>
      </c>
    </row>
    <row r="55" spans="1:46" ht="62.5" x14ac:dyDescent="0.35">
      <c r="A55" s="237" t="s">
        <v>808</v>
      </c>
      <c r="B55" s="237"/>
      <c r="C55" s="237"/>
      <c r="D55" s="237"/>
      <c r="E55" s="237"/>
      <c r="F55" s="237"/>
      <c r="G55" s="237"/>
      <c r="H55" s="237"/>
      <c r="I55" s="991"/>
      <c r="J55" s="237"/>
      <c r="K55" s="237"/>
      <c r="L55" s="237"/>
      <c r="M55" s="237"/>
      <c r="N55" s="484"/>
      <c r="O55" s="237"/>
      <c r="P55" s="482"/>
      <c r="Q55" s="234"/>
      <c r="R55" s="234"/>
      <c r="S55" s="234"/>
      <c r="T55" s="482"/>
      <c r="U55" s="234"/>
      <c r="V55" s="234"/>
      <c r="W55" s="234"/>
      <c r="X55" s="807" t="s">
        <v>1126</v>
      </c>
      <c r="Y55" s="1024">
        <v>642</v>
      </c>
      <c r="Z55" s="238">
        <v>6424001901</v>
      </c>
      <c r="AA55" s="1207" t="s">
        <v>1095</v>
      </c>
      <c r="AB55" s="1207" t="s">
        <v>1096</v>
      </c>
      <c r="AC55" s="202">
        <f>SUM(AC56:AC58)</f>
        <v>83000000</v>
      </c>
      <c r="AD55" s="202">
        <f t="shared" si="10"/>
        <v>45834444</v>
      </c>
      <c r="AE55" s="202">
        <f>SUM(AE56:AE58)</f>
        <v>37165556</v>
      </c>
      <c r="AF55" s="810">
        <f>SUM(AF56:AF58)</f>
        <v>1429444</v>
      </c>
      <c r="AG55" s="810">
        <f t="shared" ref="AG55:AQ55" si="23">SUM(AG56:AG58)</f>
        <v>1429444</v>
      </c>
      <c r="AH55" s="810">
        <f t="shared" si="23"/>
        <v>1429444</v>
      </c>
      <c r="AI55" s="810">
        <f t="shared" si="23"/>
        <v>1429444</v>
      </c>
      <c r="AJ55" s="810">
        <f t="shared" si="23"/>
        <v>1429444</v>
      </c>
      <c r="AK55" s="810">
        <f t="shared" si="23"/>
        <v>1429444</v>
      </c>
      <c r="AL55" s="810">
        <f t="shared" si="23"/>
        <v>1429444</v>
      </c>
      <c r="AM55" s="810">
        <f t="shared" si="23"/>
        <v>1429444</v>
      </c>
      <c r="AN55" s="810">
        <f t="shared" si="23"/>
        <v>1429444</v>
      </c>
      <c r="AO55" s="810">
        <f t="shared" si="23"/>
        <v>1429444</v>
      </c>
      <c r="AP55" s="810">
        <f t="shared" si="23"/>
        <v>1429444</v>
      </c>
      <c r="AQ55" s="810">
        <f t="shared" si="23"/>
        <v>1429444</v>
      </c>
      <c r="AR55" s="810">
        <f t="shared" si="3"/>
        <v>17153328</v>
      </c>
      <c r="AS55" s="810">
        <f t="shared" si="9"/>
        <v>20012228</v>
      </c>
      <c r="AT55" s="1264" t="s">
        <v>2195</v>
      </c>
    </row>
    <row r="56" spans="1:46" ht="87.5" x14ac:dyDescent="0.35">
      <c r="A56" s="237"/>
      <c r="B56" s="237"/>
      <c r="C56" s="237"/>
      <c r="D56" s="237"/>
      <c r="E56" s="237"/>
      <c r="F56" s="237"/>
      <c r="G56" s="237"/>
      <c r="H56" s="237" t="s">
        <v>799</v>
      </c>
      <c r="I56" s="991" t="s">
        <v>968</v>
      </c>
      <c r="J56" s="237"/>
      <c r="K56" s="237"/>
      <c r="L56" s="237"/>
      <c r="M56" s="237"/>
      <c r="N56" s="854"/>
      <c r="O56" s="811"/>
      <c r="P56" s="855" t="s">
        <v>1041</v>
      </c>
      <c r="Q56" s="856"/>
      <c r="R56" s="856" t="s">
        <v>859</v>
      </c>
      <c r="S56" s="857" t="s">
        <v>1063</v>
      </c>
      <c r="T56" s="842"/>
      <c r="U56" s="234"/>
      <c r="V56" s="234"/>
      <c r="W56" s="809">
        <v>44915</v>
      </c>
      <c r="X56" s="843" t="s">
        <v>1127</v>
      </c>
      <c r="Y56" s="1033"/>
      <c r="Z56" s="812" t="s">
        <v>903</v>
      </c>
      <c r="AA56" s="1211" t="s">
        <v>1092</v>
      </c>
      <c r="AB56" s="1211"/>
      <c r="AC56" s="858">
        <v>41500000</v>
      </c>
      <c r="AD56" s="858">
        <v>22917222</v>
      </c>
      <c r="AE56" s="858">
        <v>18582778</v>
      </c>
      <c r="AF56" s="1263">
        <v>714722</v>
      </c>
      <c r="AG56" s="1263">
        <v>714722</v>
      </c>
      <c r="AH56" s="1263">
        <v>714722</v>
      </c>
      <c r="AI56" s="1263">
        <v>714722</v>
      </c>
      <c r="AJ56" s="1263">
        <v>714722</v>
      </c>
      <c r="AK56" s="1263">
        <v>714722</v>
      </c>
      <c r="AL56" s="1263">
        <v>714722</v>
      </c>
      <c r="AM56" s="1263">
        <v>714722</v>
      </c>
      <c r="AN56" s="1263">
        <v>714722</v>
      </c>
      <c r="AO56" s="1263">
        <v>714722</v>
      </c>
      <c r="AP56" s="1263">
        <v>714722</v>
      </c>
      <c r="AQ56" s="1263">
        <v>714722</v>
      </c>
      <c r="AR56" s="197">
        <f>SUM(AF56:AQ56)</f>
        <v>8576664</v>
      </c>
      <c r="AS56" s="197">
        <f t="shared" si="9"/>
        <v>10006114</v>
      </c>
      <c r="AT56" s="1264" t="s">
        <v>2234</v>
      </c>
    </row>
    <row r="57" spans="1:46" ht="87.5" x14ac:dyDescent="0.35">
      <c r="A57" s="237"/>
      <c r="B57" s="237"/>
      <c r="C57" s="237"/>
      <c r="D57" s="237"/>
      <c r="E57" s="237"/>
      <c r="F57" s="237"/>
      <c r="G57" s="237"/>
      <c r="H57" s="237" t="s">
        <v>799</v>
      </c>
      <c r="I57" s="991" t="s">
        <v>968</v>
      </c>
      <c r="J57" s="237"/>
      <c r="K57" s="237"/>
      <c r="L57" s="237"/>
      <c r="M57" s="237"/>
      <c r="N57" s="854"/>
      <c r="O57" s="811"/>
      <c r="P57" s="855" t="s">
        <v>1041</v>
      </c>
      <c r="Q57" s="856"/>
      <c r="R57" s="856" t="s">
        <v>861</v>
      </c>
      <c r="S57" s="857" t="s">
        <v>1072</v>
      </c>
      <c r="T57" s="842"/>
      <c r="U57" s="234"/>
      <c r="V57" s="234"/>
      <c r="W57" s="809">
        <v>44915</v>
      </c>
      <c r="X57" s="843" t="s">
        <v>1128</v>
      </c>
      <c r="Y57" s="1033"/>
      <c r="Z57" s="812" t="s">
        <v>903</v>
      </c>
      <c r="AA57" s="1211" t="s">
        <v>1092</v>
      </c>
      <c r="AB57" s="1211"/>
      <c r="AC57" s="858">
        <v>41500000</v>
      </c>
      <c r="AD57" s="858">
        <v>22917222</v>
      </c>
      <c r="AE57" s="858">
        <v>18582778</v>
      </c>
      <c r="AF57" s="1263">
        <v>714722</v>
      </c>
      <c r="AG57" s="1263">
        <v>714722</v>
      </c>
      <c r="AH57" s="1263">
        <v>714722</v>
      </c>
      <c r="AI57" s="1263">
        <v>714722</v>
      </c>
      <c r="AJ57" s="1263">
        <v>714722</v>
      </c>
      <c r="AK57" s="1263">
        <v>714722</v>
      </c>
      <c r="AL57" s="1263">
        <v>714722</v>
      </c>
      <c r="AM57" s="1263">
        <v>714722</v>
      </c>
      <c r="AN57" s="1263">
        <v>714722</v>
      </c>
      <c r="AO57" s="1263">
        <v>714722</v>
      </c>
      <c r="AP57" s="1263">
        <v>714722</v>
      </c>
      <c r="AQ57" s="1263">
        <v>714722</v>
      </c>
      <c r="AR57" s="197">
        <f>SUM(AF57:AQ57)</f>
        <v>8576664</v>
      </c>
      <c r="AS57" s="197">
        <f t="shared" si="9"/>
        <v>10006114</v>
      </c>
      <c r="AT57" s="1264" t="s">
        <v>2235</v>
      </c>
    </row>
    <row r="58" spans="1:46" x14ac:dyDescent="0.35">
      <c r="A58" s="237"/>
      <c r="B58" s="237"/>
      <c r="C58" s="237"/>
      <c r="D58" s="237"/>
      <c r="E58" s="237"/>
      <c r="F58" s="237"/>
      <c r="G58" s="237"/>
      <c r="H58" s="237"/>
      <c r="I58" s="991"/>
      <c r="J58" s="237"/>
      <c r="K58" s="237"/>
      <c r="L58" s="237"/>
      <c r="M58" s="237"/>
      <c r="N58" s="854"/>
      <c r="O58" s="811"/>
      <c r="P58" s="855"/>
      <c r="Q58" s="856"/>
      <c r="R58" s="856"/>
      <c r="S58" s="857"/>
      <c r="T58" s="842"/>
      <c r="U58" s="234"/>
      <c r="V58" s="234"/>
      <c r="W58" s="809"/>
      <c r="X58" s="842"/>
      <c r="Y58" s="1033"/>
      <c r="Z58" s="812"/>
      <c r="AA58" s="1211"/>
      <c r="AB58" s="1211"/>
      <c r="AC58" s="858"/>
      <c r="AD58" s="858"/>
      <c r="AE58" s="858"/>
      <c r="AF58" s="858"/>
      <c r="AG58" s="858"/>
      <c r="AH58" s="858"/>
      <c r="AI58" s="858"/>
      <c r="AJ58" s="858"/>
      <c r="AK58" s="858"/>
      <c r="AL58" s="858"/>
      <c r="AM58" s="858"/>
      <c r="AN58" s="858"/>
      <c r="AO58" s="858"/>
      <c r="AP58" s="858"/>
      <c r="AQ58" s="858"/>
      <c r="AR58" s="197"/>
      <c r="AS58" s="197"/>
      <c r="AT58" s="1264" t="e">
        <v>#N/A</v>
      </c>
    </row>
    <row r="59" spans="1:46" ht="75" x14ac:dyDescent="0.35">
      <c r="A59" s="237" t="s">
        <v>809</v>
      </c>
      <c r="B59" s="237"/>
      <c r="C59" s="237"/>
      <c r="D59" s="237"/>
      <c r="E59" s="237"/>
      <c r="F59" s="237"/>
      <c r="G59" s="237"/>
      <c r="H59" s="237"/>
      <c r="I59" s="991"/>
      <c r="J59" s="237"/>
      <c r="K59" s="237"/>
      <c r="L59" s="237"/>
      <c r="M59" s="237"/>
      <c r="N59" s="484"/>
      <c r="O59" s="237"/>
      <c r="P59" s="482"/>
      <c r="Q59" s="234"/>
      <c r="R59" s="234"/>
      <c r="S59" s="234"/>
      <c r="T59" s="482"/>
      <c r="U59" s="234"/>
      <c r="V59" s="234"/>
      <c r="W59" s="234"/>
      <c r="X59" s="807" t="s">
        <v>1129</v>
      </c>
      <c r="Y59" s="1024">
        <v>642</v>
      </c>
      <c r="Z59" s="238">
        <v>6424001907</v>
      </c>
      <c r="AA59" s="1207" t="s">
        <v>1130</v>
      </c>
      <c r="AB59" s="1207" t="s">
        <v>1131</v>
      </c>
      <c r="AC59" s="202">
        <f>SUM(AC60)</f>
        <v>430507331</v>
      </c>
      <c r="AD59" s="202">
        <f t="shared" ref="AD59" si="24">AC59-AE59</f>
        <v>279829768</v>
      </c>
      <c r="AE59" s="202">
        <f t="shared" ref="AE59:AQ59" si="25">SUM(AE60)</f>
        <v>150677563</v>
      </c>
      <c r="AF59" s="810">
        <f t="shared" si="25"/>
        <v>2643466.0175438598</v>
      </c>
      <c r="AG59" s="810">
        <f t="shared" si="25"/>
        <v>2643466.0175438598</v>
      </c>
      <c r="AH59" s="810">
        <f t="shared" si="25"/>
        <v>2643466.0175438598</v>
      </c>
      <c r="AI59" s="810">
        <f t="shared" si="25"/>
        <v>2643466.0175438598</v>
      </c>
      <c r="AJ59" s="810">
        <f t="shared" si="25"/>
        <v>2643466.0175438598</v>
      </c>
      <c r="AK59" s="810">
        <f t="shared" si="25"/>
        <v>2643466.0175438598</v>
      </c>
      <c r="AL59" s="810">
        <f t="shared" si="25"/>
        <v>2643466.0175438598</v>
      </c>
      <c r="AM59" s="810">
        <f t="shared" si="25"/>
        <v>2643466.0175438598</v>
      </c>
      <c r="AN59" s="810">
        <f t="shared" si="25"/>
        <v>2643466.0175438598</v>
      </c>
      <c r="AO59" s="810">
        <f t="shared" si="25"/>
        <v>2643466.0175438598</v>
      </c>
      <c r="AP59" s="810">
        <f t="shared" si="25"/>
        <v>2643466.0175438598</v>
      </c>
      <c r="AQ59" s="810">
        <f t="shared" si="25"/>
        <v>2643466.0175438598</v>
      </c>
      <c r="AR59" s="810">
        <f t="shared" si="3"/>
        <v>31721592.210526317</v>
      </c>
      <c r="AS59" s="810">
        <f>AE59-AR59</f>
        <v>118955970.78947368</v>
      </c>
      <c r="AT59" s="1264" t="s">
        <v>2195</v>
      </c>
    </row>
    <row r="60" spans="1:46" ht="87.5" x14ac:dyDescent="0.35">
      <c r="A60" s="237"/>
      <c r="B60" s="237"/>
      <c r="C60" s="237"/>
      <c r="D60" s="237"/>
      <c r="E60" s="237"/>
      <c r="F60" s="237"/>
      <c r="G60" s="237"/>
      <c r="H60" s="237" t="s">
        <v>799</v>
      </c>
      <c r="I60" s="991" t="s">
        <v>1132</v>
      </c>
      <c r="J60" s="237"/>
      <c r="K60" s="237"/>
      <c r="L60" s="237"/>
      <c r="M60" s="237"/>
      <c r="N60" s="854"/>
      <c r="O60" s="811"/>
      <c r="P60" s="855" t="s">
        <v>1133</v>
      </c>
      <c r="Q60" s="856"/>
      <c r="R60" s="856" t="s">
        <v>878</v>
      </c>
      <c r="S60" s="857" t="s">
        <v>1134</v>
      </c>
      <c r="T60" s="842"/>
      <c r="U60" s="234"/>
      <c r="V60" s="234"/>
      <c r="W60" s="809">
        <v>44743</v>
      </c>
      <c r="X60" s="843" t="s">
        <v>1135</v>
      </c>
      <c r="Y60" s="1033"/>
      <c r="Z60" s="812" t="s">
        <v>915</v>
      </c>
      <c r="AA60" s="1211" t="s">
        <v>1130</v>
      </c>
      <c r="AB60" s="1211"/>
      <c r="AC60" s="858">
        <v>430507331</v>
      </c>
      <c r="AD60" s="858">
        <v>279829768</v>
      </c>
      <c r="AE60" s="858">
        <v>150677563</v>
      </c>
      <c r="AF60" s="1263">
        <v>2643466.0175438598</v>
      </c>
      <c r="AG60" s="1263">
        <v>2643466.0175438598</v>
      </c>
      <c r="AH60" s="1263">
        <v>2643466.0175438598</v>
      </c>
      <c r="AI60" s="1263">
        <v>2643466.0175438598</v>
      </c>
      <c r="AJ60" s="1263">
        <v>2643466.0175438598</v>
      </c>
      <c r="AK60" s="1263">
        <v>2643466.0175438598</v>
      </c>
      <c r="AL60" s="1263">
        <v>2643466.0175438598</v>
      </c>
      <c r="AM60" s="1263">
        <v>2643466.0175438598</v>
      </c>
      <c r="AN60" s="1263">
        <v>2643466.0175438598</v>
      </c>
      <c r="AO60" s="1263">
        <v>2643466.0175438598</v>
      </c>
      <c r="AP60" s="1263">
        <v>2643466.0175438598</v>
      </c>
      <c r="AQ60" s="1263">
        <v>2643466.0175438598</v>
      </c>
      <c r="AR60" s="197">
        <f>SUM(AF60:AQ60)</f>
        <v>31721592.210526317</v>
      </c>
      <c r="AS60" s="197">
        <f t="shared" ref="AS60" si="26">AE60-AR60</f>
        <v>118955970.78947368</v>
      </c>
      <c r="AT60" s="1264" t="s">
        <v>2236</v>
      </c>
    </row>
    <row r="61" spans="1:46" ht="75" x14ac:dyDescent="0.35">
      <c r="A61" s="237" t="s">
        <v>810</v>
      </c>
      <c r="B61" s="237"/>
      <c r="C61" s="237"/>
      <c r="D61" s="237"/>
      <c r="E61" s="237"/>
      <c r="F61" s="237"/>
      <c r="G61" s="237"/>
      <c r="H61" s="237"/>
      <c r="I61" s="991"/>
      <c r="J61" s="237"/>
      <c r="K61" s="237"/>
      <c r="L61" s="237"/>
      <c r="M61" s="237"/>
      <c r="N61" s="237"/>
      <c r="O61" s="237"/>
      <c r="P61" s="482"/>
      <c r="Q61" s="234"/>
      <c r="R61" s="234"/>
      <c r="S61" s="482" t="s">
        <v>1136</v>
      </c>
      <c r="T61" s="482"/>
      <c r="U61" s="234"/>
      <c r="V61" s="234"/>
      <c r="W61" s="234"/>
      <c r="X61" s="807" t="s">
        <v>1137</v>
      </c>
      <c r="Y61" s="1024">
        <v>627</v>
      </c>
      <c r="Z61" s="238">
        <v>6274001903</v>
      </c>
      <c r="AA61" s="1207" t="s">
        <v>896</v>
      </c>
      <c r="AB61" s="1207" t="s">
        <v>1038</v>
      </c>
      <c r="AC61" s="202">
        <f>SUM(AC62:AC71)</f>
        <v>4369292165</v>
      </c>
      <c r="AD61" s="202">
        <f>AC61-AE61</f>
        <v>2892886309</v>
      </c>
      <c r="AE61" s="202">
        <f>SUM(AE62:AE70)</f>
        <v>1476405856</v>
      </c>
      <c r="AF61" s="810">
        <f>SUM(AF62:AF70)</f>
        <v>12796946.172842309</v>
      </c>
      <c r="AG61" s="810">
        <f t="shared" ref="AG61:AQ61" si="27">SUM(AG62:AG70)</f>
        <v>12796946.172842309</v>
      </c>
      <c r="AH61" s="810">
        <f t="shared" si="27"/>
        <v>12796946.172842309</v>
      </c>
      <c r="AI61" s="810">
        <f t="shared" si="27"/>
        <v>12796946.172842309</v>
      </c>
      <c r="AJ61" s="810">
        <f t="shared" si="27"/>
        <v>12796946.172842309</v>
      </c>
      <c r="AK61" s="810">
        <f t="shared" si="27"/>
        <v>12796946.172842309</v>
      </c>
      <c r="AL61" s="810">
        <f t="shared" si="27"/>
        <v>12796946.172842309</v>
      </c>
      <c r="AM61" s="810">
        <f t="shared" si="27"/>
        <v>12796946.172842309</v>
      </c>
      <c r="AN61" s="810">
        <f t="shared" si="27"/>
        <v>12796946.172842309</v>
      </c>
      <c r="AO61" s="810">
        <f t="shared" si="27"/>
        <v>12796946.172842309</v>
      </c>
      <c r="AP61" s="810">
        <f t="shared" si="27"/>
        <v>12796946.172842309</v>
      </c>
      <c r="AQ61" s="810">
        <f t="shared" si="27"/>
        <v>12796946.172842309</v>
      </c>
      <c r="AR61" s="810">
        <f>SUM(AF61:AQ61)</f>
        <v>153563354.07410771</v>
      </c>
      <c r="AS61" s="810">
        <f t="shared" si="9"/>
        <v>1322842501.9258924</v>
      </c>
      <c r="AT61" s="1264" t="s">
        <v>2195</v>
      </c>
    </row>
    <row r="62" spans="1:46" ht="112.5" x14ac:dyDescent="0.35">
      <c r="A62" s="237"/>
      <c r="B62" s="237"/>
      <c r="C62" s="237"/>
      <c r="D62" s="237"/>
      <c r="E62" s="237"/>
      <c r="F62" s="237"/>
      <c r="G62" s="237"/>
      <c r="H62" s="237" t="s">
        <v>799</v>
      </c>
      <c r="I62" s="991" t="s">
        <v>1074</v>
      </c>
      <c r="J62" s="237"/>
      <c r="K62" s="237"/>
      <c r="L62" s="237"/>
      <c r="M62" s="237"/>
      <c r="N62" s="854"/>
      <c r="O62" s="811"/>
      <c r="P62" s="855" t="s">
        <v>1041</v>
      </c>
      <c r="Q62" s="856"/>
      <c r="R62" s="808" t="s">
        <v>856</v>
      </c>
      <c r="S62" s="987" t="s">
        <v>1138</v>
      </c>
      <c r="T62" s="842"/>
      <c r="U62" s="234"/>
      <c r="V62" s="234"/>
      <c r="W62" s="809">
        <v>44896</v>
      </c>
      <c r="X62" s="843" t="s">
        <v>1139</v>
      </c>
      <c r="Y62" s="1033"/>
      <c r="Z62" s="812" t="s">
        <v>895</v>
      </c>
      <c r="AA62" s="1211" t="s">
        <v>896</v>
      </c>
      <c r="AB62" s="1211"/>
      <c r="AC62" s="858">
        <v>2367530878</v>
      </c>
      <c r="AD62" s="858">
        <v>2093639848</v>
      </c>
      <c r="AE62" s="858">
        <v>273891030</v>
      </c>
      <c r="AF62" s="1263">
        <v>2536028.0555555555</v>
      </c>
      <c r="AG62" s="1263">
        <v>2536028.0555555555</v>
      </c>
      <c r="AH62" s="1263">
        <v>2536028.0555555555</v>
      </c>
      <c r="AI62" s="1263">
        <v>2536028.0555555555</v>
      </c>
      <c r="AJ62" s="1263">
        <v>2536028.0555555555</v>
      </c>
      <c r="AK62" s="1263">
        <v>2536028.0555555555</v>
      </c>
      <c r="AL62" s="1263">
        <v>2536028.0555555555</v>
      </c>
      <c r="AM62" s="1263">
        <v>2536028.0555555555</v>
      </c>
      <c r="AN62" s="1263">
        <v>2536028.0555555555</v>
      </c>
      <c r="AO62" s="1263">
        <v>2536028.0555555555</v>
      </c>
      <c r="AP62" s="1263">
        <v>2536028.0555555555</v>
      </c>
      <c r="AQ62" s="1263">
        <v>2536028.0555555555</v>
      </c>
      <c r="AR62" s="197">
        <f t="shared" ref="AR62:AR71" si="28">SUM(AF62:AQ62)</f>
        <v>30432336.666666668</v>
      </c>
      <c r="AS62" s="197">
        <f t="shared" si="9"/>
        <v>243458693.33333334</v>
      </c>
      <c r="AT62" s="1264" t="s">
        <v>1140</v>
      </c>
    </row>
    <row r="63" spans="1:46" ht="87.5" x14ac:dyDescent="0.35">
      <c r="A63" s="237"/>
      <c r="B63" s="237"/>
      <c r="C63" s="237"/>
      <c r="D63" s="237"/>
      <c r="E63" s="237"/>
      <c r="F63" s="237"/>
      <c r="G63" s="237"/>
      <c r="H63" s="237" t="s">
        <v>799</v>
      </c>
      <c r="I63" s="991" t="s">
        <v>1044</v>
      </c>
      <c r="J63" s="237"/>
      <c r="K63" s="237"/>
      <c r="L63" s="237"/>
      <c r="M63" s="237"/>
      <c r="N63" s="854"/>
      <c r="O63" s="811"/>
      <c r="P63" s="855" t="s">
        <v>1041</v>
      </c>
      <c r="Q63" s="856"/>
      <c r="R63" s="808" t="s">
        <v>856</v>
      </c>
      <c r="S63" s="987" t="s">
        <v>1138</v>
      </c>
      <c r="T63" s="842"/>
      <c r="U63" s="234"/>
      <c r="V63" s="234"/>
      <c r="W63" s="809">
        <v>44907</v>
      </c>
      <c r="X63" s="843" t="s">
        <v>1141</v>
      </c>
      <c r="Y63" s="1033"/>
      <c r="Z63" s="812" t="s">
        <v>895</v>
      </c>
      <c r="AA63" s="1211" t="s">
        <v>896</v>
      </c>
      <c r="AB63" s="1211"/>
      <c r="AC63" s="858">
        <v>283678150</v>
      </c>
      <c r="AD63" s="858">
        <v>165478920</v>
      </c>
      <c r="AE63" s="858">
        <v>118199230</v>
      </c>
      <c r="AF63" s="1263">
        <v>1084396.6055045871</v>
      </c>
      <c r="AG63" s="1263">
        <v>1084396.6055045871</v>
      </c>
      <c r="AH63" s="1263">
        <v>1084396.6055045871</v>
      </c>
      <c r="AI63" s="1263">
        <v>1084396.6055045871</v>
      </c>
      <c r="AJ63" s="1263">
        <v>1084396.6055045871</v>
      </c>
      <c r="AK63" s="1263">
        <v>1084396.6055045871</v>
      </c>
      <c r="AL63" s="1263">
        <v>1084396.6055045871</v>
      </c>
      <c r="AM63" s="1263">
        <v>1084396.6055045871</v>
      </c>
      <c r="AN63" s="1263">
        <v>1084396.6055045871</v>
      </c>
      <c r="AO63" s="1263">
        <v>1084396.6055045871</v>
      </c>
      <c r="AP63" s="1263">
        <v>1084396.6055045871</v>
      </c>
      <c r="AQ63" s="1263">
        <v>1084396.6055045871</v>
      </c>
      <c r="AR63" s="197">
        <f t="shared" si="28"/>
        <v>13012759.266055046</v>
      </c>
      <c r="AS63" s="197">
        <f t="shared" si="9"/>
        <v>105186470.73394495</v>
      </c>
      <c r="AT63" s="1264" t="s">
        <v>1142</v>
      </c>
    </row>
    <row r="64" spans="1:46" ht="100" x14ac:dyDescent="0.35">
      <c r="A64" s="237"/>
      <c r="B64" s="237"/>
      <c r="C64" s="237"/>
      <c r="D64" s="237"/>
      <c r="E64" s="237"/>
      <c r="F64" s="237"/>
      <c r="G64" s="237"/>
      <c r="H64" s="237" t="s">
        <v>799</v>
      </c>
      <c r="I64" s="991" t="s">
        <v>1143</v>
      </c>
      <c r="J64" s="237"/>
      <c r="K64" s="237"/>
      <c r="L64" s="237"/>
      <c r="M64" s="237"/>
      <c r="N64" s="854"/>
      <c r="O64" s="811"/>
      <c r="P64" s="855" t="s">
        <v>1041</v>
      </c>
      <c r="Q64" s="856"/>
      <c r="R64" s="808" t="s">
        <v>856</v>
      </c>
      <c r="S64" s="987" t="s">
        <v>1138</v>
      </c>
      <c r="T64" s="842"/>
      <c r="U64" s="234"/>
      <c r="V64" s="234"/>
      <c r="W64" s="809">
        <v>44977</v>
      </c>
      <c r="X64" s="843" t="s">
        <v>1144</v>
      </c>
      <c r="Y64" s="1033"/>
      <c r="Z64" s="812" t="s">
        <v>895</v>
      </c>
      <c r="AA64" s="1211" t="s">
        <v>896</v>
      </c>
      <c r="AB64" s="1211"/>
      <c r="AC64" s="858">
        <v>145166400</v>
      </c>
      <c r="AD64" s="858">
        <v>79841520</v>
      </c>
      <c r="AE64" s="858">
        <v>65324880</v>
      </c>
      <c r="AF64" s="1263">
        <v>588512.43243243243</v>
      </c>
      <c r="AG64" s="1263">
        <v>588512.43243243243</v>
      </c>
      <c r="AH64" s="1263">
        <v>588512.43243243243</v>
      </c>
      <c r="AI64" s="1263">
        <v>588512.43243243243</v>
      </c>
      <c r="AJ64" s="1263">
        <v>588512.43243243243</v>
      </c>
      <c r="AK64" s="1263">
        <v>588512.43243243243</v>
      </c>
      <c r="AL64" s="1263">
        <v>588512.43243243243</v>
      </c>
      <c r="AM64" s="1263">
        <v>588512.43243243243</v>
      </c>
      <c r="AN64" s="1263">
        <v>588512.43243243243</v>
      </c>
      <c r="AO64" s="1263">
        <v>588512.43243243243</v>
      </c>
      <c r="AP64" s="1263">
        <v>588512.43243243243</v>
      </c>
      <c r="AQ64" s="1263">
        <v>588512.43243243243</v>
      </c>
      <c r="AR64" s="197">
        <f t="shared" si="28"/>
        <v>7062149.189189191</v>
      </c>
      <c r="AS64" s="197">
        <f t="shared" si="9"/>
        <v>58262730.810810812</v>
      </c>
      <c r="AT64" s="1264" t="s">
        <v>1145</v>
      </c>
    </row>
    <row r="65" spans="1:46" ht="87.5" x14ac:dyDescent="0.35">
      <c r="A65" s="237"/>
      <c r="B65" s="237"/>
      <c r="C65" s="237"/>
      <c r="D65" s="237"/>
      <c r="E65" s="237"/>
      <c r="F65" s="237"/>
      <c r="G65" s="237"/>
      <c r="H65" s="237" t="s">
        <v>799</v>
      </c>
      <c r="I65" s="991" t="s">
        <v>1143</v>
      </c>
      <c r="J65" s="237"/>
      <c r="K65" s="237"/>
      <c r="L65" s="237"/>
      <c r="M65" s="237"/>
      <c r="N65" s="854"/>
      <c r="O65" s="811"/>
      <c r="P65" s="855" t="s">
        <v>1041</v>
      </c>
      <c r="Q65" s="856"/>
      <c r="R65" s="808" t="s">
        <v>856</v>
      </c>
      <c r="S65" s="987" t="s">
        <v>1138</v>
      </c>
      <c r="T65" s="842"/>
      <c r="U65" s="234"/>
      <c r="V65" s="234"/>
      <c r="W65" s="809">
        <v>44977</v>
      </c>
      <c r="X65" s="843" t="s">
        <v>1146</v>
      </c>
      <c r="Y65" s="1033"/>
      <c r="Z65" s="812" t="s">
        <v>895</v>
      </c>
      <c r="AA65" s="1211" t="s">
        <v>896</v>
      </c>
      <c r="AB65" s="1211"/>
      <c r="AC65" s="858">
        <v>192535240</v>
      </c>
      <c r="AD65" s="858">
        <v>105894383</v>
      </c>
      <c r="AE65" s="858">
        <v>86640857</v>
      </c>
      <c r="AF65" s="1263">
        <v>780548.2612612613</v>
      </c>
      <c r="AG65" s="1263">
        <v>780548.2612612613</v>
      </c>
      <c r="AH65" s="1263">
        <v>780548.2612612613</v>
      </c>
      <c r="AI65" s="1263">
        <v>780548.2612612613</v>
      </c>
      <c r="AJ65" s="1263">
        <v>780548.2612612613</v>
      </c>
      <c r="AK65" s="1263">
        <v>780548.2612612613</v>
      </c>
      <c r="AL65" s="1263">
        <v>780548.2612612613</v>
      </c>
      <c r="AM65" s="1263">
        <v>780548.2612612613</v>
      </c>
      <c r="AN65" s="1263">
        <v>780548.2612612613</v>
      </c>
      <c r="AO65" s="1263">
        <v>780548.2612612613</v>
      </c>
      <c r="AP65" s="1263">
        <v>780548.2612612613</v>
      </c>
      <c r="AQ65" s="1263">
        <v>780548.2612612613</v>
      </c>
      <c r="AR65" s="197">
        <f t="shared" si="28"/>
        <v>9366579.1351351347</v>
      </c>
      <c r="AS65" s="197">
        <f t="shared" si="9"/>
        <v>77274277.864864871</v>
      </c>
      <c r="AT65" s="1264" t="s">
        <v>1147</v>
      </c>
    </row>
    <row r="66" spans="1:46" ht="75" x14ac:dyDescent="0.35">
      <c r="A66" s="237"/>
      <c r="B66" s="237"/>
      <c r="C66" s="237"/>
      <c r="D66" s="237"/>
      <c r="E66" s="237"/>
      <c r="F66" s="237"/>
      <c r="G66" s="237"/>
      <c r="H66" s="237" t="s">
        <v>799</v>
      </c>
      <c r="I66" s="991" t="s">
        <v>1044</v>
      </c>
      <c r="J66" s="237"/>
      <c r="K66" s="237"/>
      <c r="L66" s="237"/>
      <c r="M66" s="237"/>
      <c r="N66" s="854"/>
      <c r="O66" s="811"/>
      <c r="P66" s="855" t="s">
        <v>1041</v>
      </c>
      <c r="Q66" s="856"/>
      <c r="R66" s="808" t="s">
        <v>856</v>
      </c>
      <c r="S66" s="987" t="s">
        <v>1138</v>
      </c>
      <c r="T66" s="842"/>
      <c r="U66" s="234"/>
      <c r="V66" s="234"/>
      <c r="W66" s="809">
        <v>44918</v>
      </c>
      <c r="X66" s="843" t="s">
        <v>1148</v>
      </c>
      <c r="Y66" s="1033"/>
      <c r="Z66" s="812" t="s">
        <v>895</v>
      </c>
      <c r="AA66" s="1211" t="s">
        <v>896</v>
      </c>
      <c r="AB66" s="1211"/>
      <c r="AC66" s="858">
        <v>307456000</v>
      </c>
      <c r="AD66" s="858">
        <v>169100801</v>
      </c>
      <c r="AE66" s="858">
        <v>138355199</v>
      </c>
      <c r="AF66" s="1263">
        <v>1246443.2342342343</v>
      </c>
      <c r="AG66" s="1263">
        <v>1246443.2342342343</v>
      </c>
      <c r="AH66" s="1263">
        <v>1246443.2342342343</v>
      </c>
      <c r="AI66" s="1263">
        <v>1246443.2342342343</v>
      </c>
      <c r="AJ66" s="1263">
        <v>1246443.2342342343</v>
      </c>
      <c r="AK66" s="1263">
        <v>1246443.2342342343</v>
      </c>
      <c r="AL66" s="1263">
        <v>1246443.2342342343</v>
      </c>
      <c r="AM66" s="1263">
        <v>1246443.2342342343</v>
      </c>
      <c r="AN66" s="1263">
        <v>1246443.2342342343</v>
      </c>
      <c r="AO66" s="1263">
        <v>1246443.2342342343</v>
      </c>
      <c r="AP66" s="1263">
        <v>1246443.2342342343</v>
      </c>
      <c r="AQ66" s="1263">
        <v>1246443.2342342343</v>
      </c>
      <c r="AR66" s="197">
        <f t="shared" si="28"/>
        <v>14957318.810810812</v>
      </c>
      <c r="AS66" s="197">
        <f t="shared" si="9"/>
        <v>123397880.1891892</v>
      </c>
      <c r="AT66" s="1264" t="s">
        <v>1149</v>
      </c>
    </row>
    <row r="67" spans="1:46" ht="112.5" x14ac:dyDescent="0.35">
      <c r="A67" s="237"/>
      <c r="B67" s="237"/>
      <c r="C67" s="237"/>
      <c r="D67" s="237"/>
      <c r="E67" s="237"/>
      <c r="F67" s="237"/>
      <c r="G67" s="237"/>
      <c r="H67" s="237" t="s">
        <v>799</v>
      </c>
      <c r="I67" s="991" t="s">
        <v>1150</v>
      </c>
      <c r="J67" s="237"/>
      <c r="K67" s="237"/>
      <c r="L67" s="237"/>
      <c r="M67" s="237"/>
      <c r="N67" s="854"/>
      <c r="O67" s="811"/>
      <c r="P67" s="855" t="s">
        <v>1041</v>
      </c>
      <c r="Q67" s="856"/>
      <c r="R67" s="808" t="s">
        <v>856</v>
      </c>
      <c r="S67" s="987" t="s">
        <v>1138</v>
      </c>
      <c r="T67" s="842"/>
      <c r="U67" s="234"/>
      <c r="V67" s="234"/>
      <c r="W67" s="809">
        <v>45231</v>
      </c>
      <c r="X67" s="843" t="s">
        <v>1151</v>
      </c>
      <c r="Y67" s="1033"/>
      <c r="Z67" s="812" t="s">
        <v>905</v>
      </c>
      <c r="AA67" s="1211" t="s">
        <v>1071</v>
      </c>
      <c r="AB67" s="1211"/>
      <c r="AC67" s="858">
        <v>68000000</v>
      </c>
      <c r="AD67" s="858">
        <v>26066666</v>
      </c>
      <c r="AE67" s="858">
        <v>41933334</v>
      </c>
      <c r="AF67" s="1263">
        <v>1133333</v>
      </c>
      <c r="AG67" s="1263">
        <v>1133333</v>
      </c>
      <c r="AH67" s="1263">
        <v>1133333</v>
      </c>
      <c r="AI67" s="1263">
        <v>1133333</v>
      </c>
      <c r="AJ67" s="1263">
        <v>1133333</v>
      </c>
      <c r="AK67" s="1263">
        <v>1133333</v>
      </c>
      <c r="AL67" s="1263">
        <v>1133333</v>
      </c>
      <c r="AM67" s="1263">
        <v>1133333</v>
      </c>
      <c r="AN67" s="1263">
        <v>1133333</v>
      </c>
      <c r="AO67" s="1263">
        <v>1133333</v>
      </c>
      <c r="AP67" s="1263">
        <v>1133333</v>
      </c>
      <c r="AQ67" s="1263">
        <v>1133333</v>
      </c>
      <c r="AR67" s="197">
        <f t="shared" si="28"/>
        <v>13599996</v>
      </c>
      <c r="AS67" s="197">
        <f t="shared" si="9"/>
        <v>28333338</v>
      </c>
      <c r="AT67" s="1264" t="s">
        <v>1152</v>
      </c>
    </row>
    <row r="68" spans="1:46" ht="100" x14ac:dyDescent="0.35">
      <c r="A68" s="237"/>
      <c r="B68" s="237"/>
      <c r="C68" s="237"/>
      <c r="D68" s="237"/>
      <c r="E68" s="237"/>
      <c r="F68" s="237"/>
      <c r="G68" s="237"/>
      <c r="H68" s="237" t="s">
        <v>799</v>
      </c>
      <c r="I68" s="991" t="s">
        <v>1153</v>
      </c>
      <c r="J68" s="237"/>
      <c r="K68" s="237"/>
      <c r="L68" s="237"/>
      <c r="M68" s="237"/>
      <c r="N68" s="854"/>
      <c r="O68" s="811"/>
      <c r="P68" s="855" t="s">
        <v>1041</v>
      </c>
      <c r="Q68" s="856"/>
      <c r="R68" s="808" t="s">
        <v>856</v>
      </c>
      <c r="S68" s="987" t="s">
        <v>1138</v>
      </c>
      <c r="T68" s="842"/>
      <c r="U68" s="234"/>
      <c r="V68" s="234"/>
      <c r="W68" s="809">
        <v>45278</v>
      </c>
      <c r="X68" s="843" t="s">
        <v>1154</v>
      </c>
      <c r="Y68" s="1033"/>
      <c r="Z68" s="812" t="s">
        <v>905</v>
      </c>
      <c r="AA68" s="1211" t="s">
        <v>1071</v>
      </c>
      <c r="AB68" s="1211"/>
      <c r="AC68" s="858">
        <v>267500000</v>
      </c>
      <c r="AD68" s="858">
        <v>75791666</v>
      </c>
      <c r="AE68" s="858">
        <v>191708334</v>
      </c>
      <c r="AF68" s="1263">
        <v>1509514.4409448819</v>
      </c>
      <c r="AG68" s="1263">
        <v>1509514.4409448819</v>
      </c>
      <c r="AH68" s="1263">
        <v>1509514.4409448819</v>
      </c>
      <c r="AI68" s="1263">
        <v>1509514.4409448819</v>
      </c>
      <c r="AJ68" s="1263">
        <v>1509514.4409448819</v>
      </c>
      <c r="AK68" s="1263">
        <v>1509514.4409448819</v>
      </c>
      <c r="AL68" s="1263">
        <v>1509514.4409448819</v>
      </c>
      <c r="AM68" s="1263">
        <v>1509514.4409448819</v>
      </c>
      <c r="AN68" s="1263">
        <v>1509514.4409448819</v>
      </c>
      <c r="AO68" s="1263">
        <v>1509514.4409448819</v>
      </c>
      <c r="AP68" s="1263">
        <v>1509514.4409448819</v>
      </c>
      <c r="AQ68" s="1263">
        <v>1509514.4409448819</v>
      </c>
      <c r="AR68" s="197">
        <f t="shared" si="28"/>
        <v>18114173.291338582</v>
      </c>
      <c r="AS68" s="197">
        <f t="shared" si="9"/>
        <v>173594160.70866141</v>
      </c>
      <c r="AT68" s="1264" t="s">
        <v>1155</v>
      </c>
    </row>
    <row r="69" spans="1:46" ht="100" x14ac:dyDescent="0.35">
      <c r="A69" s="237"/>
      <c r="B69" s="237"/>
      <c r="C69" s="237"/>
      <c r="D69" s="237"/>
      <c r="E69" s="237"/>
      <c r="F69" s="237"/>
      <c r="G69" s="237"/>
      <c r="H69" s="237" t="s">
        <v>799</v>
      </c>
      <c r="I69" s="991" t="s">
        <v>1156</v>
      </c>
      <c r="J69" s="237"/>
      <c r="K69" s="237"/>
      <c r="L69" s="237"/>
      <c r="M69" s="237"/>
      <c r="N69" s="854"/>
      <c r="O69" s="811"/>
      <c r="P69" s="855" t="s">
        <v>1041</v>
      </c>
      <c r="Q69" s="856"/>
      <c r="R69" s="808" t="s">
        <v>856</v>
      </c>
      <c r="S69" s="987" t="s">
        <v>1138</v>
      </c>
      <c r="T69" s="842"/>
      <c r="U69" s="234"/>
      <c r="V69" s="234"/>
      <c r="W69" s="809">
        <v>45653</v>
      </c>
      <c r="X69" s="843" t="s">
        <v>1157</v>
      </c>
      <c r="Y69" s="1033"/>
      <c r="Z69" s="812" t="s">
        <v>905</v>
      </c>
      <c r="AA69" s="1211" t="s">
        <v>1071</v>
      </c>
      <c r="AB69" s="1211"/>
      <c r="AC69" s="858">
        <v>57200000</v>
      </c>
      <c r="AD69" s="858">
        <v>10486669</v>
      </c>
      <c r="AE69" s="858">
        <v>46713331</v>
      </c>
      <c r="AF69" s="1263">
        <v>351228.05263157893</v>
      </c>
      <c r="AG69" s="1263">
        <v>351228.05263157893</v>
      </c>
      <c r="AH69" s="1263">
        <v>351228.05263157893</v>
      </c>
      <c r="AI69" s="1263">
        <v>351228.05263157893</v>
      </c>
      <c r="AJ69" s="1263">
        <v>351228.05263157893</v>
      </c>
      <c r="AK69" s="1263">
        <v>351228.05263157893</v>
      </c>
      <c r="AL69" s="1263">
        <v>351228.05263157893</v>
      </c>
      <c r="AM69" s="1263">
        <v>351228.05263157893</v>
      </c>
      <c r="AN69" s="1263">
        <v>351228.05263157893</v>
      </c>
      <c r="AO69" s="1263">
        <v>351228.05263157893</v>
      </c>
      <c r="AP69" s="1263">
        <v>351228.05263157893</v>
      </c>
      <c r="AQ69" s="1263">
        <v>351228.05263157893</v>
      </c>
      <c r="AR69" s="197">
        <f t="shared" si="28"/>
        <v>4214736.6315789474</v>
      </c>
      <c r="AS69" s="197">
        <f t="shared" si="9"/>
        <v>42498594.368421055</v>
      </c>
      <c r="AT69" s="1264" t="s">
        <v>1158</v>
      </c>
    </row>
    <row r="70" spans="1:46" ht="75" x14ac:dyDescent="0.35">
      <c r="A70" s="237"/>
      <c r="B70" s="237"/>
      <c r="C70" s="237"/>
      <c r="D70" s="237"/>
      <c r="E70" s="237"/>
      <c r="F70" s="237"/>
      <c r="G70" s="237"/>
      <c r="H70" s="237" t="s">
        <v>799</v>
      </c>
      <c r="I70" s="993"/>
      <c r="J70" s="237"/>
      <c r="K70" s="237"/>
      <c r="L70" s="237"/>
      <c r="M70" s="237"/>
      <c r="N70" s="854"/>
      <c r="O70" s="811"/>
      <c r="P70" s="855" t="s">
        <v>1041</v>
      </c>
      <c r="Q70" s="856"/>
      <c r="R70" s="808" t="s">
        <v>856</v>
      </c>
      <c r="S70" s="987" t="s">
        <v>1138</v>
      </c>
      <c r="T70" s="842"/>
      <c r="U70" s="234"/>
      <c r="V70" s="234"/>
      <c r="W70" s="859"/>
      <c r="X70" s="843" t="s">
        <v>1159</v>
      </c>
      <c r="Y70" s="1033"/>
      <c r="Z70" s="812" t="s">
        <v>905</v>
      </c>
      <c r="AA70" s="1211" t="s">
        <v>1071</v>
      </c>
      <c r="AB70" s="1211"/>
      <c r="AC70" s="858">
        <v>680225497</v>
      </c>
      <c r="AD70" s="858">
        <v>166585836</v>
      </c>
      <c r="AE70" s="858">
        <v>513639661</v>
      </c>
      <c r="AF70" s="1263">
        <v>3566942.090277778</v>
      </c>
      <c r="AG70" s="1263">
        <v>3566942.090277778</v>
      </c>
      <c r="AH70" s="1263">
        <v>3566942.090277778</v>
      </c>
      <c r="AI70" s="1263">
        <v>3566942.090277778</v>
      </c>
      <c r="AJ70" s="1263">
        <v>3566942.090277778</v>
      </c>
      <c r="AK70" s="1263">
        <v>3566942.090277778</v>
      </c>
      <c r="AL70" s="1263">
        <v>3566942.090277778</v>
      </c>
      <c r="AM70" s="1263">
        <v>3566942.090277778</v>
      </c>
      <c r="AN70" s="1263">
        <v>3566942.090277778</v>
      </c>
      <c r="AO70" s="1263">
        <v>3566942.090277778</v>
      </c>
      <c r="AP70" s="1263">
        <v>3566942.090277778</v>
      </c>
      <c r="AQ70" s="1263">
        <v>3566942.090277778</v>
      </c>
      <c r="AR70" s="197">
        <f t="shared" si="28"/>
        <v>42803305.083333321</v>
      </c>
      <c r="AS70" s="197">
        <f t="shared" si="9"/>
        <v>470836355.91666669</v>
      </c>
      <c r="AT70" s="1264" t="s">
        <v>1160</v>
      </c>
    </row>
    <row r="71" spans="1:46" x14ac:dyDescent="0.35">
      <c r="A71" s="237"/>
      <c r="B71" s="237"/>
      <c r="C71" s="237"/>
      <c r="D71" s="237"/>
      <c r="E71" s="237"/>
      <c r="F71" s="237"/>
      <c r="G71" s="237"/>
      <c r="H71" s="237"/>
      <c r="I71" s="991"/>
      <c r="J71" s="237"/>
      <c r="K71" s="237"/>
      <c r="L71" s="237"/>
      <c r="M71" s="237"/>
      <c r="N71" s="237"/>
      <c r="O71" s="237"/>
      <c r="P71" s="842"/>
      <c r="Q71" s="234"/>
      <c r="R71" s="234"/>
      <c r="S71" s="234"/>
      <c r="T71" s="842"/>
      <c r="U71" s="234"/>
      <c r="V71" s="234"/>
      <c r="W71" s="234"/>
      <c r="X71" s="843"/>
      <c r="Y71" s="1024"/>
      <c r="Z71" s="845"/>
      <c r="AA71" s="1210"/>
      <c r="AB71" s="1210"/>
      <c r="AC71" s="825"/>
      <c r="AD71" s="825">
        <f>AC71-AE71</f>
        <v>0</v>
      </c>
      <c r="AE71" s="825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>
        <f t="shared" si="28"/>
        <v>0</v>
      </c>
      <c r="AS71" s="197">
        <f t="shared" si="9"/>
        <v>0</v>
      </c>
      <c r="AT71" s="1264" t="e">
        <v>#N/A</v>
      </c>
    </row>
    <row r="72" spans="1:46" ht="75" x14ac:dyDescent="0.35">
      <c r="A72" s="237" t="s">
        <v>811</v>
      </c>
      <c r="B72" s="237"/>
      <c r="C72" s="237"/>
      <c r="D72" s="237"/>
      <c r="E72" s="237"/>
      <c r="F72" s="237"/>
      <c r="G72" s="237"/>
      <c r="H72" s="237"/>
      <c r="I72" s="991"/>
      <c r="J72" s="237"/>
      <c r="K72" s="237"/>
      <c r="L72" s="237"/>
      <c r="M72" s="237"/>
      <c r="N72" s="237"/>
      <c r="O72" s="237"/>
      <c r="P72" s="482"/>
      <c r="Q72" s="234"/>
      <c r="R72" s="234"/>
      <c r="S72" s="482" t="s">
        <v>1161</v>
      </c>
      <c r="T72" s="482"/>
      <c r="U72" s="234"/>
      <c r="V72" s="234"/>
      <c r="W72" s="234"/>
      <c r="X72" s="807" t="s">
        <v>1162</v>
      </c>
      <c r="Y72" s="1024">
        <v>627</v>
      </c>
      <c r="Z72" s="238">
        <v>6274001903</v>
      </c>
      <c r="AA72" s="1207" t="s">
        <v>896</v>
      </c>
      <c r="AB72" s="1207" t="s">
        <v>1038</v>
      </c>
      <c r="AC72" s="202">
        <f>SUM(AC73:AC77)</f>
        <v>15341783756</v>
      </c>
      <c r="AD72" s="202">
        <f>SUM(AD73:AD77)</f>
        <v>7527856943</v>
      </c>
      <c r="AE72" s="202">
        <f>SUM(AE73:AE77)</f>
        <v>7813926813</v>
      </c>
      <c r="AF72" s="810">
        <f t="shared" ref="AF72:AQ72" si="29">SUM(AF73:AF77)</f>
        <v>233686918.13276589</v>
      </c>
      <c r="AG72" s="810">
        <f t="shared" si="29"/>
        <v>233686918.13276589</v>
      </c>
      <c r="AH72" s="810">
        <f t="shared" si="29"/>
        <v>233686918.13276589</v>
      </c>
      <c r="AI72" s="810">
        <f t="shared" si="29"/>
        <v>233686918.13276589</v>
      </c>
      <c r="AJ72" s="810">
        <f t="shared" si="29"/>
        <v>233686918.13276589</v>
      </c>
      <c r="AK72" s="810">
        <f t="shared" si="29"/>
        <v>233686918.13276589</v>
      </c>
      <c r="AL72" s="810">
        <f t="shared" si="29"/>
        <v>233686918.13276589</v>
      </c>
      <c r="AM72" s="810">
        <f t="shared" si="29"/>
        <v>233686918.13276589</v>
      </c>
      <c r="AN72" s="810">
        <f t="shared" si="29"/>
        <v>233686918.13276589</v>
      </c>
      <c r="AO72" s="810">
        <f t="shared" si="29"/>
        <v>233686918.13276589</v>
      </c>
      <c r="AP72" s="810">
        <f t="shared" si="29"/>
        <v>233686918.13276589</v>
      </c>
      <c r="AQ72" s="810">
        <f t="shared" si="29"/>
        <v>233686918.13276589</v>
      </c>
      <c r="AR72" s="810">
        <f>SUM(AR73:AR77)</f>
        <v>2804243017.5931907</v>
      </c>
      <c r="AS72" s="810">
        <f>AE72-AR72</f>
        <v>5009683795.4068089</v>
      </c>
      <c r="AT72" s="1264" t="s">
        <v>2195</v>
      </c>
    </row>
    <row r="73" spans="1:46" ht="87.5" x14ac:dyDescent="0.35">
      <c r="A73" s="237"/>
      <c r="B73" s="237"/>
      <c r="C73" s="237"/>
      <c r="D73" s="237"/>
      <c r="E73" s="237"/>
      <c r="F73" s="237"/>
      <c r="G73" s="237"/>
      <c r="H73" s="237" t="s">
        <v>799</v>
      </c>
      <c r="I73" s="991" t="s">
        <v>1163</v>
      </c>
      <c r="J73" s="237"/>
      <c r="K73" s="237"/>
      <c r="L73" s="237"/>
      <c r="M73" s="237"/>
      <c r="N73" s="854"/>
      <c r="O73" s="237"/>
      <c r="P73" s="842" t="s">
        <v>1041</v>
      </c>
      <c r="Q73" s="234"/>
      <c r="R73" s="234" t="s">
        <v>858</v>
      </c>
      <c r="S73" s="986" t="s">
        <v>1164</v>
      </c>
      <c r="T73" s="842"/>
      <c r="U73" s="234"/>
      <c r="V73" s="234"/>
      <c r="W73" s="809">
        <v>44621</v>
      </c>
      <c r="X73" s="843" t="s">
        <v>1165</v>
      </c>
      <c r="Y73" s="844"/>
      <c r="Z73" s="845" t="s">
        <v>895</v>
      </c>
      <c r="AA73" s="1210" t="s">
        <v>896</v>
      </c>
      <c r="AB73" s="1210"/>
      <c r="AC73" s="825">
        <v>12447721856</v>
      </c>
      <c r="AD73" s="825">
        <v>6034013598</v>
      </c>
      <c r="AE73" s="825">
        <v>6413708258</v>
      </c>
      <c r="AF73" s="1263">
        <v>221162354</v>
      </c>
      <c r="AG73" s="1263">
        <v>221162354</v>
      </c>
      <c r="AH73" s="1263">
        <v>221162354</v>
      </c>
      <c r="AI73" s="1263">
        <v>221162354</v>
      </c>
      <c r="AJ73" s="1263">
        <v>221162354</v>
      </c>
      <c r="AK73" s="1263">
        <v>221162354</v>
      </c>
      <c r="AL73" s="1263">
        <v>221162354</v>
      </c>
      <c r="AM73" s="1263">
        <v>221162354</v>
      </c>
      <c r="AN73" s="1263">
        <v>221162354</v>
      </c>
      <c r="AO73" s="1263">
        <v>221162354</v>
      </c>
      <c r="AP73" s="1263">
        <v>221162354</v>
      </c>
      <c r="AQ73" s="1263">
        <v>221162354</v>
      </c>
      <c r="AR73" s="197">
        <f>SUM(AF73:AQ73)</f>
        <v>2653948248</v>
      </c>
      <c r="AS73" s="197">
        <f t="shared" si="9"/>
        <v>3759760010</v>
      </c>
      <c r="AT73" s="1264" t="s">
        <v>2237</v>
      </c>
    </row>
    <row r="74" spans="1:46" ht="100" x14ac:dyDescent="0.35">
      <c r="A74" s="237"/>
      <c r="B74" s="237"/>
      <c r="C74" s="237"/>
      <c r="D74" s="237"/>
      <c r="E74" s="237"/>
      <c r="F74" s="237"/>
      <c r="G74" s="237"/>
      <c r="H74" s="237" t="s">
        <v>799</v>
      </c>
      <c r="I74" s="991" t="s">
        <v>1056</v>
      </c>
      <c r="J74" s="237"/>
      <c r="K74" s="237"/>
      <c r="L74" s="237"/>
      <c r="M74" s="237"/>
      <c r="N74" s="854"/>
      <c r="O74" s="237"/>
      <c r="P74" s="842" t="s">
        <v>1041</v>
      </c>
      <c r="Q74" s="234"/>
      <c r="R74" s="234" t="s">
        <v>901</v>
      </c>
      <c r="S74" s="986" t="s">
        <v>1166</v>
      </c>
      <c r="T74" s="842"/>
      <c r="U74" s="234"/>
      <c r="V74" s="234"/>
      <c r="W74" s="809">
        <v>44977</v>
      </c>
      <c r="X74" s="843" t="s">
        <v>1167</v>
      </c>
      <c r="Y74" s="844"/>
      <c r="Z74" s="845" t="s">
        <v>895</v>
      </c>
      <c r="AA74" s="1210" t="s">
        <v>896</v>
      </c>
      <c r="AB74" s="1210"/>
      <c r="AC74" s="825">
        <v>1850573500</v>
      </c>
      <c r="AD74" s="825">
        <v>1017815426</v>
      </c>
      <c r="AE74" s="825">
        <v>832758074</v>
      </c>
      <c r="AF74" s="1263">
        <v>7502324.9909909908</v>
      </c>
      <c r="AG74" s="1263">
        <v>7502324.9909909908</v>
      </c>
      <c r="AH74" s="1263">
        <v>7502324.9909909908</v>
      </c>
      <c r="AI74" s="1263">
        <v>7502324.9909909908</v>
      </c>
      <c r="AJ74" s="1263">
        <v>7502324.9909909908</v>
      </c>
      <c r="AK74" s="1263">
        <v>7502324.9909909908</v>
      </c>
      <c r="AL74" s="1263">
        <v>7502324.9909909908</v>
      </c>
      <c r="AM74" s="1263">
        <v>7502324.9909909908</v>
      </c>
      <c r="AN74" s="1263">
        <v>7502324.9909909908</v>
      </c>
      <c r="AO74" s="1263">
        <v>7502324.9909909908</v>
      </c>
      <c r="AP74" s="1263">
        <v>7502324.9909909908</v>
      </c>
      <c r="AQ74" s="1263">
        <v>7502324.9909909908</v>
      </c>
      <c r="AR74" s="197">
        <f>SUM(AF74:AQ74)</f>
        <v>90027899.891891897</v>
      </c>
      <c r="AS74" s="197">
        <f t="shared" si="9"/>
        <v>742730174.10810804</v>
      </c>
      <c r="AT74" s="1264" t="s">
        <v>2238</v>
      </c>
    </row>
    <row r="75" spans="1:46" ht="75" x14ac:dyDescent="0.35">
      <c r="A75" s="237"/>
      <c r="B75" s="237"/>
      <c r="C75" s="237"/>
      <c r="D75" s="237"/>
      <c r="E75" s="237"/>
      <c r="F75" s="237"/>
      <c r="G75" s="237"/>
      <c r="H75" s="237" t="s">
        <v>799</v>
      </c>
      <c r="I75" s="991" t="s">
        <v>1039</v>
      </c>
      <c r="J75" s="237"/>
      <c r="K75" s="237"/>
      <c r="L75" s="237"/>
      <c r="M75" s="237"/>
      <c r="N75" s="854"/>
      <c r="O75" s="237"/>
      <c r="P75" s="842" t="s">
        <v>1041</v>
      </c>
      <c r="Q75" s="234"/>
      <c r="R75" s="234" t="s">
        <v>902</v>
      </c>
      <c r="S75" s="986" t="s">
        <v>1168</v>
      </c>
      <c r="T75" s="842"/>
      <c r="U75" s="234"/>
      <c r="V75" s="234"/>
      <c r="W75" s="809">
        <v>44938</v>
      </c>
      <c r="X75" s="843" t="s">
        <v>1169</v>
      </c>
      <c r="Y75" s="844"/>
      <c r="Z75" s="845" t="s">
        <v>895</v>
      </c>
      <c r="AA75" s="1210" t="s">
        <v>896</v>
      </c>
      <c r="AB75" s="1210"/>
      <c r="AC75" s="825">
        <v>1002488400</v>
      </c>
      <c r="AD75" s="825">
        <v>467827920</v>
      </c>
      <c r="AE75" s="825">
        <v>534660480</v>
      </c>
      <c r="AF75" s="1263">
        <v>4773754.2857142854</v>
      </c>
      <c r="AG75" s="1263">
        <v>4773754.2857142854</v>
      </c>
      <c r="AH75" s="1263">
        <v>4773754.2857142854</v>
      </c>
      <c r="AI75" s="1263">
        <v>4773754.2857142854</v>
      </c>
      <c r="AJ75" s="1263">
        <v>4773754.2857142854</v>
      </c>
      <c r="AK75" s="1263">
        <v>4773754.2857142854</v>
      </c>
      <c r="AL75" s="1263">
        <v>4773754.2857142854</v>
      </c>
      <c r="AM75" s="1263">
        <v>4773754.2857142854</v>
      </c>
      <c r="AN75" s="1263">
        <v>4773754.2857142854</v>
      </c>
      <c r="AO75" s="1263">
        <v>4773754.2857142854</v>
      </c>
      <c r="AP75" s="1263">
        <v>4773754.2857142854</v>
      </c>
      <c r="AQ75" s="1263">
        <v>4773754.2857142854</v>
      </c>
      <c r="AR75" s="197">
        <f>SUM(AF75:AQ75)</f>
        <v>57285051.42857141</v>
      </c>
      <c r="AS75" s="197">
        <f t="shared" si="9"/>
        <v>477375428.5714286</v>
      </c>
      <c r="AT75" s="1264" t="s">
        <v>2239</v>
      </c>
    </row>
    <row r="76" spans="1:46" ht="112.5" x14ac:dyDescent="0.35">
      <c r="A76" s="237"/>
      <c r="B76" s="237"/>
      <c r="C76" s="237"/>
      <c r="D76" s="237"/>
      <c r="E76" s="237"/>
      <c r="F76" s="237"/>
      <c r="G76" s="237"/>
      <c r="H76" s="237" t="s">
        <v>799</v>
      </c>
      <c r="I76" s="991" t="s">
        <v>1156</v>
      </c>
      <c r="J76" s="237"/>
      <c r="K76" s="237"/>
      <c r="L76" s="237"/>
      <c r="M76" s="237"/>
      <c r="N76" s="854"/>
      <c r="O76" s="237"/>
      <c r="P76" s="842" t="s">
        <v>1041</v>
      </c>
      <c r="Q76" s="234"/>
      <c r="R76" s="234" t="s">
        <v>858</v>
      </c>
      <c r="S76" s="986" t="s">
        <v>1164</v>
      </c>
      <c r="T76" s="842"/>
      <c r="U76" s="234"/>
      <c r="V76" s="234"/>
      <c r="W76" s="809">
        <v>45637</v>
      </c>
      <c r="X76" s="843" t="s">
        <v>1170</v>
      </c>
      <c r="Y76" s="844"/>
      <c r="Z76" s="845" t="s">
        <v>905</v>
      </c>
      <c r="AA76" s="1210" t="s">
        <v>1071</v>
      </c>
      <c r="AB76" s="1210"/>
      <c r="AC76" s="825">
        <v>41000000</v>
      </c>
      <c r="AD76" s="825">
        <v>8199999</v>
      </c>
      <c r="AE76" s="825">
        <v>32800001</v>
      </c>
      <c r="AF76" s="1263">
        <v>248484.85606060605</v>
      </c>
      <c r="AG76" s="1263">
        <v>248484.85606060605</v>
      </c>
      <c r="AH76" s="1263">
        <v>248484.85606060605</v>
      </c>
      <c r="AI76" s="1263">
        <v>248484.85606060605</v>
      </c>
      <c r="AJ76" s="1263">
        <v>248484.85606060605</v>
      </c>
      <c r="AK76" s="1263">
        <v>248484.85606060605</v>
      </c>
      <c r="AL76" s="1263">
        <v>248484.85606060605</v>
      </c>
      <c r="AM76" s="1263">
        <v>248484.85606060605</v>
      </c>
      <c r="AN76" s="1263">
        <v>248484.85606060605</v>
      </c>
      <c r="AO76" s="1263">
        <v>248484.85606060605</v>
      </c>
      <c r="AP76" s="1263">
        <v>248484.85606060605</v>
      </c>
      <c r="AQ76" s="1263">
        <v>248484.85606060605</v>
      </c>
      <c r="AR76" s="197">
        <f>SUM(AF76:AQ76)</f>
        <v>2981818.272727272</v>
      </c>
      <c r="AS76" s="197">
        <f t="shared" si="9"/>
        <v>29818182.727272727</v>
      </c>
      <c r="AT76" s="1264" t="s">
        <v>2240</v>
      </c>
    </row>
    <row r="77" spans="1:46" x14ac:dyDescent="0.35">
      <c r="A77" s="237"/>
      <c r="B77" s="237"/>
      <c r="C77" s="237"/>
      <c r="D77" s="237"/>
      <c r="E77" s="237"/>
      <c r="F77" s="237"/>
      <c r="G77" s="237"/>
      <c r="H77" s="237"/>
      <c r="I77" s="991"/>
      <c r="J77" s="237"/>
      <c r="K77" s="237"/>
      <c r="L77" s="237"/>
      <c r="M77" s="237"/>
      <c r="N77" s="854"/>
      <c r="O77" s="237"/>
      <c r="P77" s="842"/>
      <c r="Q77" s="234"/>
      <c r="R77" s="234"/>
      <c r="S77" s="986"/>
      <c r="T77" s="842"/>
      <c r="U77" s="234"/>
      <c r="V77" s="234"/>
      <c r="W77" s="809"/>
      <c r="X77" s="843"/>
      <c r="Y77" s="844"/>
      <c r="Z77" s="845"/>
      <c r="AA77" s="1210"/>
      <c r="AB77" s="1210"/>
      <c r="AC77" s="825"/>
      <c r="AD77" s="825"/>
      <c r="AE77" s="825"/>
      <c r="AF77" s="197"/>
      <c r="AG77" s="197"/>
      <c r="AH77" s="197"/>
      <c r="AI77" s="197"/>
      <c r="AJ77" s="197"/>
      <c r="AK77" s="197"/>
      <c r="AL77" s="197"/>
      <c r="AM77" s="197"/>
      <c r="AN77" s="197"/>
      <c r="AO77" s="197"/>
      <c r="AP77" s="197"/>
      <c r="AQ77" s="197"/>
      <c r="AR77" s="197"/>
      <c r="AS77" s="197">
        <f t="shared" si="9"/>
        <v>0</v>
      </c>
      <c r="AT77" s="1264" t="e">
        <v>#N/A</v>
      </c>
    </row>
    <row r="78" spans="1:46" x14ac:dyDescent="0.35">
      <c r="A78" s="237" t="s">
        <v>812</v>
      </c>
      <c r="B78" s="237"/>
      <c r="C78" s="237"/>
      <c r="D78" s="237"/>
      <c r="E78" s="237"/>
      <c r="F78" s="237"/>
      <c r="G78" s="237"/>
      <c r="H78" s="237"/>
      <c r="I78" s="991"/>
      <c r="J78" s="237"/>
      <c r="K78" s="237"/>
      <c r="L78" s="237"/>
      <c r="M78" s="237"/>
      <c r="N78" s="237"/>
      <c r="O78" s="237"/>
      <c r="P78" s="482"/>
      <c r="Q78" s="234"/>
      <c r="R78" s="234"/>
      <c r="S78" s="234"/>
      <c r="T78" s="482"/>
      <c r="U78" s="234"/>
      <c r="V78" s="234"/>
      <c r="W78" s="234"/>
      <c r="X78" s="807"/>
      <c r="Y78" s="235"/>
      <c r="Z78" s="238"/>
      <c r="AA78" s="1207"/>
      <c r="AB78" s="1207"/>
      <c r="AC78" s="202"/>
      <c r="AD78" s="202"/>
      <c r="AE78" s="202"/>
      <c r="AF78" s="810"/>
      <c r="AG78" s="810"/>
      <c r="AH78" s="810"/>
      <c r="AI78" s="810"/>
      <c r="AJ78" s="810"/>
      <c r="AK78" s="810"/>
      <c r="AL78" s="810"/>
      <c r="AM78" s="810"/>
      <c r="AN78" s="810"/>
      <c r="AO78" s="810"/>
      <c r="AP78" s="810"/>
      <c r="AQ78" s="810"/>
      <c r="AR78" s="810">
        <f t="shared" si="3"/>
        <v>0</v>
      </c>
      <c r="AS78" s="810">
        <f t="shared" si="9"/>
        <v>0</v>
      </c>
    </row>
    <row r="79" spans="1:46" x14ac:dyDescent="0.35">
      <c r="A79" s="237" t="s">
        <v>813</v>
      </c>
      <c r="B79" s="237"/>
      <c r="C79" s="237"/>
      <c r="D79" s="237"/>
      <c r="E79" s="237"/>
      <c r="F79" s="237"/>
      <c r="G79" s="237"/>
      <c r="H79" s="237"/>
      <c r="I79" s="991"/>
      <c r="J79" s="237"/>
      <c r="K79" s="237"/>
      <c r="L79" s="237"/>
      <c r="M79" s="237"/>
      <c r="N79" s="237"/>
      <c r="O79" s="237"/>
      <c r="P79" s="482"/>
      <c r="Q79" s="234"/>
      <c r="R79" s="234"/>
      <c r="S79" s="234"/>
      <c r="T79" s="482"/>
      <c r="U79" s="234"/>
      <c r="V79" s="234"/>
      <c r="W79" s="234"/>
      <c r="X79" s="807"/>
      <c r="Y79" s="235"/>
      <c r="Z79" s="238"/>
      <c r="AA79" s="1207"/>
      <c r="AB79" s="1207"/>
      <c r="AC79" s="202"/>
      <c r="AD79" s="202"/>
      <c r="AE79" s="202"/>
      <c r="AF79" s="810"/>
      <c r="AG79" s="810"/>
      <c r="AH79" s="810"/>
      <c r="AI79" s="810"/>
      <c r="AJ79" s="810"/>
      <c r="AK79" s="810"/>
      <c r="AL79" s="810"/>
      <c r="AM79" s="810"/>
      <c r="AN79" s="810"/>
      <c r="AO79" s="810"/>
      <c r="AP79" s="810"/>
      <c r="AQ79" s="810"/>
      <c r="AR79" s="810">
        <f t="shared" si="3"/>
        <v>0</v>
      </c>
      <c r="AS79" s="810">
        <f t="shared" si="9"/>
        <v>0</v>
      </c>
    </row>
    <row r="80" spans="1:46" x14ac:dyDescent="0.35">
      <c r="A80" s="237" t="s">
        <v>814</v>
      </c>
      <c r="B80" s="237"/>
      <c r="C80" s="237"/>
      <c r="D80" s="237"/>
      <c r="E80" s="237"/>
      <c r="F80" s="237"/>
      <c r="G80" s="237"/>
      <c r="H80" s="237"/>
      <c r="I80" s="991"/>
      <c r="J80" s="237"/>
      <c r="K80" s="237"/>
      <c r="L80" s="237"/>
      <c r="M80" s="237"/>
      <c r="N80" s="237"/>
      <c r="O80" s="237"/>
      <c r="P80" s="482"/>
      <c r="Q80" s="234"/>
      <c r="R80" s="234"/>
      <c r="S80" s="234"/>
      <c r="T80" s="482"/>
      <c r="U80" s="234"/>
      <c r="V80" s="234"/>
      <c r="W80" s="234"/>
      <c r="X80" s="807"/>
      <c r="Y80" s="235"/>
      <c r="Z80" s="238"/>
      <c r="AA80" s="1207"/>
      <c r="AB80" s="1207"/>
      <c r="AC80" s="202"/>
      <c r="AD80" s="202"/>
      <c r="AE80" s="202"/>
      <c r="AF80" s="810"/>
      <c r="AG80" s="810"/>
      <c r="AH80" s="810"/>
      <c r="AI80" s="810"/>
      <c r="AJ80" s="810"/>
      <c r="AK80" s="810"/>
      <c r="AL80" s="810"/>
      <c r="AM80" s="810"/>
      <c r="AN80" s="810"/>
      <c r="AO80" s="810"/>
      <c r="AP80" s="810"/>
      <c r="AQ80" s="810"/>
      <c r="AR80" s="810">
        <f t="shared" si="3"/>
        <v>0</v>
      </c>
      <c r="AS80" s="810">
        <f t="shared" si="9"/>
        <v>0</v>
      </c>
    </row>
    <row r="81" spans="1:46" x14ac:dyDescent="0.35">
      <c r="A81" s="237" t="s">
        <v>815</v>
      </c>
      <c r="B81" s="237"/>
      <c r="C81" s="237"/>
      <c r="D81" s="237"/>
      <c r="E81" s="237"/>
      <c r="F81" s="237"/>
      <c r="G81" s="237"/>
      <c r="H81" s="237"/>
      <c r="I81" s="991"/>
      <c r="J81" s="237"/>
      <c r="K81" s="237"/>
      <c r="L81" s="237"/>
      <c r="M81" s="237"/>
      <c r="N81" s="237"/>
      <c r="O81" s="237"/>
      <c r="P81" s="482"/>
      <c r="Q81" s="234"/>
      <c r="R81" s="234"/>
      <c r="S81" s="234"/>
      <c r="T81" s="482"/>
      <c r="U81" s="234"/>
      <c r="V81" s="234"/>
      <c r="W81" s="234"/>
      <c r="X81" s="807"/>
      <c r="Y81" s="235"/>
      <c r="Z81" s="238"/>
      <c r="AA81" s="1207"/>
      <c r="AB81" s="1207"/>
      <c r="AC81" s="202"/>
      <c r="AD81" s="202"/>
      <c r="AE81" s="202"/>
      <c r="AF81" s="810"/>
      <c r="AG81" s="810"/>
      <c r="AH81" s="810"/>
      <c r="AI81" s="810"/>
      <c r="AJ81" s="810"/>
      <c r="AK81" s="810"/>
      <c r="AL81" s="810"/>
      <c r="AM81" s="810"/>
      <c r="AN81" s="810"/>
      <c r="AO81" s="810"/>
      <c r="AP81" s="810"/>
      <c r="AQ81" s="810"/>
      <c r="AR81" s="810">
        <f t="shared" si="3"/>
        <v>0</v>
      </c>
      <c r="AS81" s="810">
        <f t="shared" si="9"/>
        <v>0</v>
      </c>
    </row>
    <row r="82" spans="1:46" x14ac:dyDescent="0.35">
      <c r="A82" s="237" t="s">
        <v>816</v>
      </c>
      <c r="B82" s="237"/>
      <c r="C82" s="237"/>
      <c r="D82" s="237"/>
      <c r="E82" s="237"/>
      <c r="F82" s="237"/>
      <c r="G82" s="237"/>
      <c r="H82" s="237"/>
      <c r="I82" s="991"/>
      <c r="J82" s="237"/>
      <c r="K82" s="237"/>
      <c r="L82" s="237"/>
      <c r="M82" s="237"/>
      <c r="N82" s="237"/>
      <c r="O82" s="237"/>
      <c r="P82" s="482"/>
      <c r="Q82" s="234"/>
      <c r="R82" s="234"/>
      <c r="S82" s="234"/>
      <c r="T82" s="482"/>
      <c r="U82" s="234"/>
      <c r="V82" s="234"/>
      <c r="W82" s="234"/>
      <c r="X82" s="807"/>
      <c r="Y82" s="235"/>
      <c r="Z82" s="238"/>
      <c r="AA82" s="1207"/>
      <c r="AB82" s="1207"/>
      <c r="AC82" s="202"/>
      <c r="AD82" s="202"/>
      <c r="AE82" s="202"/>
      <c r="AF82" s="1003"/>
      <c r="AG82" s="1003"/>
      <c r="AH82" s="1003"/>
      <c r="AI82" s="1003"/>
      <c r="AJ82" s="1003"/>
      <c r="AK82" s="1003"/>
      <c r="AL82" s="1003"/>
      <c r="AM82" s="1003"/>
      <c r="AN82" s="1003"/>
      <c r="AO82" s="1003"/>
      <c r="AP82" s="1003"/>
      <c r="AQ82" s="1003"/>
      <c r="AR82" s="810">
        <f t="shared" si="3"/>
        <v>0</v>
      </c>
      <c r="AS82" s="810">
        <f t="shared" si="9"/>
        <v>0</v>
      </c>
    </row>
    <row r="83" spans="1:46" x14ac:dyDescent="0.35">
      <c r="A83" s="85" t="s">
        <v>2096</v>
      </c>
      <c r="B83" s="497"/>
      <c r="C83" s="497"/>
      <c r="D83" s="497"/>
      <c r="E83" s="497"/>
      <c r="F83" s="497"/>
      <c r="G83" s="497"/>
      <c r="H83" s="497"/>
      <c r="I83" s="994"/>
      <c r="J83" s="497"/>
      <c r="K83" s="497"/>
      <c r="L83" s="497"/>
      <c r="M83" s="497"/>
      <c r="N83" s="497"/>
      <c r="O83" s="497"/>
      <c r="P83" s="498"/>
      <c r="Q83" s="499"/>
      <c r="R83" s="499"/>
      <c r="S83" s="499"/>
      <c r="T83" s="498"/>
      <c r="U83" s="499"/>
      <c r="V83" s="499"/>
      <c r="W83" s="499"/>
      <c r="X83" s="805"/>
      <c r="Y83" s="500"/>
      <c r="Z83" s="501"/>
      <c r="AA83" s="1204"/>
      <c r="AB83" s="1204"/>
      <c r="AC83" s="207">
        <f>SUM(AC84:AC101)</f>
        <v>15378130030</v>
      </c>
      <c r="AD83" s="207">
        <f t="shared" ref="AD83:AD90" si="30">AC83-AE83</f>
        <v>0</v>
      </c>
      <c r="AE83" s="207">
        <f>SUM(AE84:AE101)</f>
        <v>15378130030</v>
      </c>
      <c r="AF83" s="1003">
        <f>SUM(AF84,AF91,AF102)</f>
        <v>13871155.555555556</v>
      </c>
      <c r="AG83" s="1003">
        <f t="shared" ref="AG83:AR83" si="31">SUM(AG84,AG91,AG102)</f>
        <v>13871155.555555556</v>
      </c>
      <c r="AH83" s="1003">
        <f t="shared" si="31"/>
        <v>13871155.555555556</v>
      </c>
      <c r="AI83" s="1003">
        <f t="shared" si="31"/>
        <v>13871155.555555556</v>
      </c>
      <c r="AJ83" s="1003">
        <f t="shared" si="31"/>
        <v>13871155.555555556</v>
      </c>
      <c r="AK83" s="1003">
        <f t="shared" si="31"/>
        <v>13871155.555555556</v>
      </c>
      <c r="AL83" s="1003">
        <f t="shared" si="31"/>
        <v>13871155.555555556</v>
      </c>
      <c r="AM83" s="1003">
        <f t="shared" si="31"/>
        <v>13871155.555555556</v>
      </c>
      <c r="AN83" s="1003">
        <f t="shared" si="31"/>
        <v>13871155.555555556</v>
      </c>
      <c r="AO83" s="1003">
        <f t="shared" si="31"/>
        <v>13871155.555555556</v>
      </c>
      <c r="AP83" s="1003">
        <f t="shared" si="31"/>
        <v>13871155.555555556</v>
      </c>
      <c r="AQ83" s="1003">
        <f t="shared" si="31"/>
        <v>13871155.555555556</v>
      </c>
      <c r="AR83" s="1003">
        <f t="shared" si="31"/>
        <v>166453866.66666669</v>
      </c>
      <c r="AS83" s="810">
        <f t="shared" si="9"/>
        <v>15211676163.333334</v>
      </c>
      <c r="AT83" s="1265"/>
    </row>
    <row r="84" spans="1:46" ht="76" x14ac:dyDescent="0.35">
      <c r="A84" s="1021">
        <v>2.1</v>
      </c>
      <c r="B84" s="1021" t="s">
        <v>817</v>
      </c>
      <c r="C84" s="1021" t="s">
        <v>1187</v>
      </c>
      <c r="D84" s="1021"/>
      <c r="E84" s="1021"/>
      <c r="F84" s="1021"/>
      <c r="G84" s="1021"/>
      <c r="H84" s="1021"/>
      <c r="I84" s="1038"/>
      <c r="J84" s="1021"/>
      <c r="K84" s="1021"/>
      <c r="L84" s="1021"/>
      <c r="M84" s="1021"/>
      <c r="N84" s="1039">
        <v>46023</v>
      </c>
      <c r="O84" s="1021">
        <f>12*12</f>
        <v>144</v>
      </c>
      <c r="P84" s="1027" t="s">
        <v>1041</v>
      </c>
      <c r="Q84" s="1027"/>
      <c r="R84" s="1027"/>
      <c r="S84" s="485" t="s">
        <v>1037</v>
      </c>
      <c r="T84" s="482"/>
      <c r="U84" s="1023"/>
      <c r="V84" s="1023"/>
      <c r="W84" s="1032"/>
      <c r="X84" s="806" t="s">
        <v>1037</v>
      </c>
      <c r="Y84" s="1024">
        <v>627</v>
      </c>
      <c r="Z84" s="1025">
        <v>6274001903</v>
      </c>
      <c r="AA84" s="1212" t="s">
        <v>896</v>
      </c>
      <c r="AB84" s="1212" t="s">
        <v>1038</v>
      </c>
      <c r="AC84" s="810">
        <f>SUM(AC85:AC90)</f>
        <v>1290297800</v>
      </c>
      <c r="AD84" s="810">
        <f t="shared" si="30"/>
        <v>0</v>
      </c>
      <c r="AE84" s="810">
        <f>PB_TSCD!$AC84</f>
        <v>1290297800</v>
      </c>
      <c r="AF84" s="810">
        <f>SUM(AF85:AF90)</f>
        <v>8960401.3888888881</v>
      </c>
      <c r="AG84" s="810">
        <f t="shared" ref="AG84:AQ84" si="32">SUM(AG85:AG90)</f>
        <v>8960401.3888888881</v>
      </c>
      <c r="AH84" s="810">
        <f t="shared" si="32"/>
        <v>8960401.3888888881</v>
      </c>
      <c r="AI84" s="810">
        <f t="shared" si="32"/>
        <v>8960401.3888888881</v>
      </c>
      <c r="AJ84" s="810">
        <f t="shared" si="32"/>
        <v>8960401.3888888881</v>
      </c>
      <c r="AK84" s="810">
        <f t="shared" si="32"/>
        <v>8960401.3888888881</v>
      </c>
      <c r="AL84" s="810">
        <f t="shared" si="32"/>
        <v>8960401.3888888881</v>
      </c>
      <c r="AM84" s="810">
        <f t="shared" si="32"/>
        <v>8960401.3888888881</v>
      </c>
      <c r="AN84" s="810">
        <f t="shared" si="32"/>
        <v>8960401.3888888881</v>
      </c>
      <c r="AO84" s="810">
        <f t="shared" si="32"/>
        <v>8960401.3888888881</v>
      </c>
      <c r="AP84" s="810">
        <f t="shared" si="32"/>
        <v>8960401.3888888881</v>
      </c>
      <c r="AQ84" s="810">
        <f t="shared" si="32"/>
        <v>8960401.3888888881</v>
      </c>
      <c r="AR84" s="810">
        <f>SUM(AF84:AQ84)</f>
        <v>107524816.66666669</v>
      </c>
      <c r="AS84" s="810"/>
      <c r="AT84" s="1264"/>
    </row>
    <row r="85" spans="1:46" ht="76" x14ac:dyDescent="0.35">
      <c r="A85" s="237"/>
      <c r="B85" s="237" t="s">
        <v>817</v>
      </c>
      <c r="C85" s="237" t="s">
        <v>1187</v>
      </c>
      <c r="D85" s="237"/>
      <c r="E85" s="237"/>
      <c r="F85" s="237"/>
      <c r="G85" s="237"/>
      <c r="H85" s="237" t="s">
        <v>1172</v>
      </c>
      <c r="I85" s="1040" t="s">
        <v>2111</v>
      </c>
      <c r="J85" s="1035">
        <v>440032800</v>
      </c>
      <c r="K85" s="1035">
        <v>1</v>
      </c>
      <c r="L85" s="1035">
        <f>PB_TSCD!$J85*PB_TSCD!$K85</f>
        <v>440032800</v>
      </c>
      <c r="M85" s="237"/>
      <c r="N85" s="854">
        <v>46023</v>
      </c>
      <c r="O85" s="237">
        <v>144</v>
      </c>
      <c r="P85" s="1020"/>
      <c r="Q85" s="1020"/>
      <c r="R85" s="1020"/>
      <c r="S85" s="1036"/>
      <c r="T85" s="842"/>
      <c r="U85" s="234"/>
      <c r="V85" s="234"/>
      <c r="W85" s="809"/>
      <c r="X85" s="1037" t="s">
        <v>851</v>
      </c>
      <c r="Y85" s="844"/>
      <c r="Z85" s="845">
        <v>6274001903</v>
      </c>
      <c r="AA85" s="1211" t="s">
        <v>896</v>
      </c>
      <c r="AB85" s="1211" t="s">
        <v>1038</v>
      </c>
      <c r="AC85" s="197">
        <v>440032800</v>
      </c>
      <c r="AD85" s="197">
        <f t="shared" si="30"/>
        <v>0</v>
      </c>
      <c r="AE85" s="197">
        <f>PB_TSCD!$AC85</f>
        <v>440032800</v>
      </c>
      <c r="AF85" s="197">
        <f>$AC85/$O85</f>
        <v>3055783.3333333335</v>
      </c>
      <c r="AG85" s="197">
        <f t="shared" ref="AG85:AQ90" si="33">$AC85/$O85</f>
        <v>3055783.3333333335</v>
      </c>
      <c r="AH85" s="197">
        <f t="shared" si="33"/>
        <v>3055783.3333333335</v>
      </c>
      <c r="AI85" s="197">
        <f t="shared" si="33"/>
        <v>3055783.3333333335</v>
      </c>
      <c r="AJ85" s="197">
        <f t="shared" si="33"/>
        <v>3055783.3333333335</v>
      </c>
      <c r="AK85" s="197">
        <f t="shared" si="33"/>
        <v>3055783.3333333335</v>
      </c>
      <c r="AL85" s="197">
        <f t="shared" si="33"/>
        <v>3055783.3333333335</v>
      </c>
      <c r="AM85" s="197">
        <f t="shared" si="33"/>
        <v>3055783.3333333335</v>
      </c>
      <c r="AN85" s="197">
        <f t="shared" si="33"/>
        <v>3055783.3333333335</v>
      </c>
      <c r="AO85" s="197">
        <f t="shared" si="33"/>
        <v>3055783.3333333335</v>
      </c>
      <c r="AP85" s="197">
        <f t="shared" si="33"/>
        <v>3055783.3333333335</v>
      </c>
      <c r="AQ85" s="197">
        <f t="shared" si="33"/>
        <v>3055783.3333333335</v>
      </c>
      <c r="AR85" s="197">
        <f t="shared" ref="AR85:AR90" si="34">SUM(AF85:AQ85)</f>
        <v>36669400</v>
      </c>
      <c r="AS85" s="197"/>
    </row>
    <row r="86" spans="1:46" ht="76" x14ac:dyDescent="0.35">
      <c r="A86" s="237"/>
      <c r="B86" s="237" t="s">
        <v>817</v>
      </c>
      <c r="C86" s="237" t="s">
        <v>1187</v>
      </c>
      <c r="D86" s="237"/>
      <c r="E86" s="237"/>
      <c r="F86" s="237"/>
      <c r="G86" s="237"/>
      <c r="H86" s="237"/>
      <c r="I86" s="1040"/>
      <c r="J86" s="1035"/>
      <c r="K86" s="1035"/>
      <c r="L86" s="1035"/>
      <c r="M86" s="237"/>
      <c r="N86" s="854"/>
      <c r="O86" s="237">
        <v>144</v>
      </c>
      <c r="P86" s="1020"/>
      <c r="Q86" s="1020"/>
      <c r="R86" s="1020"/>
      <c r="S86" s="1036"/>
      <c r="T86" s="842"/>
      <c r="U86" s="234"/>
      <c r="V86" s="234"/>
      <c r="W86" s="809"/>
      <c r="X86" s="1037" t="s">
        <v>2112</v>
      </c>
      <c r="Y86" s="844"/>
      <c r="Z86" s="845">
        <v>6274001903</v>
      </c>
      <c r="AA86" s="1211" t="s">
        <v>896</v>
      </c>
      <c r="AB86" s="1211" t="s">
        <v>1038</v>
      </c>
      <c r="AC86" s="197">
        <v>60000000</v>
      </c>
      <c r="AD86" s="197">
        <f t="shared" si="30"/>
        <v>0</v>
      </c>
      <c r="AE86" s="197">
        <f>PB_TSCD!$AC86</f>
        <v>60000000</v>
      </c>
      <c r="AF86" s="197">
        <f t="shared" ref="AF86:AF90" si="35">$AC86/$O86</f>
        <v>416666.66666666669</v>
      </c>
      <c r="AG86" s="197">
        <f t="shared" si="33"/>
        <v>416666.66666666669</v>
      </c>
      <c r="AH86" s="197">
        <f t="shared" si="33"/>
        <v>416666.66666666669</v>
      </c>
      <c r="AI86" s="197">
        <f t="shared" si="33"/>
        <v>416666.66666666669</v>
      </c>
      <c r="AJ86" s="197">
        <f t="shared" si="33"/>
        <v>416666.66666666669</v>
      </c>
      <c r="AK86" s="197">
        <f t="shared" si="33"/>
        <v>416666.66666666669</v>
      </c>
      <c r="AL86" s="197">
        <f t="shared" si="33"/>
        <v>416666.66666666669</v>
      </c>
      <c r="AM86" s="197">
        <f t="shared" si="33"/>
        <v>416666.66666666669</v>
      </c>
      <c r="AN86" s="197">
        <f t="shared" si="33"/>
        <v>416666.66666666669</v>
      </c>
      <c r="AO86" s="197">
        <f t="shared" si="33"/>
        <v>416666.66666666669</v>
      </c>
      <c r="AP86" s="197">
        <f t="shared" si="33"/>
        <v>416666.66666666669</v>
      </c>
      <c r="AQ86" s="197">
        <f t="shared" si="33"/>
        <v>416666.66666666669</v>
      </c>
      <c r="AR86" s="197">
        <f t="shared" si="34"/>
        <v>5000000</v>
      </c>
      <c r="AS86" s="197"/>
    </row>
    <row r="87" spans="1:46" ht="76" x14ac:dyDescent="0.35">
      <c r="A87" s="237"/>
      <c r="B87" s="237" t="s">
        <v>817</v>
      </c>
      <c r="C87" s="237" t="s">
        <v>1187</v>
      </c>
      <c r="D87" s="237"/>
      <c r="E87" s="237"/>
      <c r="F87" s="237"/>
      <c r="G87" s="237"/>
      <c r="H87" s="237"/>
      <c r="I87" s="1040"/>
      <c r="J87" s="1035"/>
      <c r="K87" s="1035"/>
      <c r="L87" s="1035"/>
      <c r="M87" s="237"/>
      <c r="N87" s="854"/>
      <c r="O87" s="237">
        <v>144</v>
      </c>
      <c r="P87" s="1020"/>
      <c r="Q87" s="1020"/>
      <c r="R87" s="1020"/>
      <c r="S87" s="1036"/>
      <c r="T87" s="842"/>
      <c r="U87" s="234"/>
      <c r="V87" s="234"/>
      <c r="W87" s="809"/>
      <c r="X87" s="1037" t="s">
        <v>2113</v>
      </c>
      <c r="Y87" s="844"/>
      <c r="Z87" s="845">
        <v>6274001903</v>
      </c>
      <c r="AA87" s="1211" t="s">
        <v>896</v>
      </c>
      <c r="AB87" s="1211" t="s">
        <v>1038</v>
      </c>
      <c r="AC87" s="197">
        <v>135000000</v>
      </c>
      <c r="AD87" s="197">
        <f t="shared" si="30"/>
        <v>0</v>
      </c>
      <c r="AE87" s="197">
        <f>PB_TSCD!$AC87</f>
        <v>135000000</v>
      </c>
      <c r="AF87" s="197">
        <f t="shared" si="35"/>
        <v>937500</v>
      </c>
      <c r="AG87" s="197">
        <f t="shared" si="33"/>
        <v>937500</v>
      </c>
      <c r="AH87" s="197">
        <f t="shared" si="33"/>
        <v>937500</v>
      </c>
      <c r="AI87" s="197">
        <f t="shared" si="33"/>
        <v>937500</v>
      </c>
      <c r="AJ87" s="197">
        <f t="shared" si="33"/>
        <v>937500</v>
      </c>
      <c r="AK87" s="197">
        <f t="shared" si="33"/>
        <v>937500</v>
      </c>
      <c r="AL87" s="197">
        <f t="shared" si="33"/>
        <v>937500</v>
      </c>
      <c r="AM87" s="197">
        <f t="shared" si="33"/>
        <v>937500</v>
      </c>
      <c r="AN87" s="197">
        <f t="shared" si="33"/>
        <v>937500</v>
      </c>
      <c r="AO87" s="197">
        <f t="shared" si="33"/>
        <v>937500</v>
      </c>
      <c r="AP87" s="197">
        <f t="shared" si="33"/>
        <v>937500</v>
      </c>
      <c r="AQ87" s="197">
        <f t="shared" si="33"/>
        <v>937500</v>
      </c>
      <c r="AR87" s="197">
        <f t="shared" si="34"/>
        <v>11250000</v>
      </c>
      <c r="AS87" s="197"/>
    </row>
    <row r="88" spans="1:46" ht="76" x14ac:dyDescent="0.35">
      <c r="A88" s="237"/>
      <c r="B88" s="237" t="s">
        <v>817</v>
      </c>
      <c r="C88" s="237" t="s">
        <v>1187</v>
      </c>
      <c r="D88" s="237"/>
      <c r="E88" s="237"/>
      <c r="F88" s="237"/>
      <c r="G88" s="237"/>
      <c r="H88" s="237"/>
      <c r="I88" s="1040"/>
      <c r="J88" s="1035"/>
      <c r="K88" s="1035"/>
      <c r="L88" s="1035"/>
      <c r="M88" s="237"/>
      <c r="N88" s="854"/>
      <c r="O88" s="237">
        <v>144</v>
      </c>
      <c r="P88" s="1020"/>
      <c r="Q88" s="1020"/>
      <c r="R88" s="1020"/>
      <c r="S88" s="1036"/>
      <c r="T88" s="842"/>
      <c r="U88" s="234"/>
      <c r="V88" s="234"/>
      <c r="W88" s="809"/>
      <c r="X88" s="1037" t="s">
        <v>852</v>
      </c>
      <c r="Y88" s="844"/>
      <c r="Z88" s="845">
        <v>6274001903</v>
      </c>
      <c r="AA88" s="1211" t="s">
        <v>896</v>
      </c>
      <c r="AB88" s="1211" t="s">
        <v>1038</v>
      </c>
      <c r="AC88" s="197">
        <v>35000000</v>
      </c>
      <c r="AD88" s="197">
        <f t="shared" si="30"/>
        <v>0</v>
      </c>
      <c r="AE88" s="197">
        <f>PB_TSCD!$AC88</f>
        <v>35000000</v>
      </c>
      <c r="AF88" s="197">
        <f t="shared" si="35"/>
        <v>243055.55555555556</v>
      </c>
      <c r="AG88" s="197">
        <f t="shared" si="33"/>
        <v>243055.55555555556</v>
      </c>
      <c r="AH88" s="197">
        <f t="shared" si="33"/>
        <v>243055.55555555556</v>
      </c>
      <c r="AI88" s="197">
        <f t="shared" si="33"/>
        <v>243055.55555555556</v>
      </c>
      <c r="AJ88" s="197">
        <f t="shared" si="33"/>
        <v>243055.55555555556</v>
      </c>
      <c r="AK88" s="197">
        <f t="shared" si="33"/>
        <v>243055.55555555556</v>
      </c>
      <c r="AL88" s="197">
        <f t="shared" si="33"/>
        <v>243055.55555555556</v>
      </c>
      <c r="AM88" s="197">
        <f t="shared" si="33"/>
        <v>243055.55555555556</v>
      </c>
      <c r="AN88" s="197">
        <f t="shared" si="33"/>
        <v>243055.55555555556</v>
      </c>
      <c r="AO88" s="197">
        <f t="shared" si="33"/>
        <v>243055.55555555556</v>
      </c>
      <c r="AP88" s="197">
        <f t="shared" si="33"/>
        <v>243055.55555555556</v>
      </c>
      <c r="AQ88" s="197">
        <f t="shared" si="33"/>
        <v>243055.55555555556</v>
      </c>
      <c r="AR88" s="197">
        <f t="shared" si="34"/>
        <v>2916666.6666666665</v>
      </c>
      <c r="AS88" s="197"/>
    </row>
    <row r="89" spans="1:46" ht="76" x14ac:dyDescent="0.35">
      <c r="A89" s="237"/>
      <c r="B89" s="237" t="s">
        <v>817</v>
      </c>
      <c r="C89" s="237" t="s">
        <v>1187</v>
      </c>
      <c r="D89" s="237"/>
      <c r="E89" s="237"/>
      <c r="F89" s="237"/>
      <c r="G89" s="237"/>
      <c r="H89" s="237"/>
      <c r="I89" s="1040"/>
      <c r="J89" s="1035"/>
      <c r="K89" s="1035"/>
      <c r="L89" s="1035"/>
      <c r="M89" s="237"/>
      <c r="N89" s="854"/>
      <c r="O89" s="237">
        <v>144</v>
      </c>
      <c r="P89" s="1020"/>
      <c r="Q89" s="1020"/>
      <c r="R89" s="1020"/>
      <c r="S89" s="1036"/>
      <c r="T89" s="842"/>
      <c r="U89" s="234"/>
      <c r="V89" s="234"/>
      <c r="W89" s="809"/>
      <c r="X89" s="1037" t="s">
        <v>2114</v>
      </c>
      <c r="Y89" s="844"/>
      <c r="Z89" s="845">
        <v>6274001903</v>
      </c>
      <c r="AA89" s="1211" t="s">
        <v>896</v>
      </c>
      <c r="AB89" s="1211" t="s">
        <v>1038</v>
      </c>
      <c r="AC89" s="197">
        <f>356365000+52780000+47502000</f>
        <v>456647000</v>
      </c>
      <c r="AD89" s="197">
        <f t="shared" si="30"/>
        <v>0</v>
      </c>
      <c r="AE89" s="197">
        <f>PB_TSCD!$AC89</f>
        <v>456647000</v>
      </c>
      <c r="AF89" s="197">
        <f t="shared" si="35"/>
        <v>3171159.722222222</v>
      </c>
      <c r="AG89" s="197">
        <f t="shared" si="33"/>
        <v>3171159.722222222</v>
      </c>
      <c r="AH89" s="197">
        <f t="shared" si="33"/>
        <v>3171159.722222222</v>
      </c>
      <c r="AI89" s="197">
        <f t="shared" si="33"/>
        <v>3171159.722222222</v>
      </c>
      <c r="AJ89" s="197">
        <f t="shared" si="33"/>
        <v>3171159.722222222</v>
      </c>
      <c r="AK89" s="197">
        <f t="shared" si="33"/>
        <v>3171159.722222222</v>
      </c>
      <c r="AL89" s="197">
        <f t="shared" si="33"/>
        <v>3171159.722222222</v>
      </c>
      <c r="AM89" s="197">
        <f t="shared" si="33"/>
        <v>3171159.722222222</v>
      </c>
      <c r="AN89" s="197">
        <f t="shared" si="33"/>
        <v>3171159.722222222</v>
      </c>
      <c r="AO89" s="197">
        <f t="shared" si="33"/>
        <v>3171159.722222222</v>
      </c>
      <c r="AP89" s="197">
        <f t="shared" si="33"/>
        <v>3171159.722222222</v>
      </c>
      <c r="AQ89" s="197">
        <f t="shared" si="33"/>
        <v>3171159.722222222</v>
      </c>
      <c r="AR89" s="197">
        <f t="shared" si="34"/>
        <v>38053916.666666672</v>
      </c>
      <c r="AS89" s="197"/>
    </row>
    <row r="90" spans="1:46" ht="76" x14ac:dyDescent="0.35">
      <c r="A90" s="237"/>
      <c r="B90" s="237" t="s">
        <v>817</v>
      </c>
      <c r="C90" s="237" t="s">
        <v>1187</v>
      </c>
      <c r="D90" s="237"/>
      <c r="E90" s="237"/>
      <c r="F90" s="237"/>
      <c r="G90" s="237"/>
      <c r="H90" s="237"/>
      <c r="I90" s="1040"/>
      <c r="J90" s="1035"/>
      <c r="K90" s="1035"/>
      <c r="L90" s="1035"/>
      <c r="M90" s="237"/>
      <c r="N90" s="854"/>
      <c r="O90" s="237">
        <v>144</v>
      </c>
      <c r="P90" s="1020"/>
      <c r="Q90" s="1020"/>
      <c r="R90" s="1020"/>
      <c r="S90" s="1036"/>
      <c r="T90" s="842"/>
      <c r="U90" s="234"/>
      <c r="V90" s="234"/>
      <c r="W90" s="809"/>
      <c r="X90" s="1037" t="s">
        <v>2115</v>
      </c>
      <c r="Y90" s="844"/>
      <c r="Z90" s="845">
        <v>6274001903</v>
      </c>
      <c r="AA90" s="1211" t="s">
        <v>896</v>
      </c>
      <c r="AB90" s="1211" t="s">
        <v>1038</v>
      </c>
      <c r="AC90" s="197">
        <v>163618000</v>
      </c>
      <c r="AD90" s="197">
        <f t="shared" si="30"/>
        <v>0</v>
      </c>
      <c r="AE90" s="197">
        <f>PB_TSCD!$AC90</f>
        <v>163618000</v>
      </c>
      <c r="AF90" s="197">
        <f t="shared" si="35"/>
        <v>1136236.111111111</v>
      </c>
      <c r="AG90" s="197">
        <f t="shared" si="33"/>
        <v>1136236.111111111</v>
      </c>
      <c r="AH90" s="197">
        <f t="shared" si="33"/>
        <v>1136236.111111111</v>
      </c>
      <c r="AI90" s="197">
        <f t="shared" si="33"/>
        <v>1136236.111111111</v>
      </c>
      <c r="AJ90" s="197">
        <f t="shared" si="33"/>
        <v>1136236.111111111</v>
      </c>
      <c r="AK90" s="197">
        <f t="shared" si="33"/>
        <v>1136236.111111111</v>
      </c>
      <c r="AL90" s="197">
        <f t="shared" si="33"/>
        <v>1136236.111111111</v>
      </c>
      <c r="AM90" s="197">
        <f t="shared" si="33"/>
        <v>1136236.111111111</v>
      </c>
      <c r="AN90" s="197">
        <f t="shared" si="33"/>
        <v>1136236.111111111</v>
      </c>
      <c r="AO90" s="197">
        <f t="shared" si="33"/>
        <v>1136236.111111111</v>
      </c>
      <c r="AP90" s="197">
        <f t="shared" si="33"/>
        <v>1136236.111111111</v>
      </c>
      <c r="AQ90" s="197">
        <f t="shared" si="33"/>
        <v>1136236.111111111</v>
      </c>
      <c r="AR90" s="197">
        <f t="shared" si="34"/>
        <v>13634833.333333336</v>
      </c>
      <c r="AS90" s="197"/>
    </row>
    <row r="91" spans="1:46" ht="76" x14ac:dyDescent="0.35">
      <c r="A91" s="1021">
        <v>2.2000000000000002</v>
      </c>
      <c r="B91" s="1021" t="s">
        <v>817</v>
      </c>
      <c r="C91" s="1021" t="s">
        <v>1187</v>
      </c>
      <c r="D91" s="1021"/>
      <c r="E91" s="1021"/>
      <c r="F91" s="1021"/>
      <c r="G91" s="1021"/>
      <c r="H91" s="1021"/>
      <c r="I91" s="1038"/>
      <c r="J91" s="1021"/>
      <c r="K91" s="1021"/>
      <c r="L91" s="1021"/>
      <c r="M91" s="1021"/>
      <c r="N91" s="1039">
        <v>46023</v>
      </c>
      <c r="O91" s="1021">
        <f>12*12</f>
        <v>144</v>
      </c>
      <c r="P91" s="1027" t="s">
        <v>1041</v>
      </c>
      <c r="Q91" s="1027"/>
      <c r="R91" s="1027"/>
      <c r="S91" s="485" t="s">
        <v>1171</v>
      </c>
      <c r="T91" s="482"/>
      <c r="U91" s="1023"/>
      <c r="V91" s="1023"/>
      <c r="W91" s="1032"/>
      <c r="X91" s="485" t="s">
        <v>1171</v>
      </c>
      <c r="Y91" s="1024">
        <v>627</v>
      </c>
      <c r="Z91" s="1025">
        <v>6274001903</v>
      </c>
      <c r="AA91" s="1212" t="s">
        <v>896</v>
      </c>
      <c r="AB91" s="1212" t="s">
        <v>1038</v>
      </c>
      <c r="AC91" s="810">
        <f>SUM(AC92:AC101)</f>
        <v>6398767215</v>
      </c>
      <c r="AD91" s="810">
        <f t="shared" ref="AD91:AD93" si="36">AC91-AE91</f>
        <v>0</v>
      </c>
      <c r="AE91" s="810">
        <f>PB_TSCD!$AC91</f>
        <v>6398767215</v>
      </c>
      <c r="AF91" s="810">
        <f>SUM(AF92:AF101)</f>
        <v>0</v>
      </c>
      <c r="AG91" s="810">
        <f t="shared" ref="AG91:AQ91" si="37">SUM(AG92:AG101)</f>
        <v>0</v>
      </c>
      <c r="AH91" s="810">
        <f t="shared" si="37"/>
        <v>0</v>
      </c>
      <c r="AI91" s="810">
        <f t="shared" si="37"/>
        <v>0</v>
      </c>
      <c r="AJ91" s="810">
        <f t="shared" si="37"/>
        <v>0</v>
      </c>
      <c r="AK91" s="810">
        <f t="shared" si="37"/>
        <v>0</v>
      </c>
      <c r="AL91" s="810">
        <f t="shared" si="37"/>
        <v>0</v>
      </c>
      <c r="AM91" s="810">
        <f t="shared" si="37"/>
        <v>0</v>
      </c>
      <c r="AN91" s="810">
        <f t="shared" si="37"/>
        <v>0</v>
      </c>
      <c r="AO91" s="810">
        <f t="shared" si="37"/>
        <v>0</v>
      </c>
      <c r="AP91" s="810">
        <f t="shared" si="37"/>
        <v>0</v>
      </c>
      <c r="AQ91" s="810">
        <f t="shared" si="37"/>
        <v>0</v>
      </c>
      <c r="AR91" s="810">
        <f t="shared" ref="AR91:AR93" si="38">SUM(AF91:AQ91)</f>
        <v>0</v>
      </c>
      <c r="AS91" s="810"/>
      <c r="AT91" s="1264" t="s">
        <v>2216</v>
      </c>
    </row>
    <row r="92" spans="1:46" ht="76" x14ac:dyDescent="0.35">
      <c r="A92" s="237"/>
      <c r="B92" s="237"/>
      <c r="C92" s="237"/>
      <c r="D92" s="1017"/>
      <c r="E92" s="1017"/>
      <c r="F92" s="237"/>
      <c r="G92" s="1018"/>
      <c r="H92" s="237" t="s">
        <v>1172</v>
      </c>
      <c r="I92" s="1028" t="s">
        <v>1173</v>
      </c>
      <c r="J92" s="237"/>
      <c r="K92" s="237"/>
      <c r="L92" s="237"/>
      <c r="M92" s="237"/>
      <c r="N92" s="1019">
        <v>46023</v>
      </c>
      <c r="O92" s="237">
        <v>120</v>
      </c>
      <c r="P92" s="1020" t="s">
        <v>1041</v>
      </c>
      <c r="Q92" s="1020"/>
      <c r="R92" s="1020"/>
      <c r="S92" s="1020"/>
      <c r="T92" s="842" t="s">
        <v>1174</v>
      </c>
      <c r="U92" s="234" t="s">
        <v>1175</v>
      </c>
      <c r="V92" s="234">
        <v>1</v>
      </c>
      <c r="W92" s="809">
        <v>45901</v>
      </c>
      <c r="X92" s="997" t="s">
        <v>2097</v>
      </c>
      <c r="Y92" s="998"/>
      <c r="Z92" s="845">
        <v>6274001903</v>
      </c>
      <c r="AA92" s="1211" t="s">
        <v>896</v>
      </c>
      <c r="AB92" s="1211" t="s">
        <v>1038</v>
      </c>
      <c r="AC92" s="197">
        <v>3945000000</v>
      </c>
      <c r="AD92" s="197">
        <f t="shared" si="36"/>
        <v>0</v>
      </c>
      <c r="AE92" s="197">
        <f>PB_TSCD!$AC92</f>
        <v>3945000000</v>
      </c>
      <c r="AF92" s="197"/>
      <c r="AG92" s="197"/>
      <c r="AH92" s="197"/>
      <c r="AI92" s="197"/>
      <c r="AJ92" s="197"/>
      <c r="AK92" s="197"/>
      <c r="AL92" s="197"/>
      <c r="AM92" s="197"/>
      <c r="AN92" s="197"/>
      <c r="AO92" s="197"/>
      <c r="AP92" s="197"/>
      <c r="AQ92" s="197"/>
      <c r="AR92" s="197">
        <f t="shared" si="38"/>
        <v>0</v>
      </c>
      <c r="AS92" s="197"/>
    </row>
    <row r="93" spans="1:46" ht="100" x14ac:dyDescent="0.35">
      <c r="A93" s="237"/>
      <c r="B93" s="237"/>
      <c r="C93" s="237"/>
      <c r="D93" s="1017"/>
      <c r="E93" s="1017"/>
      <c r="F93" s="237"/>
      <c r="G93" s="1018"/>
      <c r="H93" s="237" t="s">
        <v>1172</v>
      </c>
      <c r="I93" s="1028" t="s">
        <v>1176</v>
      </c>
      <c r="J93" s="237"/>
      <c r="K93" s="237"/>
      <c r="L93" s="237"/>
      <c r="M93" s="237"/>
      <c r="N93" s="1019">
        <v>46023</v>
      </c>
      <c r="O93" s="237">
        <v>120</v>
      </c>
      <c r="P93" s="1020" t="s">
        <v>1041</v>
      </c>
      <c r="Q93" s="1020"/>
      <c r="R93" s="1020"/>
      <c r="S93" s="1020"/>
      <c r="T93" s="842" t="s">
        <v>1177</v>
      </c>
      <c r="U93" s="234"/>
      <c r="V93" s="234"/>
      <c r="W93" s="809">
        <v>45962</v>
      </c>
      <c r="X93" s="997" t="s">
        <v>2098</v>
      </c>
      <c r="Y93" s="998"/>
      <c r="Z93" s="845">
        <v>6274001903</v>
      </c>
      <c r="AA93" s="1211" t="s">
        <v>896</v>
      </c>
      <c r="AB93" s="1211" t="s">
        <v>1038</v>
      </c>
      <c r="AC93" s="197">
        <v>276150000</v>
      </c>
      <c r="AD93" s="197">
        <f t="shared" si="36"/>
        <v>0</v>
      </c>
      <c r="AE93" s="197">
        <f>PB_TSCD!$AC93</f>
        <v>276150000</v>
      </c>
      <c r="AF93" s="197"/>
      <c r="AG93" s="197"/>
      <c r="AH93" s="197"/>
      <c r="AI93" s="197"/>
      <c r="AJ93" s="197"/>
      <c r="AK93" s="197"/>
      <c r="AL93" s="197"/>
      <c r="AM93" s="197"/>
      <c r="AN93" s="197"/>
      <c r="AO93" s="197"/>
      <c r="AP93" s="197"/>
      <c r="AQ93" s="197"/>
      <c r="AR93" s="197">
        <f t="shared" si="38"/>
        <v>0</v>
      </c>
      <c r="AS93" s="197"/>
    </row>
    <row r="94" spans="1:46" ht="87.5" x14ac:dyDescent="0.35">
      <c r="A94" s="237"/>
      <c r="B94" s="237"/>
      <c r="C94" s="237"/>
      <c r="D94" s="1017"/>
      <c r="E94" s="1017"/>
      <c r="F94" s="237"/>
      <c r="G94" s="1018"/>
      <c r="H94" s="237" t="s">
        <v>1172</v>
      </c>
      <c r="I94" s="1028" t="s">
        <v>1176</v>
      </c>
      <c r="J94" s="237"/>
      <c r="K94" s="237"/>
      <c r="L94" s="237"/>
      <c r="M94" s="237"/>
      <c r="N94" s="1019">
        <v>46023</v>
      </c>
      <c r="O94" s="237">
        <v>120</v>
      </c>
      <c r="P94" s="1020" t="s">
        <v>1041</v>
      </c>
      <c r="Q94" s="1020"/>
      <c r="R94" s="1020"/>
      <c r="S94" s="1020"/>
      <c r="T94" s="842" t="s">
        <v>1178</v>
      </c>
      <c r="U94" s="234"/>
      <c r="V94" s="234"/>
      <c r="W94" s="809">
        <v>45962</v>
      </c>
      <c r="X94" s="997" t="s">
        <v>2099</v>
      </c>
      <c r="Y94" s="998"/>
      <c r="Z94" s="845">
        <v>6274001903</v>
      </c>
      <c r="AA94" s="1211" t="s">
        <v>896</v>
      </c>
      <c r="AB94" s="1211" t="s">
        <v>1038</v>
      </c>
      <c r="AC94" s="197">
        <v>101255000</v>
      </c>
      <c r="AD94" s="197">
        <f t="shared" ref="AD94:AD104" si="39">AC94-AE94</f>
        <v>0</v>
      </c>
      <c r="AE94" s="197">
        <f>PB_TSCD!$AC94</f>
        <v>101255000</v>
      </c>
      <c r="AF94" s="197"/>
      <c r="AG94" s="197"/>
      <c r="AH94" s="197"/>
      <c r="AI94" s="197"/>
      <c r="AJ94" s="197"/>
      <c r="AK94" s="197"/>
      <c r="AL94" s="197"/>
      <c r="AM94" s="197"/>
      <c r="AN94" s="197"/>
      <c r="AO94" s="197"/>
      <c r="AP94" s="197"/>
      <c r="AQ94" s="197"/>
      <c r="AR94" s="197">
        <f t="shared" ref="AR94:AR104" si="40">SUM(AF94:AQ94)</f>
        <v>0</v>
      </c>
      <c r="AS94" s="197"/>
    </row>
    <row r="95" spans="1:46" ht="76" x14ac:dyDescent="0.35">
      <c r="A95" s="237"/>
      <c r="B95" s="237"/>
      <c r="C95" s="237"/>
      <c r="D95" s="1017"/>
      <c r="E95" s="1017"/>
      <c r="F95" s="237"/>
      <c r="G95" s="1018"/>
      <c r="H95" s="237" t="s">
        <v>1179</v>
      </c>
      <c r="I95" s="1028" t="s">
        <v>1180</v>
      </c>
      <c r="J95" s="237"/>
      <c r="K95" s="237"/>
      <c r="L95" s="237"/>
      <c r="M95" s="237"/>
      <c r="N95" s="1019">
        <v>46023</v>
      </c>
      <c r="O95" s="237">
        <v>120</v>
      </c>
      <c r="P95" s="1020" t="s">
        <v>1041</v>
      </c>
      <c r="Q95" s="1020"/>
      <c r="R95" s="1020"/>
      <c r="S95" s="1020"/>
      <c r="T95" s="842" t="s">
        <v>1181</v>
      </c>
      <c r="U95" s="234"/>
      <c r="V95" s="234"/>
      <c r="W95" s="809">
        <v>45962</v>
      </c>
      <c r="X95" s="997" t="s">
        <v>2100</v>
      </c>
      <c r="Y95" s="998"/>
      <c r="Z95" s="845">
        <v>6274001903</v>
      </c>
      <c r="AA95" s="1211" t="s">
        <v>896</v>
      </c>
      <c r="AB95" s="1211" t="s">
        <v>1038</v>
      </c>
      <c r="AC95" s="197">
        <v>931989999</v>
      </c>
      <c r="AD95" s="197">
        <f t="shared" si="39"/>
        <v>0</v>
      </c>
      <c r="AE95" s="197">
        <f>PB_TSCD!$AC95</f>
        <v>931989999</v>
      </c>
      <c r="AF95" s="197"/>
      <c r="AG95" s="197"/>
      <c r="AH95" s="197"/>
      <c r="AI95" s="197"/>
      <c r="AJ95" s="197"/>
      <c r="AK95" s="197"/>
      <c r="AL95" s="197"/>
      <c r="AM95" s="197"/>
      <c r="AN95" s="197"/>
      <c r="AO95" s="197"/>
      <c r="AP95" s="197"/>
      <c r="AQ95" s="197"/>
      <c r="AR95" s="197">
        <f t="shared" si="40"/>
        <v>0</v>
      </c>
      <c r="AS95" s="197"/>
    </row>
    <row r="96" spans="1:46" ht="51" x14ac:dyDescent="0.35">
      <c r="A96" s="237"/>
      <c r="B96" s="237"/>
      <c r="C96" s="237"/>
      <c r="D96" s="1017"/>
      <c r="E96" s="1017"/>
      <c r="F96" s="237"/>
      <c r="G96" s="1018"/>
      <c r="H96" s="237" t="s">
        <v>1179</v>
      </c>
      <c r="I96" s="1028" t="s">
        <v>1182</v>
      </c>
      <c r="J96" s="237"/>
      <c r="K96" s="237"/>
      <c r="L96" s="237"/>
      <c r="M96" s="237"/>
      <c r="N96" s="1019">
        <v>46023</v>
      </c>
      <c r="O96" s="237">
        <v>120</v>
      </c>
      <c r="P96" s="1020" t="s">
        <v>1041</v>
      </c>
      <c r="Q96" s="1020"/>
      <c r="R96" s="1020"/>
      <c r="S96" s="1020"/>
      <c r="T96" s="842" t="s">
        <v>1182</v>
      </c>
      <c r="U96" s="234"/>
      <c r="V96" s="234"/>
      <c r="W96" s="809">
        <v>45962</v>
      </c>
      <c r="X96" s="997" t="s">
        <v>1068</v>
      </c>
      <c r="Y96" s="998"/>
      <c r="Z96" s="845">
        <v>6274001903</v>
      </c>
      <c r="AA96" s="1211" t="s">
        <v>896</v>
      </c>
      <c r="AB96" s="1211"/>
      <c r="AC96" s="197">
        <v>411189335</v>
      </c>
      <c r="AD96" s="197">
        <f t="shared" si="39"/>
        <v>0</v>
      </c>
      <c r="AE96" s="197">
        <f>PB_TSCD!$AC96</f>
        <v>411189335</v>
      </c>
      <c r="AF96" s="197"/>
      <c r="AG96" s="197"/>
      <c r="AH96" s="197"/>
      <c r="AI96" s="197"/>
      <c r="AJ96" s="197"/>
      <c r="AK96" s="197"/>
      <c r="AL96" s="197"/>
      <c r="AM96" s="197"/>
      <c r="AN96" s="197"/>
      <c r="AO96" s="197"/>
      <c r="AP96" s="197"/>
      <c r="AQ96" s="197"/>
      <c r="AR96" s="197">
        <f t="shared" si="40"/>
        <v>0</v>
      </c>
      <c r="AS96" s="197"/>
    </row>
    <row r="97" spans="1:46" ht="51" x14ac:dyDescent="0.35">
      <c r="A97" s="237"/>
      <c r="B97" s="237"/>
      <c r="C97" s="237"/>
      <c r="D97" s="1017"/>
      <c r="E97" s="1017"/>
      <c r="F97" s="237"/>
      <c r="G97" s="1018"/>
      <c r="H97" s="237" t="s">
        <v>1179</v>
      </c>
      <c r="I97" s="1028" t="s">
        <v>1183</v>
      </c>
      <c r="J97" s="237"/>
      <c r="K97" s="237"/>
      <c r="L97" s="237"/>
      <c r="M97" s="237"/>
      <c r="N97" s="1019">
        <v>46023</v>
      </c>
      <c r="O97" s="237">
        <v>120</v>
      </c>
      <c r="P97" s="1020" t="s">
        <v>1041</v>
      </c>
      <c r="Q97" s="1020"/>
      <c r="R97" s="1020"/>
      <c r="S97" s="1020"/>
      <c r="T97" s="842" t="s">
        <v>1183</v>
      </c>
      <c r="U97" s="234"/>
      <c r="V97" s="234"/>
      <c r="W97" s="809">
        <v>45962</v>
      </c>
      <c r="X97" s="997" t="s">
        <v>1184</v>
      </c>
      <c r="Y97" s="998"/>
      <c r="Z97" s="845">
        <v>6274001903</v>
      </c>
      <c r="AA97" s="1211" t="s">
        <v>896</v>
      </c>
      <c r="AB97" s="1211"/>
      <c r="AC97" s="197">
        <v>379743553</v>
      </c>
      <c r="AD97" s="197">
        <f t="shared" si="39"/>
        <v>0</v>
      </c>
      <c r="AE97" s="197">
        <f>PB_TSCD!$AC97</f>
        <v>379743553</v>
      </c>
      <c r="AF97" s="197"/>
      <c r="AG97" s="197"/>
      <c r="AH97" s="197"/>
      <c r="AI97" s="197"/>
      <c r="AJ97" s="197"/>
      <c r="AK97" s="197"/>
      <c r="AL97" s="197"/>
      <c r="AM97" s="197"/>
      <c r="AN97" s="197"/>
      <c r="AO97" s="197"/>
      <c r="AP97" s="197"/>
      <c r="AQ97" s="197"/>
      <c r="AR97" s="197">
        <f t="shared" si="40"/>
        <v>0</v>
      </c>
      <c r="AS97" s="197"/>
    </row>
    <row r="98" spans="1:46" ht="51" x14ac:dyDescent="0.35">
      <c r="A98" s="237"/>
      <c r="B98" s="237"/>
      <c r="C98" s="237"/>
      <c r="D98" s="1017"/>
      <c r="E98" s="1017"/>
      <c r="F98" s="237"/>
      <c r="G98" s="1018"/>
      <c r="H98" s="237" t="s">
        <v>1179</v>
      </c>
      <c r="I98" s="1028" t="s">
        <v>1185</v>
      </c>
      <c r="J98" s="237"/>
      <c r="K98" s="237"/>
      <c r="L98" s="237"/>
      <c r="M98" s="237"/>
      <c r="N98" s="1019">
        <v>46023</v>
      </c>
      <c r="O98" s="237">
        <v>120</v>
      </c>
      <c r="P98" s="1020" t="s">
        <v>1041</v>
      </c>
      <c r="Q98" s="1020"/>
      <c r="R98" s="1020"/>
      <c r="S98" s="1020"/>
      <c r="T98" s="842" t="s">
        <v>1185</v>
      </c>
      <c r="U98" s="234"/>
      <c r="V98" s="234"/>
      <c r="W98" s="809">
        <v>45962</v>
      </c>
      <c r="X98" s="997" t="s">
        <v>2101</v>
      </c>
      <c r="Y98" s="998"/>
      <c r="Z98" s="845">
        <v>6274001903</v>
      </c>
      <c r="AA98" s="1211" t="s">
        <v>896</v>
      </c>
      <c r="AB98" s="1211"/>
      <c r="AC98" s="197">
        <v>172119328</v>
      </c>
      <c r="AD98" s="197">
        <f t="shared" si="39"/>
        <v>0</v>
      </c>
      <c r="AE98" s="197">
        <f>PB_TSCD!$AC98</f>
        <v>172119328</v>
      </c>
      <c r="AF98" s="197"/>
      <c r="AG98" s="197"/>
      <c r="AH98" s="197"/>
      <c r="AI98" s="197"/>
      <c r="AJ98" s="197"/>
      <c r="AK98" s="197"/>
      <c r="AL98" s="197"/>
      <c r="AM98" s="197"/>
      <c r="AN98" s="197"/>
      <c r="AO98" s="197"/>
      <c r="AP98" s="197"/>
      <c r="AQ98" s="197"/>
      <c r="AR98" s="197">
        <f t="shared" si="40"/>
        <v>0</v>
      </c>
      <c r="AS98" s="197"/>
    </row>
    <row r="99" spans="1:46" ht="51" x14ac:dyDescent="0.35">
      <c r="A99" s="237"/>
      <c r="B99" s="237"/>
      <c r="C99" s="237"/>
      <c r="D99" s="1017"/>
      <c r="E99" s="1017"/>
      <c r="F99" s="237"/>
      <c r="G99" s="1018"/>
      <c r="H99" s="237" t="s">
        <v>1179</v>
      </c>
      <c r="I99" s="1028"/>
      <c r="J99" s="237"/>
      <c r="K99" s="237"/>
      <c r="L99" s="237"/>
      <c r="M99" s="237"/>
      <c r="N99" s="1019">
        <v>46023</v>
      </c>
      <c r="O99" s="237">
        <v>120</v>
      </c>
      <c r="P99" s="1020" t="s">
        <v>1041</v>
      </c>
      <c r="Q99" s="1020"/>
      <c r="R99" s="1020"/>
      <c r="S99" s="1020"/>
      <c r="T99" s="842"/>
      <c r="U99" s="234"/>
      <c r="V99" s="234"/>
      <c r="W99" s="809">
        <v>45962</v>
      </c>
      <c r="X99" s="997" t="s">
        <v>2102</v>
      </c>
      <c r="Y99" s="998"/>
      <c r="Z99" s="845">
        <v>6274001903</v>
      </c>
      <c r="AA99" s="1211" t="s">
        <v>896</v>
      </c>
      <c r="AB99" s="1211"/>
      <c r="AC99" s="197">
        <v>114000000</v>
      </c>
      <c r="AD99" s="197">
        <f t="shared" si="39"/>
        <v>0</v>
      </c>
      <c r="AE99" s="197">
        <f>PB_TSCD!$AC99</f>
        <v>114000000</v>
      </c>
      <c r="AF99" s="197"/>
      <c r="AG99" s="197"/>
      <c r="AH99" s="197"/>
      <c r="AI99" s="197"/>
      <c r="AJ99" s="197"/>
      <c r="AK99" s="197"/>
      <c r="AL99" s="197"/>
      <c r="AM99" s="197"/>
      <c r="AN99" s="197"/>
      <c r="AO99" s="197"/>
      <c r="AP99" s="197"/>
      <c r="AQ99" s="197"/>
      <c r="AR99" s="197">
        <f t="shared" si="40"/>
        <v>0</v>
      </c>
      <c r="AS99" s="197"/>
    </row>
    <row r="100" spans="1:46" ht="51" x14ac:dyDescent="0.35">
      <c r="A100" s="237"/>
      <c r="B100" s="237"/>
      <c r="C100" s="237"/>
      <c r="D100" s="1017"/>
      <c r="E100" s="1017"/>
      <c r="F100" s="237"/>
      <c r="G100" s="1018"/>
      <c r="H100" s="237" t="s">
        <v>1179</v>
      </c>
      <c r="I100" s="1028"/>
      <c r="J100" s="237"/>
      <c r="K100" s="237"/>
      <c r="L100" s="237"/>
      <c r="M100" s="237"/>
      <c r="N100" s="1019">
        <v>46023</v>
      </c>
      <c r="O100" s="237">
        <v>120</v>
      </c>
      <c r="P100" s="1020" t="s">
        <v>1041</v>
      </c>
      <c r="Q100" s="1020"/>
      <c r="R100" s="1020"/>
      <c r="S100" s="1020"/>
      <c r="T100" s="842"/>
      <c r="U100" s="234"/>
      <c r="V100" s="234"/>
      <c r="W100" s="809">
        <v>45962</v>
      </c>
      <c r="X100" s="997" t="s">
        <v>2103</v>
      </c>
      <c r="Y100" s="998"/>
      <c r="Z100" s="845">
        <v>6274001903</v>
      </c>
      <c r="AA100" s="1211" t="s">
        <v>896</v>
      </c>
      <c r="AB100" s="1211"/>
      <c r="AC100" s="825">
        <v>43650000</v>
      </c>
      <c r="AD100" s="825">
        <f t="shared" si="39"/>
        <v>0</v>
      </c>
      <c r="AE100" s="825">
        <f>PB_TSCD!$AC100</f>
        <v>43650000</v>
      </c>
      <c r="AF100" s="197"/>
      <c r="AG100" s="197"/>
      <c r="AH100" s="197"/>
      <c r="AI100" s="197"/>
      <c r="AJ100" s="197"/>
      <c r="AK100" s="197"/>
      <c r="AL100" s="197"/>
      <c r="AM100" s="197"/>
      <c r="AN100" s="197"/>
      <c r="AO100" s="197"/>
      <c r="AP100" s="197"/>
      <c r="AQ100" s="197"/>
      <c r="AR100" s="197">
        <f t="shared" si="40"/>
        <v>0</v>
      </c>
      <c r="AS100" s="197"/>
    </row>
    <row r="101" spans="1:46" ht="51" x14ac:dyDescent="0.35">
      <c r="A101" s="237"/>
      <c r="B101" s="237"/>
      <c r="C101" s="237"/>
      <c r="D101" s="1017"/>
      <c r="E101" s="1017"/>
      <c r="F101" s="237"/>
      <c r="G101" s="1018"/>
      <c r="H101" s="237" t="s">
        <v>1179</v>
      </c>
      <c r="I101" s="1028"/>
      <c r="J101" s="237"/>
      <c r="K101" s="237"/>
      <c r="L101" s="237"/>
      <c r="M101" s="237"/>
      <c r="N101" s="1019">
        <v>46023</v>
      </c>
      <c r="O101" s="237">
        <v>120</v>
      </c>
      <c r="P101" s="1020" t="s">
        <v>1041</v>
      </c>
      <c r="Q101" s="1020"/>
      <c r="R101" s="1020"/>
      <c r="S101" s="1020"/>
      <c r="T101" s="842"/>
      <c r="U101" s="234"/>
      <c r="V101" s="234"/>
      <c r="W101" s="809">
        <v>45962</v>
      </c>
      <c r="X101" s="997" t="s">
        <v>2104</v>
      </c>
      <c r="Y101" s="998"/>
      <c r="Z101" s="845">
        <v>6274001903</v>
      </c>
      <c r="AA101" s="1211" t="s">
        <v>896</v>
      </c>
      <c r="AB101" s="1211"/>
      <c r="AC101" s="825">
        <v>23670000</v>
      </c>
      <c r="AD101" s="825">
        <f t="shared" si="39"/>
        <v>0</v>
      </c>
      <c r="AE101" s="825">
        <f>PB_TSCD!$AC101</f>
        <v>23670000</v>
      </c>
      <c r="AF101" s="197"/>
      <c r="AG101" s="197"/>
      <c r="AH101" s="197"/>
      <c r="AI101" s="197"/>
      <c r="AJ101" s="197"/>
      <c r="AK101" s="197"/>
      <c r="AL101" s="197"/>
      <c r="AM101" s="197"/>
      <c r="AN101" s="197"/>
      <c r="AO101" s="197"/>
      <c r="AP101" s="197"/>
      <c r="AQ101" s="197"/>
      <c r="AR101" s="197">
        <f t="shared" si="40"/>
        <v>0</v>
      </c>
      <c r="AS101" s="197"/>
    </row>
    <row r="102" spans="1:46" ht="87.5" x14ac:dyDescent="0.35">
      <c r="A102" s="1021">
        <v>2.2999999999999998</v>
      </c>
      <c r="B102" s="1021" t="s">
        <v>817</v>
      </c>
      <c r="C102" s="1021" t="s">
        <v>817</v>
      </c>
      <c r="D102" s="1021"/>
      <c r="E102" s="1021"/>
      <c r="F102" s="1021"/>
      <c r="G102" s="1021"/>
      <c r="H102" s="1021"/>
      <c r="I102" s="1038"/>
      <c r="J102" s="1021"/>
      <c r="K102" s="1021"/>
      <c r="L102" s="1021"/>
      <c r="M102" s="1021"/>
      <c r="N102" s="1039">
        <v>46023</v>
      </c>
      <c r="O102" s="237">
        <f>8*12</f>
        <v>96</v>
      </c>
      <c r="P102" s="1027" t="s">
        <v>1041</v>
      </c>
      <c r="Q102" s="1027"/>
      <c r="R102" s="1027"/>
      <c r="S102" s="485"/>
      <c r="T102" s="482"/>
      <c r="U102" s="1023" t="s">
        <v>1194</v>
      </c>
      <c r="V102" s="1023"/>
      <c r="W102" s="1032"/>
      <c r="X102" s="806" t="s">
        <v>2151</v>
      </c>
      <c r="Y102" s="1024">
        <v>627</v>
      </c>
      <c r="Z102" s="1025"/>
      <c r="AA102" s="1212"/>
      <c r="AB102" s="1212"/>
      <c r="AC102" s="202">
        <f>SUM(AC103:AC104)</f>
        <v>1178581000</v>
      </c>
      <c r="AD102" s="202">
        <f t="shared" si="39"/>
        <v>0</v>
      </c>
      <c r="AE102" s="202">
        <f>SUM(AE103:AE104)</f>
        <v>1178581000</v>
      </c>
      <c r="AF102" s="810">
        <f>SUM(AF103:AF104)</f>
        <v>4910754.166666667</v>
      </c>
      <c r="AG102" s="810">
        <f t="shared" ref="AG102:AR102" si="41">SUM(AG103:AG104)</f>
        <v>4910754.166666667</v>
      </c>
      <c r="AH102" s="810">
        <f t="shared" si="41"/>
        <v>4910754.166666667</v>
      </c>
      <c r="AI102" s="810">
        <f t="shared" si="41"/>
        <v>4910754.166666667</v>
      </c>
      <c r="AJ102" s="810">
        <f t="shared" si="41"/>
        <v>4910754.166666667</v>
      </c>
      <c r="AK102" s="810">
        <f t="shared" si="41"/>
        <v>4910754.166666667</v>
      </c>
      <c r="AL102" s="810">
        <f t="shared" si="41"/>
        <v>4910754.166666667</v>
      </c>
      <c r="AM102" s="810">
        <f t="shared" si="41"/>
        <v>4910754.166666667</v>
      </c>
      <c r="AN102" s="810">
        <f t="shared" si="41"/>
        <v>4910754.166666667</v>
      </c>
      <c r="AO102" s="810">
        <f t="shared" si="41"/>
        <v>4910754.166666667</v>
      </c>
      <c r="AP102" s="810">
        <f t="shared" si="41"/>
        <v>4910754.166666667</v>
      </c>
      <c r="AQ102" s="810">
        <f t="shared" si="41"/>
        <v>4910754.166666667</v>
      </c>
      <c r="AR102" s="810">
        <f t="shared" si="41"/>
        <v>58929050</v>
      </c>
      <c r="AS102" s="810"/>
      <c r="AT102" s="1264"/>
    </row>
    <row r="103" spans="1:46" ht="112.5" x14ac:dyDescent="0.35">
      <c r="A103" s="237"/>
      <c r="B103" s="237"/>
      <c r="C103" s="237"/>
      <c r="D103" s="1017"/>
      <c r="E103" s="1017"/>
      <c r="F103" s="237"/>
      <c r="G103" s="1018"/>
      <c r="H103" s="237" t="s">
        <v>1179</v>
      </c>
      <c r="I103" s="1028" t="s">
        <v>2148</v>
      </c>
      <c r="J103" s="237"/>
      <c r="K103" s="237"/>
      <c r="L103" s="237"/>
      <c r="M103" s="237"/>
      <c r="N103" s="1019">
        <v>46023</v>
      </c>
      <c r="O103" s="237">
        <f>8*12</f>
        <v>96</v>
      </c>
      <c r="P103" s="1020" t="s">
        <v>2150</v>
      </c>
      <c r="Q103" s="1020"/>
      <c r="R103" s="1020"/>
      <c r="S103" s="1020"/>
      <c r="T103" s="842"/>
      <c r="U103" s="234"/>
      <c r="V103" s="234">
        <v>1</v>
      </c>
      <c r="W103" s="809">
        <v>44713</v>
      </c>
      <c r="X103" s="997" t="s">
        <v>2151</v>
      </c>
      <c r="Y103" s="998"/>
      <c r="Z103" s="845"/>
      <c r="AA103" s="1211"/>
      <c r="AB103" s="1211"/>
      <c r="AC103" s="825">
        <v>1094370000</v>
      </c>
      <c r="AD103" s="825">
        <f t="shared" si="39"/>
        <v>0</v>
      </c>
      <c r="AE103" s="825">
        <f>PB_TSCD!$AC103</f>
        <v>1094370000</v>
      </c>
      <c r="AF103" s="197">
        <f>$AC103/(20*12)</f>
        <v>4559875</v>
      </c>
      <c r="AG103" s="197">
        <f t="shared" ref="AG103:AQ104" si="42">$AC103/(20*12)</f>
        <v>4559875</v>
      </c>
      <c r="AH103" s="197">
        <f t="shared" si="42"/>
        <v>4559875</v>
      </c>
      <c r="AI103" s="197">
        <f t="shared" si="42"/>
        <v>4559875</v>
      </c>
      <c r="AJ103" s="197">
        <f t="shared" si="42"/>
        <v>4559875</v>
      </c>
      <c r="AK103" s="197">
        <f t="shared" si="42"/>
        <v>4559875</v>
      </c>
      <c r="AL103" s="197">
        <f t="shared" si="42"/>
        <v>4559875</v>
      </c>
      <c r="AM103" s="197">
        <f t="shared" si="42"/>
        <v>4559875</v>
      </c>
      <c r="AN103" s="197">
        <f t="shared" si="42"/>
        <v>4559875</v>
      </c>
      <c r="AO103" s="197">
        <f t="shared" si="42"/>
        <v>4559875</v>
      </c>
      <c r="AP103" s="197">
        <f t="shared" si="42"/>
        <v>4559875</v>
      </c>
      <c r="AQ103" s="197">
        <f t="shared" si="42"/>
        <v>4559875</v>
      </c>
      <c r="AR103" s="197">
        <f>SUM(PB_TSCD!$AF103:$AQ103)</f>
        <v>54718500</v>
      </c>
      <c r="AS103" s="197"/>
    </row>
    <row r="104" spans="1:46" ht="62.5" x14ac:dyDescent="0.35">
      <c r="A104" s="237"/>
      <c r="B104" s="237"/>
      <c r="C104" s="237"/>
      <c r="D104" s="1017"/>
      <c r="E104" s="1017"/>
      <c r="F104" s="237"/>
      <c r="G104" s="1018"/>
      <c r="H104" s="237" t="s">
        <v>1179</v>
      </c>
      <c r="I104" s="1028" t="s">
        <v>2149</v>
      </c>
      <c r="J104" s="237"/>
      <c r="K104" s="237"/>
      <c r="L104" s="237"/>
      <c r="M104" s="237"/>
      <c r="N104" s="1019">
        <v>46023</v>
      </c>
      <c r="O104" s="237">
        <f>10*10</f>
        <v>100</v>
      </c>
      <c r="P104" s="1020" t="s">
        <v>1041</v>
      </c>
      <c r="Q104" s="1020"/>
      <c r="R104" s="1020"/>
      <c r="S104" s="1020"/>
      <c r="T104" s="842"/>
      <c r="U104" s="234"/>
      <c r="V104" s="234"/>
      <c r="W104" s="809">
        <v>45413</v>
      </c>
      <c r="X104" s="997" t="s">
        <v>2152</v>
      </c>
      <c r="Y104" s="998"/>
      <c r="Z104" s="845">
        <v>6274001901</v>
      </c>
      <c r="AA104" s="1211" t="s">
        <v>1095</v>
      </c>
      <c r="AB104" s="1211"/>
      <c r="AC104" s="825">
        <v>84211000</v>
      </c>
      <c r="AD104" s="825">
        <f t="shared" si="39"/>
        <v>0</v>
      </c>
      <c r="AE104" s="825">
        <f>PB_TSCD!$AC104</f>
        <v>84211000</v>
      </c>
      <c r="AF104" s="197">
        <f>$AC104/(20*12)</f>
        <v>350879.16666666669</v>
      </c>
      <c r="AG104" s="197">
        <f t="shared" si="42"/>
        <v>350879.16666666669</v>
      </c>
      <c r="AH104" s="197">
        <f t="shared" si="42"/>
        <v>350879.16666666669</v>
      </c>
      <c r="AI104" s="197">
        <f t="shared" si="42"/>
        <v>350879.16666666669</v>
      </c>
      <c r="AJ104" s="197">
        <f t="shared" si="42"/>
        <v>350879.16666666669</v>
      </c>
      <c r="AK104" s="197">
        <f t="shared" si="42"/>
        <v>350879.16666666669</v>
      </c>
      <c r="AL104" s="197">
        <f t="shared" si="42"/>
        <v>350879.16666666669</v>
      </c>
      <c r="AM104" s="197">
        <f t="shared" si="42"/>
        <v>350879.16666666669</v>
      </c>
      <c r="AN104" s="197">
        <f t="shared" si="42"/>
        <v>350879.16666666669</v>
      </c>
      <c r="AO104" s="197">
        <f t="shared" si="42"/>
        <v>350879.16666666669</v>
      </c>
      <c r="AP104" s="197">
        <f t="shared" si="42"/>
        <v>350879.16666666669</v>
      </c>
      <c r="AQ104" s="197">
        <f t="shared" si="42"/>
        <v>350879.16666666669</v>
      </c>
      <c r="AR104" s="197">
        <f t="shared" si="40"/>
        <v>4210549.9999999991</v>
      </c>
      <c r="AS104" s="197"/>
    </row>
    <row r="105" spans="1:46" ht="65.5" x14ac:dyDescent="0.35">
      <c r="A105" s="85" t="s">
        <v>1186</v>
      </c>
      <c r="B105" s="497"/>
      <c r="C105" s="497"/>
      <c r="D105" s="497"/>
      <c r="E105" s="497"/>
      <c r="F105" s="497"/>
      <c r="G105" s="497"/>
      <c r="H105" s="497"/>
      <c r="I105" s="994"/>
      <c r="J105" s="497"/>
      <c r="K105" s="497"/>
      <c r="L105" s="497"/>
      <c r="M105" s="497"/>
      <c r="N105" s="497"/>
      <c r="O105" s="237"/>
      <c r="P105" s="498"/>
      <c r="Q105" s="499"/>
      <c r="R105" s="499"/>
      <c r="S105" s="499"/>
      <c r="T105" s="498"/>
      <c r="U105" s="499"/>
      <c r="V105" s="499"/>
      <c r="W105" s="499"/>
      <c r="X105" s="805"/>
      <c r="Y105" s="500"/>
      <c r="Z105" s="501">
        <v>6274001903</v>
      </c>
      <c r="AA105" s="1213" t="s">
        <v>896</v>
      </c>
      <c r="AB105" s="1204"/>
      <c r="AC105" s="207">
        <f>SUM(AC106,AC124,AC111,AC117,AC120)</f>
        <v>25500217000</v>
      </c>
      <c r="AD105" s="207">
        <f>AC105-AE105</f>
        <v>0</v>
      </c>
      <c r="AE105" s="207">
        <f>SUM(AE106,AE124,AE111,AE117,AE120)</f>
        <v>25500217000</v>
      </c>
      <c r="AF105" s="1003">
        <f t="shared" ref="AF105:AQ105" si="43">SUM(AF106,AF124,AF111,AF117,AF120)</f>
        <v>13842641.666666668</v>
      </c>
      <c r="AG105" s="1003">
        <f t="shared" si="43"/>
        <v>13842641.666666668</v>
      </c>
      <c r="AH105" s="1003">
        <f t="shared" si="43"/>
        <v>13842641.666666668</v>
      </c>
      <c r="AI105" s="1003">
        <f t="shared" si="43"/>
        <v>13842641.666666668</v>
      </c>
      <c r="AJ105" s="1003">
        <f t="shared" si="43"/>
        <v>13842641.666666668</v>
      </c>
      <c r="AK105" s="1003">
        <f t="shared" si="43"/>
        <v>31203752.77777778</v>
      </c>
      <c r="AL105" s="1003">
        <f t="shared" si="43"/>
        <v>31203752.77777778</v>
      </c>
      <c r="AM105" s="1003">
        <f t="shared" si="43"/>
        <v>31203752.77777778</v>
      </c>
      <c r="AN105" s="1003">
        <f t="shared" si="43"/>
        <v>31203752.77777778</v>
      </c>
      <c r="AO105" s="1003">
        <f t="shared" si="43"/>
        <v>31203752.77777778</v>
      </c>
      <c r="AP105" s="1003">
        <f t="shared" si="43"/>
        <v>31203752.77777778</v>
      </c>
      <c r="AQ105" s="1003">
        <f t="shared" si="43"/>
        <v>31203752.77777778</v>
      </c>
      <c r="AR105" s="1003">
        <f>SUM(AR106,AR124,AR111,AR117,AR120)</f>
        <v>287639477.77777779</v>
      </c>
      <c r="AS105" s="810">
        <f t="shared" si="9"/>
        <v>25212577522.222221</v>
      </c>
      <c r="AT105" s="1265"/>
    </row>
    <row r="106" spans="1:46" ht="162.5" x14ac:dyDescent="0.35">
      <c r="A106" s="1021">
        <v>3.1</v>
      </c>
      <c r="B106" s="1021" t="s">
        <v>817</v>
      </c>
      <c r="C106" s="1021" t="s">
        <v>1187</v>
      </c>
      <c r="D106" s="1021"/>
      <c r="E106" s="1021"/>
      <c r="F106" s="1021"/>
      <c r="G106" s="1021"/>
      <c r="H106" s="1021"/>
      <c r="I106" s="1022"/>
      <c r="J106" s="1021"/>
      <c r="K106" s="1021"/>
      <c r="L106" s="1021"/>
      <c r="M106" s="1021"/>
      <c r="N106" s="1039">
        <v>46388</v>
      </c>
      <c r="O106" s="1021">
        <f>12*12</f>
        <v>144</v>
      </c>
      <c r="P106" s="1027" t="s">
        <v>1041</v>
      </c>
      <c r="Q106" s="1023"/>
      <c r="R106" s="1023"/>
      <c r="S106" s="485" t="s">
        <v>2122</v>
      </c>
      <c r="T106" s="482"/>
      <c r="U106" s="1023"/>
      <c r="V106" s="1023"/>
      <c r="W106" s="1032">
        <v>46113</v>
      </c>
      <c r="X106" s="806" t="s">
        <v>2121</v>
      </c>
      <c r="Y106" s="1024">
        <v>627</v>
      </c>
      <c r="Z106" s="1025">
        <v>6274001903</v>
      </c>
      <c r="AA106" s="1212" t="s">
        <v>896</v>
      </c>
      <c r="AB106" s="1212" t="s">
        <v>1038</v>
      </c>
      <c r="AC106" s="202">
        <f>SUM(AC107:AC110)</f>
        <v>20039600000</v>
      </c>
      <c r="AD106" s="202"/>
      <c r="AE106" s="202">
        <f>SUM(AE107:AE110)</f>
        <v>20039600000</v>
      </c>
      <c r="AF106" s="810"/>
      <c r="AG106" s="810"/>
      <c r="AH106" s="810"/>
      <c r="AI106" s="810"/>
      <c r="AJ106" s="810"/>
      <c r="AK106" s="810"/>
      <c r="AL106" s="810"/>
      <c r="AM106" s="810"/>
      <c r="AN106" s="810"/>
      <c r="AO106" s="810"/>
      <c r="AP106" s="810"/>
      <c r="AQ106" s="810"/>
      <c r="AR106" s="810">
        <f t="shared" si="3"/>
        <v>0</v>
      </c>
      <c r="AS106" s="810">
        <f t="shared" si="9"/>
        <v>20039600000</v>
      </c>
      <c r="AT106" s="1264"/>
    </row>
    <row r="107" spans="1:46" ht="409.5" x14ac:dyDescent="0.35">
      <c r="A107" s="971"/>
      <c r="B107" s="971"/>
      <c r="C107" s="971" t="s">
        <v>1187</v>
      </c>
      <c r="D107" s="972"/>
      <c r="E107" s="972"/>
      <c r="F107" s="971"/>
      <c r="G107" s="973"/>
      <c r="H107" s="971" t="s">
        <v>1179</v>
      </c>
      <c r="I107" s="988" t="s">
        <v>1189</v>
      </c>
      <c r="J107" s="971"/>
      <c r="K107" s="971"/>
      <c r="L107" s="971"/>
      <c r="M107" s="971"/>
      <c r="N107" s="1039">
        <v>46388</v>
      </c>
      <c r="O107" s="237">
        <v>144</v>
      </c>
      <c r="P107" s="975" t="s">
        <v>1041</v>
      </c>
      <c r="Q107" s="975"/>
      <c r="R107" s="975"/>
      <c r="S107" s="985" t="s">
        <v>849</v>
      </c>
      <c r="T107" s="976"/>
      <c r="U107" s="977"/>
      <c r="V107" s="977"/>
      <c r="W107" s="1031">
        <v>46113</v>
      </c>
      <c r="X107" s="997" t="s">
        <v>2118</v>
      </c>
      <c r="Y107" s="844"/>
      <c r="Z107" s="845">
        <v>6274001903</v>
      </c>
      <c r="AA107" s="1211" t="s">
        <v>896</v>
      </c>
      <c r="AB107" s="1211" t="s">
        <v>1038</v>
      </c>
      <c r="AC107" s="825">
        <v>10068000000</v>
      </c>
      <c r="AD107" s="825">
        <f t="shared" ref="AD107:AD110" si="44">AC107-AE107</f>
        <v>0</v>
      </c>
      <c r="AE107" s="825">
        <f>PB_TSCD!$AC107</f>
        <v>10068000000</v>
      </c>
      <c r="AF107" s="197"/>
      <c r="AG107" s="197"/>
      <c r="AH107" s="197"/>
      <c r="AI107" s="197"/>
      <c r="AJ107" s="197"/>
      <c r="AK107" s="197"/>
      <c r="AL107" s="197"/>
      <c r="AM107" s="197"/>
      <c r="AN107" s="197"/>
      <c r="AO107" s="197"/>
      <c r="AP107" s="197"/>
      <c r="AQ107" s="197"/>
      <c r="AR107" s="1002">
        <f t="shared" ref="AR107:AR110" si="45">SUM(AF107:AQ107)</f>
        <v>0</v>
      </c>
      <c r="AS107" s="810"/>
    </row>
    <row r="108" spans="1:46" ht="387.5" x14ac:dyDescent="0.35">
      <c r="A108" s="971"/>
      <c r="B108" s="971"/>
      <c r="C108" s="971" t="s">
        <v>1187</v>
      </c>
      <c r="D108" s="972"/>
      <c r="E108" s="972"/>
      <c r="F108" s="971"/>
      <c r="G108" s="973"/>
      <c r="H108" s="971" t="s">
        <v>1179</v>
      </c>
      <c r="I108" s="988" t="s">
        <v>1189</v>
      </c>
      <c r="J108" s="971"/>
      <c r="K108" s="971"/>
      <c r="L108" s="971"/>
      <c r="M108" s="971"/>
      <c r="N108" s="1039">
        <v>46388</v>
      </c>
      <c r="O108" s="237">
        <v>144</v>
      </c>
      <c r="P108" s="975" t="s">
        <v>1041</v>
      </c>
      <c r="Q108" s="975"/>
      <c r="R108" s="975"/>
      <c r="S108" s="985" t="s">
        <v>1190</v>
      </c>
      <c r="T108" s="976"/>
      <c r="U108" s="977"/>
      <c r="V108" s="977"/>
      <c r="W108" s="1031">
        <v>46113</v>
      </c>
      <c r="X108" s="997" t="s">
        <v>2119</v>
      </c>
      <c r="Y108" s="844"/>
      <c r="Z108" s="845">
        <v>6274001903</v>
      </c>
      <c r="AA108" s="1211" t="s">
        <v>896</v>
      </c>
      <c r="AB108" s="1211" t="s">
        <v>1038</v>
      </c>
      <c r="AC108" s="825">
        <v>8018000000</v>
      </c>
      <c r="AD108" s="825">
        <f t="shared" si="44"/>
        <v>0</v>
      </c>
      <c r="AE108" s="825">
        <f>PB_TSCD!$AC108</f>
        <v>8018000000</v>
      </c>
      <c r="AF108" s="197"/>
      <c r="AG108" s="197"/>
      <c r="AH108" s="197"/>
      <c r="AI108" s="197"/>
      <c r="AJ108" s="197"/>
      <c r="AK108" s="197"/>
      <c r="AL108" s="197"/>
      <c r="AM108" s="197"/>
      <c r="AN108" s="197"/>
      <c r="AO108" s="197"/>
      <c r="AP108" s="197"/>
      <c r="AQ108" s="197"/>
      <c r="AR108" s="1002">
        <f t="shared" si="45"/>
        <v>0</v>
      </c>
      <c r="AS108" s="810"/>
    </row>
    <row r="109" spans="1:46" ht="212.5" x14ac:dyDescent="0.35">
      <c r="A109" s="971"/>
      <c r="B109" s="971"/>
      <c r="C109" s="971" t="s">
        <v>1187</v>
      </c>
      <c r="D109" s="972"/>
      <c r="E109" s="972"/>
      <c r="F109" s="971"/>
      <c r="G109" s="973"/>
      <c r="H109" s="971" t="s">
        <v>1179</v>
      </c>
      <c r="I109" s="988" t="s">
        <v>1189</v>
      </c>
      <c r="J109" s="971"/>
      <c r="K109" s="971"/>
      <c r="L109" s="971"/>
      <c r="M109" s="971"/>
      <c r="N109" s="1039">
        <v>46388</v>
      </c>
      <c r="O109" s="237">
        <v>144</v>
      </c>
      <c r="P109" s="975" t="s">
        <v>1041</v>
      </c>
      <c r="Q109" s="975"/>
      <c r="R109" s="975"/>
      <c r="S109" s="985" t="s">
        <v>1191</v>
      </c>
      <c r="T109" s="976"/>
      <c r="U109" s="977"/>
      <c r="V109" s="977"/>
      <c r="W109" s="1031">
        <v>46113</v>
      </c>
      <c r="X109" s="997" t="s">
        <v>2120</v>
      </c>
      <c r="Y109" s="998"/>
      <c r="Z109" s="845">
        <v>6274001903</v>
      </c>
      <c r="AA109" s="1211" t="s">
        <v>896</v>
      </c>
      <c r="AB109" s="1211"/>
      <c r="AC109" s="825">
        <v>1953600000</v>
      </c>
      <c r="AD109" s="825">
        <f t="shared" si="44"/>
        <v>0</v>
      </c>
      <c r="AE109" s="825">
        <f>PB_TSCD!$AC109</f>
        <v>1953600000</v>
      </c>
      <c r="AF109" s="197"/>
      <c r="AG109" s="197"/>
      <c r="AH109" s="197"/>
      <c r="AI109" s="197"/>
      <c r="AJ109" s="197"/>
      <c r="AK109" s="197"/>
      <c r="AL109" s="197"/>
      <c r="AM109" s="197"/>
      <c r="AN109" s="197"/>
      <c r="AO109" s="197"/>
      <c r="AP109" s="197"/>
      <c r="AQ109" s="197"/>
      <c r="AR109" s="1002">
        <f t="shared" si="45"/>
        <v>0</v>
      </c>
      <c r="AS109" s="810"/>
    </row>
    <row r="110" spans="1:46" ht="76" x14ac:dyDescent="0.35">
      <c r="A110" s="971"/>
      <c r="B110" s="971"/>
      <c r="C110" s="971" t="s">
        <v>1187</v>
      </c>
      <c r="D110" s="972"/>
      <c r="E110" s="972"/>
      <c r="F110" s="971"/>
      <c r="G110" s="973"/>
      <c r="H110" s="971" t="s">
        <v>1179</v>
      </c>
      <c r="I110" s="988" t="s">
        <v>1189</v>
      </c>
      <c r="J110" s="971"/>
      <c r="K110" s="971"/>
      <c r="L110" s="971"/>
      <c r="M110" s="971"/>
      <c r="N110" s="1039">
        <v>46388</v>
      </c>
      <c r="O110" s="237">
        <v>144</v>
      </c>
      <c r="P110" s="975" t="s">
        <v>1041</v>
      </c>
      <c r="Q110" s="975"/>
      <c r="R110" s="975"/>
      <c r="S110" s="985" t="s">
        <v>1192</v>
      </c>
      <c r="T110" s="976"/>
      <c r="U110" s="977"/>
      <c r="V110" s="977"/>
      <c r="W110" s="1031"/>
      <c r="X110" s="997"/>
      <c r="Y110" s="998"/>
      <c r="Z110" s="845"/>
      <c r="AA110" s="1211"/>
      <c r="AB110" s="1211"/>
      <c r="AC110" s="825"/>
      <c r="AD110" s="825">
        <f t="shared" si="44"/>
        <v>0</v>
      </c>
      <c r="AE110" s="825">
        <f>PB_TSCD!$AC110</f>
        <v>0</v>
      </c>
      <c r="AF110" s="197"/>
      <c r="AG110" s="197"/>
      <c r="AH110" s="197"/>
      <c r="AI110" s="197"/>
      <c r="AJ110" s="197"/>
      <c r="AK110" s="197"/>
      <c r="AL110" s="197">
        <f>PB_TSCD!$AC110/PB_TSCD!$O110</f>
        <v>0</v>
      </c>
      <c r="AM110" s="197">
        <f>PB_TSCD!$AC110/PB_TSCD!$O110</f>
        <v>0</v>
      </c>
      <c r="AN110" s="197">
        <f>PB_TSCD!$AC110/PB_TSCD!$O110</f>
        <v>0</v>
      </c>
      <c r="AO110" s="197">
        <f>PB_TSCD!$AC110/PB_TSCD!$O110</f>
        <v>0</v>
      </c>
      <c r="AP110" s="197">
        <f>PB_TSCD!$AC110/PB_TSCD!$O110</f>
        <v>0</v>
      </c>
      <c r="AQ110" s="197">
        <f>PB_TSCD!$AC110/PB_TSCD!$O110</f>
        <v>0</v>
      </c>
      <c r="AR110" s="1002">
        <f t="shared" si="45"/>
        <v>0</v>
      </c>
      <c r="AS110" s="810"/>
    </row>
    <row r="111" spans="1:46" ht="50" x14ac:dyDescent="0.35">
      <c r="A111" s="1021">
        <v>3.2</v>
      </c>
      <c r="B111" s="1021" t="s">
        <v>817</v>
      </c>
      <c r="C111" s="1021" t="s">
        <v>2125</v>
      </c>
      <c r="D111" s="1021"/>
      <c r="E111" s="1021"/>
      <c r="F111" s="1021"/>
      <c r="G111" s="1021"/>
      <c r="H111" s="1021"/>
      <c r="I111" s="1022"/>
      <c r="J111" s="1021"/>
      <c r="K111" s="1021"/>
      <c r="L111" s="1021"/>
      <c r="M111" s="1021"/>
      <c r="N111" s="1039">
        <v>46023</v>
      </c>
      <c r="O111" s="1021">
        <f>8*12</f>
        <v>96</v>
      </c>
      <c r="P111" s="1027" t="s">
        <v>1133</v>
      </c>
      <c r="Q111" s="1023"/>
      <c r="R111" s="1023"/>
      <c r="S111" s="485" t="s">
        <v>1196</v>
      </c>
      <c r="T111" s="482"/>
      <c r="U111" s="1023" t="s">
        <v>2126</v>
      </c>
      <c r="V111" s="1023"/>
      <c r="W111" s="1032">
        <v>46023</v>
      </c>
      <c r="X111" s="806" t="s">
        <v>1196</v>
      </c>
      <c r="Y111" s="1024">
        <v>627</v>
      </c>
      <c r="Z111" s="1025"/>
      <c r="AA111" s="1212"/>
      <c r="AB111" s="1215"/>
      <c r="AC111" s="202">
        <v>1159000000</v>
      </c>
      <c r="AD111" s="202"/>
      <c r="AE111" s="202">
        <v>1159000000</v>
      </c>
      <c r="AF111" s="810">
        <f>$AC111/(20*12)</f>
        <v>4829166.666666667</v>
      </c>
      <c r="AG111" s="810">
        <f t="shared" ref="AG111:AQ111" si="46">$AC111/(20*12)</f>
        <v>4829166.666666667</v>
      </c>
      <c r="AH111" s="810">
        <f t="shared" si="46"/>
        <v>4829166.666666667</v>
      </c>
      <c r="AI111" s="810">
        <f t="shared" si="46"/>
        <v>4829166.666666667</v>
      </c>
      <c r="AJ111" s="810">
        <f t="shared" si="46"/>
        <v>4829166.666666667</v>
      </c>
      <c r="AK111" s="810">
        <f t="shared" si="46"/>
        <v>4829166.666666667</v>
      </c>
      <c r="AL111" s="810">
        <f t="shared" si="46"/>
        <v>4829166.666666667</v>
      </c>
      <c r="AM111" s="810">
        <f t="shared" si="46"/>
        <v>4829166.666666667</v>
      </c>
      <c r="AN111" s="810">
        <f t="shared" si="46"/>
        <v>4829166.666666667</v>
      </c>
      <c r="AO111" s="810">
        <f t="shared" si="46"/>
        <v>4829166.666666667</v>
      </c>
      <c r="AP111" s="810">
        <f t="shared" si="46"/>
        <v>4829166.666666667</v>
      </c>
      <c r="AQ111" s="810">
        <f t="shared" si="46"/>
        <v>4829166.666666667</v>
      </c>
      <c r="AR111" s="1003">
        <f t="shared" si="3"/>
        <v>57949999.999999993</v>
      </c>
      <c r="AS111" s="810">
        <f t="shared" si="9"/>
        <v>1101050000</v>
      </c>
      <c r="AT111" s="1264"/>
    </row>
    <row r="112" spans="1:46" ht="51" x14ac:dyDescent="0.35">
      <c r="A112" s="971"/>
      <c r="B112" s="971"/>
      <c r="C112" s="971"/>
      <c r="D112" s="972"/>
      <c r="E112" s="972"/>
      <c r="F112" s="971"/>
      <c r="G112" s="973"/>
      <c r="H112" s="971"/>
      <c r="I112" s="973"/>
      <c r="J112" s="971"/>
      <c r="K112" s="971"/>
      <c r="L112" s="971"/>
      <c r="M112" s="971"/>
      <c r="N112" s="1041">
        <v>46023</v>
      </c>
      <c r="O112" s="237">
        <f>8*12</f>
        <v>96</v>
      </c>
      <c r="P112" s="975" t="s">
        <v>1133</v>
      </c>
      <c r="Q112" s="975"/>
      <c r="R112" s="975"/>
      <c r="S112" s="984" t="s">
        <v>1196</v>
      </c>
      <c r="T112" s="976"/>
      <c r="U112" s="234" t="s">
        <v>2126</v>
      </c>
      <c r="V112" s="977"/>
      <c r="W112" s="1031"/>
      <c r="X112" s="997"/>
      <c r="Y112" s="979"/>
      <c r="Z112" s="238"/>
      <c r="AA112" s="1214"/>
      <c r="AB112" s="1214"/>
      <c r="AC112" s="825"/>
      <c r="AD112" s="825"/>
      <c r="AE112" s="825"/>
      <c r="AF112" s="197"/>
      <c r="AG112" s="197"/>
      <c r="AH112" s="197"/>
      <c r="AI112" s="197"/>
      <c r="AJ112" s="197"/>
      <c r="AK112" s="197"/>
      <c r="AL112" s="197"/>
      <c r="AM112" s="197"/>
      <c r="AN112" s="197"/>
      <c r="AO112" s="197"/>
      <c r="AP112" s="197"/>
      <c r="AQ112" s="197"/>
      <c r="AR112" s="1001">
        <f t="shared" ref="AR112:AR117" si="47">SUM(AF112:AQ112)</f>
        <v>0</v>
      </c>
      <c r="AS112" s="810"/>
    </row>
    <row r="113" spans="1:46" x14ac:dyDescent="0.35">
      <c r="A113" s="971"/>
      <c r="B113" s="971"/>
      <c r="C113" s="971"/>
      <c r="D113" s="972"/>
      <c r="E113" s="972"/>
      <c r="F113" s="971"/>
      <c r="G113" s="973"/>
      <c r="H113" s="971"/>
      <c r="I113" s="973"/>
      <c r="J113" s="971"/>
      <c r="K113" s="971"/>
      <c r="L113" s="971"/>
      <c r="M113" s="971"/>
      <c r="N113" s="1041">
        <v>46023</v>
      </c>
      <c r="O113" s="237">
        <f t="shared" ref="O113:O116" si="48">8*12</f>
        <v>96</v>
      </c>
      <c r="P113" s="975" t="s">
        <v>1133</v>
      </c>
      <c r="Q113" s="975"/>
      <c r="R113" s="975"/>
      <c r="S113" s="984"/>
      <c r="T113" s="976"/>
      <c r="U113" s="977"/>
      <c r="V113" s="977"/>
      <c r="W113" s="1031"/>
      <c r="X113" s="997"/>
      <c r="Y113" s="979"/>
      <c r="Z113" s="238"/>
      <c r="AA113" s="1214"/>
      <c r="AB113" s="1214"/>
      <c r="AC113" s="825"/>
      <c r="AD113" s="825"/>
      <c r="AE113" s="825"/>
      <c r="AF113" s="197"/>
      <c r="AG113" s="197"/>
      <c r="AH113" s="197"/>
      <c r="AI113" s="197"/>
      <c r="AJ113" s="197"/>
      <c r="AK113" s="197"/>
      <c r="AL113" s="197"/>
      <c r="AM113" s="197"/>
      <c r="AN113" s="197"/>
      <c r="AO113" s="197"/>
      <c r="AP113" s="197"/>
      <c r="AQ113" s="197"/>
      <c r="AR113" s="1001">
        <f t="shared" si="47"/>
        <v>0</v>
      </c>
      <c r="AS113" s="810"/>
    </row>
    <row r="114" spans="1:46" x14ac:dyDescent="0.35">
      <c r="A114" s="971"/>
      <c r="B114" s="971"/>
      <c r="C114" s="971"/>
      <c r="D114" s="972"/>
      <c r="E114" s="972"/>
      <c r="F114" s="971"/>
      <c r="G114" s="973"/>
      <c r="H114" s="971"/>
      <c r="I114" s="973"/>
      <c r="J114" s="971"/>
      <c r="K114" s="971"/>
      <c r="L114" s="971"/>
      <c r="M114" s="971"/>
      <c r="N114" s="1041">
        <v>46023</v>
      </c>
      <c r="O114" s="237">
        <f t="shared" si="48"/>
        <v>96</v>
      </c>
      <c r="P114" s="975" t="s">
        <v>1133</v>
      </c>
      <c r="Q114" s="975"/>
      <c r="R114" s="975"/>
      <c r="S114" s="984"/>
      <c r="T114" s="976"/>
      <c r="U114" s="977"/>
      <c r="V114" s="977"/>
      <c r="W114" s="1031"/>
      <c r="X114" s="997"/>
      <c r="Y114" s="979"/>
      <c r="Z114" s="238"/>
      <c r="AA114" s="1214"/>
      <c r="AB114" s="1214"/>
      <c r="AC114" s="825"/>
      <c r="AD114" s="825"/>
      <c r="AE114" s="825"/>
      <c r="AF114" s="197"/>
      <c r="AG114" s="197"/>
      <c r="AH114" s="197"/>
      <c r="AI114" s="197"/>
      <c r="AJ114" s="197"/>
      <c r="AK114" s="197"/>
      <c r="AL114" s="197"/>
      <c r="AM114" s="197"/>
      <c r="AN114" s="197"/>
      <c r="AO114" s="197"/>
      <c r="AP114" s="197"/>
      <c r="AQ114" s="197"/>
      <c r="AR114" s="1001">
        <f t="shared" si="47"/>
        <v>0</v>
      </c>
      <c r="AS114" s="810"/>
    </row>
    <row r="115" spans="1:46" x14ac:dyDescent="0.35">
      <c r="A115" s="971"/>
      <c r="B115" s="971"/>
      <c r="C115" s="971"/>
      <c r="D115" s="972"/>
      <c r="E115" s="972"/>
      <c r="F115" s="971"/>
      <c r="G115" s="973"/>
      <c r="H115" s="971"/>
      <c r="I115" s="973"/>
      <c r="J115" s="971"/>
      <c r="K115" s="971"/>
      <c r="L115" s="971"/>
      <c r="M115" s="971"/>
      <c r="N115" s="1041">
        <v>46023</v>
      </c>
      <c r="O115" s="237">
        <f t="shared" si="48"/>
        <v>96</v>
      </c>
      <c r="P115" s="975" t="s">
        <v>1133</v>
      </c>
      <c r="Q115" s="975"/>
      <c r="R115" s="975"/>
      <c r="S115" s="984"/>
      <c r="T115" s="976"/>
      <c r="U115" s="977"/>
      <c r="V115" s="977"/>
      <c r="W115" s="1031"/>
      <c r="X115" s="997"/>
      <c r="Y115" s="979"/>
      <c r="Z115" s="238"/>
      <c r="AA115" s="1214"/>
      <c r="AB115" s="1214"/>
      <c r="AC115" s="825"/>
      <c r="AD115" s="825"/>
      <c r="AE115" s="825"/>
      <c r="AF115" s="197"/>
      <c r="AG115" s="197"/>
      <c r="AH115" s="197"/>
      <c r="AI115" s="197"/>
      <c r="AJ115" s="197"/>
      <c r="AK115" s="197"/>
      <c r="AL115" s="197"/>
      <c r="AM115" s="197"/>
      <c r="AN115" s="197"/>
      <c r="AO115" s="197"/>
      <c r="AP115" s="197"/>
      <c r="AQ115" s="197"/>
      <c r="AR115" s="1001">
        <f t="shared" si="47"/>
        <v>0</v>
      </c>
      <c r="AS115" s="810"/>
    </row>
    <row r="116" spans="1:46" x14ac:dyDescent="0.35">
      <c r="A116" s="971"/>
      <c r="B116" s="971"/>
      <c r="C116" s="971"/>
      <c r="D116" s="972"/>
      <c r="E116" s="972"/>
      <c r="F116" s="971"/>
      <c r="G116" s="973"/>
      <c r="H116" s="971"/>
      <c r="I116" s="973"/>
      <c r="J116" s="971"/>
      <c r="K116" s="971"/>
      <c r="L116" s="971"/>
      <c r="M116" s="971"/>
      <c r="N116" s="1041">
        <v>46023</v>
      </c>
      <c r="O116" s="237">
        <f t="shared" si="48"/>
        <v>96</v>
      </c>
      <c r="P116" s="975" t="s">
        <v>1133</v>
      </c>
      <c r="Q116" s="975"/>
      <c r="R116" s="975"/>
      <c r="S116" s="984"/>
      <c r="T116" s="976"/>
      <c r="U116" s="977"/>
      <c r="V116" s="977"/>
      <c r="W116" s="1031"/>
      <c r="X116" s="997"/>
      <c r="Y116" s="979"/>
      <c r="Z116" s="238"/>
      <c r="AA116" s="1214"/>
      <c r="AB116" s="1214"/>
      <c r="AC116" s="825"/>
      <c r="AD116" s="825"/>
      <c r="AE116" s="825"/>
      <c r="AF116" s="197"/>
      <c r="AG116" s="197"/>
      <c r="AH116" s="197"/>
      <c r="AI116" s="197"/>
      <c r="AJ116" s="197"/>
      <c r="AK116" s="197"/>
      <c r="AL116" s="197"/>
      <c r="AM116" s="197"/>
      <c r="AN116" s="197"/>
      <c r="AO116" s="197"/>
      <c r="AP116" s="197"/>
      <c r="AQ116" s="197"/>
      <c r="AR116" s="1001">
        <f t="shared" si="47"/>
        <v>0</v>
      </c>
      <c r="AS116" s="810"/>
    </row>
    <row r="117" spans="1:46" ht="51" x14ac:dyDescent="0.35">
      <c r="A117" s="1021">
        <v>3.3</v>
      </c>
      <c r="B117" s="1021" t="s">
        <v>817</v>
      </c>
      <c r="C117" s="1021" t="s">
        <v>1187</v>
      </c>
      <c r="D117" s="1021"/>
      <c r="E117" s="1021"/>
      <c r="F117" s="1021"/>
      <c r="G117" s="1021"/>
      <c r="H117" s="1021"/>
      <c r="I117" s="1022"/>
      <c r="J117" s="1021"/>
      <c r="K117" s="1021"/>
      <c r="L117" s="1021"/>
      <c r="M117" s="1021"/>
      <c r="N117" s="1039">
        <v>46023</v>
      </c>
      <c r="O117" s="1021">
        <f>12*10</f>
        <v>120</v>
      </c>
      <c r="P117" s="1027" t="s">
        <v>1041</v>
      </c>
      <c r="Q117" s="1023"/>
      <c r="R117" s="1023"/>
      <c r="S117" s="485" t="s">
        <v>2127</v>
      </c>
      <c r="T117" s="482"/>
      <c r="U117" s="1023" t="s">
        <v>2126</v>
      </c>
      <c r="V117" s="1023"/>
      <c r="W117" s="1032">
        <v>46023</v>
      </c>
      <c r="X117" s="806" t="s">
        <v>2127</v>
      </c>
      <c r="Y117" s="1024">
        <v>627</v>
      </c>
      <c r="Z117" s="1025">
        <v>6274001903</v>
      </c>
      <c r="AA117" s="1212" t="s">
        <v>896</v>
      </c>
      <c r="AB117" s="1215"/>
      <c r="AC117" s="202">
        <f>SUM(AC118:AC119)</f>
        <v>601617000</v>
      </c>
      <c r="AD117" s="202"/>
      <c r="AE117" s="202">
        <f t="shared" ref="AE117:AQ117" si="49">SUM(AE118:AE119)</f>
        <v>601617000</v>
      </c>
      <c r="AF117" s="810">
        <f t="shared" si="49"/>
        <v>5013475</v>
      </c>
      <c r="AG117" s="810">
        <f t="shared" si="49"/>
        <v>5013475</v>
      </c>
      <c r="AH117" s="810">
        <f t="shared" si="49"/>
        <v>5013475</v>
      </c>
      <c r="AI117" s="810">
        <f t="shared" si="49"/>
        <v>5013475</v>
      </c>
      <c r="AJ117" s="810">
        <f t="shared" si="49"/>
        <v>5013475</v>
      </c>
      <c r="AK117" s="810">
        <f t="shared" si="49"/>
        <v>5013475</v>
      </c>
      <c r="AL117" s="810">
        <f t="shared" si="49"/>
        <v>5013475</v>
      </c>
      <c r="AM117" s="810">
        <f t="shared" si="49"/>
        <v>5013475</v>
      </c>
      <c r="AN117" s="810">
        <f t="shared" si="49"/>
        <v>5013475</v>
      </c>
      <c r="AO117" s="810">
        <f t="shared" si="49"/>
        <v>5013475</v>
      </c>
      <c r="AP117" s="810">
        <f t="shared" si="49"/>
        <v>5013475</v>
      </c>
      <c r="AQ117" s="810">
        <f t="shared" si="49"/>
        <v>5013475</v>
      </c>
      <c r="AR117" s="1003">
        <f t="shared" si="47"/>
        <v>60161700</v>
      </c>
      <c r="AS117" s="810">
        <f t="shared" si="9"/>
        <v>541455300</v>
      </c>
      <c r="AT117" s="1264"/>
    </row>
    <row r="118" spans="1:46" ht="51" x14ac:dyDescent="0.35">
      <c r="A118" s="971"/>
      <c r="B118" s="971"/>
      <c r="C118" s="971"/>
      <c r="D118" s="972"/>
      <c r="E118" s="972"/>
      <c r="F118" s="971"/>
      <c r="G118" s="973"/>
      <c r="H118" s="971"/>
      <c r="I118" s="973"/>
      <c r="J118" s="971"/>
      <c r="K118" s="971"/>
      <c r="L118" s="971"/>
      <c r="M118" s="971"/>
      <c r="N118" s="1041">
        <v>46023</v>
      </c>
      <c r="O118" s="237">
        <v>120</v>
      </c>
      <c r="P118" s="975" t="s">
        <v>1041</v>
      </c>
      <c r="Q118" s="975"/>
      <c r="R118" s="975"/>
      <c r="S118" s="996"/>
      <c r="T118" s="976"/>
      <c r="U118" s="977"/>
      <c r="V118" s="977"/>
      <c r="W118" s="1031">
        <v>46023</v>
      </c>
      <c r="X118" s="997" t="s">
        <v>2127</v>
      </c>
      <c r="Y118" s="979"/>
      <c r="Z118" s="238">
        <v>6274001903</v>
      </c>
      <c r="AA118" s="1214" t="s">
        <v>896</v>
      </c>
      <c r="AB118" s="1214"/>
      <c r="AC118" s="825">
        <v>601617000</v>
      </c>
      <c r="AD118" s="825">
        <f t="shared" ref="AD118:AD119" si="50">AC118-AE118</f>
        <v>0</v>
      </c>
      <c r="AE118" s="825">
        <f>PB_TSCD!$AC118</f>
        <v>601617000</v>
      </c>
      <c r="AF118" s="197">
        <f>$AC118/(10*12)</f>
        <v>5013475</v>
      </c>
      <c r="AG118" s="197">
        <f t="shared" ref="AG118:AQ118" si="51">$AC118/(10*12)</f>
        <v>5013475</v>
      </c>
      <c r="AH118" s="197">
        <f t="shared" si="51"/>
        <v>5013475</v>
      </c>
      <c r="AI118" s="197">
        <f t="shared" si="51"/>
        <v>5013475</v>
      </c>
      <c r="AJ118" s="197">
        <f t="shared" si="51"/>
        <v>5013475</v>
      </c>
      <c r="AK118" s="197">
        <f t="shared" si="51"/>
        <v>5013475</v>
      </c>
      <c r="AL118" s="197">
        <f t="shared" si="51"/>
        <v>5013475</v>
      </c>
      <c r="AM118" s="197">
        <f t="shared" si="51"/>
        <v>5013475</v>
      </c>
      <c r="AN118" s="197">
        <f t="shared" si="51"/>
        <v>5013475</v>
      </c>
      <c r="AO118" s="197">
        <f t="shared" si="51"/>
        <v>5013475</v>
      </c>
      <c r="AP118" s="197">
        <f t="shared" si="51"/>
        <v>5013475</v>
      </c>
      <c r="AQ118" s="197">
        <f t="shared" si="51"/>
        <v>5013475</v>
      </c>
      <c r="AR118" s="1001">
        <f t="shared" ref="AR118:AR119" si="52">SUM(AF118:AQ118)</f>
        <v>60161700</v>
      </c>
      <c r="AS118" s="810"/>
    </row>
    <row r="119" spans="1:46" x14ac:dyDescent="0.35">
      <c r="A119" s="971"/>
      <c r="B119" s="971"/>
      <c r="C119" s="971"/>
      <c r="D119" s="972"/>
      <c r="E119" s="972"/>
      <c r="F119" s="971"/>
      <c r="G119" s="973"/>
      <c r="H119" s="971"/>
      <c r="I119" s="973"/>
      <c r="J119" s="971"/>
      <c r="K119" s="971"/>
      <c r="L119" s="971"/>
      <c r="M119" s="971"/>
      <c r="N119" s="1041"/>
      <c r="O119" s="237"/>
      <c r="P119" s="975"/>
      <c r="Q119" s="975"/>
      <c r="R119" s="975"/>
      <c r="S119" s="996"/>
      <c r="T119" s="976"/>
      <c r="U119" s="977"/>
      <c r="V119" s="977"/>
      <c r="W119" s="1031"/>
      <c r="X119" s="997"/>
      <c r="Y119" s="979"/>
      <c r="Z119" s="238"/>
      <c r="AA119" s="1214"/>
      <c r="AB119" s="1214"/>
      <c r="AC119" s="825"/>
      <c r="AD119" s="825">
        <f t="shared" si="50"/>
        <v>0</v>
      </c>
      <c r="AE119" s="825">
        <f>PB_TSCD!$AC119</f>
        <v>0</v>
      </c>
      <c r="AF119" s="1000"/>
      <c r="AG119" s="1000"/>
      <c r="AH119" s="1000"/>
      <c r="AI119" s="1000"/>
      <c r="AJ119" s="1000"/>
      <c r="AK119" s="1000"/>
      <c r="AL119" s="1000"/>
      <c r="AM119" s="1000"/>
      <c r="AN119" s="1000"/>
      <c r="AO119" s="1000"/>
      <c r="AP119" s="1000"/>
      <c r="AQ119" s="1000"/>
      <c r="AR119" s="1001">
        <f t="shared" si="52"/>
        <v>0</v>
      </c>
      <c r="AS119" s="810"/>
    </row>
    <row r="120" spans="1:46" ht="37.5" x14ac:dyDescent="0.35">
      <c r="A120" s="1021">
        <v>3.4</v>
      </c>
      <c r="B120" s="1021" t="s">
        <v>817</v>
      </c>
      <c r="C120" s="1021" t="s">
        <v>1187</v>
      </c>
      <c r="D120" s="1021"/>
      <c r="E120" s="1021"/>
      <c r="F120" s="1021"/>
      <c r="G120" s="1021"/>
      <c r="H120" s="1021"/>
      <c r="I120" s="1022"/>
      <c r="J120" s="1021"/>
      <c r="K120" s="1021"/>
      <c r="L120" s="1021"/>
      <c r="M120" s="1021"/>
      <c r="N120" s="1039">
        <v>46023</v>
      </c>
      <c r="O120" s="1021">
        <f>20*12</f>
        <v>240</v>
      </c>
      <c r="P120" s="1027" t="s">
        <v>1041</v>
      </c>
      <c r="Q120" s="1023"/>
      <c r="R120" s="1023"/>
      <c r="S120" s="1023" t="s">
        <v>2128</v>
      </c>
      <c r="T120" s="482"/>
      <c r="U120" s="1023"/>
      <c r="V120" s="1023"/>
      <c r="W120" s="1032">
        <v>46023</v>
      </c>
      <c r="X120" s="485" t="s">
        <v>2128</v>
      </c>
      <c r="Y120" s="1024">
        <v>627</v>
      </c>
      <c r="Z120" s="1025">
        <v>6274001901</v>
      </c>
      <c r="AA120" s="1215" t="s">
        <v>1095</v>
      </c>
      <c r="AB120" s="1215"/>
      <c r="AC120" s="202">
        <f>SUM(AC121:AC123)</f>
        <v>1200000000</v>
      </c>
      <c r="AD120" s="202"/>
      <c r="AE120" s="202">
        <f>PB_TSCD!$AC120</f>
        <v>1200000000</v>
      </c>
      <c r="AF120" s="810">
        <f>SUM(AF121:AF122)</f>
        <v>4000000</v>
      </c>
      <c r="AG120" s="810">
        <f t="shared" ref="AG120:AQ120" si="53">SUM(AG121:AG122)</f>
        <v>4000000</v>
      </c>
      <c r="AH120" s="810">
        <f t="shared" si="53"/>
        <v>4000000</v>
      </c>
      <c r="AI120" s="810">
        <f t="shared" si="53"/>
        <v>4000000</v>
      </c>
      <c r="AJ120" s="810">
        <f t="shared" si="53"/>
        <v>4000000</v>
      </c>
      <c r="AK120" s="810">
        <f t="shared" si="53"/>
        <v>4000000</v>
      </c>
      <c r="AL120" s="810">
        <f t="shared" si="53"/>
        <v>4000000</v>
      </c>
      <c r="AM120" s="810">
        <f t="shared" si="53"/>
        <v>4000000</v>
      </c>
      <c r="AN120" s="810">
        <f t="shared" si="53"/>
        <v>4000000</v>
      </c>
      <c r="AO120" s="810">
        <f t="shared" si="53"/>
        <v>4000000</v>
      </c>
      <c r="AP120" s="810">
        <f t="shared" si="53"/>
        <v>4000000</v>
      </c>
      <c r="AQ120" s="810">
        <f t="shared" si="53"/>
        <v>4000000</v>
      </c>
      <c r="AR120" s="1003">
        <f t="shared" si="3"/>
        <v>48000000</v>
      </c>
      <c r="AS120" s="810">
        <f>AE120-AR120</f>
        <v>1152000000</v>
      </c>
      <c r="AT120" s="1264"/>
    </row>
    <row r="121" spans="1:46" x14ac:dyDescent="0.35">
      <c r="A121" s="237"/>
      <c r="B121" s="237" t="s">
        <v>817</v>
      </c>
      <c r="C121" s="237" t="s">
        <v>1187</v>
      </c>
      <c r="D121" s="237"/>
      <c r="E121" s="237"/>
      <c r="F121" s="237"/>
      <c r="G121" s="237"/>
      <c r="H121" s="237"/>
      <c r="I121" s="991"/>
      <c r="J121" s="237"/>
      <c r="K121" s="237"/>
      <c r="L121" s="237"/>
      <c r="M121" s="237"/>
      <c r="N121" s="1041">
        <v>46023</v>
      </c>
      <c r="O121" s="237">
        <v>240</v>
      </c>
      <c r="P121" s="482"/>
      <c r="Q121" s="234"/>
      <c r="R121" s="234"/>
      <c r="S121" s="1046" t="s">
        <v>2129</v>
      </c>
      <c r="T121" s="482"/>
      <c r="U121" s="234"/>
      <c r="V121" s="234"/>
      <c r="W121" s="1031">
        <v>46023</v>
      </c>
      <c r="X121" s="807"/>
      <c r="Y121" s="235"/>
      <c r="Z121" s="238"/>
      <c r="AA121" s="1207"/>
      <c r="AB121" s="1207"/>
      <c r="AC121" s="825">
        <v>1200000000</v>
      </c>
      <c r="AD121" s="825"/>
      <c r="AE121" s="825">
        <f>PB_TSCD!$AC121</f>
        <v>1200000000</v>
      </c>
      <c r="AF121" s="197">
        <f>$AC121/(25*12)</f>
        <v>4000000</v>
      </c>
      <c r="AG121" s="197">
        <f t="shared" ref="AG121:AQ121" si="54">$AC121/(25*12)</f>
        <v>4000000</v>
      </c>
      <c r="AH121" s="197">
        <f t="shared" si="54"/>
        <v>4000000</v>
      </c>
      <c r="AI121" s="197">
        <f t="shared" si="54"/>
        <v>4000000</v>
      </c>
      <c r="AJ121" s="197">
        <f t="shared" si="54"/>
        <v>4000000</v>
      </c>
      <c r="AK121" s="197">
        <f t="shared" si="54"/>
        <v>4000000</v>
      </c>
      <c r="AL121" s="197">
        <f t="shared" si="54"/>
        <v>4000000</v>
      </c>
      <c r="AM121" s="197">
        <f t="shared" si="54"/>
        <v>4000000</v>
      </c>
      <c r="AN121" s="197">
        <f t="shared" si="54"/>
        <v>4000000</v>
      </c>
      <c r="AO121" s="197">
        <f t="shared" si="54"/>
        <v>4000000</v>
      </c>
      <c r="AP121" s="197">
        <f t="shared" si="54"/>
        <v>4000000</v>
      </c>
      <c r="AQ121" s="197">
        <f t="shared" si="54"/>
        <v>4000000</v>
      </c>
      <c r="AR121" s="1002">
        <f t="shared" si="3"/>
        <v>48000000</v>
      </c>
      <c r="AS121" s="810"/>
    </row>
    <row r="122" spans="1:46" x14ac:dyDescent="0.35">
      <c r="A122" s="237"/>
      <c r="B122" s="237" t="s">
        <v>817</v>
      </c>
      <c r="C122" s="237" t="s">
        <v>1187</v>
      </c>
      <c r="D122" s="239"/>
      <c r="E122" s="239"/>
      <c r="F122" s="239"/>
      <c r="G122" s="239"/>
      <c r="H122" s="239"/>
      <c r="I122" s="995"/>
      <c r="J122" s="239"/>
      <c r="K122" s="239"/>
      <c r="L122" s="239"/>
      <c r="M122" s="239"/>
      <c r="N122" s="1041"/>
      <c r="O122" s="239"/>
      <c r="P122" s="483"/>
      <c r="Q122" s="240"/>
      <c r="R122" s="240"/>
      <c r="S122" s="240"/>
      <c r="T122" s="483"/>
      <c r="U122" s="240"/>
      <c r="V122" s="240"/>
      <c r="W122" s="240"/>
      <c r="X122" s="814"/>
      <c r="Y122" s="241"/>
      <c r="Z122" s="242"/>
      <c r="AA122" s="1216"/>
      <c r="AB122" s="1216"/>
      <c r="AC122" s="825"/>
      <c r="AD122" s="825"/>
      <c r="AE122" s="825"/>
      <c r="AF122" s="197"/>
      <c r="AG122" s="197"/>
      <c r="AH122" s="197"/>
      <c r="AI122" s="197"/>
      <c r="AJ122" s="197"/>
      <c r="AK122" s="197"/>
      <c r="AL122" s="197"/>
      <c r="AM122" s="197"/>
      <c r="AN122" s="197"/>
      <c r="AO122" s="197"/>
      <c r="AP122" s="197"/>
      <c r="AQ122" s="197"/>
      <c r="AR122" s="1002">
        <f t="shared" si="3"/>
        <v>0</v>
      </c>
      <c r="AS122" s="810"/>
    </row>
    <row r="123" spans="1:46" x14ac:dyDescent="0.35">
      <c r="A123" s="237"/>
      <c r="B123" s="237" t="s">
        <v>817</v>
      </c>
      <c r="C123" s="237" t="s">
        <v>1187</v>
      </c>
      <c r="D123" s="239"/>
      <c r="E123" s="239"/>
      <c r="F123" s="239"/>
      <c r="G123" s="239"/>
      <c r="H123" s="239"/>
      <c r="I123" s="995"/>
      <c r="J123" s="239"/>
      <c r="K123" s="239"/>
      <c r="L123" s="239"/>
      <c r="M123" s="239"/>
      <c r="N123" s="1041"/>
      <c r="O123" s="239"/>
      <c r="P123" s="483"/>
      <c r="Q123" s="240"/>
      <c r="R123" s="240"/>
      <c r="S123" s="240"/>
      <c r="T123" s="483"/>
      <c r="U123" s="240"/>
      <c r="V123" s="240"/>
      <c r="W123" s="240"/>
      <c r="X123" s="814"/>
      <c r="Y123" s="241"/>
      <c r="Z123" s="242"/>
      <c r="AA123" s="1216"/>
      <c r="AB123" s="1216"/>
      <c r="AC123" s="825"/>
      <c r="AD123" s="825"/>
      <c r="AE123" s="825"/>
      <c r="AF123" s="197"/>
      <c r="AG123" s="197"/>
      <c r="AH123" s="197"/>
      <c r="AI123" s="197"/>
      <c r="AJ123" s="197"/>
      <c r="AK123" s="197"/>
      <c r="AL123" s="197"/>
      <c r="AM123" s="197"/>
      <c r="AN123" s="197"/>
      <c r="AO123" s="197"/>
      <c r="AP123" s="197"/>
      <c r="AQ123" s="197"/>
      <c r="AR123" s="1002">
        <f t="shared" si="3"/>
        <v>0</v>
      </c>
      <c r="AS123" s="810"/>
    </row>
    <row r="124" spans="1:46" ht="51" x14ac:dyDescent="0.35">
      <c r="A124" s="1021">
        <v>3.5</v>
      </c>
      <c r="B124" s="1021" t="s">
        <v>817</v>
      </c>
      <c r="C124" s="1021" t="s">
        <v>1187</v>
      </c>
      <c r="D124" s="1021"/>
      <c r="E124" s="1021"/>
      <c r="F124" s="1021"/>
      <c r="G124" s="1021"/>
      <c r="H124" s="1021"/>
      <c r="I124" s="1022"/>
      <c r="J124" s="1021"/>
      <c r="K124" s="1021"/>
      <c r="L124" s="1021"/>
      <c r="M124" s="1021"/>
      <c r="N124" s="1039"/>
      <c r="O124" s="237"/>
      <c r="P124" s="482"/>
      <c r="Q124" s="1023"/>
      <c r="R124" s="1023"/>
      <c r="S124" s="485" t="s">
        <v>2124</v>
      </c>
      <c r="T124" s="482"/>
      <c r="U124" s="1023"/>
      <c r="V124" s="1023"/>
      <c r="W124" s="1023"/>
      <c r="X124" s="485" t="s">
        <v>2123</v>
      </c>
      <c r="Y124" s="1024">
        <v>627</v>
      </c>
      <c r="Z124" s="1025">
        <v>6274001903</v>
      </c>
      <c r="AA124" s="1212" t="s">
        <v>896</v>
      </c>
      <c r="AB124" s="1215"/>
      <c r="AC124" s="202">
        <f>SUM(AC125:AC127)</f>
        <v>2500000000</v>
      </c>
      <c r="AD124" s="202">
        <f t="shared" ref="AD124:AQ124" si="55">SUM(AD125:AD127)</f>
        <v>0</v>
      </c>
      <c r="AE124" s="202">
        <f>SUM(AE125:AE127)</f>
        <v>2500000000</v>
      </c>
      <c r="AF124" s="810">
        <f>SUM(AF125:AF127)</f>
        <v>0</v>
      </c>
      <c r="AG124" s="810">
        <f t="shared" si="55"/>
        <v>0</v>
      </c>
      <c r="AH124" s="810">
        <f t="shared" si="55"/>
        <v>0</v>
      </c>
      <c r="AI124" s="810">
        <f t="shared" si="55"/>
        <v>0</v>
      </c>
      <c r="AJ124" s="810"/>
      <c r="AK124" s="810">
        <f t="shared" si="55"/>
        <v>17361111.111111112</v>
      </c>
      <c r="AL124" s="810">
        <f t="shared" si="55"/>
        <v>17361111.111111112</v>
      </c>
      <c r="AM124" s="810">
        <f t="shared" si="55"/>
        <v>17361111.111111112</v>
      </c>
      <c r="AN124" s="810">
        <f t="shared" si="55"/>
        <v>17361111.111111112</v>
      </c>
      <c r="AO124" s="810">
        <f t="shared" si="55"/>
        <v>17361111.111111112</v>
      </c>
      <c r="AP124" s="810">
        <f t="shared" si="55"/>
        <v>17361111.111111112</v>
      </c>
      <c r="AQ124" s="810">
        <f t="shared" si="55"/>
        <v>17361111.111111112</v>
      </c>
      <c r="AR124" s="1003">
        <f>SUM(AR125:AR127)</f>
        <v>121527777.77777776</v>
      </c>
      <c r="AS124" s="810">
        <f>AE124-AR124</f>
        <v>2378472222.2222223</v>
      </c>
      <c r="AT124" s="1264"/>
    </row>
    <row r="125" spans="1:46" ht="51" x14ac:dyDescent="0.35">
      <c r="A125" s="971"/>
      <c r="B125" s="971"/>
      <c r="C125" s="971"/>
      <c r="D125" s="972"/>
      <c r="E125" s="972"/>
      <c r="F125" s="971"/>
      <c r="G125" s="973"/>
      <c r="H125" s="971" t="s">
        <v>1194</v>
      </c>
      <c r="I125" s="973"/>
      <c r="J125" s="971"/>
      <c r="K125" s="971"/>
      <c r="L125" s="971"/>
      <c r="M125" s="971"/>
      <c r="N125" s="1039">
        <v>46388</v>
      </c>
      <c r="O125" s="237">
        <v>144</v>
      </c>
      <c r="P125" s="975" t="s">
        <v>1041</v>
      </c>
      <c r="Q125" s="975"/>
      <c r="R125" s="975"/>
      <c r="S125" s="996"/>
      <c r="T125" s="976"/>
      <c r="U125" s="977"/>
      <c r="V125" s="977"/>
      <c r="W125" s="1031">
        <v>46143</v>
      </c>
      <c r="X125" s="997" t="s">
        <v>2205</v>
      </c>
      <c r="Y125" s="979"/>
      <c r="Z125" s="238">
        <v>6274001903</v>
      </c>
      <c r="AA125" s="1214" t="s">
        <v>896</v>
      </c>
      <c r="AB125" s="1214"/>
      <c r="AC125" s="825">
        <v>1500000000</v>
      </c>
      <c r="AD125" s="825">
        <f t="shared" ref="AD125:AD126" si="56">AC125-AE125</f>
        <v>0</v>
      </c>
      <c r="AE125" s="825">
        <f>PB_TSCD!$AC125</f>
        <v>1500000000</v>
      </c>
      <c r="AF125" s="197"/>
      <c r="AG125" s="197"/>
      <c r="AH125" s="197"/>
      <c r="AI125" s="197"/>
      <c r="AJ125" s="197"/>
      <c r="AK125" s="197">
        <f>$AC125/(12*12)</f>
        <v>10416666.666666666</v>
      </c>
      <c r="AL125" s="197">
        <f t="shared" ref="AL125:AQ127" si="57">$AC125/(12*12)</f>
        <v>10416666.666666666</v>
      </c>
      <c r="AM125" s="197">
        <f t="shared" si="57"/>
        <v>10416666.666666666</v>
      </c>
      <c r="AN125" s="197">
        <f t="shared" si="57"/>
        <v>10416666.666666666</v>
      </c>
      <c r="AO125" s="197">
        <f t="shared" si="57"/>
        <v>10416666.666666666</v>
      </c>
      <c r="AP125" s="197">
        <f t="shared" si="57"/>
        <v>10416666.666666666</v>
      </c>
      <c r="AQ125" s="197">
        <f t="shared" si="57"/>
        <v>10416666.666666666</v>
      </c>
      <c r="AR125" s="1002">
        <f>SUM(AF125:AQ125)</f>
        <v>72916666.666666657</v>
      </c>
      <c r="AS125" s="810"/>
    </row>
    <row r="126" spans="1:46" ht="25" x14ac:dyDescent="0.35">
      <c r="A126" s="971"/>
      <c r="B126" s="971"/>
      <c r="C126" s="971"/>
      <c r="D126" s="972"/>
      <c r="E126" s="972"/>
      <c r="F126" s="971"/>
      <c r="G126" s="973"/>
      <c r="H126" s="971" t="s">
        <v>1194</v>
      </c>
      <c r="I126" s="973"/>
      <c r="J126" s="971"/>
      <c r="K126" s="971"/>
      <c r="L126" s="971"/>
      <c r="M126" s="971"/>
      <c r="N126" s="1039">
        <v>46388</v>
      </c>
      <c r="O126" s="237">
        <v>144</v>
      </c>
      <c r="P126" s="975" t="s">
        <v>1041</v>
      </c>
      <c r="Q126" s="975"/>
      <c r="R126" s="975"/>
      <c r="S126" s="996"/>
      <c r="T126" s="976"/>
      <c r="U126" s="977"/>
      <c r="V126" s="977"/>
      <c r="W126" s="1031">
        <v>46143</v>
      </c>
      <c r="X126" s="997" t="s">
        <v>2206</v>
      </c>
      <c r="Y126" s="979"/>
      <c r="Z126" s="238"/>
      <c r="AA126" s="1214"/>
      <c r="AB126" s="1214"/>
      <c r="AC126" s="825">
        <v>500000000</v>
      </c>
      <c r="AD126" s="825">
        <f t="shared" si="56"/>
        <v>0</v>
      </c>
      <c r="AE126" s="825">
        <f>PB_TSCD!$AC126</f>
        <v>500000000</v>
      </c>
      <c r="AF126" s="197"/>
      <c r="AG126" s="197"/>
      <c r="AH126" s="197"/>
      <c r="AI126" s="197"/>
      <c r="AJ126" s="197"/>
      <c r="AK126" s="197">
        <f>$AC126/(12*12)</f>
        <v>3472222.222222222</v>
      </c>
      <c r="AL126" s="197">
        <f t="shared" si="57"/>
        <v>3472222.222222222</v>
      </c>
      <c r="AM126" s="197">
        <f t="shared" si="57"/>
        <v>3472222.222222222</v>
      </c>
      <c r="AN126" s="197">
        <f t="shared" si="57"/>
        <v>3472222.222222222</v>
      </c>
      <c r="AO126" s="197">
        <f t="shared" si="57"/>
        <v>3472222.222222222</v>
      </c>
      <c r="AP126" s="197">
        <f t="shared" si="57"/>
        <v>3472222.222222222</v>
      </c>
      <c r="AQ126" s="197">
        <f t="shared" si="57"/>
        <v>3472222.222222222</v>
      </c>
      <c r="AR126" s="1002">
        <f>SUM(AF126:AQ126)</f>
        <v>24305555.55555556</v>
      </c>
      <c r="AS126" s="810"/>
    </row>
    <row r="127" spans="1:46" ht="25" x14ac:dyDescent="0.35">
      <c r="A127" s="971"/>
      <c r="B127" s="971"/>
      <c r="C127" s="971"/>
      <c r="D127" s="972"/>
      <c r="E127" s="972"/>
      <c r="F127" s="971"/>
      <c r="G127" s="973"/>
      <c r="H127" s="971"/>
      <c r="I127" s="973"/>
      <c r="J127" s="971"/>
      <c r="K127" s="971"/>
      <c r="L127" s="971"/>
      <c r="M127" s="971"/>
      <c r="N127" s="1039"/>
      <c r="O127" s="974"/>
      <c r="P127" s="975"/>
      <c r="Q127" s="975"/>
      <c r="R127" s="975"/>
      <c r="S127" s="975"/>
      <c r="T127" s="976"/>
      <c r="U127" s="977"/>
      <c r="V127" s="977"/>
      <c r="W127" s="1031">
        <v>46143</v>
      </c>
      <c r="X127" s="997" t="s">
        <v>2207</v>
      </c>
      <c r="Y127" s="979"/>
      <c r="Z127" s="238"/>
      <c r="AA127" s="1214"/>
      <c r="AB127" s="1214"/>
      <c r="AC127" s="825">
        <v>500000000</v>
      </c>
      <c r="AD127" s="981">
        <f>AC127-AE127</f>
        <v>0</v>
      </c>
      <c r="AE127" s="825">
        <f>PB_TSCD!$AC127</f>
        <v>500000000</v>
      </c>
      <c r="AF127" s="197"/>
      <c r="AG127" s="197"/>
      <c r="AH127" s="197"/>
      <c r="AI127" s="197"/>
      <c r="AJ127" s="197"/>
      <c r="AK127" s="197">
        <f>$AC127/(12*12)</f>
        <v>3472222.222222222</v>
      </c>
      <c r="AL127" s="197">
        <f t="shared" si="57"/>
        <v>3472222.222222222</v>
      </c>
      <c r="AM127" s="197">
        <f t="shared" si="57"/>
        <v>3472222.222222222</v>
      </c>
      <c r="AN127" s="197">
        <f t="shared" si="57"/>
        <v>3472222.222222222</v>
      </c>
      <c r="AO127" s="197">
        <f t="shared" si="57"/>
        <v>3472222.222222222</v>
      </c>
      <c r="AP127" s="197">
        <f t="shared" si="57"/>
        <v>3472222.222222222</v>
      </c>
      <c r="AQ127" s="197">
        <f t="shared" si="57"/>
        <v>3472222.222222222</v>
      </c>
      <c r="AR127" s="1002">
        <f>SUM(AF127:AQ127)</f>
        <v>24305555.55555556</v>
      </c>
      <c r="AS127" s="810"/>
    </row>
    <row r="128" spans="1:46" x14ac:dyDescent="0.35">
      <c r="A128" s="239"/>
      <c r="B128" s="239"/>
      <c r="C128" s="239"/>
      <c r="D128" s="239"/>
      <c r="E128" s="239"/>
      <c r="F128" s="239"/>
      <c r="G128" s="239"/>
      <c r="H128" s="239"/>
      <c r="I128" s="995"/>
      <c r="J128" s="239"/>
      <c r="K128" s="239"/>
      <c r="L128" s="239"/>
      <c r="M128" s="239"/>
      <c r="N128" s="1041"/>
      <c r="O128" s="239"/>
      <c r="P128" s="483"/>
      <c r="Q128" s="240"/>
      <c r="R128" s="240"/>
      <c r="S128" s="240"/>
      <c r="T128" s="483"/>
      <c r="U128" s="240"/>
      <c r="V128" s="240"/>
      <c r="W128" s="240"/>
      <c r="X128" s="814"/>
      <c r="Y128" s="241"/>
      <c r="Z128" s="242"/>
      <c r="AA128" s="1216"/>
      <c r="AB128" s="1216"/>
      <c r="AC128" s="202"/>
      <c r="AD128" s="202"/>
      <c r="AE128" s="202"/>
      <c r="AF128" s="825"/>
      <c r="AG128" s="825"/>
      <c r="AH128" s="825"/>
      <c r="AI128" s="825"/>
      <c r="AJ128" s="825"/>
      <c r="AK128" s="825"/>
      <c r="AL128" s="825"/>
      <c r="AM128" s="825"/>
      <c r="AN128" s="825"/>
      <c r="AO128" s="825"/>
      <c r="AP128" s="825"/>
      <c r="AQ128" s="825"/>
      <c r="AR128" s="982">
        <f t="shared" si="3"/>
        <v>0</v>
      </c>
      <c r="AS128" s="202">
        <f t="shared" si="9"/>
        <v>0</v>
      </c>
    </row>
    <row r="129" spans="1:45" x14ac:dyDescent="0.35">
      <c r="A129" s="244"/>
      <c r="B129" s="244"/>
      <c r="C129" s="245" t="s">
        <v>1197</v>
      </c>
      <c r="D129" s="244"/>
      <c r="E129" s="244"/>
      <c r="F129" s="244"/>
      <c r="G129" s="244"/>
      <c r="H129" s="244"/>
      <c r="I129" s="815"/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244"/>
      <c r="U129" s="210"/>
      <c r="V129" s="244"/>
      <c r="W129" s="244"/>
      <c r="X129" s="815"/>
      <c r="Y129" s="354">
        <v>627</v>
      </c>
      <c r="Z129" s="246"/>
      <c r="AA129" s="815"/>
      <c r="AB129" s="815"/>
      <c r="AC129" s="816">
        <f>SUMIFS($AC$8:$AC$128,$Y$8:$Y$128,$Y129)</f>
        <v>69770744544</v>
      </c>
      <c r="AD129" s="816">
        <f t="shared" ref="AD129:AQ129" si="58">SUMIFS(AD$8:AD$128,$Y$8:$Y$128,$Y129)</f>
        <v>17250340979</v>
      </c>
      <c r="AE129" s="816">
        <f t="shared" si="58"/>
        <v>52520403565</v>
      </c>
      <c r="AF129" s="816">
        <f>SUMIFS(AF$8:AF$128,$Y$8:$Y$128,$Y129)</f>
        <v>376055168.26281118</v>
      </c>
      <c r="AG129" s="816">
        <f t="shared" si="58"/>
        <v>376055168.26281118</v>
      </c>
      <c r="AH129" s="816">
        <f t="shared" si="58"/>
        <v>373491532.26281118</v>
      </c>
      <c r="AI129" s="816">
        <f t="shared" si="58"/>
        <v>373491532.26281118</v>
      </c>
      <c r="AJ129" s="816">
        <f t="shared" si="58"/>
        <v>373491532.26281118</v>
      </c>
      <c r="AK129" s="816">
        <f t="shared" si="58"/>
        <v>390852643.37392229</v>
      </c>
      <c r="AL129" s="816">
        <f t="shared" si="58"/>
        <v>390852643.37392229</v>
      </c>
      <c r="AM129" s="816">
        <f t="shared" si="58"/>
        <v>390852643.37392229</v>
      </c>
      <c r="AN129" s="816">
        <f t="shared" si="58"/>
        <v>390852643.37392229</v>
      </c>
      <c r="AO129" s="816">
        <f t="shared" si="58"/>
        <v>390852643.37392229</v>
      </c>
      <c r="AP129" s="816">
        <f t="shared" si="58"/>
        <v>390852643.37392229</v>
      </c>
      <c r="AQ129" s="816">
        <f t="shared" si="58"/>
        <v>390852643.37392229</v>
      </c>
      <c r="AR129" s="816">
        <f>SUMIFS(AR$8:AR$128,$Y$8:$Y$128,$Y129)</f>
        <v>4608553436.9315109</v>
      </c>
      <c r="AS129" s="360">
        <f t="shared" si="9"/>
        <v>47911850128.068489</v>
      </c>
    </row>
    <row r="130" spans="1:45" ht="51" x14ac:dyDescent="0.35">
      <c r="A130" s="244"/>
      <c r="B130" s="244"/>
      <c r="C130" s="983" t="s">
        <v>1198</v>
      </c>
      <c r="D130" s="244"/>
      <c r="E130" s="244"/>
      <c r="F130" s="244"/>
      <c r="G130" s="244"/>
      <c r="H130" s="244"/>
      <c r="I130" s="244"/>
      <c r="J130" s="244"/>
      <c r="K130" s="244"/>
      <c r="L130" s="244"/>
      <c r="M130" s="244"/>
      <c r="N130" s="244"/>
      <c r="O130" s="244"/>
      <c r="P130" s="244"/>
      <c r="Q130" s="244"/>
      <c r="R130" s="244"/>
      <c r="S130" s="244"/>
      <c r="T130" s="244"/>
      <c r="U130" s="210"/>
      <c r="V130" s="244"/>
      <c r="W130" s="244"/>
      <c r="X130" s="983" t="s">
        <v>1198</v>
      </c>
      <c r="Y130" s="354"/>
      <c r="Z130" s="246"/>
      <c r="AA130" s="1217" t="s">
        <v>1198</v>
      </c>
      <c r="AB130" s="815"/>
      <c r="AC130" s="212">
        <f>SUM(AC9,AC16,AC84,AC106)</f>
        <v>29767824119</v>
      </c>
      <c r="AD130" s="212">
        <f>SUM(AD9,AD16,AD84,AD106)</f>
        <v>3859110287</v>
      </c>
      <c r="AE130" s="212">
        <f>SUM(AE9,AE16,AE84,AE106)</f>
        <v>25908713832</v>
      </c>
      <c r="AF130" s="212">
        <f>SUM(AF9,AF16,AF84,AF106,AF111,AF117)</f>
        <v>57844282.174170241</v>
      </c>
      <c r="AG130" s="212">
        <f t="shared" ref="AG130:AQ130" si="59">SUM(AG9,AG16,AG84,AG106,AG111,AG117)</f>
        <v>57844282.174170241</v>
      </c>
      <c r="AH130" s="212">
        <f t="shared" si="59"/>
        <v>57844282.174170241</v>
      </c>
      <c r="AI130" s="212">
        <f t="shared" si="59"/>
        <v>57844282.174170241</v>
      </c>
      <c r="AJ130" s="212">
        <f t="shared" si="59"/>
        <v>57844282.174170241</v>
      </c>
      <c r="AK130" s="212">
        <f t="shared" si="59"/>
        <v>57844282.174170241</v>
      </c>
      <c r="AL130" s="212">
        <f t="shared" si="59"/>
        <v>57844282.174170241</v>
      </c>
      <c r="AM130" s="212">
        <f t="shared" si="59"/>
        <v>57844282.174170241</v>
      </c>
      <c r="AN130" s="212">
        <f t="shared" si="59"/>
        <v>57844282.174170241</v>
      </c>
      <c r="AO130" s="212">
        <f t="shared" si="59"/>
        <v>57844282.174170241</v>
      </c>
      <c r="AP130" s="212">
        <f t="shared" si="59"/>
        <v>57844282.174170241</v>
      </c>
      <c r="AQ130" s="212">
        <f t="shared" si="59"/>
        <v>57844282.174170241</v>
      </c>
      <c r="AR130" s="212">
        <f>SUM(AR9,AR16,AR84,AR106,AR111,AR117)</f>
        <v>694131386.09004307</v>
      </c>
      <c r="AS130" s="1030">
        <f t="shared" si="9"/>
        <v>25214582445.909958</v>
      </c>
    </row>
    <row r="131" spans="1:45" ht="51" x14ac:dyDescent="0.35">
      <c r="A131" s="244"/>
      <c r="B131" s="244"/>
      <c r="C131" s="983" t="s">
        <v>1199</v>
      </c>
      <c r="D131" s="244"/>
      <c r="E131" s="244"/>
      <c r="F131" s="244"/>
      <c r="G131" s="244"/>
      <c r="H131" s="244"/>
      <c r="I131" s="244"/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10"/>
      <c r="V131" s="244"/>
      <c r="W131" s="244"/>
      <c r="X131" s="983" t="s">
        <v>1199</v>
      </c>
      <c r="Y131" s="354"/>
      <c r="Z131" s="246"/>
      <c r="AA131" s="1217" t="s">
        <v>1199</v>
      </c>
      <c r="AB131" s="815"/>
      <c r="AC131" s="212">
        <f t="shared" ref="AC131:AE131" si="60">SUM(AC61,AC124)</f>
        <v>6869292165</v>
      </c>
      <c r="AD131" s="212">
        <f t="shared" si="60"/>
        <v>2892886309</v>
      </c>
      <c r="AE131" s="212">
        <f t="shared" si="60"/>
        <v>3976405856</v>
      </c>
      <c r="AF131" s="212">
        <f>SUM(AF61)</f>
        <v>12796946.172842309</v>
      </c>
      <c r="AG131" s="212">
        <f t="shared" ref="AG131:AR131" si="61">SUM(AG61)</f>
        <v>12796946.172842309</v>
      </c>
      <c r="AH131" s="212">
        <f t="shared" si="61"/>
        <v>12796946.172842309</v>
      </c>
      <c r="AI131" s="212">
        <f t="shared" si="61"/>
        <v>12796946.172842309</v>
      </c>
      <c r="AJ131" s="212">
        <f t="shared" si="61"/>
        <v>12796946.172842309</v>
      </c>
      <c r="AK131" s="212">
        <f t="shared" si="61"/>
        <v>12796946.172842309</v>
      </c>
      <c r="AL131" s="212">
        <f t="shared" si="61"/>
        <v>12796946.172842309</v>
      </c>
      <c r="AM131" s="212">
        <f t="shared" si="61"/>
        <v>12796946.172842309</v>
      </c>
      <c r="AN131" s="212">
        <f t="shared" si="61"/>
        <v>12796946.172842309</v>
      </c>
      <c r="AO131" s="212">
        <f t="shared" si="61"/>
        <v>12796946.172842309</v>
      </c>
      <c r="AP131" s="212">
        <f t="shared" si="61"/>
        <v>12796946.172842309</v>
      </c>
      <c r="AQ131" s="212">
        <f t="shared" si="61"/>
        <v>12796946.172842309</v>
      </c>
      <c r="AR131" s="212">
        <f t="shared" si="61"/>
        <v>153563354.07410771</v>
      </c>
      <c r="AS131" s="1030">
        <f t="shared" si="9"/>
        <v>3822842501.9258924</v>
      </c>
    </row>
    <row r="132" spans="1:45" ht="51" x14ac:dyDescent="0.35">
      <c r="A132" s="244"/>
      <c r="B132" s="244"/>
      <c r="C132" s="983" t="s">
        <v>1200</v>
      </c>
      <c r="D132" s="244"/>
      <c r="E132" s="244"/>
      <c r="F132" s="244"/>
      <c r="G132" s="244"/>
      <c r="H132" s="244"/>
      <c r="I132" s="244"/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10"/>
      <c r="V132" s="244"/>
      <c r="W132" s="244"/>
      <c r="X132" s="983" t="s">
        <v>1200</v>
      </c>
      <c r="Y132" s="354"/>
      <c r="Z132" s="246"/>
      <c r="AA132" s="1217" t="s">
        <v>1200</v>
      </c>
      <c r="AB132" s="815"/>
      <c r="AC132" s="212">
        <f t="shared" ref="AC132:AE132" si="62">SUM(AC72)</f>
        <v>15341783756</v>
      </c>
      <c r="AD132" s="212">
        <f t="shared" si="62"/>
        <v>7527856943</v>
      </c>
      <c r="AE132" s="212">
        <f t="shared" si="62"/>
        <v>7813926813</v>
      </c>
      <c r="AF132" s="212">
        <f>SUM(AF72,AF124)</f>
        <v>233686918.13276589</v>
      </c>
      <c r="AG132" s="212">
        <f t="shared" ref="AG132:AR132" si="63">SUM(AG72,AG124)</f>
        <v>233686918.13276589</v>
      </c>
      <c r="AH132" s="212">
        <f t="shared" si="63"/>
        <v>233686918.13276589</v>
      </c>
      <c r="AI132" s="212">
        <f t="shared" si="63"/>
        <v>233686918.13276589</v>
      </c>
      <c r="AJ132" s="212">
        <f t="shared" si="63"/>
        <v>233686918.13276589</v>
      </c>
      <c r="AK132" s="212">
        <f t="shared" si="63"/>
        <v>251048029.24387699</v>
      </c>
      <c r="AL132" s="212">
        <f t="shared" si="63"/>
        <v>251048029.24387699</v>
      </c>
      <c r="AM132" s="212">
        <f t="shared" si="63"/>
        <v>251048029.24387699</v>
      </c>
      <c r="AN132" s="212">
        <f t="shared" si="63"/>
        <v>251048029.24387699</v>
      </c>
      <c r="AO132" s="212">
        <f t="shared" si="63"/>
        <v>251048029.24387699</v>
      </c>
      <c r="AP132" s="212">
        <f t="shared" si="63"/>
        <v>251048029.24387699</v>
      </c>
      <c r="AQ132" s="212">
        <f t="shared" si="63"/>
        <v>251048029.24387699</v>
      </c>
      <c r="AR132" s="212">
        <f t="shared" si="63"/>
        <v>2925770795.3709683</v>
      </c>
      <c r="AS132" s="1030">
        <f t="shared" si="9"/>
        <v>4888156017.6290321</v>
      </c>
    </row>
    <row r="133" spans="1:45" ht="51" x14ac:dyDescent="0.35">
      <c r="A133" s="244"/>
      <c r="B133" s="244"/>
      <c r="C133" s="983" t="s">
        <v>1201</v>
      </c>
      <c r="D133" s="244"/>
      <c r="E133" s="244"/>
      <c r="F133" s="244"/>
      <c r="G133" s="244"/>
      <c r="H133" s="244"/>
      <c r="I133" s="244"/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10"/>
      <c r="V133" s="244"/>
      <c r="W133" s="244"/>
      <c r="X133" s="983" t="s">
        <v>1201</v>
      </c>
      <c r="Y133" s="354"/>
      <c r="Z133" s="246"/>
      <c r="AA133" s="1217" t="s">
        <v>1201</v>
      </c>
      <c r="AB133" s="815"/>
      <c r="AC133" s="212">
        <f t="shared" ref="AC133:AQ133" si="64">SUM(AC91)</f>
        <v>6398767215</v>
      </c>
      <c r="AD133" s="212">
        <f t="shared" si="64"/>
        <v>0</v>
      </c>
      <c r="AE133" s="212">
        <f t="shared" si="64"/>
        <v>6398767215</v>
      </c>
      <c r="AF133" s="212">
        <f t="shared" si="64"/>
        <v>0</v>
      </c>
      <c r="AG133" s="212">
        <f t="shared" si="64"/>
        <v>0</v>
      </c>
      <c r="AH133" s="212">
        <f t="shared" si="64"/>
        <v>0</v>
      </c>
      <c r="AI133" s="212">
        <f t="shared" si="64"/>
        <v>0</v>
      </c>
      <c r="AJ133" s="212">
        <f t="shared" si="64"/>
        <v>0</v>
      </c>
      <c r="AK133" s="212">
        <f t="shared" si="64"/>
        <v>0</v>
      </c>
      <c r="AL133" s="212">
        <f t="shared" si="64"/>
        <v>0</v>
      </c>
      <c r="AM133" s="212">
        <f t="shared" si="64"/>
        <v>0</v>
      </c>
      <c r="AN133" s="212">
        <f t="shared" si="64"/>
        <v>0</v>
      </c>
      <c r="AO133" s="212">
        <f t="shared" si="64"/>
        <v>0</v>
      </c>
      <c r="AP133" s="212">
        <f t="shared" si="64"/>
        <v>0</v>
      </c>
      <c r="AQ133" s="212">
        <f t="shared" si="64"/>
        <v>0</v>
      </c>
      <c r="AR133" s="212">
        <f t="shared" ref="AR133" si="65">SUM(AR91)</f>
        <v>0</v>
      </c>
      <c r="AS133" s="1030">
        <f t="shared" si="9"/>
        <v>6398767215</v>
      </c>
    </row>
    <row r="134" spans="1:45" ht="38.5" x14ac:dyDescent="0.35">
      <c r="A134" s="244"/>
      <c r="B134" s="244"/>
      <c r="C134" s="983" t="s">
        <v>1202</v>
      </c>
      <c r="D134" s="244"/>
      <c r="E134" s="244"/>
      <c r="F134" s="244"/>
      <c r="G134" s="244"/>
      <c r="H134" s="244"/>
      <c r="I134" s="244"/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10"/>
      <c r="V134" s="244"/>
      <c r="W134" s="244"/>
      <c r="X134" s="983" t="s">
        <v>1202</v>
      </c>
      <c r="Y134" s="354"/>
      <c r="Z134" s="246"/>
      <c r="AA134" s="1217" t="s">
        <v>1202</v>
      </c>
      <c r="AB134" s="815"/>
      <c r="AC134" s="212">
        <f>SUM(AC24,AC27,AC30,AC38,AC42,AC45,AC46,AC47,AC50)</f>
        <v>7253879289</v>
      </c>
      <c r="AD134" s="212">
        <f>SUM(AD24,AD27,AD30,AD38,AD42,AD45,AD46,AD47,AD50)</f>
        <v>2970487440</v>
      </c>
      <c r="AE134" s="212">
        <f>SUM(AE24,AE27,AE30,AE38,AE42,AE45,AE46,AE47,AE50)</f>
        <v>4283391849</v>
      </c>
      <c r="AF134" s="212">
        <f>SUM(AF24,AF27,AF30,AF38,AF42,AF45,AF46,AF47,AF50,AF120,AF102)</f>
        <v>71727021.783032686</v>
      </c>
      <c r="AG134" s="212">
        <f t="shared" ref="AG134:AR134" si="66">SUM(AG24,AG27,AG30,AG38,AG42,AG45,AG46,AG47,AG50,AG120,AG102)</f>
        <v>71727021.783032686</v>
      </c>
      <c r="AH134" s="212">
        <f t="shared" si="66"/>
        <v>69163385.783032686</v>
      </c>
      <c r="AI134" s="212">
        <f t="shared" si="66"/>
        <v>69163385.783032686</v>
      </c>
      <c r="AJ134" s="212">
        <f t="shared" si="66"/>
        <v>69163385.783032686</v>
      </c>
      <c r="AK134" s="212">
        <f t="shared" si="66"/>
        <v>69163385.783032686</v>
      </c>
      <c r="AL134" s="212">
        <f t="shared" si="66"/>
        <v>69163385.783032686</v>
      </c>
      <c r="AM134" s="212">
        <f t="shared" si="66"/>
        <v>69163385.783032686</v>
      </c>
      <c r="AN134" s="212">
        <f t="shared" si="66"/>
        <v>69163385.783032686</v>
      </c>
      <c r="AO134" s="212">
        <f t="shared" si="66"/>
        <v>69163385.783032686</v>
      </c>
      <c r="AP134" s="212">
        <f t="shared" si="66"/>
        <v>69163385.783032686</v>
      </c>
      <c r="AQ134" s="212">
        <f t="shared" si="66"/>
        <v>69163385.783032686</v>
      </c>
      <c r="AR134" s="212">
        <f t="shared" si="66"/>
        <v>835087901.39639223</v>
      </c>
      <c r="AS134" s="1030">
        <f t="shared" si="9"/>
        <v>3448303947.6036077</v>
      </c>
    </row>
    <row r="135" spans="1:45" x14ac:dyDescent="0.35">
      <c r="A135" s="244"/>
      <c r="B135" s="244"/>
      <c r="C135" s="245" t="s">
        <v>1203</v>
      </c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10"/>
      <c r="V135" s="244"/>
      <c r="W135" s="244"/>
      <c r="X135" s="815"/>
      <c r="Y135" s="354">
        <v>642</v>
      </c>
      <c r="Z135" s="246"/>
      <c r="AA135" s="815"/>
      <c r="AB135" s="815"/>
      <c r="AC135" s="212">
        <f>SUMIFS($AC$8:$AC$128,$Y$8:$Y$128,$Y135)</f>
        <v>513507331</v>
      </c>
      <c r="AD135" s="212">
        <f t="shared" ref="AD135:AR135" si="67">SUMIFS(AD$8:AD$128,$Y$8:$Y$128,$Y135)</f>
        <v>325664212</v>
      </c>
      <c r="AE135" s="212">
        <f t="shared" si="67"/>
        <v>187843119</v>
      </c>
      <c r="AF135" s="212">
        <f t="shared" si="67"/>
        <v>4072910.0175438598</v>
      </c>
      <c r="AG135" s="212">
        <f t="shared" si="67"/>
        <v>4072910.0175438598</v>
      </c>
      <c r="AH135" s="212">
        <f t="shared" si="67"/>
        <v>4072910.0175438598</v>
      </c>
      <c r="AI135" s="212">
        <f t="shared" si="67"/>
        <v>4072910.0175438598</v>
      </c>
      <c r="AJ135" s="212">
        <f t="shared" si="67"/>
        <v>4072910.0175438598</v>
      </c>
      <c r="AK135" s="212">
        <f t="shared" si="67"/>
        <v>4072910.0175438598</v>
      </c>
      <c r="AL135" s="212">
        <f t="shared" si="67"/>
        <v>4072910.0175438598</v>
      </c>
      <c r="AM135" s="212">
        <f t="shared" si="67"/>
        <v>4072910.0175438598</v>
      </c>
      <c r="AN135" s="212">
        <f t="shared" si="67"/>
        <v>4072910.0175438598</v>
      </c>
      <c r="AO135" s="212">
        <f t="shared" si="67"/>
        <v>4072910.0175438598</v>
      </c>
      <c r="AP135" s="212">
        <f t="shared" si="67"/>
        <v>4072910.0175438598</v>
      </c>
      <c r="AQ135" s="212">
        <f t="shared" si="67"/>
        <v>4072910.0175438598</v>
      </c>
      <c r="AR135" s="212">
        <f t="shared" si="67"/>
        <v>48874920.210526317</v>
      </c>
      <c r="AS135" s="1030">
        <f t="shared" si="9"/>
        <v>138968198.78947368</v>
      </c>
    </row>
    <row r="136" spans="1:45" x14ac:dyDescent="0.35">
      <c r="A136" s="244"/>
      <c r="B136" s="244"/>
      <c r="C136" s="245" t="s">
        <v>1204</v>
      </c>
      <c r="D136" s="244"/>
      <c r="E136" s="244"/>
      <c r="F136" s="244"/>
      <c r="G136" s="244"/>
      <c r="H136" s="244"/>
      <c r="I136" s="244"/>
      <c r="J136" s="244"/>
      <c r="K136" s="244"/>
      <c r="L136" s="244"/>
      <c r="M136" s="244"/>
      <c r="N136" s="244"/>
      <c r="O136" s="244"/>
      <c r="P136" s="244"/>
      <c r="Q136" s="244"/>
      <c r="R136" s="244"/>
      <c r="S136" s="244"/>
      <c r="T136" s="244"/>
      <c r="U136" s="210"/>
      <c r="V136" s="244"/>
      <c r="W136" s="244"/>
      <c r="X136" s="815"/>
      <c r="Y136" s="354"/>
      <c r="Z136" s="246"/>
      <c r="AA136" s="244"/>
      <c r="AB136" s="815"/>
      <c r="AC136" s="360">
        <f>AC129+AC135</f>
        <v>70284251875</v>
      </c>
      <c r="AD136" s="360">
        <f t="shared" ref="AD136:AS136" si="68">AD129+AD135</f>
        <v>17576005191</v>
      </c>
      <c r="AE136" s="360">
        <f t="shared" si="68"/>
        <v>52708246684</v>
      </c>
      <c r="AF136" s="360">
        <f>AF129+AF135</f>
        <v>380128078.28035504</v>
      </c>
      <c r="AG136" s="1250">
        <f t="shared" si="68"/>
        <v>380128078.28035504</v>
      </c>
      <c r="AH136" s="1250">
        <f t="shared" si="68"/>
        <v>377564442.28035504</v>
      </c>
      <c r="AI136" s="1250">
        <f t="shared" si="68"/>
        <v>377564442.28035504</v>
      </c>
      <c r="AJ136" s="1250">
        <f t="shared" si="68"/>
        <v>377564442.28035504</v>
      </c>
      <c r="AK136" s="1250">
        <f t="shared" si="68"/>
        <v>394925553.39146614</v>
      </c>
      <c r="AL136" s="1250">
        <f t="shared" si="68"/>
        <v>394925553.39146614</v>
      </c>
      <c r="AM136" s="1250">
        <f t="shared" si="68"/>
        <v>394925553.39146614</v>
      </c>
      <c r="AN136" s="1250">
        <f t="shared" si="68"/>
        <v>394925553.39146614</v>
      </c>
      <c r="AO136" s="1250">
        <f t="shared" si="68"/>
        <v>394925553.39146614</v>
      </c>
      <c r="AP136" s="1250">
        <f t="shared" si="68"/>
        <v>394925553.39146614</v>
      </c>
      <c r="AQ136" s="1250">
        <f t="shared" si="68"/>
        <v>394925553.39146614</v>
      </c>
      <c r="AR136" s="1250">
        <f>AR129+AR135</f>
        <v>4657428357.1420374</v>
      </c>
      <c r="AS136" s="1250">
        <f t="shared" si="68"/>
        <v>48050818326.857964</v>
      </c>
    </row>
    <row r="137" spans="1:45" x14ac:dyDescent="0.35">
      <c r="AF137" s="1029">
        <f>AF130+AF131+AF134+AF135</f>
        <v>146441160.14758909</v>
      </c>
      <c r="AG137" s="1029"/>
      <c r="AH137" s="1029"/>
      <c r="AI137" s="1029"/>
      <c r="AJ137" s="1029"/>
      <c r="AK137" s="1029"/>
      <c r="AL137" s="1029"/>
      <c r="AM137" s="1029"/>
      <c r="AN137" s="1029"/>
      <c r="AO137" s="1029"/>
      <c r="AP137" s="1029"/>
      <c r="AQ137" s="1029"/>
      <c r="AR137" s="1029"/>
      <c r="AS137" s="1251"/>
    </row>
    <row r="138" spans="1:45" x14ac:dyDescent="0.35">
      <c r="AF138" s="1029">
        <f>AF132+AF133</f>
        <v>233686918.13276589</v>
      </c>
      <c r="AG138" s="1029"/>
      <c r="AH138" s="1029"/>
      <c r="AI138" s="1029"/>
      <c r="AJ138" s="1029"/>
      <c r="AK138" s="1029"/>
      <c r="AL138" s="1029"/>
      <c r="AM138" s="1029"/>
      <c r="AN138" s="1029"/>
      <c r="AO138" s="1029"/>
      <c r="AP138" s="1029"/>
      <c r="AQ138" s="1029"/>
      <c r="AR138" s="1029"/>
      <c r="AS138" s="1251"/>
    </row>
    <row r="139" spans="1:45" x14ac:dyDescent="0.35">
      <c r="AF139" s="1029"/>
      <c r="AG139" s="1029"/>
      <c r="AH139" s="1029"/>
      <c r="AI139" s="1029"/>
      <c r="AJ139" s="1029"/>
      <c r="AK139" s="1029"/>
      <c r="AL139" s="1029"/>
      <c r="AM139" s="1029"/>
      <c r="AN139" s="1029"/>
      <c r="AO139" s="1029"/>
      <c r="AP139" s="1029"/>
      <c r="AQ139" s="1029"/>
      <c r="AR139" s="1252"/>
      <c r="AS139" s="1251"/>
    </row>
    <row r="140" spans="1:45" x14ac:dyDescent="0.35">
      <c r="AF140" s="1029"/>
      <c r="AG140" s="1029"/>
      <c r="AH140" s="1029"/>
      <c r="AI140" s="1029"/>
      <c r="AJ140" s="1029"/>
      <c r="AK140" s="1029"/>
      <c r="AL140" s="1029"/>
      <c r="AM140" s="1029"/>
      <c r="AN140" s="1029"/>
      <c r="AO140" s="1029"/>
      <c r="AP140" s="1029"/>
      <c r="AQ140" s="1029"/>
      <c r="AR140" s="1252"/>
      <c r="AS140" s="1251"/>
    </row>
    <row r="141" spans="1:45" x14ac:dyDescent="0.35">
      <c r="AG141" s="3"/>
      <c r="AH141" s="3"/>
      <c r="AI141" s="3"/>
      <c r="AJ141" s="3"/>
      <c r="AK141" s="3"/>
      <c r="AL141" s="3"/>
      <c r="AM141" s="3"/>
      <c r="AN141" s="3"/>
      <c r="AO141" s="220"/>
      <c r="AP141" s="220"/>
      <c r="AQ141" s="220"/>
      <c r="AR141" s="1252"/>
      <c r="AS141" s="1251"/>
    </row>
    <row r="142" spans="1:45" x14ac:dyDescent="0.35">
      <c r="AG142" s="3"/>
      <c r="AH142" s="3"/>
      <c r="AI142" s="3"/>
      <c r="AJ142" s="3"/>
      <c r="AK142" s="3"/>
      <c r="AL142" s="3"/>
      <c r="AM142" s="3"/>
      <c r="AN142" s="3"/>
      <c r="AO142" s="220"/>
      <c r="AP142" s="220"/>
      <c r="AQ142" s="220"/>
      <c r="AR142" s="1251"/>
      <c r="AS142" s="125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C139"/>
  <sheetViews>
    <sheetView workbookViewId="0"/>
  </sheetViews>
  <sheetFormatPr defaultRowHeight="14.5" x14ac:dyDescent="0.35"/>
  <sheetData>
    <row r="1" spans="1:55" x14ac:dyDescent="0.35">
      <c r="D1" s="221" t="s">
        <v>764</v>
      </c>
      <c r="E1" s="222"/>
      <c r="U1" s="220"/>
      <c r="AG1" s="220"/>
      <c r="AH1" s="220"/>
      <c r="AI1" s="220"/>
      <c r="AJ1" s="220"/>
      <c r="AK1" s="220"/>
      <c r="AL1" s="220"/>
      <c r="AM1" s="220"/>
      <c r="AN1" s="220"/>
    </row>
    <row r="2" spans="1:55" x14ac:dyDescent="0.35">
      <c r="D2" s="224" t="s">
        <v>765</v>
      </c>
      <c r="E2" s="222"/>
      <c r="U2" s="220"/>
      <c r="AG2" s="220"/>
      <c r="AH2" s="220"/>
      <c r="AI2" s="220"/>
      <c r="AJ2" s="220"/>
      <c r="AK2" s="220"/>
      <c r="AL2" s="220"/>
      <c r="AM2" s="220"/>
      <c r="AN2" s="220"/>
    </row>
    <row r="3" spans="1:55" x14ac:dyDescent="0.35">
      <c r="D3" s="225" t="s">
        <v>1035</v>
      </c>
      <c r="E3" s="222"/>
      <c r="U3" s="220"/>
      <c r="AG3" s="220"/>
      <c r="AH3" s="220"/>
      <c r="AI3" s="220"/>
      <c r="AJ3" s="220"/>
      <c r="AK3" s="220"/>
      <c r="AL3" s="220"/>
      <c r="AM3" s="220"/>
      <c r="AN3" s="220"/>
    </row>
    <row r="4" spans="1:55" x14ac:dyDescent="0.35">
      <c r="D4" s="226"/>
      <c r="E4" s="226"/>
      <c r="U4" s="220"/>
      <c r="AG4" s="220"/>
      <c r="AH4" s="220"/>
      <c r="AI4" s="220"/>
      <c r="AJ4" s="220"/>
      <c r="AK4" s="220"/>
      <c r="AL4" s="220"/>
      <c r="AM4" s="220"/>
      <c r="AN4" s="220"/>
    </row>
    <row r="5" spans="1:55" x14ac:dyDescent="0.35">
      <c r="L5" s="227" t="s">
        <v>767</v>
      </c>
      <c r="M5" s="228">
        <v>26500</v>
      </c>
      <c r="U5" s="220"/>
      <c r="AG5" s="220"/>
      <c r="AH5" s="220"/>
      <c r="AI5" s="220"/>
      <c r="AJ5" s="220"/>
      <c r="AK5" s="220"/>
      <c r="AL5" s="220"/>
      <c r="AM5" s="220"/>
      <c r="AN5" s="220"/>
    </row>
    <row r="6" spans="1:55" ht="39.5" x14ac:dyDescent="0.35">
      <c r="B6" s="230" t="s">
        <v>768</v>
      </c>
      <c r="C6" s="230"/>
      <c r="D6" s="230" t="s">
        <v>768</v>
      </c>
      <c r="E6" s="230"/>
      <c r="F6" s="230"/>
      <c r="G6" s="230"/>
      <c r="H6" s="230" t="s">
        <v>768</v>
      </c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 t="s">
        <v>768</v>
      </c>
      <c r="T6" s="230"/>
      <c r="U6" s="230"/>
      <c r="V6" s="230"/>
      <c r="W6" s="230"/>
      <c r="X6" s="510"/>
      <c r="Y6" s="231"/>
      <c r="Z6" s="510" t="s">
        <v>769</v>
      </c>
      <c r="AA6" s="510" t="s">
        <v>769</v>
      </c>
      <c r="AB6" s="510" t="s">
        <v>769</v>
      </c>
      <c r="AC6" s="232"/>
      <c r="AD6" s="232"/>
      <c r="AE6" s="232"/>
      <c r="AR6" s="233"/>
      <c r="AS6" s="232"/>
      <c r="BC6" s="233" t="e">
        <f>SUM(BC10:BC76)</f>
        <v>#REF!</v>
      </c>
    </row>
    <row r="7" spans="1:55" ht="65" x14ac:dyDescent="0.35">
      <c r="A7" s="489" t="s">
        <v>36</v>
      </c>
      <c r="B7" s="489" t="s">
        <v>770</v>
      </c>
      <c r="C7" s="489" t="s">
        <v>771</v>
      </c>
      <c r="D7" s="495" t="s">
        <v>772</v>
      </c>
      <c r="E7" s="495" t="s">
        <v>773</v>
      </c>
      <c r="F7" s="496" t="s">
        <v>774</v>
      </c>
      <c r="G7" s="496" t="s">
        <v>775</v>
      </c>
      <c r="H7" s="489" t="s">
        <v>776</v>
      </c>
      <c r="I7" s="489" t="s">
        <v>777</v>
      </c>
      <c r="J7" s="489" t="s">
        <v>778</v>
      </c>
      <c r="K7" s="489" t="s">
        <v>779</v>
      </c>
      <c r="L7" s="489" t="s">
        <v>780</v>
      </c>
      <c r="M7" s="489" t="s">
        <v>781</v>
      </c>
      <c r="N7" s="489" t="s">
        <v>782</v>
      </c>
      <c r="O7" s="490" t="s">
        <v>783</v>
      </c>
      <c r="P7" s="490" t="s">
        <v>784</v>
      </c>
      <c r="Q7" s="490" t="s">
        <v>785</v>
      </c>
      <c r="R7" s="490" t="s">
        <v>786</v>
      </c>
      <c r="S7" s="490" t="s">
        <v>787</v>
      </c>
      <c r="T7" s="489" t="s">
        <v>788</v>
      </c>
      <c r="U7" s="489" t="s">
        <v>789</v>
      </c>
      <c r="V7" s="489" t="s">
        <v>790</v>
      </c>
      <c r="W7" s="489" t="s">
        <v>791</v>
      </c>
      <c r="X7" s="489" t="s">
        <v>792</v>
      </c>
      <c r="Y7" s="491" t="s">
        <v>793</v>
      </c>
      <c r="Z7" s="492" t="s">
        <v>482</v>
      </c>
      <c r="AA7" s="492" t="s">
        <v>483</v>
      </c>
      <c r="AB7" s="357" t="s">
        <v>484</v>
      </c>
      <c r="AC7" s="358" t="s">
        <v>794</v>
      </c>
      <c r="AD7" s="358" t="s">
        <v>795</v>
      </c>
      <c r="AE7" s="358" t="s">
        <v>796</v>
      </c>
      <c r="AF7" s="359" t="s">
        <v>149</v>
      </c>
      <c r="AG7" s="359" t="s">
        <v>150</v>
      </c>
      <c r="AH7" s="359" t="s">
        <v>151</v>
      </c>
      <c r="AI7" s="359" t="s">
        <v>152</v>
      </c>
      <c r="AJ7" s="359" t="s">
        <v>153</v>
      </c>
      <c r="AK7" s="359" t="s">
        <v>154</v>
      </c>
      <c r="AL7" s="359" t="s">
        <v>155</v>
      </c>
      <c r="AM7" s="359" t="s">
        <v>156</v>
      </c>
      <c r="AN7" s="359" t="s">
        <v>157</v>
      </c>
      <c r="AO7" s="359" t="s">
        <v>158</v>
      </c>
      <c r="AP7" s="359" t="s">
        <v>159</v>
      </c>
      <c r="AQ7" s="359" t="s">
        <v>160</v>
      </c>
      <c r="AR7" s="493" t="s">
        <v>161</v>
      </c>
      <c r="AS7" s="494" t="s">
        <v>797</v>
      </c>
      <c r="AU7" s="220" t="s">
        <v>2141</v>
      </c>
      <c r="AV7" s="1059" t="s">
        <v>2137</v>
      </c>
      <c r="AW7" s="1059" t="s">
        <v>2138</v>
      </c>
      <c r="AX7" s="1059" t="s">
        <v>2139</v>
      </c>
      <c r="AY7" s="220" t="s">
        <v>2140</v>
      </c>
      <c r="AZ7" s="220" t="s">
        <v>2143</v>
      </c>
      <c r="BB7" s="220" t="s">
        <v>2144</v>
      </c>
    </row>
    <row r="8" spans="1:55" x14ac:dyDescent="0.35">
      <c r="A8" s="63" t="s">
        <v>1036</v>
      </c>
      <c r="B8" s="497"/>
      <c r="C8" s="497"/>
      <c r="D8" s="497"/>
      <c r="E8" s="497"/>
      <c r="F8" s="497"/>
      <c r="G8" s="497"/>
      <c r="H8" s="497"/>
      <c r="I8" s="497"/>
      <c r="J8" s="497"/>
      <c r="K8" s="497"/>
      <c r="L8" s="497"/>
      <c r="M8" s="497"/>
      <c r="N8" s="504"/>
      <c r="O8" s="497"/>
      <c r="P8" s="498"/>
      <c r="Q8" s="499"/>
      <c r="R8" s="499"/>
      <c r="S8" s="499"/>
      <c r="T8" s="498"/>
      <c r="U8" s="499"/>
      <c r="V8" s="499"/>
      <c r="W8" s="499"/>
      <c r="X8" s="805"/>
      <c r="Y8" s="500"/>
      <c r="Z8" s="501"/>
      <c r="AA8" s="502"/>
      <c r="AB8" s="502"/>
      <c r="AC8" s="207">
        <f t="shared" ref="AC8:AR8" si="0">SUM(AC9,AC16,AC24,AC27,AC30,AC38,AC42,AC45,AC46,AC47,AC50,AC55,AC59,AC61,AC72)</f>
        <v>35916388860</v>
      </c>
      <c r="AD8" s="207" t="e">
        <f t="shared" si="0"/>
        <v>#REF!</v>
      </c>
      <c r="AE8" s="207" t="e">
        <f t="shared" si="0"/>
        <v>#REF!</v>
      </c>
      <c r="AF8" s="207">
        <f>SUM(AF9,AF16,AF24,AF27,AF30,AF38,AF42,AF45,AF46,AF47,AF50,AF55,AF59,AF61,AF72)</f>
        <v>624238779</v>
      </c>
      <c r="AG8" s="207">
        <f t="shared" si="0"/>
        <v>624238779</v>
      </c>
      <c r="AH8" s="207">
        <f t="shared" si="0"/>
        <v>621675143</v>
      </c>
      <c r="AI8" s="207">
        <f t="shared" si="0"/>
        <v>621675143</v>
      </c>
      <c r="AJ8" s="207">
        <f t="shared" si="0"/>
        <v>621675143</v>
      </c>
      <c r="AK8" s="207">
        <f t="shared" si="0"/>
        <v>621675143</v>
      </c>
      <c r="AL8" s="207">
        <f t="shared" si="0"/>
        <v>619675143</v>
      </c>
      <c r="AM8" s="207">
        <f t="shared" si="0"/>
        <v>582216295</v>
      </c>
      <c r="AN8" s="207">
        <f t="shared" si="0"/>
        <v>582216295</v>
      </c>
      <c r="AO8" s="207">
        <f t="shared" si="0"/>
        <v>582216295</v>
      </c>
      <c r="AP8" s="207">
        <f t="shared" si="0"/>
        <v>582216295</v>
      </c>
      <c r="AQ8" s="207">
        <f t="shared" si="0"/>
        <v>582216295</v>
      </c>
      <c r="AR8" s="207">
        <f t="shared" si="0"/>
        <v>7265934748</v>
      </c>
      <c r="AS8" s="207">
        <f>SUM(AS9,AS16,AS24,AS27,AS30,AS38,AS42,AS45,AS46,AS47,AS50,AS55,AS59)</f>
        <v>5721981816</v>
      </c>
      <c r="BC8" s="1072"/>
    </row>
    <row r="9" spans="1:55" ht="50" x14ac:dyDescent="0.35">
      <c r="A9" s="237" t="s">
        <v>164</v>
      </c>
      <c r="B9" s="484"/>
      <c r="C9" s="484"/>
      <c r="D9" s="484"/>
      <c r="E9" s="484"/>
      <c r="F9" s="484"/>
      <c r="G9" s="484"/>
      <c r="H9" s="484"/>
      <c r="I9" s="989"/>
      <c r="J9" s="484"/>
      <c r="K9" s="484"/>
      <c r="L9" s="484"/>
      <c r="M9" s="484"/>
      <c r="N9" s="484"/>
      <c r="O9" s="484"/>
      <c r="P9" s="485"/>
      <c r="Q9" s="486"/>
      <c r="R9" s="486"/>
      <c r="S9" s="485" t="s">
        <v>1037</v>
      </c>
      <c r="T9" s="485"/>
      <c r="U9" s="486"/>
      <c r="V9" s="486"/>
      <c r="W9" s="486"/>
      <c r="X9" s="806" t="s">
        <v>1037</v>
      </c>
      <c r="Y9" s="235">
        <v>627</v>
      </c>
      <c r="Z9" s="488">
        <v>6274001903</v>
      </c>
      <c r="AA9" s="355" t="s">
        <v>896</v>
      </c>
      <c r="AB9" s="355" t="s">
        <v>1038</v>
      </c>
      <c r="AC9" s="356">
        <f>SUM(AC10:AC15)</f>
        <v>2903971700</v>
      </c>
      <c r="AD9" s="202">
        <f>AC9-AE9</f>
        <v>1880693019</v>
      </c>
      <c r="AE9" s="356">
        <f>SUM(AE10:AE15)</f>
        <v>1023278681</v>
      </c>
      <c r="AF9" s="863">
        <f>SUM(AF10:AF15)</f>
        <v>48399528</v>
      </c>
      <c r="AG9" s="863">
        <f t="shared" ref="AG9:AQ9" si="1">SUM(AG10:AG15)</f>
        <v>48399528</v>
      </c>
      <c r="AH9" s="863">
        <f t="shared" si="1"/>
        <v>48399528</v>
      </c>
      <c r="AI9" s="863">
        <f t="shared" si="1"/>
        <v>48399528</v>
      </c>
      <c r="AJ9" s="863">
        <f t="shared" si="1"/>
        <v>48399528</v>
      </c>
      <c r="AK9" s="863">
        <f t="shared" si="1"/>
        <v>48399528</v>
      </c>
      <c r="AL9" s="863">
        <f t="shared" si="1"/>
        <v>48399528</v>
      </c>
      <c r="AM9" s="863">
        <f t="shared" si="1"/>
        <v>48399528</v>
      </c>
      <c r="AN9" s="863">
        <f t="shared" si="1"/>
        <v>48399528</v>
      </c>
      <c r="AO9" s="863">
        <f t="shared" si="1"/>
        <v>48399528</v>
      </c>
      <c r="AP9" s="863">
        <f t="shared" si="1"/>
        <v>48399528</v>
      </c>
      <c r="AQ9" s="863">
        <f t="shared" si="1"/>
        <v>48399528</v>
      </c>
      <c r="AR9" s="810">
        <f t="shared" ref="AR9:AR127" si="2">SUM(AF9:AQ9)</f>
        <v>580794336</v>
      </c>
      <c r="AS9" s="202">
        <f>AE9-AR9</f>
        <v>442484345</v>
      </c>
      <c r="BB9" s="838"/>
    </row>
    <row r="10" spans="1:55" ht="62.5" x14ac:dyDescent="0.35">
      <c r="A10" s="826"/>
      <c r="B10" s="826"/>
      <c r="C10" s="826"/>
      <c r="D10" s="827"/>
      <c r="E10" s="827"/>
      <c r="F10" s="826"/>
      <c r="G10" s="828"/>
      <c r="H10" s="826" t="s">
        <v>799</v>
      </c>
      <c r="I10" s="990" t="s">
        <v>1039</v>
      </c>
      <c r="J10" s="826"/>
      <c r="K10" s="826"/>
      <c r="L10" s="826"/>
      <c r="M10" s="826"/>
      <c r="N10" s="829">
        <v>44743</v>
      </c>
      <c r="O10" s="830" t="s">
        <v>1040</v>
      </c>
      <c r="P10" s="831" t="s">
        <v>1041</v>
      </c>
      <c r="Q10" s="831"/>
      <c r="R10" s="831" t="s">
        <v>857</v>
      </c>
      <c r="S10" s="831" t="s">
        <v>1042</v>
      </c>
      <c r="T10" s="832"/>
      <c r="U10" s="833"/>
      <c r="V10" s="833"/>
      <c r="W10" s="834">
        <v>44571</v>
      </c>
      <c r="X10" s="841" t="s">
        <v>1043</v>
      </c>
      <c r="Y10" s="487"/>
      <c r="Z10" s="835" t="s">
        <v>895</v>
      </c>
      <c r="AA10" s="834" t="s">
        <v>896</v>
      </c>
      <c r="AB10" s="834" t="s">
        <v>1038</v>
      </c>
      <c r="AC10" s="836">
        <v>847880000</v>
      </c>
      <c r="AD10" s="836">
        <v>593515999</v>
      </c>
      <c r="AE10" s="836">
        <v>254364001</v>
      </c>
      <c r="AF10" s="853">
        <v>14131333</v>
      </c>
      <c r="AG10" s="853">
        <v>14131333</v>
      </c>
      <c r="AH10" s="853">
        <v>14131333</v>
      </c>
      <c r="AI10" s="853">
        <v>14131333</v>
      </c>
      <c r="AJ10" s="853">
        <v>14131333</v>
      </c>
      <c r="AK10" s="853">
        <v>14131333</v>
      </c>
      <c r="AL10" s="853">
        <v>14131333</v>
      </c>
      <c r="AM10" s="853">
        <v>14131333</v>
      </c>
      <c r="AN10" s="853">
        <v>14131333</v>
      </c>
      <c r="AO10" s="853">
        <v>14131333</v>
      </c>
      <c r="AP10" s="853">
        <v>14131333</v>
      </c>
      <c r="AQ10" s="853">
        <v>14131333</v>
      </c>
      <c r="AR10" s="999">
        <f t="shared" si="2"/>
        <v>169575996</v>
      </c>
      <c r="AS10" s="837">
        <f>AE10-AR10</f>
        <v>84788005</v>
      </c>
      <c r="AU10" s="1060" t="e">
        <f>#REF!</f>
        <v>#REF!</v>
      </c>
      <c r="AV10" s="838" t="e">
        <f>IF(AY10=2022,(12*3),IF(AY10=2023,(12*2),IF(AY10=2024,(12*1),IF(AY10=2025,0))))+(12-AZ10+1)</f>
        <v>#REF!</v>
      </c>
      <c r="AX10" s="220">
        <f>12*12</f>
        <v>144</v>
      </c>
      <c r="AY10" s="220" t="e">
        <f>YEAR(#REF!)</f>
        <v>#REF!</v>
      </c>
      <c r="AZ10" s="838" t="e">
        <f>MONTH(#REF!)</f>
        <v>#REF!</v>
      </c>
      <c r="BB10" s="838" t="e">
        <f>AX10-AV10</f>
        <v>#REF!</v>
      </c>
      <c r="BC10" s="1073" t="e">
        <f>#REF!/BB10</f>
        <v>#REF!</v>
      </c>
    </row>
    <row r="11" spans="1:55" ht="62.5" x14ac:dyDescent="0.35">
      <c r="A11" s="826"/>
      <c r="B11" s="826"/>
      <c r="C11" s="826"/>
      <c r="D11" s="827"/>
      <c r="E11" s="827"/>
      <c r="F11" s="826"/>
      <c r="G11" s="828"/>
      <c r="H11" s="826" t="s">
        <v>799</v>
      </c>
      <c r="I11" s="990" t="s">
        <v>1044</v>
      </c>
      <c r="J11" s="826"/>
      <c r="K11" s="826"/>
      <c r="L11" s="826"/>
      <c r="M11" s="826"/>
      <c r="N11" s="829">
        <v>44805</v>
      </c>
      <c r="O11" s="830" t="s">
        <v>1040</v>
      </c>
      <c r="P11" s="831" t="s">
        <v>1041</v>
      </c>
      <c r="Q11" s="831"/>
      <c r="R11" s="831" t="s">
        <v>857</v>
      </c>
      <c r="S11" s="831" t="s">
        <v>1042</v>
      </c>
      <c r="T11" s="832"/>
      <c r="U11" s="833"/>
      <c r="V11" s="833"/>
      <c r="W11" s="834">
        <v>44629</v>
      </c>
      <c r="X11" s="841" t="s">
        <v>1045</v>
      </c>
      <c r="Y11" s="487"/>
      <c r="Z11" s="835" t="s">
        <v>895</v>
      </c>
      <c r="AA11" s="834" t="s">
        <v>896</v>
      </c>
      <c r="AB11" s="834" t="s">
        <v>1038</v>
      </c>
      <c r="AC11" s="836">
        <v>1177830000</v>
      </c>
      <c r="AD11" s="836">
        <v>785220000</v>
      </c>
      <c r="AE11" s="836">
        <v>392610000</v>
      </c>
      <c r="AF11" s="853">
        <v>19630500</v>
      </c>
      <c r="AG11" s="853">
        <v>19630500</v>
      </c>
      <c r="AH11" s="853">
        <v>19630500</v>
      </c>
      <c r="AI11" s="853">
        <v>19630500</v>
      </c>
      <c r="AJ11" s="853">
        <v>19630500</v>
      </c>
      <c r="AK11" s="853">
        <v>19630500</v>
      </c>
      <c r="AL11" s="853">
        <v>19630500</v>
      </c>
      <c r="AM11" s="853">
        <v>19630500</v>
      </c>
      <c r="AN11" s="853">
        <v>19630500</v>
      </c>
      <c r="AO11" s="853">
        <v>19630500</v>
      </c>
      <c r="AP11" s="853">
        <v>19630500</v>
      </c>
      <c r="AQ11" s="853">
        <v>19630500</v>
      </c>
      <c r="AR11" s="999">
        <f t="shared" si="2"/>
        <v>235566000</v>
      </c>
      <c r="AS11" s="837">
        <f t="shared" ref="AS11:AS14" si="3">AE11-AR11</f>
        <v>157044000</v>
      </c>
      <c r="AU11" s="1060" t="e">
        <f>#REF!</f>
        <v>#REF!</v>
      </c>
      <c r="AV11" s="838" t="e">
        <f t="shared" ref="AV11:AV13" si="4">IF(AY11=2022,(12*3),IF(AY11=2023,(12*2),IF(AY11=2024,(12*1),IF(AY11=2025,0))))+(12-AZ11+1)</f>
        <v>#REF!</v>
      </c>
      <c r="AX11" s="220">
        <f t="shared" ref="AX11:AX13" si="5">12*12</f>
        <v>144</v>
      </c>
      <c r="AY11" s="220" t="e">
        <f>YEAR(#REF!)</f>
        <v>#REF!</v>
      </c>
      <c r="AZ11" s="838" t="e">
        <f>MONTH(#REF!)</f>
        <v>#REF!</v>
      </c>
      <c r="BB11" s="838" t="e">
        <f t="shared" ref="BB11:BB13" si="6">AX11-AV11</f>
        <v>#REF!</v>
      </c>
      <c r="BC11" s="1073" t="e">
        <f>#REF!/BB11</f>
        <v>#REF!</v>
      </c>
    </row>
    <row r="12" spans="1:55" ht="87.5" x14ac:dyDescent="0.35">
      <c r="A12" s="826"/>
      <c r="B12" s="826"/>
      <c r="C12" s="826"/>
      <c r="D12" s="827"/>
      <c r="E12" s="827"/>
      <c r="F12" s="826"/>
      <c r="G12" s="828"/>
      <c r="H12" s="826" t="s">
        <v>799</v>
      </c>
      <c r="I12" s="990" t="s">
        <v>1044</v>
      </c>
      <c r="J12" s="826"/>
      <c r="K12" s="826"/>
      <c r="L12" s="826"/>
      <c r="M12" s="826"/>
      <c r="N12" s="829">
        <v>44927</v>
      </c>
      <c r="O12" s="830" t="s">
        <v>1040</v>
      </c>
      <c r="P12" s="831" t="s">
        <v>1041</v>
      </c>
      <c r="Q12" s="831"/>
      <c r="R12" s="831" t="s">
        <v>857</v>
      </c>
      <c r="S12" s="831" t="s">
        <v>1042</v>
      </c>
      <c r="T12" s="832"/>
      <c r="U12" s="833"/>
      <c r="V12" s="833"/>
      <c r="W12" s="834">
        <v>44698</v>
      </c>
      <c r="X12" s="841" t="s">
        <v>1046</v>
      </c>
      <c r="Y12" s="487"/>
      <c r="Z12" s="835" t="s">
        <v>895</v>
      </c>
      <c r="AA12" s="834" t="s">
        <v>896</v>
      </c>
      <c r="AB12" s="834" t="s">
        <v>1038</v>
      </c>
      <c r="AC12" s="836">
        <v>753261700</v>
      </c>
      <c r="AD12" s="836">
        <v>451957021</v>
      </c>
      <c r="AE12" s="836">
        <v>301304679</v>
      </c>
      <c r="AF12" s="853">
        <v>12554362</v>
      </c>
      <c r="AG12" s="853">
        <v>12554362</v>
      </c>
      <c r="AH12" s="853">
        <v>12554362</v>
      </c>
      <c r="AI12" s="853">
        <v>12554362</v>
      </c>
      <c r="AJ12" s="853">
        <v>12554362</v>
      </c>
      <c r="AK12" s="853">
        <v>12554362</v>
      </c>
      <c r="AL12" s="853">
        <v>12554362</v>
      </c>
      <c r="AM12" s="853">
        <v>12554362</v>
      </c>
      <c r="AN12" s="853">
        <v>12554362</v>
      </c>
      <c r="AO12" s="853">
        <v>12554362</v>
      </c>
      <c r="AP12" s="853">
        <v>12554362</v>
      </c>
      <c r="AQ12" s="853">
        <v>12554362</v>
      </c>
      <c r="AR12" s="999">
        <f t="shared" si="2"/>
        <v>150652344</v>
      </c>
      <c r="AS12" s="837">
        <f t="shared" si="3"/>
        <v>150652335</v>
      </c>
      <c r="AU12" s="1060" t="e">
        <f>#REF!</f>
        <v>#REF!</v>
      </c>
      <c r="AV12" s="838" t="e">
        <f t="shared" si="4"/>
        <v>#REF!</v>
      </c>
      <c r="AX12" s="220">
        <f t="shared" si="5"/>
        <v>144</v>
      </c>
      <c r="AY12" s="220" t="e">
        <f>YEAR(#REF!)</f>
        <v>#REF!</v>
      </c>
      <c r="AZ12" s="838" t="e">
        <f>MONTH(#REF!)</f>
        <v>#REF!</v>
      </c>
      <c r="BB12" s="838" t="e">
        <f t="shared" si="6"/>
        <v>#REF!</v>
      </c>
      <c r="BC12" s="1073" t="e">
        <f>#REF!/BB12</f>
        <v>#REF!</v>
      </c>
    </row>
    <row r="13" spans="1:55" ht="75" x14ac:dyDescent="0.35">
      <c r="A13" s="826"/>
      <c r="B13" s="826"/>
      <c r="C13" s="826"/>
      <c r="D13" s="827"/>
      <c r="E13" s="827"/>
      <c r="F13" s="826"/>
      <c r="G13" s="828"/>
      <c r="H13" s="826" t="s">
        <v>799</v>
      </c>
      <c r="I13" s="990" t="s">
        <v>1047</v>
      </c>
      <c r="J13" s="826"/>
      <c r="K13" s="826"/>
      <c r="L13" s="826"/>
      <c r="M13" s="826"/>
      <c r="N13" s="829">
        <v>45294</v>
      </c>
      <c r="O13" s="830" t="s">
        <v>1040</v>
      </c>
      <c r="P13" s="831" t="s">
        <v>1041</v>
      </c>
      <c r="Q13" s="831"/>
      <c r="R13" s="831" t="s">
        <v>857</v>
      </c>
      <c r="S13" s="831" t="s">
        <v>1042</v>
      </c>
      <c r="T13" s="832"/>
      <c r="U13" s="833"/>
      <c r="V13" s="833"/>
      <c r="W13" s="834"/>
      <c r="X13" s="841" t="s">
        <v>1048</v>
      </c>
      <c r="Y13" s="487"/>
      <c r="Z13" s="835" t="s">
        <v>895</v>
      </c>
      <c r="AA13" s="834" t="s">
        <v>896</v>
      </c>
      <c r="AB13" s="834" t="s">
        <v>1038</v>
      </c>
      <c r="AC13" s="836">
        <v>125000000</v>
      </c>
      <c r="AD13" s="836">
        <v>49999999</v>
      </c>
      <c r="AE13" s="836">
        <v>75000001</v>
      </c>
      <c r="AF13" s="853">
        <v>2083333</v>
      </c>
      <c r="AG13" s="853">
        <v>2083333</v>
      </c>
      <c r="AH13" s="853">
        <v>2083333</v>
      </c>
      <c r="AI13" s="853">
        <v>2083333</v>
      </c>
      <c r="AJ13" s="853">
        <v>2083333</v>
      </c>
      <c r="AK13" s="853">
        <v>2083333</v>
      </c>
      <c r="AL13" s="853">
        <v>2083333</v>
      </c>
      <c r="AM13" s="853">
        <v>2083333</v>
      </c>
      <c r="AN13" s="853">
        <v>2083333</v>
      </c>
      <c r="AO13" s="853">
        <v>2083333</v>
      </c>
      <c r="AP13" s="853">
        <v>2083333</v>
      </c>
      <c r="AQ13" s="853">
        <v>2083333</v>
      </c>
      <c r="AR13" s="999">
        <f t="shared" si="2"/>
        <v>24999996</v>
      </c>
      <c r="AS13" s="837">
        <f t="shared" si="3"/>
        <v>50000005</v>
      </c>
      <c r="AU13" s="1060" t="e">
        <f>#REF!</f>
        <v>#REF!</v>
      </c>
      <c r="AV13" s="838" t="e">
        <f t="shared" si="4"/>
        <v>#REF!</v>
      </c>
      <c r="AX13" s="220">
        <f t="shared" si="5"/>
        <v>144</v>
      </c>
      <c r="AY13" s="220" t="e">
        <f>YEAR(#REF!)</f>
        <v>#REF!</v>
      </c>
      <c r="AZ13" s="838" t="e">
        <f>MONTH(#REF!)</f>
        <v>#REF!</v>
      </c>
      <c r="BB13" s="838" t="e">
        <f t="shared" si="6"/>
        <v>#REF!</v>
      </c>
      <c r="BC13" s="1073" t="e">
        <f>#REF!/BB13</f>
        <v>#REF!</v>
      </c>
    </row>
    <row r="14" spans="1:55" x14ac:dyDescent="0.35">
      <c r="A14" s="826"/>
      <c r="B14" s="826"/>
      <c r="C14" s="826"/>
      <c r="D14" s="827"/>
      <c r="E14" s="827"/>
      <c r="F14" s="826"/>
      <c r="G14" s="828"/>
      <c r="H14" s="826"/>
      <c r="I14" s="990"/>
      <c r="J14" s="826"/>
      <c r="K14" s="826"/>
      <c r="L14" s="826"/>
      <c r="M14" s="826"/>
      <c r="N14" s="829"/>
      <c r="O14" s="830"/>
      <c r="P14" s="831"/>
      <c r="Q14" s="831"/>
      <c r="R14" s="831"/>
      <c r="S14" s="831"/>
      <c r="T14" s="832"/>
      <c r="U14" s="833"/>
      <c r="V14" s="833"/>
      <c r="W14" s="834"/>
      <c r="X14" s="841"/>
      <c r="Y14" s="839"/>
      <c r="Z14" s="835"/>
      <c r="AA14" s="834"/>
      <c r="AB14" s="834"/>
      <c r="AC14" s="840"/>
      <c r="AD14" s="813">
        <f t="shared" ref="AD14:AD15" si="7">AC14-AE14</f>
        <v>0</v>
      </c>
      <c r="AE14" s="813"/>
      <c r="AF14" s="833"/>
      <c r="AG14" s="833"/>
      <c r="AH14" s="833"/>
      <c r="AI14" s="833"/>
      <c r="AJ14" s="833"/>
      <c r="AK14" s="833"/>
      <c r="AL14" s="833"/>
      <c r="AM14" s="833"/>
      <c r="AN14" s="833"/>
      <c r="AO14" s="833"/>
      <c r="AP14" s="833"/>
      <c r="AQ14" s="833"/>
      <c r="AR14" s="999">
        <f t="shared" si="2"/>
        <v>0</v>
      </c>
      <c r="AS14" s="837">
        <f t="shared" si="3"/>
        <v>0</v>
      </c>
      <c r="BC14" s="1073"/>
    </row>
    <row r="15" spans="1:55" x14ac:dyDescent="0.35">
      <c r="A15" s="826"/>
      <c r="B15" s="826"/>
      <c r="C15" s="826"/>
      <c r="D15" s="827"/>
      <c r="E15" s="827"/>
      <c r="F15" s="826"/>
      <c r="G15" s="828"/>
      <c r="H15" s="826"/>
      <c r="I15" s="990"/>
      <c r="J15" s="826"/>
      <c r="K15" s="826"/>
      <c r="L15" s="826"/>
      <c r="M15" s="826"/>
      <c r="N15" s="829"/>
      <c r="O15" s="830"/>
      <c r="P15" s="831"/>
      <c r="Q15" s="831"/>
      <c r="R15" s="831"/>
      <c r="S15" s="831"/>
      <c r="T15" s="832"/>
      <c r="U15" s="833"/>
      <c r="V15" s="833"/>
      <c r="W15" s="834"/>
      <c r="X15" s="841"/>
      <c r="Y15" s="839"/>
      <c r="Z15" s="835"/>
      <c r="AA15" s="834"/>
      <c r="AB15" s="834"/>
      <c r="AC15" s="840"/>
      <c r="AD15" s="813">
        <f t="shared" si="7"/>
        <v>0</v>
      </c>
      <c r="AE15" s="813"/>
      <c r="AF15" s="833"/>
      <c r="AG15" s="833"/>
      <c r="AH15" s="833"/>
      <c r="AI15" s="833"/>
      <c r="AJ15" s="833"/>
      <c r="AK15" s="833"/>
      <c r="AL15" s="833"/>
      <c r="AM15" s="833"/>
      <c r="AN15" s="833"/>
      <c r="AO15" s="833"/>
      <c r="AP15" s="833"/>
      <c r="AQ15" s="833"/>
      <c r="AR15" s="999">
        <f t="shared" si="2"/>
        <v>0</v>
      </c>
      <c r="AS15" s="837"/>
      <c r="BC15" s="1073"/>
    </row>
    <row r="16" spans="1:55" ht="50" x14ac:dyDescent="0.35">
      <c r="A16" s="237" t="s">
        <v>166</v>
      </c>
      <c r="B16" s="237"/>
      <c r="C16" s="237"/>
      <c r="D16" s="237"/>
      <c r="E16" s="237"/>
      <c r="F16" s="237"/>
      <c r="G16" s="237"/>
      <c r="H16" s="237"/>
      <c r="I16" s="991"/>
      <c r="J16" s="237"/>
      <c r="K16" s="237"/>
      <c r="L16" s="237"/>
      <c r="M16" s="237"/>
      <c r="N16" s="484"/>
      <c r="O16" s="237"/>
      <c r="P16" s="482"/>
      <c r="Q16" s="234"/>
      <c r="R16" s="234"/>
      <c r="S16" s="485" t="s">
        <v>1049</v>
      </c>
      <c r="T16" s="482"/>
      <c r="U16" s="234"/>
      <c r="V16" s="234"/>
      <c r="W16" s="234"/>
      <c r="X16" s="806" t="s">
        <v>1049</v>
      </c>
      <c r="Y16" s="1024">
        <v>627</v>
      </c>
      <c r="Z16" s="238">
        <v>6274001903</v>
      </c>
      <c r="AA16" s="236" t="s">
        <v>896</v>
      </c>
      <c r="AB16" s="236" t="s">
        <v>1038</v>
      </c>
      <c r="AC16" s="202">
        <f>SUM(AC17:AC23)</f>
        <v>5533954619</v>
      </c>
      <c r="AD16" s="202">
        <f>AC16-AE16</f>
        <v>1978417268</v>
      </c>
      <c r="AE16" s="202">
        <f>SUM(AE17:AE23)</f>
        <v>3555537351</v>
      </c>
      <c r="AF16" s="810">
        <f>SUM(AF17:AF23)</f>
        <v>93829111</v>
      </c>
      <c r="AG16" s="810">
        <f t="shared" ref="AG16:AQ16" si="8">SUM(AG17:AG23)</f>
        <v>93829111</v>
      </c>
      <c r="AH16" s="810">
        <f t="shared" si="8"/>
        <v>93829111</v>
      </c>
      <c r="AI16" s="810">
        <f t="shared" si="8"/>
        <v>93829111</v>
      </c>
      <c r="AJ16" s="810">
        <f t="shared" si="8"/>
        <v>93829111</v>
      </c>
      <c r="AK16" s="810">
        <f t="shared" si="8"/>
        <v>93829111</v>
      </c>
      <c r="AL16" s="810">
        <f t="shared" si="8"/>
        <v>93829111</v>
      </c>
      <c r="AM16" s="810">
        <f t="shared" si="8"/>
        <v>93829111</v>
      </c>
      <c r="AN16" s="810">
        <f t="shared" si="8"/>
        <v>93829111</v>
      </c>
      <c r="AO16" s="810">
        <f t="shared" si="8"/>
        <v>93829111</v>
      </c>
      <c r="AP16" s="810">
        <f t="shared" si="8"/>
        <v>93829111</v>
      </c>
      <c r="AQ16" s="810">
        <f t="shared" si="8"/>
        <v>93829111</v>
      </c>
      <c r="AR16" s="810">
        <f>SUM(AF16:AQ16)</f>
        <v>1125949332</v>
      </c>
      <c r="AS16" s="202">
        <f>AE16-AR16</f>
        <v>2429588019</v>
      </c>
    </row>
    <row r="17" spans="1:55" ht="100" x14ac:dyDescent="0.35">
      <c r="A17" s="826"/>
      <c r="B17" s="826"/>
      <c r="C17" s="826"/>
      <c r="D17" s="826"/>
      <c r="E17" s="826"/>
      <c r="F17" s="826"/>
      <c r="G17" s="826"/>
      <c r="H17" s="826" t="s">
        <v>799</v>
      </c>
      <c r="I17" s="992" t="s">
        <v>1044</v>
      </c>
      <c r="J17" s="826"/>
      <c r="K17" s="826"/>
      <c r="L17" s="826"/>
      <c r="M17" s="826"/>
      <c r="N17" s="847">
        <v>44743</v>
      </c>
      <c r="O17" s="830" t="s">
        <v>1040</v>
      </c>
      <c r="P17" s="848" t="s">
        <v>1041</v>
      </c>
      <c r="Q17" s="849"/>
      <c r="R17" s="849" t="s">
        <v>862</v>
      </c>
      <c r="S17" s="850" t="s">
        <v>1050</v>
      </c>
      <c r="T17" s="832"/>
      <c r="U17" s="833"/>
      <c r="V17" s="833"/>
      <c r="W17" s="851">
        <v>44599</v>
      </c>
      <c r="X17" s="841" t="s">
        <v>1051</v>
      </c>
      <c r="Y17" s="1033"/>
      <c r="Z17" s="852" t="s">
        <v>895</v>
      </c>
      <c r="AA17" s="851" t="s">
        <v>896</v>
      </c>
      <c r="AB17" s="851"/>
      <c r="AC17" s="853">
        <v>641608000</v>
      </c>
      <c r="AD17" s="853">
        <v>449125601</v>
      </c>
      <c r="AE17" s="853">
        <v>192482399</v>
      </c>
      <c r="AF17" s="853">
        <v>10693467</v>
      </c>
      <c r="AG17" s="853">
        <v>10693467</v>
      </c>
      <c r="AH17" s="853">
        <v>10693467</v>
      </c>
      <c r="AI17" s="853">
        <v>10693467</v>
      </c>
      <c r="AJ17" s="853">
        <v>10693467</v>
      </c>
      <c r="AK17" s="853">
        <v>10693467</v>
      </c>
      <c r="AL17" s="853">
        <v>10693467</v>
      </c>
      <c r="AM17" s="853">
        <v>10693467</v>
      </c>
      <c r="AN17" s="853">
        <v>10693467</v>
      </c>
      <c r="AO17" s="853">
        <v>10693467</v>
      </c>
      <c r="AP17" s="853">
        <v>10693467</v>
      </c>
      <c r="AQ17" s="853">
        <v>10693467</v>
      </c>
      <c r="AR17" s="999">
        <f t="shared" ref="AR17:AR20" si="9">SUM(AF17:AQ17)</f>
        <v>128321604</v>
      </c>
      <c r="AS17" s="837">
        <f t="shared" ref="AS17:AS134" si="10">AE17-AR17</f>
        <v>64160795</v>
      </c>
      <c r="AT17" s="838" t="s">
        <v>1052</v>
      </c>
      <c r="AU17" s="1060" t="e">
        <f>#REF!</f>
        <v>#REF!</v>
      </c>
      <c r="AV17" s="838" t="e">
        <f t="shared" ref="AV17:AV22" si="11">IF(AY17=2022,(12*3),IF(AY17=2023,(12*2),IF(AY17=2024,(12*1),IF(AY17=2025,0))))+(12-AZ17+1)</f>
        <v>#REF!</v>
      </c>
      <c r="AX17" s="220">
        <f t="shared" ref="AX17:AX22" si="12">12*12</f>
        <v>144</v>
      </c>
      <c r="AY17" s="220" t="e">
        <f>YEAR(#REF!)</f>
        <v>#REF!</v>
      </c>
      <c r="AZ17" s="838" t="e">
        <f>MONTH(#REF!)</f>
        <v>#REF!</v>
      </c>
      <c r="BB17" s="838" t="e">
        <f t="shared" ref="BB17:BB22" si="13">AX17-AV17</f>
        <v>#REF!</v>
      </c>
      <c r="BC17" s="1073" t="e">
        <f>#REF!/BB17</f>
        <v>#REF!</v>
      </c>
    </row>
    <row r="18" spans="1:55" ht="62.5" x14ac:dyDescent="0.35">
      <c r="A18" s="826"/>
      <c r="B18" s="826"/>
      <c r="C18" s="826"/>
      <c r="D18" s="826"/>
      <c r="E18" s="826"/>
      <c r="F18" s="826"/>
      <c r="G18" s="826"/>
      <c r="H18" s="826" t="s">
        <v>799</v>
      </c>
      <c r="I18" s="992" t="s">
        <v>1053</v>
      </c>
      <c r="J18" s="826"/>
      <c r="K18" s="826"/>
      <c r="L18" s="826"/>
      <c r="M18" s="826"/>
      <c r="N18" s="847">
        <v>44896</v>
      </c>
      <c r="O18" s="830" t="s">
        <v>1040</v>
      </c>
      <c r="P18" s="848" t="s">
        <v>1041</v>
      </c>
      <c r="Q18" s="849"/>
      <c r="R18" s="849" t="s">
        <v>862</v>
      </c>
      <c r="S18" s="850" t="s">
        <v>1050</v>
      </c>
      <c r="T18" s="832"/>
      <c r="U18" s="833"/>
      <c r="V18" s="833"/>
      <c r="W18" s="851">
        <v>44876</v>
      </c>
      <c r="X18" s="841" t="s">
        <v>1054</v>
      </c>
      <c r="Y18" s="1033"/>
      <c r="Z18" s="852" t="s">
        <v>895</v>
      </c>
      <c r="AA18" s="851" t="s">
        <v>896</v>
      </c>
      <c r="AB18" s="851"/>
      <c r="AC18" s="853">
        <v>988266537</v>
      </c>
      <c r="AD18" s="853">
        <v>589967225</v>
      </c>
      <c r="AE18" s="853">
        <v>398299312</v>
      </c>
      <c r="AF18" s="853">
        <v>16595804</v>
      </c>
      <c r="AG18" s="853">
        <v>16595804</v>
      </c>
      <c r="AH18" s="853">
        <v>16595804</v>
      </c>
      <c r="AI18" s="853">
        <v>16595804</v>
      </c>
      <c r="AJ18" s="853">
        <v>16595804</v>
      </c>
      <c r="AK18" s="853">
        <v>16595804</v>
      </c>
      <c r="AL18" s="853">
        <v>16595804</v>
      </c>
      <c r="AM18" s="853">
        <v>16595804</v>
      </c>
      <c r="AN18" s="853">
        <v>16595804</v>
      </c>
      <c r="AO18" s="853">
        <v>16595804</v>
      </c>
      <c r="AP18" s="853">
        <v>16595804</v>
      </c>
      <c r="AQ18" s="853">
        <v>16595804</v>
      </c>
      <c r="AR18" s="999">
        <f t="shared" si="9"/>
        <v>199149648</v>
      </c>
      <c r="AS18" s="837">
        <f t="shared" si="10"/>
        <v>199149664</v>
      </c>
      <c r="AT18" s="838" t="s">
        <v>1055</v>
      </c>
      <c r="AU18" s="1060" t="e">
        <f>#REF!</f>
        <v>#REF!</v>
      </c>
      <c r="AV18" s="838" t="e">
        <f t="shared" si="11"/>
        <v>#REF!</v>
      </c>
      <c r="AX18" s="220">
        <f t="shared" si="12"/>
        <v>144</v>
      </c>
      <c r="AY18" s="220" t="e">
        <f>YEAR(#REF!)</f>
        <v>#REF!</v>
      </c>
      <c r="AZ18" s="838" t="e">
        <f>MONTH(#REF!)</f>
        <v>#REF!</v>
      </c>
      <c r="BB18" s="838" t="e">
        <f t="shared" si="13"/>
        <v>#REF!</v>
      </c>
      <c r="BC18" s="1073" t="e">
        <f>#REF!/BB18</f>
        <v>#REF!</v>
      </c>
    </row>
    <row r="19" spans="1:55" ht="75" x14ac:dyDescent="0.35">
      <c r="A19" s="826"/>
      <c r="B19" s="826"/>
      <c r="C19" s="826"/>
      <c r="D19" s="826"/>
      <c r="E19" s="826"/>
      <c r="F19" s="826"/>
      <c r="G19" s="826"/>
      <c r="H19" s="826" t="s">
        <v>799</v>
      </c>
      <c r="I19" s="992" t="s">
        <v>1056</v>
      </c>
      <c r="J19" s="826"/>
      <c r="K19" s="826"/>
      <c r="L19" s="826"/>
      <c r="M19" s="826"/>
      <c r="N19" s="847">
        <v>44896</v>
      </c>
      <c r="O19" s="830" t="s">
        <v>1040</v>
      </c>
      <c r="P19" s="848" t="s">
        <v>1041</v>
      </c>
      <c r="Q19" s="849"/>
      <c r="R19" s="849" t="s">
        <v>862</v>
      </c>
      <c r="S19" s="850" t="s">
        <v>1050</v>
      </c>
      <c r="T19" s="832"/>
      <c r="U19" s="833"/>
      <c r="V19" s="833"/>
      <c r="W19" s="851">
        <v>44872</v>
      </c>
      <c r="X19" s="841" t="s">
        <v>1057</v>
      </c>
      <c r="Y19" s="1033"/>
      <c r="Z19" s="852" t="s">
        <v>895</v>
      </c>
      <c r="AA19" s="851" t="s">
        <v>896</v>
      </c>
      <c r="AB19" s="851"/>
      <c r="AC19" s="853">
        <v>1021300257</v>
      </c>
      <c r="AD19" s="853">
        <v>612398458</v>
      </c>
      <c r="AE19" s="853">
        <v>408901799</v>
      </c>
      <c r="AF19" s="853">
        <v>17037575</v>
      </c>
      <c r="AG19" s="853">
        <v>17037575</v>
      </c>
      <c r="AH19" s="853">
        <v>17037575</v>
      </c>
      <c r="AI19" s="853">
        <v>17037575</v>
      </c>
      <c r="AJ19" s="853">
        <v>17037575</v>
      </c>
      <c r="AK19" s="853">
        <v>17037575</v>
      </c>
      <c r="AL19" s="853">
        <v>17037575</v>
      </c>
      <c r="AM19" s="853">
        <v>17037575</v>
      </c>
      <c r="AN19" s="853">
        <v>17037575</v>
      </c>
      <c r="AO19" s="853">
        <v>17037575</v>
      </c>
      <c r="AP19" s="853">
        <v>17037575</v>
      </c>
      <c r="AQ19" s="853">
        <v>17037575</v>
      </c>
      <c r="AR19" s="999">
        <f t="shared" si="9"/>
        <v>204450900</v>
      </c>
      <c r="AS19" s="837">
        <f t="shared" si="10"/>
        <v>204450899</v>
      </c>
      <c r="AT19" s="838" t="s">
        <v>1058</v>
      </c>
      <c r="AU19" s="1060" t="e">
        <f>#REF!</f>
        <v>#REF!</v>
      </c>
      <c r="AV19" s="838" t="e">
        <f t="shared" si="11"/>
        <v>#REF!</v>
      </c>
      <c r="AX19" s="220">
        <f t="shared" si="12"/>
        <v>144</v>
      </c>
      <c r="AY19" s="220" t="e">
        <f>YEAR(#REF!)</f>
        <v>#REF!</v>
      </c>
      <c r="AZ19" s="838" t="e">
        <f>MONTH(#REF!)</f>
        <v>#REF!</v>
      </c>
      <c r="BB19" s="838" t="e">
        <f t="shared" si="13"/>
        <v>#REF!</v>
      </c>
      <c r="BC19" s="1073" t="e">
        <f>#REF!/BB19</f>
        <v>#REF!</v>
      </c>
    </row>
    <row r="20" spans="1:55" ht="87.5" x14ac:dyDescent="0.35">
      <c r="A20" s="826"/>
      <c r="B20" s="826"/>
      <c r="C20" s="826"/>
      <c r="D20" s="826"/>
      <c r="E20" s="826"/>
      <c r="F20" s="826"/>
      <c r="G20" s="826"/>
      <c r="H20" s="826" t="s">
        <v>799</v>
      </c>
      <c r="I20" s="992" t="s">
        <v>1056</v>
      </c>
      <c r="J20" s="826"/>
      <c r="K20" s="826"/>
      <c r="L20" s="826"/>
      <c r="M20" s="826"/>
      <c r="N20" s="847">
        <v>45566</v>
      </c>
      <c r="O20" s="830" t="s">
        <v>1059</v>
      </c>
      <c r="P20" s="848" t="s">
        <v>1041</v>
      </c>
      <c r="Q20" s="849"/>
      <c r="R20" s="849" t="s">
        <v>862</v>
      </c>
      <c r="S20" s="850" t="s">
        <v>1050</v>
      </c>
      <c r="T20" s="832"/>
      <c r="U20" s="833"/>
      <c r="V20" s="833"/>
      <c r="W20" s="851">
        <v>45519</v>
      </c>
      <c r="X20" s="841" t="s">
        <v>1060</v>
      </c>
      <c r="Y20" s="1033"/>
      <c r="Z20" s="852" t="s">
        <v>895</v>
      </c>
      <c r="AA20" s="851" t="s">
        <v>896</v>
      </c>
      <c r="AB20" s="851"/>
      <c r="AC20" s="853">
        <v>389131825</v>
      </c>
      <c r="AD20" s="853">
        <v>119121984</v>
      </c>
      <c r="AE20" s="853">
        <v>270009841</v>
      </c>
      <c r="AF20" s="853">
        <v>7941465</v>
      </c>
      <c r="AG20" s="853">
        <v>7941465</v>
      </c>
      <c r="AH20" s="853">
        <v>7941465</v>
      </c>
      <c r="AI20" s="853">
        <v>7941465</v>
      </c>
      <c r="AJ20" s="853">
        <v>7941465</v>
      </c>
      <c r="AK20" s="853">
        <v>7941465</v>
      </c>
      <c r="AL20" s="853">
        <v>7941465</v>
      </c>
      <c r="AM20" s="853">
        <v>7941465</v>
      </c>
      <c r="AN20" s="853">
        <v>7941465</v>
      </c>
      <c r="AO20" s="853">
        <v>7941465</v>
      </c>
      <c r="AP20" s="853">
        <v>7941465</v>
      </c>
      <c r="AQ20" s="853">
        <v>7941465</v>
      </c>
      <c r="AR20" s="999">
        <f t="shared" si="9"/>
        <v>95297580</v>
      </c>
      <c r="AS20" s="837">
        <f t="shared" si="10"/>
        <v>174712261</v>
      </c>
      <c r="AT20" s="838" t="s">
        <v>1061</v>
      </c>
      <c r="AU20" s="1060" t="e">
        <f>#REF!</f>
        <v>#REF!</v>
      </c>
      <c r="AV20" s="838" t="e">
        <f t="shared" si="11"/>
        <v>#REF!</v>
      </c>
      <c r="AX20" s="220">
        <f t="shared" si="12"/>
        <v>144</v>
      </c>
      <c r="AY20" s="220" t="e">
        <f>YEAR(#REF!)</f>
        <v>#REF!</v>
      </c>
      <c r="AZ20" s="838" t="e">
        <f>MONTH(#REF!)</f>
        <v>#REF!</v>
      </c>
      <c r="BB20" s="838" t="e">
        <f t="shared" si="13"/>
        <v>#REF!</v>
      </c>
      <c r="BC20" s="1073" t="e">
        <f>#REF!/BB20</f>
        <v>#REF!</v>
      </c>
    </row>
    <row r="21" spans="1:55" ht="62.5" x14ac:dyDescent="0.35">
      <c r="A21" s="826"/>
      <c r="B21" s="826"/>
      <c r="C21" s="826"/>
      <c r="D21" s="826"/>
      <c r="E21" s="826"/>
      <c r="F21" s="826"/>
      <c r="G21" s="826"/>
      <c r="H21" s="826" t="s">
        <v>799</v>
      </c>
      <c r="I21" s="992" t="s">
        <v>1062</v>
      </c>
      <c r="J21" s="826"/>
      <c r="K21" s="826"/>
      <c r="L21" s="826"/>
      <c r="M21" s="826"/>
      <c r="N21" s="847">
        <v>45870</v>
      </c>
      <c r="O21" s="830" t="s">
        <v>1040</v>
      </c>
      <c r="P21" s="848" t="s">
        <v>1041</v>
      </c>
      <c r="Q21" s="849"/>
      <c r="R21" s="849" t="s">
        <v>862</v>
      </c>
      <c r="S21" s="850" t="s">
        <v>1063</v>
      </c>
      <c r="T21" s="832"/>
      <c r="U21" s="833"/>
      <c r="V21" s="833"/>
      <c r="W21" s="851">
        <v>45775</v>
      </c>
      <c r="X21" s="841" t="s">
        <v>1064</v>
      </c>
      <c r="Y21" s="1033"/>
      <c r="Z21" s="852" t="s">
        <v>895</v>
      </c>
      <c r="AA21" s="851" t="s">
        <v>896</v>
      </c>
      <c r="AB21" s="851"/>
      <c r="AC21" s="853">
        <v>1193648000</v>
      </c>
      <c r="AD21" s="853">
        <v>99470669</v>
      </c>
      <c r="AE21" s="853">
        <v>1094177331</v>
      </c>
      <c r="AF21" s="853">
        <v>19894134</v>
      </c>
      <c r="AG21" s="853">
        <v>19894134</v>
      </c>
      <c r="AH21" s="853">
        <v>19894134</v>
      </c>
      <c r="AI21" s="853">
        <v>19894134</v>
      </c>
      <c r="AJ21" s="853">
        <v>19894134</v>
      </c>
      <c r="AK21" s="853">
        <v>19894134</v>
      </c>
      <c r="AL21" s="853">
        <v>19894134</v>
      </c>
      <c r="AM21" s="853">
        <v>19894134</v>
      </c>
      <c r="AN21" s="853">
        <v>19894134</v>
      </c>
      <c r="AO21" s="853">
        <v>19894134</v>
      </c>
      <c r="AP21" s="853">
        <v>19894134</v>
      </c>
      <c r="AQ21" s="853">
        <v>19894134</v>
      </c>
      <c r="AR21" s="999">
        <f>SUM(AF21:AQ21)</f>
        <v>238729608</v>
      </c>
      <c r="AS21" s="837">
        <f t="shared" si="10"/>
        <v>855447723</v>
      </c>
      <c r="AT21" s="838" t="s">
        <v>1065</v>
      </c>
      <c r="AU21" s="1060" t="e">
        <f>#REF!</f>
        <v>#REF!</v>
      </c>
      <c r="AV21" s="838" t="e">
        <f t="shared" si="11"/>
        <v>#REF!</v>
      </c>
      <c r="AX21" s="220">
        <f t="shared" si="12"/>
        <v>144</v>
      </c>
      <c r="AY21" s="220" t="e">
        <f>YEAR(#REF!)</f>
        <v>#REF!</v>
      </c>
      <c r="AZ21" s="838" t="e">
        <f>MONTH(#REF!)</f>
        <v>#REF!</v>
      </c>
      <c r="BB21" s="838" t="e">
        <f t="shared" si="13"/>
        <v>#REF!</v>
      </c>
      <c r="BC21" s="1073" t="e">
        <f>#REF!/BB21</f>
        <v>#REF!</v>
      </c>
    </row>
    <row r="22" spans="1:55" ht="75" x14ac:dyDescent="0.35">
      <c r="A22" s="826"/>
      <c r="B22" s="826"/>
      <c r="C22" s="826"/>
      <c r="D22" s="826"/>
      <c r="E22" s="826"/>
      <c r="F22" s="826"/>
      <c r="G22" s="826"/>
      <c r="H22" s="826" t="s">
        <v>799</v>
      </c>
      <c r="I22" s="992" t="s">
        <v>1062</v>
      </c>
      <c r="J22" s="826"/>
      <c r="K22" s="826"/>
      <c r="L22" s="826"/>
      <c r="M22" s="826"/>
      <c r="N22" s="847">
        <v>45870</v>
      </c>
      <c r="O22" s="830" t="s">
        <v>1040</v>
      </c>
      <c r="P22" s="848" t="s">
        <v>1041</v>
      </c>
      <c r="Q22" s="849"/>
      <c r="R22" s="849" t="s">
        <v>859</v>
      </c>
      <c r="S22" s="850" t="s">
        <v>1063</v>
      </c>
      <c r="T22" s="832"/>
      <c r="U22" s="833"/>
      <c r="V22" s="833"/>
      <c r="W22" s="851">
        <v>45839</v>
      </c>
      <c r="X22" s="841" t="s">
        <v>1066</v>
      </c>
      <c r="Y22" s="1033"/>
      <c r="Z22" s="852" t="s">
        <v>895</v>
      </c>
      <c r="AA22" s="851" t="s">
        <v>896</v>
      </c>
      <c r="AB22" s="851"/>
      <c r="AC22" s="853">
        <v>1300000000</v>
      </c>
      <c r="AD22" s="853">
        <v>108333331</v>
      </c>
      <c r="AE22" s="853">
        <v>1191666669</v>
      </c>
      <c r="AF22" s="853">
        <v>21666666</v>
      </c>
      <c r="AG22" s="853">
        <v>21666666</v>
      </c>
      <c r="AH22" s="853">
        <v>21666666</v>
      </c>
      <c r="AI22" s="853">
        <v>21666666</v>
      </c>
      <c r="AJ22" s="853">
        <v>21666666</v>
      </c>
      <c r="AK22" s="853">
        <v>21666666</v>
      </c>
      <c r="AL22" s="853">
        <v>21666666</v>
      </c>
      <c r="AM22" s="853">
        <v>21666666</v>
      </c>
      <c r="AN22" s="853">
        <v>21666666</v>
      </c>
      <c r="AO22" s="853">
        <v>21666666</v>
      </c>
      <c r="AP22" s="853">
        <v>21666666</v>
      </c>
      <c r="AQ22" s="853">
        <v>21666666</v>
      </c>
      <c r="AR22" s="999">
        <f>SUM(AF22:AQ22)</f>
        <v>259999992</v>
      </c>
      <c r="AS22" s="837">
        <f t="shared" si="10"/>
        <v>931666677</v>
      </c>
      <c r="AT22" s="838" t="s">
        <v>1067</v>
      </c>
      <c r="AU22" s="1060" t="e">
        <f>#REF!</f>
        <v>#REF!</v>
      </c>
      <c r="AV22" s="838" t="e">
        <f t="shared" si="11"/>
        <v>#REF!</v>
      </c>
      <c r="AX22" s="220">
        <f t="shared" si="12"/>
        <v>144</v>
      </c>
      <c r="AY22" s="220" t="e">
        <f>YEAR(#REF!)</f>
        <v>#REF!</v>
      </c>
      <c r="AZ22" s="838" t="e">
        <f>MONTH(#REF!)</f>
        <v>#REF!</v>
      </c>
      <c r="BB22" s="838" t="e">
        <f t="shared" si="13"/>
        <v>#REF!</v>
      </c>
      <c r="BC22" s="1073" t="e">
        <f>#REF!/BB22</f>
        <v>#REF!</v>
      </c>
    </row>
    <row r="23" spans="1:55" x14ac:dyDescent="0.35">
      <c r="A23" s="826"/>
      <c r="B23" s="826"/>
      <c r="C23" s="826"/>
      <c r="D23" s="826"/>
      <c r="E23" s="826"/>
      <c r="F23" s="826"/>
      <c r="G23" s="826"/>
      <c r="H23" s="826"/>
      <c r="I23" s="992"/>
      <c r="J23" s="826"/>
      <c r="K23" s="826"/>
      <c r="L23" s="826"/>
      <c r="M23" s="826"/>
      <c r="N23" s="860"/>
      <c r="O23" s="830"/>
      <c r="P23" s="848"/>
      <c r="Q23" s="849"/>
      <c r="R23" s="849"/>
      <c r="S23" s="850"/>
      <c r="T23" s="832"/>
      <c r="U23" s="833"/>
      <c r="V23" s="833"/>
      <c r="W23" s="851"/>
      <c r="X23" s="841"/>
      <c r="Y23" s="1034"/>
      <c r="Z23" s="861"/>
      <c r="AA23" s="862"/>
      <c r="AB23" s="862"/>
      <c r="AC23" s="853"/>
      <c r="AD23" s="853">
        <f>AC23-AE23</f>
        <v>0</v>
      </c>
      <c r="AE23" s="853"/>
      <c r="AF23" s="853"/>
      <c r="AG23" s="853"/>
      <c r="AH23" s="853"/>
      <c r="AI23" s="853"/>
      <c r="AJ23" s="853"/>
      <c r="AK23" s="853"/>
      <c r="AL23" s="853"/>
      <c r="AM23" s="853"/>
      <c r="AN23" s="853"/>
      <c r="AO23" s="853"/>
      <c r="AP23" s="853"/>
      <c r="AQ23" s="853"/>
      <c r="AR23" s="999">
        <f>SUM(AF23:AQ23)</f>
        <v>0</v>
      </c>
      <c r="AS23" s="837">
        <f t="shared" si="10"/>
        <v>0</v>
      </c>
      <c r="BC23" s="1073"/>
    </row>
    <row r="24" spans="1:55" ht="25" x14ac:dyDescent="0.35">
      <c r="A24" s="237" t="s">
        <v>168</v>
      </c>
      <c r="B24" s="237"/>
      <c r="C24" s="237"/>
      <c r="D24" s="237"/>
      <c r="E24" s="237"/>
      <c r="F24" s="237"/>
      <c r="G24" s="237"/>
      <c r="H24" s="237"/>
      <c r="I24" s="991"/>
      <c r="J24" s="237"/>
      <c r="K24" s="237"/>
      <c r="L24" s="237"/>
      <c r="M24" s="237"/>
      <c r="N24" s="484"/>
      <c r="O24" s="237"/>
      <c r="P24" s="482"/>
      <c r="Q24" s="234"/>
      <c r="R24" s="234"/>
      <c r="S24" s="234"/>
      <c r="T24" s="482"/>
      <c r="U24" s="234"/>
      <c r="V24" s="234"/>
      <c r="W24" s="234"/>
      <c r="X24" s="807" t="s">
        <v>1068</v>
      </c>
      <c r="Y24" s="1024">
        <v>627</v>
      </c>
      <c r="Z24" s="238">
        <v>6274001903</v>
      </c>
      <c r="AA24" s="236" t="s">
        <v>896</v>
      </c>
      <c r="AB24" s="236" t="s">
        <v>1038</v>
      </c>
      <c r="AC24" s="202">
        <f>SUM(AC25:AC26)</f>
        <v>0</v>
      </c>
      <c r="AD24" s="202">
        <f t="shared" ref="AD24:AD55" si="14">AC24-AE24</f>
        <v>0</v>
      </c>
      <c r="AE24" s="202">
        <f t="shared" ref="AE24:AR24" si="15">SUM(AE25:AE26)</f>
        <v>0</v>
      </c>
      <c r="AF24" s="810">
        <f t="shared" si="15"/>
        <v>0</v>
      </c>
      <c r="AG24" s="810">
        <f t="shared" si="15"/>
        <v>0</v>
      </c>
      <c r="AH24" s="810">
        <f t="shared" si="15"/>
        <v>0</v>
      </c>
      <c r="AI24" s="810">
        <f t="shared" si="15"/>
        <v>0</v>
      </c>
      <c r="AJ24" s="810">
        <f t="shared" si="15"/>
        <v>0</v>
      </c>
      <c r="AK24" s="810">
        <f t="shared" si="15"/>
        <v>0</v>
      </c>
      <c r="AL24" s="810">
        <f t="shared" si="15"/>
        <v>0</v>
      </c>
      <c r="AM24" s="810">
        <f t="shared" si="15"/>
        <v>0</v>
      </c>
      <c r="AN24" s="810">
        <f t="shared" si="15"/>
        <v>0</v>
      </c>
      <c r="AO24" s="810">
        <f t="shared" si="15"/>
        <v>0</v>
      </c>
      <c r="AP24" s="810">
        <f t="shared" si="15"/>
        <v>0</v>
      </c>
      <c r="AQ24" s="810">
        <f t="shared" si="15"/>
        <v>0</v>
      </c>
      <c r="AR24" s="810">
        <f t="shared" si="15"/>
        <v>0</v>
      </c>
      <c r="AS24" s="202">
        <f t="shared" si="10"/>
        <v>0</v>
      </c>
    </row>
    <row r="25" spans="1:55" x14ac:dyDescent="0.35">
      <c r="A25" s="237"/>
      <c r="B25" s="237"/>
      <c r="C25" s="237"/>
      <c r="D25" s="237"/>
      <c r="E25" s="237"/>
      <c r="F25" s="237"/>
      <c r="G25" s="237"/>
      <c r="H25" s="237"/>
      <c r="I25" s="991"/>
      <c r="J25" s="237"/>
      <c r="K25" s="237"/>
      <c r="L25" s="237"/>
      <c r="M25" s="237"/>
      <c r="N25" s="484"/>
      <c r="O25" s="237"/>
      <c r="P25" s="482"/>
      <c r="Q25" s="234"/>
      <c r="R25" s="234"/>
      <c r="S25" s="234"/>
      <c r="T25" s="482"/>
      <c r="U25" s="234"/>
      <c r="V25" s="234"/>
      <c r="W25" s="234"/>
      <c r="X25" s="807"/>
      <c r="Y25" s="1024"/>
      <c r="Z25" s="238"/>
      <c r="AA25" s="236"/>
      <c r="AB25" s="236"/>
      <c r="AC25" s="202"/>
      <c r="AD25" s="202">
        <f t="shared" si="14"/>
        <v>0</v>
      </c>
      <c r="AE25" s="202"/>
      <c r="AF25" s="810"/>
      <c r="AG25" s="810"/>
      <c r="AH25" s="810"/>
      <c r="AI25" s="810"/>
      <c r="AJ25" s="810"/>
      <c r="AK25" s="810"/>
      <c r="AL25" s="810"/>
      <c r="AM25" s="810"/>
      <c r="AN25" s="810"/>
      <c r="AO25" s="810"/>
      <c r="AP25" s="810"/>
      <c r="AQ25" s="810"/>
      <c r="AR25" s="810">
        <f t="shared" ref="AR25:AR26" si="16">SUM(AF25:AQ25)</f>
        <v>0</v>
      </c>
      <c r="AS25" s="825">
        <f t="shared" si="10"/>
        <v>0</v>
      </c>
    </row>
    <row r="26" spans="1:55" x14ac:dyDescent="0.35">
      <c r="A26" s="237"/>
      <c r="B26" s="237"/>
      <c r="C26" s="237"/>
      <c r="D26" s="237"/>
      <c r="E26" s="237"/>
      <c r="F26" s="237"/>
      <c r="G26" s="237"/>
      <c r="H26" s="237"/>
      <c r="I26" s="991"/>
      <c r="J26" s="237"/>
      <c r="K26" s="237"/>
      <c r="L26" s="237"/>
      <c r="M26" s="237"/>
      <c r="N26" s="484"/>
      <c r="O26" s="237"/>
      <c r="P26" s="482"/>
      <c r="Q26" s="234"/>
      <c r="R26" s="234"/>
      <c r="S26" s="234"/>
      <c r="T26" s="482"/>
      <c r="U26" s="234"/>
      <c r="V26" s="234"/>
      <c r="W26" s="234"/>
      <c r="X26" s="807"/>
      <c r="Y26" s="1024"/>
      <c r="Z26" s="238"/>
      <c r="AA26" s="236"/>
      <c r="AB26" s="236"/>
      <c r="AC26" s="202"/>
      <c r="AD26" s="202">
        <f t="shared" si="14"/>
        <v>0</v>
      </c>
      <c r="AE26" s="202"/>
      <c r="AF26" s="810"/>
      <c r="AG26" s="810"/>
      <c r="AH26" s="810"/>
      <c r="AI26" s="810"/>
      <c r="AJ26" s="810"/>
      <c r="AK26" s="810"/>
      <c r="AL26" s="810"/>
      <c r="AM26" s="810"/>
      <c r="AN26" s="810"/>
      <c r="AO26" s="810"/>
      <c r="AP26" s="810"/>
      <c r="AQ26" s="810"/>
      <c r="AR26" s="810">
        <f t="shared" si="16"/>
        <v>0</v>
      </c>
      <c r="AS26" s="202"/>
    </row>
    <row r="27" spans="1:55" ht="25" x14ac:dyDescent="0.35">
      <c r="A27" s="237">
        <v>1.4</v>
      </c>
      <c r="B27" s="237"/>
      <c r="C27" s="237"/>
      <c r="D27" s="237"/>
      <c r="E27" s="237"/>
      <c r="F27" s="237"/>
      <c r="G27" s="237"/>
      <c r="H27" s="237"/>
      <c r="I27" s="991"/>
      <c r="J27" s="237"/>
      <c r="K27" s="237"/>
      <c r="L27" s="237"/>
      <c r="M27" s="237"/>
      <c r="N27" s="484"/>
      <c r="O27" s="237"/>
      <c r="P27" s="482"/>
      <c r="Q27" s="234"/>
      <c r="R27" s="234"/>
      <c r="S27" s="234"/>
      <c r="T27" s="482"/>
      <c r="U27" s="234"/>
      <c r="V27" s="234"/>
      <c r="W27" s="234"/>
      <c r="X27" s="807" t="s">
        <v>1069</v>
      </c>
      <c r="Y27" s="1024">
        <v>627</v>
      </c>
      <c r="Z27" s="238">
        <v>6274001903</v>
      </c>
      <c r="AA27" s="236" t="s">
        <v>896</v>
      </c>
      <c r="AB27" s="236" t="s">
        <v>1038</v>
      </c>
      <c r="AC27" s="202">
        <f>SUM(AC28:AC29)</f>
        <v>0</v>
      </c>
      <c r="AD27" s="202">
        <f t="shared" si="14"/>
        <v>0</v>
      </c>
      <c r="AE27" s="202">
        <f t="shared" ref="AE27:AQ27" si="17">SUM(AE28:AE29)</f>
        <v>0</v>
      </c>
      <c r="AF27" s="810">
        <f t="shared" si="17"/>
        <v>0</v>
      </c>
      <c r="AG27" s="810">
        <f t="shared" si="17"/>
        <v>0</v>
      </c>
      <c r="AH27" s="810">
        <f t="shared" si="17"/>
        <v>0</v>
      </c>
      <c r="AI27" s="810">
        <f t="shared" si="17"/>
        <v>0</v>
      </c>
      <c r="AJ27" s="810">
        <f t="shared" si="17"/>
        <v>0</v>
      </c>
      <c r="AK27" s="810">
        <f t="shared" si="17"/>
        <v>0</v>
      </c>
      <c r="AL27" s="810">
        <f t="shared" si="17"/>
        <v>0</v>
      </c>
      <c r="AM27" s="810">
        <f t="shared" si="17"/>
        <v>0</v>
      </c>
      <c r="AN27" s="810">
        <f t="shared" si="17"/>
        <v>0</v>
      </c>
      <c r="AO27" s="810">
        <f t="shared" si="17"/>
        <v>0</v>
      </c>
      <c r="AP27" s="810">
        <f t="shared" si="17"/>
        <v>0</v>
      </c>
      <c r="AQ27" s="810">
        <f t="shared" si="17"/>
        <v>0</v>
      </c>
      <c r="AR27" s="810">
        <f t="shared" si="2"/>
        <v>0</v>
      </c>
      <c r="AS27" s="202">
        <f t="shared" si="10"/>
        <v>0</v>
      </c>
    </row>
    <row r="28" spans="1:55" x14ac:dyDescent="0.35">
      <c r="A28" s="237"/>
      <c r="B28" s="237"/>
      <c r="C28" s="237"/>
      <c r="D28" s="237"/>
      <c r="E28" s="237"/>
      <c r="F28" s="237"/>
      <c r="G28" s="237"/>
      <c r="H28" s="237"/>
      <c r="I28" s="991"/>
      <c r="J28" s="237"/>
      <c r="K28" s="237"/>
      <c r="L28" s="237"/>
      <c r="M28" s="237"/>
      <c r="N28" s="484"/>
      <c r="O28" s="237"/>
      <c r="P28" s="482"/>
      <c r="Q28" s="234"/>
      <c r="R28" s="234"/>
      <c r="S28" s="234"/>
      <c r="T28" s="482"/>
      <c r="U28" s="234"/>
      <c r="V28" s="234"/>
      <c r="W28" s="234"/>
      <c r="X28" s="807"/>
      <c r="Y28" s="1024"/>
      <c r="Z28" s="238"/>
      <c r="AA28" s="236"/>
      <c r="AB28" s="236"/>
      <c r="AC28" s="202"/>
      <c r="AD28" s="202">
        <f>AC28-AE28</f>
        <v>0</v>
      </c>
      <c r="AE28" s="202"/>
      <c r="AF28" s="810"/>
      <c r="AG28" s="810"/>
      <c r="AH28" s="810"/>
      <c r="AI28" s="810"/>
      <c r="AJ28" s="810"/>
      <c r="AK28" s="810"/>
      <c r="AL28" s="810"/>
      <c r="AM28" s="810"/>
      <c r="AN28" s="810"/>
      <c r="AO28" s="810"/>
      <c r="AP28" s="810"/>
      <c r="AQ28" s="810"/>
      <c r="AR28" s="810">
        <f t="shared" si="2"/>
        <v>0</v>
      </c>
      <c r="AS28" s="202"/>
    </row>
    <row r="29" spans="1:55" x14ac:dyDescent="0.35">
      <c r="A29" s="237"/>
      <c r="B29" s="237"/>
      <c r="C29" s="237"/>
      <c r="D29" s="237"/>
      <c r="E29" s="237"/>
      <c r="F29" s="237"/>
      <c r="G29" s="237"/>
      <c r="H29" s="237"/>
      <c r="I29" s="991"/>
      <c r="J29" s="237"/>
      <c r="K29" s="237"/>
      <c r="L29" s="237"/>
      <c r="M29" s="237"/>
      <c r="N29" s="484"/>
      <c r="O29" s="237"/>
      <c r="P29" s="482"/>
      <c r="Q29" s="234"/>
      <c r="R29" s="234"/>
      <c r="S29" s="234"/>
      <c r="T29" s="482"/>
      <c r="U29" s="234"/>
      <c r="V29" s="234"/>
      <c r="W29" s="234"/>
      <c r="X29" s="807"/>
      <c r="Y29" s="1024"/>
      <c r="Z29" s="238"/>
      <c r="AA29" s="236"/>
      <c r="AB29" s="236"/>
      <c r="AC29" s="202"/>
      <c r="AD29" s="202">
        <f>AC29-AE29</f>
        <v>0</v>
      </c>
      <c r="AE29" s="202"/>
      <c r="AF29" s="810"/>
      <c r="AG29" s="810"/>
      <c r="AH29" s="810"/>
      <c r="AI29" s="810"/>
      <c r="AJ29" s="810"/>
      <c r="AK29" s="810"/>
      <c r="AL29" s="810"/>
      <c r="AM29" s="810"/>
      <c r="AN29" s="810"/>
      <c r="AO29" s="810"/>
      <c r="AP29" s="810"/>
      <c r="AQ29" s="810"/>
      <c r="AR29" s="810">
        <f t="shared" si="2"/>
        <v>0</v>
      </c>
      <c r="AS29" s="202"/>
    </row>
    <row r="30" spans="1:55" ht="25" x14ac:dyDescent="0.35">
      <c r="A30" s="237" t="s">
        <v>801</v>
      </c>
      <c r="B30" s="237"/>
      <c r="C30" s="237"/>
      <c r="D30" s="237"/>
      <c r="E30" s="237"/>
      <c r="F30" s="237"/>
      <c r="G30" s="237"/>
      <c r="H30" s="237"/>
      <c r="I30" s="991"/>
      <c r="J30" s="237"/>
      <c r="K30" s="237"/>
      <c r="L30" s="237"/>
      <c r="M30" s="237"/>
      <c r="N30" s="484"/>
      <c r="O30" s="237"/>
      <c r="P30" s="482"/>
      <c r="Q30" s="234"/>
      <c r="R30" s="234"/>
      <c r="S30" s="234"/>
      <c r="T30" s="482"/>
      <c r="U30" s="234"/>
      <c r="V30" s="234"/>
      <c r="W30" s="234"/>
      <c r="X30" s="807" t="s">
        <v>1070</v>
      </c>
      <c r="Y30" s="1024">
        <v>627</v>
      </c>
      <c r="Z30" s="238">
        <v>6274001906</v>
      </c>
      <c r="AA30" s="236" t="s">
        <v>1071</v>
      </c>
      <c r="AB30" s="236" t="s">
        <v>1038</v>
      </c>
      <c r="AC30" s="202">
        <f>SUM(AC31:AC37)</f>
        <v>1237265000</v>
      </c>
      <c r="AD30" s="202">
        <f t="shared" si="14"/>
        <v>622272297</v>
      </c>
      <c r="AE30" s="202">
        <f t="shared" ref="AE30:AQ30" si="18">SUM(AE31:AE37)</f>
        <v>614992703</v>
      </c>
      <c r="AF30" s="810">
        <f>SUM(AF31:AF37)</f>
        <v>22319961</v>
      </c>
      <c r="AG30" s="810">
        <f t="shared" si="18"/>
        <v>22319961</v>
      </c>
      <c r="AH30" s="810">
        <f t="shared" si="18"/>
        <v>19756325</v>
      </c>
      <c r="AI30" s="810">
        <f t="shared" si="18"/>
        <v>19756325</v>
      </c>
      <c r="AJ30" s="810">
        <f t="shared" si="18"/>
        <v>19756325</v>
      </c>
      <c r="AK30" s="810">
        <f t="shared" si="18"/>
        <v>19756325</v>
      </c>
      <c r="AL30" s="810">
        <f t="shared" si="18"/>
        <v>19756325</v>
      </c>
      <c r="AM30" s="810">
        <f t="shared" si="18"/>
        <v>19756325</v>
      </c>
      <c r="AN30" s="810">
        <f t="shared" si="18"/>
        <v>19756325</v>
      </c>
      <c r="AO30" s="810">
        <f t="shared" si="18"/>
        <v>19756325</v>
      </c>
      <c r="AP30" s="810">
        <f t="shared" si="18"/>
        <v>19756325</v>
      </c>
      <c r="AQ30" s="810">
        <f t="shared" si="18"/>
        <v>19756325</v>
      </c>
      <c r="AR30" s="810">
        <f>SUM(AF30:AQ30)</f>
        <v>242203172</v>
      </c>
      <c r="AS30" s="202">
        <f>AE30-AR30</f>
        <v>372789531</v>
      </c>
    </row>
    <row r="31" spans="1:55" ht="87.5" x14ac:dyDescent="0.35">
      <c r="A31" s="237"/>
      <c r="B31" s="237"/>
      <c r="C31" s="237"/>
      <c r="D31" s="237"/>
      <c r="E31" s="237"/>
      <c r="F31" s="237"/>
      <c r="G31" s="237"/>
      <c r="H31" s="237" t="s">
        <v>799</v>
      </c>
      <c r="I31" s="991" t="s">
        <v>949</v>
      </c>
      <c r="J31" s="237"/>
      <c r="K31" s="237"/>
      <c r="L31" s="237"/>
      <c r="M31" s="237"/>
      <c r="N31" s="484">
        <v>44927</v>
      </c>
      <c r="O31" s="237" t="s">
        <v>1040</v>
      </c>
      <c r="P31" s="842" t="s">
        <v>1041</v>
      </c>
      <c r="Q31" s="234"/>
      <c r="R31" s="234" t="s">
        <v>861</v>
      </c>
      <c r="S31" s="234" t="s">
        <v>1072</v>
      </c>
      <c r="T31" s="842"/>
      <c r="U31" s="234"/>
      <c r="V31" s="234"/>
      <c r="W31" s="809">
        <v>44907</v>
      </c>
      <c r="X31" s="843" t="s">
        <v>1073</v>
      </c>
      <c r="Y31" s="1024"/>
      <c r="Z31" s="845" t="s">
        <v>895</v>
      </c>
      <c r="AA31" s="846" t="s">
        <v>896</v>
      </c>
      <c r="AB31" s="846"/>
      <c r="AC31" s="825">
        <v>318800000</v>
      </c>
      <c r="AD31" s="825">
        <v>185966665</v>
      </c>
      <c r="AE31" s="825">
        <v>132833335</v>
      </c>
      <c r="AF31" s="197">
        <v>5313333</v>
      </c>
      <c r="AG31" s="197">
        <v>5313333</v>
      </c>
      <c r="AH31" s="197">
        <v>5313333</v>
      </c>
      <c r="AI31" s="197">
        <v>5313333</v>
      </c>
      <c r="AJ31" s="197">
        <v>5313333</v>
      </c>
      <c r="AK31" s="197">
        <v>5313333</v>
      </c>
      <c r="AL31" s="197">
        <v>5313333</v>
      </c>
      <c r="AM31" s="197">
        <v>5313333</v>
      </c>
      <c r="AN31" s="197">
        <v>5313333</v>
      </c>
      <c r="AO31" s="197">
        <v>5313333</v>
      </c>
      <c r="AP31" s="197">
        <v>5313333</v>
      </c>
      <c r="AQ31" s="197">
        <v>5313333</v>
      </c>
      <c r="AR31" s="197">
        <f>SUM(AF31:AQ31)</f>
        <v>63759996</v>
      </c>
      <c r="AS31" s="825"/>
      <c r="AU31" s="1060" t="e">
        <f>#REF!</f>
        <v>#REF!</v>
      </c>
      <c r="AV31" s="838" t="e">
        <f t="shared" ref="AV31:AV37" si="19">IF(AY31=2022,(12*3),IF(AY31=2023,(12*2),IF(AY31=2024,(12*1),IF(AY31=2025,0))))+(12-AZ31+1)</f>
        <v>#REF!</v>
      </c>
      <c r="AX31" s="220">
        <f>10*12</f>
        <v>120</v>
      </c>
      <c r="AY31" s="220" t="e">
        <f>YEAR(#REF!)</f>
        <v>#REF!</v>
      </c>
      <c r="AZ31" s="838" t="e">
        <f>MONTH(#REF!)</f>
        <v>#REF!</v>
      </c>
      <c r="BB31" s="838" t="e">
        <f t="shared" ref="BB31" si="20">AX31-AV31</f>
        <v>#REF!</v>
      </c>
      <c r="BC31" s="1073" t="e">
        <f>#REF!/BB31</f>
        <v>#REF!</v>
      </c>
    </row>
    <row r="32" spans="1:55" ht="100" x14ac:dyDescent="0.35">
      <c r="A32" s="1061"/>
      <c r="B32" s="1061"/>
      <c r="C32" s="1061"/>
      <c r="D32" s="1061"/>
      <c r="E32" s="1061"/>
      <c r="F32" s="1061"/>
      <c r="G32" s="1061"/>
      <c r="H32" s="1061" t="s">
        <v>799</v>
      </c>
      <c r="I32" s="993" t="s">
        <v>1074</v>
      </c>
      <c r="J32" s="1061"/>
      <c r="K32" s="1061"/>
      <c r="L32" s="1061"/>
      <c r="M32" s="1061"/>
      <c r="N32" s="1062">
        <v>45413</v>
      </c>
      <c r="O32" s="1061" t="s">
        <v>1075</v>
      </c>
      <c r="P32" s="1063" t="s">
        <v>1041</v>
      </c>
      <c r="Q32" s="1064"/>
      <c r="R32" s="1064" t="s">
        <v>859</v>
      </c>
      <c r="S32" s="1064" t="s">
        <v>1063</v>
      </c>
      <c r="T32" s="1063"/>
      <c r="U32" s="1064"/>
      <c r="V32" s="1064"/>
      <c r="W32" s="859">
        <v>45383</v>
      </c>
      <c r="X32" s="1065" t="s">
        <v>1076</v>
      </c>
      <c r="Y32" s="1066"/>
      <c r="Z32" s="1067" t="s">
        <v>895</v>
      </c>
      <c r="AA32" s="1068" t="s">
        <v>896</v>
      </c>
      <c r="AB32" s="1068"/>
      <c r="AC32" s="1045">
        <v>56400000</v>
      </c>
      <c r="AD32" s="1045">
        <v>51272726</v>
      </c>
      <c r="AE32" s="1045">
        <v>5127274</v>
      </c>
      <c r="AF32" s="1045">
        <v>2563636</v>
      </c>
      <c r="AG32" s="1045">
        <v>2563636</v>
      </c>
      <c r="AH32" s="1045"/>
      <c r="AI32" s="1045"/>
      <c r="AJ32" s="1045"/>
      <c r="AK32" s="1045"/>
      <c r="AL32" s="1045"/>
      <c r="AM32" s="1045"/>
      <c r="AN32" s="1045"/>
      <c r="AO32" s="1045"/>
      <c r="AP32" s="1045"/>
      <c r="AQ32" s="1045"/>
      <c r="AR32" s="1045">
        <f>SUM(AF32:AQ32)</f>
        <v>5127272</v>
      </c>
      <c r="AS32" s="1045"/>
      <c r="AU32" s="1070" t="e">
        <f>#REF!</f>
        <v>#REF!</v>
      </c>
      <c r="AV32" s="1071" t="e">
        <f t="shared" si="19"/>
        <v>#REF!</v>
      </c>
      <c r="AX32" s="1069">
        <f t="shared" ref="AX32:AX44" si="21">10*12</f>
        <v>120</v>
      </c>
      <c r="AY32" s="1069" t="e">
        <f>YEAR(#REF!)</f>
        <v>#REF!</v>
      </c>
      <c r="AZ32" s="1071" t="e">
        <f>MONTH(#REF!)</f>
        <v>#REF!</v>
      </c>
      <c r="BA32" s="1069" t="s">
        <v>2142</v>
      </c>
      <c r="BC32" s="1073">
        <f>AF31</f>
        <v>5313333</v>
      </c>
    </row>
    <row r="33" spans="1:55" ht="112.5" x14ac:dyDescent="0.35">
      <c r="A33" s="237"/>
      <c r="B33" s="237"/>
      <c r="C33" s="237"/>
      <c r="D33" s="237"/>
      <c r="E33" s="237"/>
      <c r="F33" s="237"/>
      <c r="G33" s="237"/>
      <c r="H33" s="237" t="s">
        <v>799</v>
      </c>
      <c r="I33" s="991" t="s">
        <v>1077</v>
      </c>
      <c r="J33" s="237"/>
      <c r="K33" s="237"/>
      <c r="L33" s="237"/>
      <c r="M33" s="237"/>
      <c r="N33" s="484">
        <v>45505</v>
      </c>
      <c r="O33" s="237" t="s">
        <v>1040</v>
      </c>
      <c r="P33" s="842" t="s">
        <v>1041</v>
      </c>
      <c r="Q33" s="234"/>
      <c r="R33" s="234" t="s">
        <v>859</v>
      </c>
      <c r="S33" s="234" t="s">
        <v>1063</v>
      </c>
      <c r="T33" s="842"/>
      <c r="U33" s="234"/>
      <c r="V33" s="234"/>
      <c r="W33" s="809">
        <v>45421</v>
      </c>
      <c r="X33" s="843" t="s">
        <v>1078</v>
      </c>
      <c r="Y33" s="1024"/>
      <c r="Z33" s="845" t="s">
        <v>895</v>
      </c>
      <c r="AA33" s="846" t="s">
        <v>896</v>
      </c>
      <c r="AB33" s="846"/>
      <c r="AC33" s="825">
        <v>133000000</v>
      </c>
      <c r="AD33" s="825">
        <v>37683334</v>
      </c>
      <c r="AE33" s="825">
        <v>95316666</v>
      </c>
      <c r="AF33" s="197">
        <v>2216667</v>
      </c>
      <c r="AG33" s="197">
        <v>2216667</v>
      </c>
      <c r="AH33" s="197">
        <v>2216667</v>
      </c>
      <c r="AI33" s="197">
        <v>2216667</v>
      </c>
      <c r="AJ33" s="197">
        <v>2216667</v>
      </c>
      <c r="AK33" s="197">
        <v>2216667</v>
      </c>
      <c r="AL33" s="197">
        <v>2216667</v>
      </c>
      <c r="AM33" s="197">
        <v>2216667</v>
      </c>
      <c r="AN33" s="197">
        <v>2216667</v>
      </c>
      <c r="AO33" s="197">
        <v>2216667</v>
      </c>
      <c r="AP33" s="197">
        <v>2216667</v>
      </c>
      <c r="AQ33" s="197">
        <v>2216667</v>
      </c>
      <c r="AR33" s="197">
        <f>SUM(AF33:AQ33)</f>
        <v>26600004</v>
      </c>
      <c r="AS33" s="825"/>
      <c r="AU33" s="1060" t="e">
        <f>#REF!</f>
        <v>#REF!</v>
      </c>
      <c r="AV33" s="838" t="e">
        <f t="shared" si="19"/>
        <v>#REF!</v>
      </c>
      <c r="AX33" s="220">
        <f t="shared" si="21"/>
        <v>120</v>
      </c>
      <c r="AY33" s="220" t="e">
        <f>YEAR(#REF!)</f>
        <v>#REF!</v>
      </c>
      <c r="AZ33" s="838" t="e">
        <f>MONTH(#REF!)</f>
        <v>#REF!</v>
      </c>
      <c r="BB33" s="838" t="e">
        <f t="shared" ref="BB33:BB37" si="22">AX33-AV33</f>
        <v>#REF!</v>
      </c>
      <c r="BC33" s="1073" t="e">
        <f>#REF!/BB33</f>
        <v>#REF!</v>
      </c>
    </row>
    <row r="34" spans="1:55" ht="100" x14ac:dyDescent="0.35">
      <c r="A34" s="237"/>
      <c r="B34" s="237"/>
      <c r="C34" s="237"/>
      <c r="D34" s="237"/>
      <c r="E34" s="237"/>
      <c r="F34" s="237"/>
      <c r="G34" s="237"/>
      <c r="H34" s="237" t="s">
        <v>799</v>
      </c>
      <c r="I34" s="991"/>
      <c r="J34" s="237"/>
      <c r="K34" s="237"/>
      <c r="L34" s="237"/>
      <c r="M34" s="237"/>
      <c r="N34" s="484">
        <v>45413</v>
      </c>
      <c r="O34" s="237" t="s">
        <v>1040</v>
      </c>
      <c r="P34" s="842" t="s">
        <v>1041</v>
      </c>
      <c r="Q34" s="234"/>
      <c r="R34" s="234" t="s">
        <v>859</v>
      </c>
      <c r="S34" s="234" t="s">
        <v>1063</v>
      </c>
      <c r="T34" s="842"/>
      <c r="U34" s="234"/>
      <c r="V34" s="234"/>
      <c r="W34" s="809"/>
      <c r="X34" s="843" t="s">
        <v>1079</v>
      </c>
      <c r="Y34" s="1024"/>
      <c r="Z34" s="845" t="s">
        <v>895</v>
      </c>
      <c r="AA34" s="846" t="s">
        <v>896</v>
      </c>
      <c r="AB34" s="846"/>
      <c r="AC34" s="825">
        <v>322375000</v>
      </c>
      <c r="AD34" s="825">
        <v>107458334</v>
      </c>
      <c r="AE34" s="825">
        <v>214916666</v>
      </c>
      <c r="AF34" s="197">
        <v>5372917</v>
      </c>
      <c r="AG34" s="197">
        <v>5372917</v>
      </c>
      <c r="AH34" s="197">
        <v>5372917</v>
      </c>
      <c r="AI34" s="197">
        <v>5372917</v>
      </c>
      <c r="AJ34" s="197">
        <v>5372917</v>
      </c>
      <c r="AK34" s="197">
        <v>5372917</v>
      </c>
      <c r="AL34" s="197">
        <v>5372917</v>
      </c>
      <c r="AM34" s="197">
        <v>5372917</v>
      </c>
      <c r="AN34" s="197">
        <v>5372917</v>
      </c>
      <c r="AO34" s="197">
        <v>5372917</v>
      </c>
      <c r="AP34" s="197">
        <v>5372917</v>
      </c>
      <c r="AQ34" s="197">
        <v>5372917</v>
      </c>
      <c r="AR34" s="197">
        <f>SUM(AF34:AQ34)</f>
        <v>64475004</v>
      </c>
      <c r="AS34" s="825"/>
      <c r="AU34" s="1060" t="e">
        <f>#REF!</f>
        <v>#REF!</v>
      </c>
      <c r="AV34" s="838" t="e">
        <f t="shared" si="19"/>
        <v>#REF!</v>
      </c>
      <c r="AX34" s="220">
        <f t="shared" si="21"/>
        <v>120</v>
      </c>
      <c r="AY34" s="220" t="e">
        <f>YEAR(#REF!)</f>
        <v>#REF!</v>
      </c>
      <c r="AZ34" s="838" t="e">
        <f>MONTH(#REF!)</f>
        <v>#REF!</v>
      </c>
      <c r="BB34" s="838" t="e">
        <f t="shared" si="22"/>
        <v>#REF!</v>
      </c>
      <c r="BC34" s="1073" t="e">
        <f>#REF!/BB34</f>
        <v>#REF!</v>
      </c>
    </row>
    <row r="35" spans="1:55" ht="75" x14ac:dyDescent="0.35">
      <c r="A35" s="237"/>
      <c r="B35" s="237"/>
      <c r="C35" s="237"/>
      <c r="D35" s="237"/>
      <c r="E35" s="237"/>
      <c r="F35" s="237"/>
      <c r="G35" s="237"/>
      <c r="H35" s="237" t="s">
        <v>799</v>
      </c>
      <c r="I35" s="991" t="s">
        <v>1080</v>
      </c>
      <c r="J35" s="237"/>
      <c r="K35" s="237"/>
      <c r="L35" s="237"/>
      <c r="M35" s="237"/>
      <c r="N35" s="484">
        <v>45474</v>
      </c>
      <c r="O35" s="237" t="s">
        <v>1081</v>
      </c>
      <c r="P35" s="842" t="s">
        <v>1041</v>
      </c>
      <c r="Q35" s="234"/>
      <c r="R35" s="234" t="s">
        <v>859</v>
      </c>
      <c r="S35" s="234" t="s">
        <v>1063</v>
      </c>
      <c r="T35" s="842"/>
      <c r="U35" s="234"/>
      <c r="V35" s="234"/>
      <c r="W35" s="809">
        <v>45444</v>
      </c>
      <c r="X35" s="843" t="s">
        <v>1082</v>
      </c>
      <c r="Y35" s="1024"/>
      <c r="Z35" s="845" t="s">
        <v>906</v>
      </c>
      <c r="AA35" s="846" t="s">
        <v>1083</v>
      </c>
      <c r="AB35" s="846"/>
      <c r="AC35" s="825">
        <v>37980000</v>
      </c>
      <c r="AD35" s="825">
        <v>14242500</v>
      </c>
      <c r="AE35" s="825">
        <v>23737500</v>
      </c>
      <c r="AF35" s="197">
        <v>791250</v>
      </c>
      <c r="AG35" s="197">
        <v>791250</v>
      </c>
      <c r="AH35" s="197">
        <v>791250</v>
      </c>
      <c r="AI35" s="197">
        <v>791250</v>
      </c>
      <c r="AJ35" s="197">
        <v>791250</v>
      </c>
      <c r="AK35" s="197">
        <v>791250</v>
      </c>
      <c r="AL35" s="197">
        <v>791250</v>
      </c>
      <c r="AM35" s="197">
        <v>791250</v>
      </c>
      <c r="AN35" s="197">
        <v>791250</v>
      </c>
      <c r="AO35" s="197">
        <v>791250</v>
      </c>
      <c r="AP35" s="197">
        <v>791250</v>
      </c>
      <c r="AQ35" s="197">
        <v>791250</v>
      </c>
      <c r="AR35" s="197">
        <v>9495000</v>
      </c>
      <c r="AS35" s="825"/>
      <c r="AU35" s="1060" t="e">
        <f>#REF!</f>
        <v>#REF!</v>
      </c>
      <c r="AV35" s="838" t="e">
        <f t="shared" si="19"/>
        <v>#REF!</v>
      </c>
      <c r="AX35" s="220">
        <f t="shared" si="21"/>
        <v>120</v>
      </c>
      <c r="AY35" s="220" t="e">
        <f>YEAR(#REF!)</f>
        <v>#REF!</v>
      </c>
      <c r="AZ35" s="838" t="e">
        <f>MONTH(#REF!)</f>
        <v>#REF!</v>
      </c>
      <c r="BB35" s="838" t="e">
        <f t="shared" si="22"/>
        <v>#REF!</v>
      </c>
      <c r="BC35" s="1073" t="e">
        <f>#REF!/BB35</f>
        <v>#REF!</v>
      </c>
    </row>
    <row r="36" spans="1:55" ht="112.5" x14ac:dyDescent="0.35">
      <c r="A36" s="237"/>
      <c r="B36" s="237"/>
      <c r="C36" s="237"/>
      <c r="D36" s="237"/>
      <c r="E36" s="237"/>
      <c r="F36" s="237"/>
      <c r="G36" s="237"/>
      <c r="H36" s="237" t="s">
        <v>799</v>
      </c>
      <c r="I36" s="991" t="s">
        <v>1084</v>
      </c>
      <c r="J36" s="237"/>
      <c r="K36" s="237"/>
      <c r="L36" s="237"/>
      <c r="M36" s="237"/>
      <c r="N36" s="854">
        <v>45047</v>
      </c>
      <c r="O36" s="811" t="s">
        <v>1040</v>
      </c>
      <c r="P36" s="855" t="s">
        <v>1041</v>
      </c>
      <c r="Q36" s="856"/>
      <c r="R36" s="856" t="s">
        <v>855</v>
      </c>
      <c r="S36" s="857" t="s">
        <v>1085</v>
      </c>
      <c r="T36" s="842"/>
      <c r="U36" s="234"/>
      <c r="V36" s="234"/>
      <c r="W36" s="809">
        <v>45016</v>
      </c>
      <c r="X36" s="843" t="s">
        <v>1086</v>
      </c>
      <c r="Y36" s="1033"/>
      <c r="Z36" s="812" t="s">
        <v>895</v>
      </c>
      <c r="AA36" s="809" t="s">
        <v>896</v>
      </c>
      <c r="AB36" s="809"/>
      <c r="AC36" s="858">
        <v>48560000</v>
      </c>
      <c r="AD36" s="858">
        <v>28222906</v>
      </c>
      <c r="AE36" s="858">
        <v>20337094</v>
      </c>
      <c r="AF36" s="858">
        <v>726325</v>
      </c>
      <c r="AG36" s="858">
        <v>726325</v>
      </c>
      <c r="AH36" s="858">
        <v>726325</v>
      </c>
      <c r="AI36" s="858">
        <v>726325</v>
      </c>
      <c r="AJ36" s="858">
        <v>726325</v>
      </c>
      <c r="AK36" s="858">
        <v>726325</v>
      </c>
      <c r="AL36" s="858">
        <v>726325</v>
      </c>
      <c r="AM36" s="858">
        <v>726325</v>
      </c>
      <c r="AN36" s="858">
        <v>726325</v>
      </c>
      <c r="AO36" s="858">
        <v>726325</v>
      </c>
      <c r="AP36" s="858">
        <v>726325</v>
      </c>
      <c r="AQ36" s="858">
        <v>726325</v>
      </c>
      <c r="AR36" s="197">
        <f>SUM(AF36:AQ36)</f>
        <v>8715900</v>
      </c>
      <c r="AS36" s="825"/>
      <c r="AU36" s="1060" t="e">
        <f>#REF!</f>
        <v>#REF!</v>
      </c>
      <c r="AV36" s="838" t="e">
        <f t="shared" si="19"/>
        <v>#REF!</v>
      </c>
      <c r="AX36" s="220">
        <f t="shared" si="21"/>
        <v>120</v>
      </c>
      <c r="AY36" s="220" t="e">
        <f>YEAR(#REF!)</f>
        <v>#REF!</v>
      </c>
      <c r="AZ36" s="838" t="e">
        <f>MONTH(#REF!)</f>
        <v>#REF!</v>
      </c>
      <c r="BB36" s="838" t="e">
        <f t="shared" si="22"/>
        <v>#REF!</v>
      </c>
      <c r="BC36" s="1073" t="e">
        <f>#REF!/BB36</f>
        <v>#REF!</v>
      </c>
    </row>
    <row r="37" spans="1:55" ht="75" x14ac:dyDescent="0.35">
      <c r="A37" s="237"/>
      <c r="B37" s="237"/>
      <c r="C37" s="237"/>
      <c r="D37" s="237"/>
      <c r="E37" s="237"/>
      <c r="F37" s="237"/>
      <c r="G37" s="237"/>
      <c r="H37" s="237" t="s">
        <v>799</v>
      </c>
      <c r="I37" s="991" t="s">
        <v>1088</v>
      </c>
      <c r="J37" s="237"/>
      <c r="K37" s="237"/>
      <c r="L37" s="237"/>
      <c r="M37" s="237"/>
      <c r="N37" s="854">
        <v>44896</v>
      </c>
      <c r="O37" s="811" t="s">
        <v>1040</v>
      </c>
      <c r="P37" s="855" t="s">
        <v>1041</v>
      </c>
      <c r="Q37" s="856"/>
      <c r="R37" s="856" t="s">
        <v>860</v>
      </c>
      <c r="S37" s="857" t="s">
        <v>1089</v>
      </c>
      <c r="T37" s="842"/>
      <c r="U37" s="234"/>
      <c r="V37" s="234"/>
      <c r="W37" s="809">
        <v>44841</v>
      </c>
      <c r="X37" s="843" t="s">
        <v>1090</v>
      </c>
      <c r="Y37" s="1033"/>
      <c r="Z37" s="812" t="s">
        <v>903</v>
      </c>
      <c r="AA37" s="809" t="s">
        <v>1092</v>
      </c>
      <c r="AB37" s="809"/>
      <c r="AC37" s="858">
        <v>320150000</v>
      </c>
      <c r="AD37" s="858">
        <v>197425832</v>
      </c>
      <c r="AE37" s="858">
        <v>122724168</v>
      </c>
      <c r="AF37" s="858">
        <v>5335833</v>
      </c>
      <c r="AG37" s="858">
        <v>5335833</v>
      </c>
      <c r="AH37" s="858">
        <v>5335833</v>
      </c>
      <c r="AI37" s="858">
        <v>5335833</v>
      </c>
      <c r="AJ37" s="858">
        <v>5335833</v>
      </c>
      <c r="AK37" s="858">
        <v>5335833</v>
      </c>
      <c r="AL37" s="858">
        <v>5335833</v>
      </c>
      <c r="AM37" s="858">
        <v>5335833</v>
      </c>
      <c r="AN37" s="858">
        <v>5335833</v>
      </c>
      <c r="AO37" s="858">
        <v>5335833</v>
      </c>
      <c r="AP37" s="858">
        <v>5335833</v>
      </c>
      <c r="AQ37" s="858">
        <v>5335833</v>
      </c>
      <c r="AR37" s="197">
        <v>9495000</v>
      </c>
      <c r="AS37" s="825"/>
      <c r="AU37" s="1060" t="e">
        <f>#REF!</f>
        <v>#REF!</v>
      </c>
      <c r="AV37" s="838" t="e">
        <f t="shared" si="19"/>
        <v>#REF!</v>
      </c>
      <c r="AX37" s="220">
        <f t="shared" si="21"/>
        <v>120</v>
      </c>
      <c r="AY37" s="220" t="e">
        <f>YEAR(#REF!)</f>
        <v>#REF!</v>
      </c>
      <c r="AZ37" s="838" t="e">
        <f>MONTH(#REF!)</f>
        <v>#REF!</v>
      </c>
      <c r="BB37" s="838" t="e">
        <f t="shared" si="22"/>
        <v>#REF!</v>
      </c>
      <c r="BC37" s="1073" t="e">
        <f>#REF!/BB37</f>
        <v>#REF!</v>
      </c>
    </row>
    <row r="38" spans="1:55" ht="25" x14ac:dyDescent="0.35">
      <c r="A38" s="237" t="s">
        <v>802</v>
      </c>
      <c r="B38" s="237"/>
      <c r="C38" s="237"/>
      <c r="D38" s="237"/>
      <c r="E38" s="237"/>
      <c r="F38" s="237"/>
      <c r="G38" s="237"/>
      <c r="H38" s="237"/>
      <c r="I38" s="991"/>
      <c r="J38" s="237"/>
      <c r="K38" s="237"/>
      <c r="L38" s="237"/>
      <c r="M38" s="237"/>
      <c r="N38" s="484"/>
      <c r="O38" s="237"/>
      <c r="P38" s="482"/>
      <c r="Q38" s="234"/>
      <c r="R38" s="234"/>
      <c r="S38" s="482" t="s">
        <v>1093</v>
      </c>
      <c r="T38" s="482"/>
      <c r="U38" s="234"/>
      <c r="V38" s="234"/>
      <c r="W38" s="234"/>
      <c r="X38" s="807" t="s">
        <v>1094</v>
      </c>
      <c r="Y38" s="1024">
        <v>627</v>
      </c>
      <c r="Z38" s="238">
        <v>6274001901</v>
      </c>
      <c r="AA38" s="236" t="s">
        <v>1095</v>
      </c>
      <c r="AB38" s="236" t="s">
        <v>1096</v>
      </c>
      <c r="AC38" s="202">
        <f>SUM(AC39:AC41)</f>
        <v>4068620825</v>
      </c>
      <c r="AD38" s="202">
        <f t="shared" si="14"/>
        <v>1418063419</v>
      </c>
      <c r="AE38" s="202">
        <f t="shared" ref="AE38:AQ38" si="23">SUM(AE39:AE41)</f>
        <v>2650557406</v>
      </c>
      <c r="AF38" s="810">
        <f t="shared" si="23"/>
        <v>69568835</v>
      </c>
      <c r="AG38" s="810">
        <f t="shared" si="23"/>
        <v>69568835</v>
      </c>
      <c r="AH38" s="810">
        <f t="shared" si="23"/>
        <v>69568835</v>
      </c>
      <c r="AI38" s="810">
        <f t="shared" si="23"/>
        <v>69568835</v>
      </c>
      <c r="AJ38" s="810">
        <f t="shared" si="23"/>
        <v>69568835</v>
      </c>
      <c r="AK38" s="810">
        <f t="shared" si="23"/>
        <v>69568835</v>
      </c>
      <c r="AL38" s="810">
        <f t="shared" si="23"/>
        <v>69568835</v>
      </c>
      <c r="AM38" s="810">
        <f t="shared" si="23"/>
        <v>69568835</v>
      </c>
      <c r="AN38" s="810">
        <f t="shared" si="23"/>
        <v>69568835</v>
      </c>
      <c r="AO38" s="810">
        <f t="shared" si="23"/>
        <v>69568835</v>
      </c>
      <c r="AP38" s="810">
        <f t="shared" si="23"/>
        <v>69568835</v>
      </c>
      <c r="AQ38" s="810">
        <f t="shared" si="23"/>
        <v>69568835</v>
      </c>
      <c r="AR38" s="810">
        <f t="shared" si="2"/>
        <v>834826020</v>
      </c>
      <c r="AS38" s="202">
        <f t="shared" si="10"/>
        <v>1815731386</v>
      </c>
      <c r="AW38" s="838"/>
      <c r="BC38" s="1073"/>
    </row>
    <row r="39" spans="1:55" ht="87.5" x14ac:dyDescent="0.35">
      <c r="A39" s="237"/>
      <c r="B39" s="237"/>
      <c r="C39" s="237"/>
      <c r="D39" s="237"/>
      <c r="E39" s="237"/>
      <c r="F39" s="237"/>
      <c r="G39" s="237"/>
      <c r="H39" s="237" t="s">
        <v>799</v>
      </c>
      <c r="I39" s="991" t="s">
        <v>1097</v>
      </c>
      <c r="J39" s="237"/>
      <c r="K39" s="237"/>
      <c r="L39" s="237"/>
      <c r="M39" s="237"/>
      <c r="N39" s="854">
        <v>44927</v>
      </c>
      <c r="O39" s="811" t="s">
        <v>1040</v>
      </c>
      <c r="P39" s="855" t="s">
        <v>1041</v>
      </c>
      <c r="Q39" s="856"/>
      <c r="R39" s="856" t="s">
        <v>859</v>
      </c>
      <c r="S39" s="857" t="s">
        <v>1063</v>
      </c>
      <c r="T39" s="842"/>
      <c r="U39" s="234"/>
      <c r="V39" s="234"/>
      <c r="W39" s="809">
        <v>44801</v>
      </c>
      <c r="X39" s="843" t="s">
        <v>1098</v>
      </c>
      <c r="Y39" s="1033"/>
      <c r="Z39" s="812" t="s">
        <v>900</v>
      </c>
      <c r="AA39" s="809" t="s">
        <v>1095</v>
      </c>
      <c r="AB39" s="809"/>
      <c r="AC39" s="858">
        <v>394675925</v>
      </c>
      <c r="AD39" s="858">
        <v>230227621</v>
      </c>
      <c r="AE39" s="858">
        <v>180000000</v>
      </c>
      <c r="AF39" s="858">
        <v>6852012</v>
      </c>
      <c r="AG39" s="858">
        <v>6852012</v>
      </c>
      <c r="AH39" s="858">
        <v>6852012</v>
      </c>
      <c r="AI39" s="858">
        <v>6852012</v>
      </c>
      <c r="AJ39" s="858">
        <v>6852012</v>
      </c>
      <c r="AK39" s="858">
        <v>6852012</v>
      </c>
      <c r="AL39" s="858">
        <v>6852012</v>
      </c>
      <c r="AM39" s="858">
        <v>6852012</v>
      </c>
      <c r="AN39" s="858">
        <v>6852012</v>
      </c>
      <c r="AO39" s="858">
        <v>6852012</v>
      </c>
      <c r="AP39" s="858">
        <v>6852012</v>
      </c>
      <c r="AQ39" s="858">
        <v>6852012</v>
      </c>
      <c r="AR39" s="197">
        <f t="shared" si="2"/>
        <v>82224144</v>
      </c>
      <c r="AS39" s="825">
        <f t="shared" si="10"/>
        <v>97775856</v>
      </c>
      <c r="AU39" s="1060" t="e">
        <f>#REF!</f>
        <v>#REF!</v>
      </c>
      <c r="AV39" s="838" t="e">
        <f t="shared" ref="AV39" si="24">IF(AY39=2022,(12*3),IF(AY39=2023,(12*2),IF(AY39=2024,(12*1),IF(AY39=2025,0))))+(12-AZ39+1)</f>
        <v>#REF!</v>
      </c>
      <c r="AX39" s="220">
        <f t="shared" si="21"/>
        <v>120</v>
      </c>
      <c r="AY39" s="220" t="e">
        <f>YEAR(#REF!)</f>
        <v>#REF!</v>
      </c>
      <c r="AZ39" s="838" t="e">
        <f>MONTH(#REF!)</f>
        <v>#REF!</v>
      </c>
      <c r="BB39" s="838" t="e">
        <f t="shared" ref="BB39:BB41" si="25">AX39-AV39</f>
        <v>#REF!</v>
      </c>
      <c r="BC39" s="1073" t="e">
        <f>#REF!/BB39</f>
        <v>#REF!</v>
      </c>
    </row>
    <row r="40" spans="1:55" ht="112.5" x14ac:dyDescent="0.35">
      <c r="A40" s="237"/>
      <c r="B40" s="237"/>
      <c r="C40" s="237"/>
      <c r="D40" s="237"/>
      <c r="E40" s="237"/>
      <c r="F40" s="237"/>
      <c r="G40" s="237"/>
      <c r="H40" s="237" t="s">
        <v>799</v>
      </c>
      <c r="I40" s="1016" t="s">
        <v>968</v>
      </c>
      <c r="J40" s="237"/>
      <c r="K40" s="237"/>
      <c r="L40" s="237"/>
      <c r="M40" s="237"/>
      <c r="N40" s="854">
        <v>44927</v>
      </c>
      <c r="O40" s="811" t="s">
        <v>909</v>
      </c>
      <c r="P40" s="855" t="s">
        <v>1041</v>
      </c>
      <c r="Q40" s="856"/>
      <c r="R40" s="856" t="s">
        <v>861</v>
      </c>
      <c r="S40" s="857" t="s">
        <v>1072</v>
      </c>
      <c r="T40" s="842"/>
      <c r="U40" s="234"/>
      <c r="V40" s="234"/>
      <c r="W40" s="809">
        <v>44694</v>
      </c>
      <c r="X40" s="843" t="s">
        <v>2110</v>
      </c>
      <c r="Y40" s="1033"/>
      <c r="Z40" s="812" t="s">
        <v>900</v>
      </c>
      <c r="AA40" s="809" t="s">
        <v>1095</v>
      </c>
      <c r="AB40" s="809"/>
      <c r="AC40" s="858">
        <v>219905500</v>
      </c>
      <c r="AD40" s="858">
        <v>99359129</v>
      </c>
      <c r="AE40" s="858">
        <v>120546371</v>
      </c>
      <c r="AF40" s="858">
        <v>2460130</v>
      </c>
      <c r="AG40" s="858">
        <v>2460130</v>
      </c>
      <c r="AH40" s="858">
        <v>2460130</v>
      </c>
      <c r="AI40" s="858">
        <v>2460130</v>
      </c>
      <c r="AJ40" s="858">
        <v>2460130</v>
      </c>
      <c r="AK40" s="858">
        <v>2460130</v>
      </c>
      <c r="AL40" s="858">
        <v>2460130</v>
      </c>
      <c r="AM40" s="858">
        <v>2460130</v>
      </c>
      <c r="AN40" s="858">
        <v>2460130</v>
      </c>
      <c r="AO40" s="858">
        <v>2460130</v>
      </c>
      <c r="AP40" s="858">
        <v>2460130</v>
      </c>
      <c r="AQ40" s="858">
        <v>2460130</v>
      </c>
      <c r="AR40" s="197">
        <f>SUM(AF40:AQ40)</f>
        <v>29521560</v>
      </c>
      <c r="AS40" s="825"/>
      <c r="AU40" s="1060" t="e">
        <f>#REF!</f>
        <v>#REF!</v>
      </c>
      <c r="AV40" s="838" t="e">
        <f t="shared" ref="AV40:AV41" si="26">IF(AY40=2022,(12*3),IF(AY40=2023,(12*2),IF(AY40=2024,(12*1),IF(AY40=2025,0))))+(12-AZ40+1)</f>
        <v>#REF!</v>
      </c>
      <c r="AX40" s="220">
        <f t="shared" si="21"/>
        <v>120</v>
      </c>
      <c r="AY40" s="220" t="e">
        <f>YEAR(#REF!)</f>
        <v>#REF!</v>
      </c>
      <c r="AZ40" s="838" t="e">
        <f>MONTH(#REF!)</f>
        <v>#REF!</v>
      </c>
      <c r="BB40" s="838" t="e">
        <f t="shared" si="25"/>
        <v>#REF!</v>
      </c>
      <c r="BC40" s="1073" t="e">
        <f>#REF!/BB40</f>
        <v>#REF!</v>
      </c>
    </row>
    <row r="41" spans="1:55" ht="87.5" x14ac:dyDescent="0.35">
      <c r="A41" s="237"/>
      <c r="B41" s="237"/>
      <c r="C41" s="237"/>
      <c r="D41" s="237"/>
      <c r="E41" s="237"/>
      <c r="F41" s="237"/>
      <c r="G41" s="237"/>
      <c r="H41" s="237" t="s">
        <v>799</v>
      </c>
      <c r="I41" s="991" t="s">
        <v>1100</v>
      </c>
      <c r="J41" s="237"/>
      <c r="K41" s="237"/>
      <c r="L41" s="237"/>
      <c r="M41" s="237"/>
      <c r="N41" s="854">
        <v>45412</v>
      </c>
      <c r="O41" s="811" t="s">
        <v>1040</v>
      </c>
      <c r="P41" s="855" t="s">
        <v>1041</v>
      </c>
      <c r="Q41" s="856"/>
      <c r="R41" s="856" t="s">
        <v>861</v>
      </c>
      <c r="S41" s="857" t="s">
        <v>1072</v>
      </c>
      <c r="T41" s="842"/>
      <c r="U41" s="234"/>
      <c r="V41" s="234"/>
      <c r="W41" s="809">
        <v>44840</v>
      </c>
      <c r="X41" s="843" t="s">
        <v>1101</v>
      </c>
      <c r="Y41" s="1033"/>
      <c r="Z41" s="812" t="s">
        <v>900</v>
      </c>
      <c r="AA41" s="809" t="s">
        <v>1095</v>
      </c>
      <c r="AB41" s="809"/>
      <c r="AC41" s="858">
        <v>3454039400</v>
      </c>
      <c r="AD41" s="858">
        <v>1104028365</v>
      </c>
      <c r="AE41" s="858">
        <v>2350011035</v>
      </c>
      <c r="AF41" s="858">
        <v>60256693</v>
      </c>
      <c r="AG41" s="858">
        <v>60256693</v>
      </c>
      <c r="AH41" s="858">
        <v>60256693</v>
      </c>
      <c r="AI41" s="858">
        <v>60256693</v>
      </c>
      <c r="AJ41" s="858">
        <v>60256693</v>
      </c>
      <c r="AK41" s="858">
        <v>60256693</v>
      </c>
      <c r="AL41" s="858">
        <v>60256693</v>
      </c>
      <c r="AM41" s="858">
        <v>60256693</v>
      </c>
      <c r="AN41" s="858">
        <v>60256693</v>
      </c>
      <c r="AO41" s="858">
        <v>60256693</v>
      </c>
      <c r="AP41" s="858">
        <v>60256693</v>
      </c>
      <c r="AQ41" s="858">
        <v>60256693</v>
      </c>
      <c r="AR41" s="197">
        <f t="shared" si="2"/>
        <v>723080316</v>
      </c>
      <c r="AS41" s="825">
        <f t="shared" si="10"/>
        <v>1626930719</v>
      </c>
      <c r="AU41" s="1060" t="e">
        <f>#REF!</f>
        <v>#REF!</v>
      </c>
      <c r="AV41" s="838" t="e">
        <f t="shared" si="26"/>
        <v>#REF!</v>
      </c>
      <c r="AX41" s="220">
        <f t="shared" si="21"/>
        <v>120</v>
      </c>
      <c r="AY41" s="220" t="e">
        <f>YEAR(#REF!)</f>
        <v>#REF!</v>
      </c>
      <c r="AZ41" s="838" t="e">
        <f>MONTH(#REF!)</f>
        <v>#REF!</v>
      </c>
      <c r="BB41" s="838" t="e">
        <f t="shared" si="25"/>
        <v>#REF!</v>
      </c>
      <c r="BC41" s="1073" t="e">
        <f>#REF!/BB41</f>
        <v>#REF!</v>
      </c>
    </row>
    <row r="42" spans="1:55" ht="25" x14ac:dyDescent="0.35">
      <c r="A42" s="237" t="s">
        <v>803</v>
      </c>
      <c r="B42" s="237"/>
      <c r="C42" s="237"/>
      <c r="D42" s="237"/>
      <c r="E42" s="237"/>
      <c r="F42" s="237"/>
      <c r="G42" s="237"/>
      <c r="H42" s="237"/>
      <c r="I42" s="991"/>
      <c r="J42" s="237"/>
      <c r="K42" s="237"/>
      <c r="L42" s="237"/>
      <c r="M42" s="237"/>
      <c r="N42" s="484"/>
      <c r="O42" s="237"/>
      <c r="P42" s="482"/>
      <c r="Q42" s="234"/>
      <c r="R42" s="234"/>
      <c r="S42" s="482" t="s">
        <v>1093</v>
      </c>
      <c r="T42" s="482"/>
      <c r="U42" s="234"/>
      <c r="V42" s="234"/>
      <c r="W42" s="234"/>
      <c r="X42" s="807" t="s">
        <v>1102</v>
      </c>
      <c r="Y42" s="1024">
        <v>627</v>
      </c>
      <c r="Z42" s="238">
        <v>6274001901</v>
      </c>
      <c r="AA42" s="236" t="s">
        <v>1095</v>
      </c>
      <c r="AB42" s="236" t="s">
        <v>1096</v>
      </c>
      <c r="AC42" s="202">
        <f>SUM(AC43:AC44)</f>
        <v>797993464</v>
      </c>
      <c r="AD42" s="202">
        <f t="shared" si="14"/>
        <v>414582295</v>
      </c>
      <c r="AE42" s="202">
        <f>SUM(AE43:AE44)</f>
        <v>383411169</v>
      </c>
      <c r="AF42" s="202">
        <f t="shared" ref="AF42:AR42" si="27">SUM(AF43:AF44)</f>
        <v>13088523</v>
      </c>
      <c r="AG42" s="202">
        <f t="shared" si="27"/>
        <v>13088523</v>
      </c>
      <c r="AH42" s="202">
        <f t="shared" si="27"/>
        <v>13088523</v>
      </c>
      <c r="AI42" s="202">
        <f t="shared" si="27"/>
        <v>13088523</v>
      </c>
      <c r="AJ42" s="202">
        <f t="shared" si="27"/>
        <v>13088523</v>
      </c>
      <c r="AK42" s="202">
        <f t="shared" si="27"/>
        <v>13088523</v>
      </c>
      <c r="AL42" s="202">
        <f t="shared" si="27"/>
        <v>13088523</v>
      </c>
      <c r="AM42" s="202">
        <f t="shared" si="27"/>
        <v>13088523</v>
      </c>
      <c r="AN42" s="202">
        <f t="shared" si="27"/>
        <v>13088523</v>
      </c>
      <c r="AO42" s="202">
        <f t="shared" si="27"/>
        <v>13088523</v>
      </c>
      <c r="AP42" s="202">
        <f t="shared" si="27"/>
        <v>13088523</v>
      </c>
      <c r="AQ42" s="202">
        <f t="shared" si="27"/>
        <v>13088523</v>
      </c>
      <c r="AR42" s="202">
        <f t="shared" si="27"/>
        <v>157062276</v>
      </c>
      <c r="AS42" s="202">
        <f>AE42-AR42</f>
        <v>226348893</v>
      </c>
      <c r="BC42" s="1073"/>
    </row>
    <row r="43" spans="1:55" ht="112.5" x14ac:dyDescent="0.35">
      <c r="A43" s="237"/>
      <c r="B43" s="237"/>
      <c r="C43" s="237"/>
      <c r="D43" s="237"/>
      <c r="E43" s="237"/>
      <c r="F43" s="237"/>
      <c r="G43" s="237"/>
      <c r="H43" s="237" t="s">
        <v>799</v>
      </c>
      <c r="I43" s="1016" t="s">
        <v>968</v>
      </c>
      <c r="J43" s="237"/>
      <c r="K43" s="237"/>
      <c r="L43" s="237"/>
      <c r="M43" s="237"/>
      <c r="N43" s="854">
        <v>44927</v>
      </c>
      <c r="O43" s="811" t="s">
        <v>909</v>
      </c>
      <c r="P43" s="855" t="s">
        <v>1041</v>
      </c>
      <c r="Q43" s="856"/>
      <c r="R43" s="856" t="s">
        <v>859</v>
      </c>
      <c r="S43" s="857" t="s">
        <v>1063</v>
      </c>
      <c r="T43" s="842"/>
      <c r="U43" s="234"/>
      <c r="V43" s="234"/>
      <c r="W43" s="809">
        <v>44694</v>
      </c>
      <c r="X43" s="843" t="s">
        <v>2109</v>
      </c>
      <c r="Y43" s="1033"/>
      <c r="Z43" s="812" t="s">
        <v>900</v>
      </c>
      <c r="AA43" s="809" t="s">
        <v>1095</v>
      </c>
      <c r="AB43" s="809"/>
      <c r="AC43" s="858">
        <v>219905500</v>
      </c>
      <c r="AD43" s="858">
        <v>102622565</v>
      </c>
      <c r="AE43" s="858">
        <v>117282935</v>
      </c>
      <c r="AF43" s="858">
        <v>2443394</v>
      </c>
      <c r="AG43" s="858">
        <v>2443394</v>
      </c>
      <c r="AH43" s="858">
        <v>2443394</v>
      </c>
      <c r="AI43" s="858">
        <v>2443394</v>
      </c>
      <c r="AJ43" s="858">
        <v>2443394</v>
      </c>
      <c r="AK43" s="858">
        <v>2443394</v>
      </c>
      <c r="AL43" s="858">
        <v>2443394</v>
      </c>
      <c r="AM43" s="858">
        <v>2443394</v>
      </c>
      <c r="AN43" s="858">
        <v>2443394</v>
      </c>
      <c r="AO43" s="858">
        <v>2443394</v>
      </c>
      <c r="AP43" s="858">
        <v>2443394</v>
      </c>
      <c r="AQ43" s="858">
        <v>2443394</v>
      </c>
      <c r="AR43" s="197">
        <f>SUM(AF43:AQ43)</f>
        <v>29320728</v>
      </c>
      <c r="AS43" s="825"/>
      <c r="AU43" s="1060" t="e">
        <f>#REF!</f>
        <v>#REF!</v>
      </c>
      <c r="AV43" s="838" t="e">
        <f t="shared" ref="AV43:AV44" si="28">IF(AY43=2022,(12*3),IF(AY43=2023,(12*2),IF(AY43=2024,(12*1),IF(AY43=2025,0))))+(12-AZ43+1)</f>
        <v>#REF!</v>
      </c>
      <c r="AW43" s="838"/>
      <c r="AX43" s="220">
        <f t="shared" si="21"/>
        <v>120</v>
      </c>
      <c r="AY43" s="220" t="e">
        <f>YEAR(#REF!)</f>
        <v>#REF!</v>
      </c>
      <c r="AZ43" s="838" t="e">
        <f>MONTH(#REF!)</f>
        <v>#REF!</v>
      </c>
      <c r="BB43" s="838" t="e">
        <f t="shared" ref="BB43:BB44" si="29">AX43-AV43</f>
        <v>#REF!</v>
      </c>
      <c r="BC43" s="1073" t="e">
        <f>#REF!/BB43</f>
        <v>#REF!</v>
      </c>
    </row>
    <row r="44" spans="1:55" ht="87.5" x14ac:dyDescent="0.35">
      <c r="A44" s="237"/>
      <c r="B44" s="237"/>
      <c r="C44" s="237"/>
      <c r="D44" s="237"/>
      <c r="E44" s="237"/>
      <c r="F44" s="237"/>
      <c r="G44" s="237"/>
      <c r="H44" s="237" t="s">
        <v>799</v>
      </c>
      <c r="I44" s="991" t="s">
        <v>1097</v>
      </c>
      <c r="J44" s="237"/>
      <c r="K44" s="237"/>
      <c r="L44" s="237"/>
      <c r="M44" s="237"/>
      <c r="N44" s="854">
        <v>44927</v>
      </c>
      <c r="O44" s="811" t="s">
        <v>1040</v>
      </c>
      <c r="P44" s="855" t="s">
        <v>1041</v>
      </c>
      <c r="Q44" s="856"/>
      <c r="R44" s="856" t="s">
        <v>861</v>
      </c>
      <c r="S44" s="857" t="s">
        <v>1072</v>
      </c>
      <c r="T44" s="842"/>
      <c r="U44" s="234"/>
      <c r="V44" s="234"/>
      <c r="W44" s="809">
        <v>44801</v>
      </c>
      <c r="X44" s="843" t="s">
        <v>1099</v>
      </c>
      <c r="Y44" s="1033"/>
      <c r="Z44" s="812" t="s">
        <v>900</v>
      </c>
      <c r="AA44" s="809" t="s">
        <v>1095</v>
      </c>
      <c r="AB44" s="809"/>
      <c r="AC44" s="858">
        <v>578087964</v>
      </c>
      <c r="AD44" s="858">
        <v>311959730</v>
      </c>
      <c r="AE44" s="858">
        <v>266128234</v>
      </c>
      <c r="AF44" s="858">
        <v>10645129</v>
      </c>
      <c r="AG44" s="858">
        <v>10645129</v>
      </c>
      <c r="AH44" s="858">
        <v>10645129</v>
      </c>
      <c r="AI44" s="858">
        <v>10645129</v>
      </c>
      <c r="AJ44" s="858">
        <v>10645129</v>
      </c>
      <c r="AK44" s="858">
        <v>10645129</v>
      </c>
      <c r="AL44" s="858">
        <v>10645129</v>
      </c>
      <c r="AM44" s="858">
        <v>10645129</v>
      </c>
      <c r="AN44" s="858">
        <v>10645129</v>
      </c>
      <c r="AO44" s="858">
        <v>10645129</v>
      </c>
      <c r="AP44" s="858">
        <v>10645129</v>
      </c>
      <c r="AQ44" s="858">
        <v>10645129</v>
      </c>
      <c r="AR44" s="197">
        <f t="shared" ref="AR44" si="30">SUM(AF44:AQ44)</f>
        <v>127741548</v>
      </c>
      <c r="AS44" s="825">
        <f t="shared" ref="AS44" si="31">AE44-AR44</f>
        <v>138386686</v>
      </c>
      <c r="AU44" s="1060" t="e">
        <f>#REF!</f>
        <v>#REF!</v>
      </c>
      <c r="AV44" s="838" t="e">
        <f t="shared" si="28"/>
        <v>#REF!</v>
      </c>
      <c r="AX44" s="220">
        <f t="shared" si="21"/>
        <v>120</v>
      </c>
      <c r="AY44" s="220" t="e">
        <f>YEAR(#REF!)</f>
        <v>#REF!</v>
      </c>
      <c r="AZ44" s="838" t="e">
        <f>MONTH(#REF!)</f>
        <v>#REF!</v>
      </c>
      <c r="BB44" s="838" t="e">
        <f t="shared" si="29"/>
        <v>#REF!</v>
      </c>
      <c r="BC44" s="1073" t="e">
        <f>#REF!/BB44</f>
        <v>#REF!</v>
      </c>
    </row>
    <row r="45" spans="1:55" ht="25" x14ac:dyDescent="0.35">
      <c r="A45" s="237" t="s">
        <v>804</v>
      </c>
      <c r="B45" s="237"/>
      <c r="C45" s="237"/>
      <c r="D45" s="237"/>
      <c r="E45" s="237"/>
      <c r="F45" s="237"/>
      <c r="G45" s="237"/>
      <c r="H45" s="237"/>
      <c r="I45" s="991"/>
      <c r="J45" s="237"/>
      <c r="K45" s="237"/>
      <c r="L45" s="237"/>
      <c r="M45" s="237"/>
      <c r="N45" s="484"/>
      <c r="O45" s="237"/>
      <c r="P45" s="482"/>
      <c r="Q45" s="234"/>
      <c r="R45" s="234"/>
      <c r="S45" s="482" t="s">
        <v>1093</v>
      </c>
      <c r="T45" s="482"/>
      <c r="U45" s="234"/>
      <c r="V45" s="234"/>
      <c r="W45" s="234"/>
      <c r="X45" s="807" t="s">
        <v>1103</v>
      </c>
      <c r="Y45" s="1024">
        <v>627</v>
      </c>
      <c r="Z45" s="238">
        <v>6274001901</v>
      </c>
      <c r="AA45" s="236" t="s">
        <v>1095</v>
      </c>
      <c r="AB45" s="236" t="s">
        <v>1096</v>
      </c>
      <c r="AC45" s="202"/>
      <c r="AD45" s="202">
        <f t="shared" si="14"/>
        <v>0</v>
      </c>
      <c r="AE45" s="202"/>
      <c r="AF45" s="810"/>
      <c r="AG45" s="810"/>
      <c r="AH45" s="810"/>
      <c r="AI45" s="810"/>
      <c r="AJ45" s="810"/>
      <c r="AK45" s="810"/>
      <c r="AL45" s="810"/>
      <c r="AM45" s="810"/>
      <c r="AN45" s="810"/>
      <c r="AO45" s="810"/>
      <c r="AP45" s="810"/>
      <c r="AQ45" s="810"/>
      <c r="AR45" s="810"/>
      <c r="AS45" s="202">
        <f t="shared" si="10"/>
        <v>0</v>
      </c>
      <c r="AW45" s="838"/>
      <c r="BC45" s="1073"/>
    </row>
    <row r="46" spans="1:55" ht="50" x14ac:dyDescent="0.35">
      <c r="A46" s="237" t="s">
        <v>805</v>
      </c>
      <c r="B46" s="237"/>
      <c r="C46" s="237"/>
      <c r="D46" s="237"/>
      <c r="E46" s="237"/>
      <c r="F46" s="237"/>
      <c r="G46" s="237"/>
      <c r="H46" s="237"/>
      <c r="I46" s="991"/>
      <c r="J46" s="237"/>
      <c r="K46" s="237"/>
      <c r="L46" s="237"/>
      <c r="M46" s="237"/>
      <c r="N46" s="484"/>
      <c r="O46" s="237"/>
      <c r="P46" s="482"/>
      <c r="Q46" s="234"/>
      <c r="R46" s="234"/>
      <c r="S46" s="482" t="s">
        <v>1093</v>
      </c>
      <c r="T46" s="482"/>
      <c r="U46" s="234"/>
      <c r="V46" s="234"/>
      <c r="W46" s="234"/>
      <c r="X46" s="807" t="s">
        <v>1104</v>
      </c>
      <c r="Y46" s="1024">
        <v>627</v>
      </c>
      <c r="Z46" s="238">
        <v>6274001901</v>
      </c>
      <c r="AA46" s="236" t="s">
        <v>1095</v>
      </c>
      <c r="AB46" s="236" t="s">
        <v>1096</v>
      </c>
      <c r="AC46" s="202"/>
      <c r="AD46" s="202">
        <f>AC46-AE46</f>
        <v>0</v>
      </c>
      <c r="AE46" s="202"/>
      <c r="AF46" s="810"/>
      <c r="AG46" s="810"/>
      <c r="AH46" s="810"/>
      <c r="AI46" s="810"/>
      <c r="AJ46" s="810"/>
      <c r="AK46" s="810"/>
      <c r="AL46" s="810"/>
      <c r="AM46" s="810"/>
      <c r="AN46" s="810"/>
      <c r="AO46" s="810"/>
      <c r="AP46" s="810"/>
      <c r="AQ46" s="810"/>
      <c r="AR46" s="810"/>
      <c r="AS46" s="202">
        <f t="shared" si="10"/>
        <v>0</v>
      </c>
      <c r="BC46" s="1073"/>
    </row>
    <row r="47" spans="1:55" ht="25" x14ac:dyDescent="0.35">
      <c r="A47" s="237" t="s">
        <v>806</v>
      </c>
      <c r="B47" s="237"/>
      <c r="C47" s="237"/>
      <c r="D47" s="237"/>
      <c r="E47" s="237"/>
      <c r="F47" s="237"/>
      <c r="G47" s="237"/>
      <c r="H47" s="237"/>
      <c r="I47" s="991"/>
      <c r="J47" s="237"/>
      <c r="K47" s="237"/>
      <c r="L47" s="237"/>
      <c r="M47" s="237"/>
      <c r="N47" s="484"/>
      <c r="O47" s="237"/>
      <c r="P47" s="482"/>
      <c r="Q47" s="234"/>
      <c r="R47" s="234"/>
      <c r="S47" s="234"/>
      <c r="T47" s="482"/>
      <c r="U47" s="234"/>
      <c r="V47" s="234"/>
      <c r="W47" s="234"/>
      <c r="X47" s="807" t="s">
        <v>1105</v>
      </c>
      <c r="Y47" s="1024">
        <v>627</v>
      </c>
      <c r="Z47" s="238">
        <v>6274001905</v>
      </c>
      <c r="AA47" s="236" t="s">
        <v>1106</v>
      </c>
      <c r="AB47" s="236" t="s">
        <v>1107</v>
      </c>
      <c r="AC47" s="202">
        <f>SUM(AC48:AC49)</f>
        <v>710000000</v>
      </c>
      <c r="AD47" s="202">
        <f t="shared" si="14"/>
        <v>173124998</v>
      </c>
      <c r="AE47" s="202">
        <f t="shared" ref="AE47:AQ47" si="32">SUM(AE48:AE49)</f>
        <v>536875002</v>
      </c>
      <c r="AF47" s="810">
        <f t="shared" si="32"/>
        <v>8541666</v>
      </c>
      <c r="AG47" s="810">
        <f t="shared" si="32"/>
        <v>8541666</v>
      </c>
      <c r="AH47" s="810">
        <f t="shared" si="32"/>
        <v>8541666</v>
      </c>
      <c r="AI47" s="810">
        <f t="shared" si="32"/>
        <v>8541666</v>
      </c>
      <c r="AJ47" s="810">
        <f t="shared" si="32"/>
        <v>8541666</v>
      </c>
      <c r="AK47" s="810">
        <f t="shared" si="32"/>
        <v>8541666</v>
      </c>
      <c r="AL47" s="810">
        <f t="shared" si="32"/>
        <v>8541666</v>
      </c>
      <c r="AM47" s="810">
        <f t="shared" si="32"/>
        <v>8541666</v>
      </c>
      <c r="AN47" s="810">
        <f t="shared" si="32"/>
        <v>8541666</v>
      </c>
      <c r="AO47" s="810">
        <f t="shared" si="32"/>
        <v>8541666</v>
      </c>
      <c r="AP47" s="810">
        <f t="shared" si="32"/>
        <v>8541666</v>
      </c>
      <c r="AQ47" s="810">
        <f t="shared" si="32"/>
        <v>8541666</v>
      </c>
      <c r="AR47" s="810">
        <f t="shared" si="2"/>
        <v>102499992</v>
      </c>
      <c r="AS47" s="202">
        <f t="shared" si="10"/>
        <v>434375010</v>
      </c>
      <c r="BC47" s="1073"/>
    </row>
    <row r="48" spans="1:55" ht="87.5" x14ac:dyDescent="0.35">
      <c r="A48" s="237"/>
      <c r="B48" s="237"/>
      <c r="C48" s="237"/>
      <c r="D48" s="237"/>
      <c r="E48" s="237"/>
      <c r="F48" s="237"/>
      <c r="G48" s="237"/>
      <c r="H48" s="237" t="s">
        <v>799</v>
      </c>
      <c r="I48" s="991" t="s">
        <v>1056</v>
      </c>
      <c r="J48" s="237"/>
      <c r="K48" s="237"/>
      <c r="L48" s="237"/>
      <c r="M48" s="237"/>
      <c r="N48" s="854">
        <v>45762</v>
      </c>
      <c r="O48" s="811" t="s">
        <v>881</v>
      </c>
      <c r="P48" s="855" t="s">
        <v>1041</v>
      </c>
      <c r="Q48" s="856"/>
      <c r="R48" s="856" t="s">
        <v>860</v>
      </c>
      <c r="S48" s="857" t="s">
        <v>1089</v>
      </c>
      <c r="T48" s="842"/>
      <c r="U48" s="234"/>
      <c r="V48" s="234"/>
      <c r="W48" s="809">
        <v>45748</v>
      </c>
      <c r="X48" s="843" t="s">
        <v>1108</v>
      </c>
      <c r="Y48" s="1033"/>
      <c r="Z48" s="812" t="s">
        <v>904</v>
      </c>
      <c r="AA48" s="809" t="s">
        <v>1106</v>
      </c>
      <c r="AB48" s="809"/>
      <c r="AC48" s="858">
        <v>380000000</v>
      </c>
      <c r="AD48" s="858">
        <v>35624999</v>
      </c>
      <c r="AE48" s="858">
        <v>344375001</v>
      </c>
      <c r="AF48" s="858">
        <v>3958333</v>
      </c>
      <c r="AG48" s="858">
        <v>3958333</v>
      </c>
      <c r="AH48" s="858">
        <v>3958333</v>
      </c>
      <c r="AI48" s="858">
        <v>3958333</v>
      </c>
      <c r="AJ48" s="858">
        <v>3958333</v>
      </c>
      <c r="AK48" s="858">
        <v>3958333</v>
      </c>
      <c r="AL48" s="858">
        <v>3958333</v>
      </c>
      <c r="AM48" s="858">
        <v>3958333</v>
      </c>
      <c r="AN48" s="858">
        <v>3958333</v>
      </c>
      <c r="AO48" s="858">
        <v>3958333</v>
      </c>
      <c r="AP48" s="858">
        <v>3958333</v>
      </c>
      <c r="AQ48" s="858">
        <v>3958333</v>
      </c>
      <c r="AR48" s="197">
        <f>SUM(AF48:AQ48)</f>
        <v>47499996</v>
      </c>
      <c r="AS48" s="825">
        <f t="shared" si="10"/>
        <v>296875005</v>
      </c>
      <c r="AT48" s="220" t="s">
        <v>1109</v>
      </c>
      <c r="AU48" s="1060" t="e">
        <f>#REF!</f>
        <v>#REF!</v>
      </c>
      <c r="AV48" s="838" t="e">
        <f t="shared" ref="AV48:AV49" si="33">IF(AY48=2022,(12*3),IF(AY48=2023,(12*2),IF(AY48=2024,(12*1),IF(AY48=2025,0))))+(12-AZ48+1)</f>
        <v>#REF!</v>
      </c>
      <c r="AX48" s="220">
        <f t="shared" ref="AX48:AX49" si="34">10*12</f>
        <v>120</v>
      </c>
      <c r="AY48" s="220" t="e">
        <f>YEAR(#REF!)</f>
        <v>#REF!</v>
      </c>
      <c r="AZ48" s="838" t="e">
        <f>MONTH(#REF!)</f>
        <v>#REF!</v>
      </c>
      <c r="BC48" s="1073" t="e">
        <f>#REF!</f>
        <v>#REF!</v>
      </c>
    </row>
    <row r="49" spans="1:55" ht="100" x14ac:dyDescent="0.35">
      <c r="A49" s="237"/>
      <c r="B49" s="237"/>
      <c r="C49" s="237"/>
      <c r="D49" s="237"/>
      <c r="E49" s="237"/>
      <c r="F49" s="237"/>
      <c r="G49" s="237"/>
      <c r="H49" s="237" t="s">
        <v>799</v>
      </c>
      <c r="I49" s="991" t="s">
        <v>967</v>
      </c>
      <c r="J49" s="237"/>
      <c r="K49" s="237"/>
      <c r="L49" s="237"/>
      <c r="M49" s="237"/>
      <c r="N49" s="854">
        <v>45108</v>
      </c>
      <c r="O49" s="811" t="s">
        <v>1110</v>
      </c>
      <c r="P49" s="855" t="s">
        <v>1041</v>
      </c>
      <c r="Q49" s="856"/>
      <c r="R49" s="856" t="s">
        <v>860</v>
      </c>
      <c r="S49" s="857" t="s">
        <v>1089</v>
      </c>
      <c r="T49" s="842"/>
      <c r="U49" s="234"/>
      <c r="V49" s="234"/>
      <c r="W49" s="809">
        <v>44912</v>
      </c>
      <c r="X49" s="843" t="s">
        <v>1111</v>
      </c>
      <c r="Y49" s="1033"/>
      <c r="Z49" s="812" t="s">
        <v>904</v>
      </c>
      <c r="AA49" s="809" t="s">
        <v>1106</v>
      </c>
      <c r="AB49" s="809"/>
      <c r="AC49" s="858">
        <v>330000000</v>
      </c>
      <c r="AD49" s="858">
        <v>137499999</v>
      </c>
      <c r="AE49" s="858">
        <v>192500001</v>
      </c>
      <c r="AF49" s="858">
        <v>4583333</v>
      </c>
      <c r="AG49" s="858">
        <v>4583333</v>
      </c>
      <c r="AH49" s="858">
        <v>4583333</v>
      </c>
      <c r="AI49" s="858">
        <v>4583333</v>
      </c>
      <c r="AJ49" s="858">
        <v>4583333</v>
      </c>
      <c r="AK49" s="858">
        <v>4583333</v>
      </c>
      <c r="AL49" s="858">
        <v>4583333</v>
      </c>
      <c r="AM49" s="858">
        <v>4583333</v>
      </c>
      <c r="AN49" s="858">
        <v>4583333</v>
      </c>
      <c r="AO49" s="858">
        <v>4583333</v>
      </c>
      <c r="AP49" s="858">
        <v>4583333</v>
      </c>
      <c r="AQ49" s="858">
        <v>4583333</v>
      </c>
      <c r="AR49" s="197">
        <f>SUM(AF49:AQ49)</f>
        <v>54999996</v>
      </c>
      <c r="AS49" s="825">
        <f t="shared" si="10"/>
        <v>137500005</v>
      </c>
      <c r="AT49" s="220" t="s">
        <v>1112</v>
      </c>
      <c r="AU49" s="1060" t="e">
        <f>#REF!</f>
        <v>#REF!</v>
      </c>
      <c r="AV49" s="838" t="e">
        <f t="shared" si="33"/>
        <v>#REF!</v>
      </c>
      <c r="AX49" s="220">
        <f t="shared" si="34"/>
        <v>120</v>
      </c>
      <c r="AY49" s="220" t="e">
        <f>YEAR(#REF!)</f>
        <v>#REF!</v>
      </c>
      <c r="AZ49" s="838" t="e">
        <f>MONTH(#REF!)</f>
        <v>#REF!</v>
      </c>
      <c r="BC49" s="1073" t="e">
        <f>#REF!</f>
        <v>#REF!</v>
      </c>
    </row>
    <row r="50" spans="1:55" ht="25" x14ac:dyDescent="0.35">
      <c r="A50" s="237" t="s">
        <v>807</v>
      </c>
      <c r="B50" s="237"/>
      <c r="C50" s="237"/>
      <c r="D50" s="237"/>
      <c r="E50" s="237"/>
      <c r="F50" s="237"/>
      <c r="G50" s="237"/>
      <c r="H50" s="237"/>
      <c r="I50" s="991"/>
      <c r="J50" s="237"/>
      <c r="K50" s="237"/>
      <c r="L50" s="237"/>
      <c r="M50" s="237"/>
      <c r="N50" s="484"/>
      <c r="O50" s="237"/>
      <c r="P50" s="482"/>
      <c r="Q50" s="234"/>
      <c r="R50" s="234"/>
      <c r="S50" s="234"/>
      <c r="T50" s="482"/>
      <c r="U50" s="234"/>
      <c r="V50" s="234"/>
      <c r="W50" s="234"/>
      <c r="X50" s="807" t="s">
        <v>1113</v>
      </c>
      <c r="Y50" s="1024">
        <v>627</v>
      </c>
      <c r="Z50" s="238">
        <v>6274001905</v>
      </c>
      <c r="AA50" s="236" t="s">
        <v>1106</v>
      </c>
      <c r="AB50" s="236" t="s">
        <v>1107</v>
      </c>
      <c r="AC50" s="202">
        <v>440000000</v>
      </c>
      <c r="AD50" s="202">
        <f t="shared" si="14"/>
        <v>342444431</v>
      </c>
      <c r="AE50" s="202">
        <v>97555569</v>
      </c>
      <c r="AF50" s="810">
        <f>SUM(AF51:AF54)</f>
        <v>15123271</v>
      </c>
      <c r="AG50" s="810">
        <f t="shared" ref="AG50:AQ50" si="35">SUM(AG51:AG54)</f>
        <v>15123271</v>
      </c>
      <c r="AH50" s="810">
        <f t="shared" si="35"/>
        <v>15123271</v>
      </c>
      <c r="AI50" s="810">
        <f t="shared" si="35"/>
        <v>15123271</v>
      </c>
      <c r="AJ50" s="810">
        <f t="shared" si="35"/>
        <v>15123271</v>
      </c>
      <c r="AK50" s="810">
        <f t="shared" si="35"/>
        <v>15123271</v>
      </c>
      <c r="AL50" s="810">
        <f t="shared" si="35"/>
        <v>15123271</v>
      </c>
      <c r="AM50" s="810">
        <f t="shared" si="35"/>
        <v>15123271</v>
      </c>
      <c r="AN50" s="810">
        <f t="shared" si="35"/>
        <v>15123271</v>
      </c>
      <c r="AO50" s="810">
        <f t="shared" si="35"/>
        <v>15123271</v>
      </c>
      <c r="AP50" s="810">
        <f t="shared" si="35"/>
        <v>15123271</v>
      </c>
      <c r="AQ50" s="810">
        <f t="shared" si="35"/>
        <v>15123271</v>
      </c>
      <c r="AR50" s="810">
        <f t="shared" si="2"/>
        <v>181479252</v>
      </c>
      <c r="AS50" s="202">
        <f t="shared" si="10"/>
        <v>-83923683</v>
      </c>
      <c r="BC50" s="1073"/>
    </row>
    <row r="51" spans="1:55" ht="87.5" x14ac:dyDescent="0.35">
      <c r="A51" s="237"/>
      <c r="B51" s="237"/>
      <c r="C51" s="237"/>
      <c r="D51" s="237"/>
      <c r="E51" s="237"/>
      <c r="F51" s="237"/>
      <c r="G51" s="237"/>
      <c r="H51" s="237" t="s">
        <v>799</v>
      </c>
      <c r="I51" s="991" t="s">
        <v>1056</v>
      </c>
      <c r="J51" s="237"/>
      <c r="K51" s="237"/>
      <c r="L51" s="237"/>
      <c r="M51" s="237"/>
      <c r="N51" s="854">
        <v>45762</v>
      </c>
      <c r="O51" s="811" t="s">
        <v>1114</v>
      </c>
      <c r="P51" s="855" t="s">
        <v>1041</v>
      </c>
      <c r="Q51" s="856"/>
      <c r="R51" s="856" t="s">
        <v>860</v>
      </c>
      <c r="S51" s="857" t="s">
        <v>1089</v>
      </c>
      <c r="T51" s="842"/>
      <c r="U51" s="234"/>
      <c r="V51" s="234"/>
      <c r="W51" s="809">
        <v>45748</v>
      </c>
      <c r="X51" s="843" t="s">
        <v>1115</v>
      </c>
      <c r="Y51" s="1033"/>
      <c r="Z51" s="812" t="s">
        <v>904</v>
      </c>
      <c r="AA51" s="809" t="s">
        <v>1106</v>
      </c>
      <c r="AB51" s="809"/>
      <c r="AC51" s="858">
        <v>100000000</v>
      </c>
      <c r="AD51" s="858">
        <v>37500001</v>
      </c>
      <c r="AE51" s="858">
        <v>62499999</v>
      </c>
      <c r="AF51" s="858">
        <v>4166667</v>
      </c>
      <c r="AG51" s="858">
        <v>4166667</v>
      </c>
      <c r="AH51" s="858">
        <v>4166667</v>
      </c>
      <c r="AI51" s="858">
        <v>4166667</v>
      </c>
      <c r="AJ51" s="858">
        <v>4166667</v>
      </c>
      <c r="AK51" s="858">
        <v>4166667</v>
      </c>
      <c r="AL51" s="858">
        <v>4166667</v>
      </c>
      <c r="AM51" s="858">
        <v>4166667</v>
      </c>
      <c r="AN51" s="858">
        <v>4166667</v>
      </c>
      <c r="AO51" s="858">
        <v>4166667</v>
      </c>
      <c r="AP51" s="858">
        <v>4166667</v>
      </c>
      <c r="AQ51" s="858">
        <v>4166667</v>
      </c>
      <c r="AR51" s="197">
        <f>SUM(AF51:AQ51)</f>
        <v>50000004</v>
      </c>
      <c r="AS51" s="825">
        <f t="shared" si="10"/>
        <v>12499995</v>
      </c>
      <c r="AT51" s="220" t="s">
        <v>1116</v>
      </c>
      <c r="AU51" s="1060" t="e">
        <f>#REF!</f>
        <v>#REF!</v>
      </c>
      <c r="AV51" s="838" t="e">
        <f t="shared" ref="AV51:AV54" si="36">IF(AY51=2022,(12*3),IF(AY51=2023,(12*2),IF(AY51=2024,(12*1),IF(AY51=2025,0))))+(12-AZ51+1)</f>
        <v>#REF!</v>
      </c>
      <c r="AX51" s="220">
        <f t="shared" ref="AX51:AX54" si="37">10*12</f>
        <v>120</v>
      </c>
      <c r="AY51" s="220" t="e">
        <f>YEAR(#REF!)</f>
        <v>#REF!</v>
      </c>
      <c r="AZ51" s="838" t="e">
        <f>MONTH(#REF!)</f>
        <v>#REF!</v>
      </c>
      <c r="BC51" s="1073" t="e">
        <f>#REF!</f>
        <v>#REF!</v>
      </c>
    </row>
    <row r="52" spans="1:55" ht="62.5" x14ac:dyDescent="0.35">
      <c r="A52" s="237"/>
      <c r="B52" s="237"/>
      <c r="C52" s="237"/>
      <c r="D52" s="237"/>
      <c r="E52" s="237"/>
      <c r="F52" s="237"/>
      <c r="G52" s="237"/>
      <c r="H52" s="237" t="s">
        <v>799</v>
      </c>
      <c r="I52" s="991" t="s">
        <v>1117</v>
      </c>
      <c r="J52" s="237"/>
      <c r="K52" s="237"/>
      <c r="L52" s="237"/>
      <c r="M52" s="237"/>
      <c r="N52" s="854">
        <v>44713</v>
      </c>
      <c r="O52" s="811" t="s">
        <v>1110</v>
      </c>
      <c r="P52" s="855" t="s">
        <v>1041</v>
      </c>
      <c r="Q52" s="856"/>
      <c r="R52" s="856" t="s">
        <v>860</v>
      </c>
      <c r="S52" s="857" t="s">
        <v>1089</v>
      </c>
      <c r="T52" s="842"/>
      <c r="U52" s="234"/>
      <c r="V52" s="234"/>
      <c r="W52" s="809">
        <v>44616</v>
      </c>
      <c r="X52" s="843" t="s">
        <v>1118</v>
      </c>
      <c r="Y52" s="1033"/>
      <c r="Z52" s="812" t="s">
        <v>904</v>
      </c>
      <c r="AA52" s="809" t="s">
        <v>1106</v>
      </c>
      <c r="AB52" s="809"/>
      <c r="AC52" s="858">
        <v>122000000</v>
      </c>
      <c r="AD52" s="858">
        <v>76384277</v>
      </c>
      <c r="AE52" s="858">
        <v>45615723</v>
      </c>
      <c r="AF52" s="858">
        <v>1572956</v>
      </c>
      <c r="AG52" s="858">
        <v>1572956</v>
      </c>
      <c r="AH52" s="858">
        <v>1572956</v>
      </c>
      <c r="AI52" s="858">
        <v>1572956</v>
      </c>
      <c r="AJ52" s="858">
        <v>1572956</v>
      </c>
      <c r="AK52" s="858">
        <v>1572956</v>
      </c>
      <c r="AL52" s="858">
        <v>1572956</v>
      </c>
      <c r="AM52" s="858">
        <v>1572956</v>
      </c>
      <c r="AN52" s="858">
        <v>1572956</v>
      </c>
      <c r="AO52" s="858">
        <v>1572956</v>
      </c>
      <c r="AP52" s="858">
        <v>1572956</v>
      </c>
      <c r="AQ52" s="858">
        <v>1572956</v>
      </c>
      <c r="AR52" s="197">
        <f>SUM(AF52:AQ52)</f>
        <v>18875472</v>
      </c>
      <c r="AS52" s="825">
        <f t="shared" si="10"/>
        <v>26740251</v>
      </c>
      <c r="AT52" s="220" t="s">
        <v>1119</v>
      </c>
      <c r="AU52" s="1060" t="e">
        <f>#REF!</f>
        <v>#REF!</v>
      </c>
      <c r="AV52" s="838" t="e">
        <f t="shared" si="36"/>
        <v>#REF!</v>
      </c>
      <c r="AX52" s="220">
        <f t="shared" si="37"/>
        <v>120</v>
      </c>
      <c r="AY52" s="220" t="e">
        <f>YEAR(#REF!)</f>
        <v>#REF!</v>
      </c>
      <c r="AZ52" s="838" t="e">
        <f>MONTH(#REF!)</f>
        <v>#REF!</v>
      </c>
      <c r="BC52" s="1073" t="e">
        <f>#REF!</f>
        <v>#REF!</v>
      </c>
    </row>
    <row r="53" spans="1:55" ht="100" x14ac:dyDescent="0.35">
      <c r="A53" s="237"/>
      <c r="B53" s="237"/>
      <c r="C53" s="237"/>
      <c r="D53" s="237"/>
      <c r="E53" s="237"/>
      <c r="F53" s="237"/>
      <c r="G53" s="237"/>
      <c r="H53" s="237" t="s">
        <v>799</v>
      </c>
      <c r="I53" s="991" t="s">
        <v>1120</v>
      </c>
      <c r="J53" s="237"/>
      <c r="K53" s="237"/>
      <c r="L53" s="237"/>
      <c r="M53" s="237"/>
      <c r="N53" s="854">
        <v>44927</v>
      </c>
      <c r="O53" s="811" t="s">
        <v>1110</v>
      </c>
      <c r="P53" s="855" t="s">
        <v>1041</v>
      </c>
      <c r="Q53" s="856"/>
      <c r="R53" s="856" t="s">
        <v>860</v>
      </c>
      <c r="S53" s="857" t="s">
        <v>1089</v>
      </c>
      <c r="T53" s="842"/>
      <c r="U53" s="234"/>
      <c r="V53" s="234"/>
      <c r="W53" s="809">
        <v>44884</v>
      </c>
      <c r="X53" s="843" t="s">
        <v>1121</v>
      </c>
      <c r="Y53" s="1033"/>
      <c r="Z53" s="812" t="s">
        <v>904</v>
      </c>
      <c r="AA53" s="809" t="s">
        <v>1106</v>
      </c>
      <c r="AB53" s="809"/>
      <c r="AC53" s="858">
        <v>360000000</v>
      </c>
      <c r="AD53" s="858">
        <v>180000000</v>
      </c>
      <c r="AE53" s="858">
        <v>180000000</v>
      </c>
      <c r="AF53" s="858">
        <v>5000000</v>
      </c>
      <c r="AG53" s="858">
        <v>5000000</v>
      </c>
      <c r="AH53" s="858">
        <v>5000000</v>
      </c>
      <c r="AI53" s="858">
        <v>5000000</v>
      </c>
      <c r="AJ53" s="858">
        <v>5000000</v>
      </c>
      <c r="AK53" s="858">
        <v>5000000</v>
      </c>
      <c r="AL53" s="858">
        <v>5000000</v>
      </c>
      <c r="AM53" s="858">
        <v>5000000</v>
      </c>
      <c r="AN53" s="858">
        <v>5000000</v>
      </c>
      <c r="AO53" s="858">
        <v>5000000</v>
      </c>
      <c r="AP53" s="858">
        <v>5000000</v>
      </c>
      <c r="AQ53" s="858">
        <v>5000000</v>
      </c>
      <c r="AR53" s="197">
        <f>SUM(AF53:AQ53)</f>
        <v>60000000</v>
      </c>
      <c r="AS53" s="825"/>
      <c r="AT53" s="220" t="s">
        <v>1122</v>
      </c>
      <c r="AU53" s="1060" t="e">
        <f>#REF!</f>
        <v>#REF!</v>
      </c>
      <c r="AV53" s="838" t="e">
        <f t="shared" si="36"/>
        <v>#REF!</v>
      </c>
      <c r="AX53" s="220">
        <f t="shared" si="37"/>
        <v>120</v>
      </c>
      <c r="AY53" s="220" t="e">
        <f>YEAR(#REF!)</f>
        <v>#REF!</v>
      </c>
      <c r="AZ53" s="838" t="e">
        <f>MONTH(#REF!)</f>
        <v>#REF!</v>
      </c>
      <c r="BC53" s="1073" t="e">
        <f>#REF!</f>
        <v>#REF!</v>
      </c>
    </row>
    <row r="54" spans="1:55" ht="100" x14ac:dyDescent="0.35">
      <c r="A54" s="237"/>
      <c r="B54" s="237"/>
      <c r="C54" s="237"/>
      <c r="D54" s="237"/>
      <c r="E54" s="237"/>
      <c r="F54" s="237"/>
      <c r="G54" s="237"/>
      <c r="H54" s="237" t="s">
        <v>799</v>
      </c>
      <c r="I54" s="991" t="s">
        <v>1123</v>
      </c>
      <c r="J54" s="237"/>
      <c r="K54" s="237"/>
      <c r="L54" s="237"/>
      <c r="M54" s="237"/>
      <c r="N54" s="854">
        <v>44713</v>
      </c>
      <c r="O54" s="811" t="s">
        <v>1110</v>
      </c>
      <c r="P54" s="855" t="s">
        <v>1041</v>
      </c>
      <c r="Q54" s="856"/>
      <c r="R54" s="856" t="s">
        <v>860</v>
      </c>
      <c r="S54" s="857" t="s">
        <v>1089</v>
      </c>
      <c r="T54" s="842"/>
      <c r="U54" s="234"/>
      <c r="V54" s="234"/>
      <c r="W54" s="809">
        <v>44615</v>
      </c>
      <c r="X54" s="843" t="s">
        <v>1124</v>
      </c>
      <c r="Y54" s="1033"/>
      <c r="Z54" s="812" t="s">
        <v>904</v>
      </c>
      <c r="AA54" s="809" t="s">
        <v>1106</v>
      </c>
      <c r="AB54" s="809"/>
      <c r="AC54" s="858">
        <v>340000000</v>
      </c>
      <c r="AD54" s="858">
        <v>212874215</v>
      </c>
      <c r="AE54" s="858">
        <v>127125785</v>
      </c>
      <c r="AF54" s="858">
        <v>4383648</v>
      </c>
      <c r="AG54" s="858">
        <v>4383648</v>
      </c>
      <c r="AH54" s="858">
        <v>4383648</v>
      </c>
      <c r="AI54" s="858">
        <v>4383648</v>
      </c>
      <c r="AJ54" s="858">
        <v>4383648</v>
      </c>
      <c r="AK54" s="858">
        <v>4383648</v>
      </c>
      <c r="AL54" s="858">
        <v>4383648</v>
      </c>
      <c r="AM54" s="858">
        <v>4383648</v>
      </c>
      <c r="AN54" s="858">
        <v>4383648</v>
      </c>
      <c r="AO54" s="858">
        <v>4383648</v>
      </c>
      <c r="AP54" s="858">
        <v>4383648</v>
      </c>
      <c r="AQ54" s="858">
        <v>4383648</v>
      </c>
      <c r="AR54" s="197">
        <f>SUM(AF54:AQ54)</f>
        <v>52603776</v>
      </c>
      <c r="AS54" s="825">
        <f t="shared" si="10"/>
        <v>74522009</v>
      </c>
      <c r="AT54" s="220" t="s">
        <v>1125</v>
      </c>
      <c r="AU54" s="1060" t="e">
        <f>#REF!</f>
        <v>#REF!</v>
      </c>
      <c r="AV54" s="838" t="e">
        <f t="shared" si="36"/>
        <v>#REF!</v>
      </c>
      <c r="AX54" s="220">
        <f t="shared" si="37"/>
        <v>120</v>
      </c>
      <c r="AY54" s="220" t="e">
        <f>YEAR(#REF!)</f>
        <v>#REF!</v>
      </c>
      <c r="AZ54" s="838" t="e">
        <f>MONTH(#REF!)</f>
        <v>#REF!</v>
      </c>
      <c r="BC54" s="1073" t="e">
        <f>#REF!</f>
        <v>#REF!</v>
      </c>
    </row>
    <row r="55" spans="1:55" ht="25" x14ac:dyDescent="0.35">
      <c r="A55" s="237" t="s">
        <v>808</v>
      </c>
      <c r="B55" s="237"/>
      <c r="C55" s="237"/>
      <c r="D55" s="237"/>
      <c r="E55" s="237"/>
      <c r="F55" s="237"/>
      <c r="G55" s="237"/>
      <c r="H55" s="237"/>
      <c r="I55" s="991"/>
      <c r="J55" s="237"/>
      <c r="K55" s="237"/>
      <c r="L55" s="237"/>
      <c r="M55" s="237"/>
      <c r="N55" s="484"/>
      <c r="O55" s="237"/>
      <c r="P55" s="482"/>
      <c r="Q55" s="234"/>
      <c r="R55" s="234"/>
      <c r="S55" s="234"/>
      <c r="T55" s="482"/>
      <c r="U55" s="234"/>
      <c r="V55" s="234"/>
      <c r="W55" s="234"/>
      <c r="X55" s="807" t="s">
        <v>1126</v>
      </c>
      <c r="Y55" s="1024">
        <v>642</v>
      </c>
      <c r="Z55" s="238">
        <v>6424001901</v>
      </c>
      <c r="AA55" s="236" t="s">
        <v>1095</v>
      </c>
      <c r="AB55" s="236" t="s">
        <v>1096</v>
      </c>
      <c r="AC55" s="202">
        <f>SUM(AC56:AC58)</f>
        <v>83000000</v>
      </c>
      <c r="AD55" s="202">
        <f t="shared" si="14"/>
        <v>45834444</v>
      </c>
      <c r="AE55" s="202">
        <f>SUM(AE56:AE58)</f>
        <v>37165556</v>
      </c>
      <c r="AF55" s="810">
        <f>SUM(AF56:AF58)</f>
        <v>1429444</v>
      </c>
      <c r="AG55" s="810">
        <f t="shared" ref="AG55:AQ55" si="38">SUM(AG56:AG58)</f>
        <v>1429444</v>
      </c>
      <c r="AH55" s="810">
        <f t="shared" si="38"/>
        <v>1429444</v>
      </c>
      <c r="AI55" s="810">
        <f t="shared" si="38"/>
        <v>1429444</v>
      </c>
      <c r="AJ55" s="810">
        <f t="shared" si="38"/>
        <v>1429444</v>
      </c>
      <c r="AK55" s="810">
        <f t="shared" si="38"/>
        <v>1429444</v>
      </c>
      <c r="AL55" s="810">
        <f t="shared" si="38"/>
        <v>1429444</v>
      </c>
      <c r="AM55" s="810">
        <f t="shared" si="38"/>
        <v>1429444</v>
      </c>
      <c r="AN55" s="810">
        <f t="shared" si="38"/>
        <v>1429444</v>
      </c>
      <c r="AO55" s="810">
        <f t="shared" si="38"/>
        <v>1429444</v>
      </c>
      <c r="AP55" s="810">
        <f t="shared" si="38"/>
        <v>1429444</v>
      </c>
      <c r="AQ55" s="810">
        <f t="shared" si="38"/>
        <v>1429444</v>
      </c>
      <c r="AR55" s="810">
        <f t="shared" si="2"/>
        <v>17153328</v>
      </c>
      <c r="AS55" s="202">
        <f t="shared" si="10"/>
        <v>20012228</v>
      </c>
      <c r="BC55" s="1073"/>
    </row>
    <row r="56" spans="1:55" ht="87.5" x14ac:dyDescent="0.35">
      <c r="A56" s="237"/>
      <c r="B56" s="237"/>
      <c r="C56" s="237"/>
      <c r="D56" s="237"/>
      <c r="E56" s="237"/>
      <c r="F56" s="237"/>
      <c r="G56" s="237"/>
      <c r="H56" s="237" t="s">
        <v>799</v>
      </c>
      <c r="I56" s="991" t="s">
        <v>968</v>
      </c>
      <c r="J56" s="237"/>
      <c r="K56" s="237"/>
      <c r="L56" s="237"/>
      <c r="M56" s="237"/>
      <c r="N56" s="854">
        <v>44986</v>
      </c>
      <c r="O56" s="811" t="s">
        <v>1040</v>
      </c>
      <c r="P56" s="855" t="s">
        <v>1041</v>
      </c>
      <c r="Q56" s="856"/>
      <c r="R56" s="856" t="s">
        <v>859</v>
      </c>
      <c r="S56" s="857" t="s">
        <v>1063</v>
      </c>
      <c r="T56" s="842"/>
      <c r="U56" s="234"/>
      <c r="V56" s="234"/>
      <c r="W56" s="809">
        <v>44915</v>
      </c>
      <c r="X56" s="843" t="s">
        <v>1127</v>
      </c>
      <c r="Y56" s="1033"/>
      <c r="Z56" s="812" t="s">
        <v>903</v>
      </c>
      <c r="AA56" s="809" t="s">
        <v>1092</v>
      </c>
      <c r="AB56" s="809"/>
      <c r="AC56" s="858">
        <v>41500000</v>
      </c>
      <c r="AD56" s="858">
        <v>22917222</v>
      </c>
      <c r="AE56" s="858">
        <v>18582778</v>
      </c>
      <c r="AF56" s="858">
        <v>714722</v>
      </c>
      <c r="AG56" s="858">
        <v>714722</v>
      </c>
      <c r="AH56" s="858">
        <v>714722</v>
      </c>
      <c r="AI56" s="858">
        <v>714722</v>
      </c>
      <c r="AJ56" s="858">
        <v>714722</v>
      </c>
      <c r="AK56" s="858">
        <v>714722</v>
      </c>
      <c r="AL56" s="858">
        <v>714722</v>
      </c>
      <c r="AM56" s="858">
        <v>714722</v>
      </c>
      <c r="AN56" s="858">
        <v>714722</v>
      </c>
      <c r="AO56" s="858">
        <v>714722</v>
      </c>
      <c r="AP56" s="858">
        <v>714722</v>
      </c>
      <c r="AQ56" s="858">
        <v>714722</v>
      </c>
      <c r="AR56" s="197">
        <f>SUM(AF56:AQ56)</f>
        <v>8576664</v>
      </c>
      <c r="AS56" s="825">
        <f t="shared" si="10"/>
        <v>10006114</v>
      </c>
      <c r="AU56" s="1060" t="e">
        <f>#REF!</f>
        <v>#REF!</v>
      </c>
      <c r="AV56" s="838" t="e">
        <f t="shared" ref="AV56:AV57" si="39">IF(AY56=2022,(12*3),IF(AY56=2023,(12*2),IF(AY56=2024,(12*1),IF(AY56=2025,0))))+(12-AZ56+1)</f>
        <v>#REF!</v>
      </c>
      <c r="AX56" s="220">
        <f>10*12</f>
        <v>120</v>
      </c>
      <c r="AY56" s="220" t="e">
        <f>YEAR(#REF!)</f>
        <v>#REF!</v>
      </c>
      <c r="AZ56" s="838" t="e">
        <f>MONTH(#REF!)</f>
        <v>#REF!</v>
      </c>
      <c r="BC56" s="1073" t="e">
        <f>#REF!</f>
        <v>#REF!</v>
      </c>
    </row>
    <row r="57" spans="1:55" ht="87.5" x14ac:dyDescent="0.35">
      <c r="A57" s="237"/>
      <c r="B57" s="237"/>
      <c r="C57" s="237"/>
      <c r="D57" s="237"/>
      <c r="E57" s="237"/>
      <c r="F57" s="237"/>
      <c r="G57" s="237"/>
      <c r="H57" s="237" t="s">
        <v>799</v>
      </c>
      <c r="I57" s="991" t="s">
        <v>968</v>
      </c>
      <c r="J57" s="237"/>
      <c r="K57" s="237"/>
      <c r="L57" s="237"/>
      <c r="M57" s="237"/>
      <c r="N57" s="854">
        <v>44986</v>
      </c>
      <c r="O57" s="811" t="s">
        <v>1040</v>
      </c>
      <c r="P57" s="855" t="s">
        <v>1041</v>
      </c>
      <c r="Q57" s="856"/>
      <c r="R57" s="856" t="s">
        <v>861</v>
      </c>
      <c r="S57" s="857" t="s">
        <v>1072</v>
      </c>
      <c r="T57" s="842"/>
      <c r="U57" s="234"/>
      <c r="V57" s="234"/>
      <c r="W57" s="809">
        <v>44915</v>
      </c>
      <c r="X57" s="843" t="s">
        <v>1128</v>
      </c>
      <c r="Y57" s="1033"/>
      <c r="Z57" s="812" t="s">
        <v>903</v>
      </c>
      <c r="AA57" s="809" t="s">
        <v>1092</v>
      </c>
      <c r="AB57" s="809"/>
      <c r="AC57" s="858">
        <v>41500000</v>
      </c>
      <c r="AD57" s="858">
        <v>22917222</v>
      </c>
      <c r="AE57" s="858">
        <v>18582778</v>
      </c>
      <c r="AF57" s="858">
        <v>714722</v>
      </c>
      <c r="AG57" s="858">
        <v>714722</v>
      </c>
      <c r="AH57" s="858">
        <v>714722</v>
      </c>
      <c r="AI57" s="858">
        <v>714722</v>
      </c>
      <c r="AJ57" s="858">
        <v>714722</v>
      </c>
      <c r="AK57" s="858">
        <v>714722</v>
      </c>
      <c r="AL57" s="858">
        <v>714722</v>
      </c>
      <c r="AM57" s="858">
        <v>714722</v>
      </c>
      <c r="AN57" s="858">
        <v>714722</v>
      </c>
      <c r="AO57" s="858">
        <v>714722</v>
      </c>
      <c r="AP57" s="858">
        <v>714722</v>
      </c>
      <c r="AQ57" s="858">
        <v>714722</v>
      </c>
      <c r="AR57" s="197">
        <f>SUM(AF57:AQ57)</f>
        <v>8576664</v>
      </c>
      <c r="AS57" s="825">
        <f t="shared" si="10"/>
        <v>10006114</v>
      </c>
      <c r="AU57" s="1060" t="e">
        <f>#REF!</f>
        <v>#REF!</v>
      </c>
      <c r="AV57" s="838" t="e">
        <f t="shared" si="39"/>
        <v>#REF!</v>
      </c>
      <c r="AX57" s="220">
        <f>10*12</f>
        <v>120</v>
      </c>
      <c r="AY57" s="220" t="e">
        <f>YEAR(#REF!)</f>
        <v>#REF!</v>
      </c>
      <c r="AZ57" s="838" t="e">
        <f>MONTH(#REF!)</f>
        <v>#REF!</v>
      </c>
      <c r="BC57" s="1073" t="e">
        <f>#REF!</f>
        <v>#REF!</v>
      </c>
    </row>
    <row r="58" spans="1:55" x14ac:dyDescent="0.35">
      <c r="A58" s="237"/>
      <c r="B58" s="237"/>
      <c r="C58" s="237"/>
      <c r="D58" s="237"/>
      <c r="E58" s="237"/>
      <c r="F58" s="237"/>
      <c r="G58" s="237"/>
      <c r="H58" s="237"/>
      <c r="I58" s="991"/>
      <c r="J58" s="237"/>
      <c r="K58" s="237"/>
      <c r="L58" s="237"/>
      <c r="M58" s="237"/>
      <c r="N58" s="854"/>
      <c r="O58" s="811"/>
      <c r="P58" s="855"/>
      <c r="Q58" s="856"/>
      <c r="R58" s="856"/>
      <c r="S58" s="857"/>
      <c r="T58" s="842"/>
      <c r="U58" s="234"/>
      <c r="V58" s="234"/>
      <c r="W58" s="809"/>
      <c r="X58" s="842"/>
      <c r="Y58" s="1033"/>
      <c r="Z58" s="812"/>
      <c r="AA58" s="809"/>
      <c r="AB58" s="809"/>
      <c r="AC58" s="858"/>
      <c r="AD58" s="858"/>
      <c r="AE58" s="858"/>
      <c r="AF58" s="858"/>
      <c r="AG58" s="858"/>
      <c r="AH58" s="858"/>
      <c r="AI58" s="858"/>
      <c r="AJ58" s="858"/>
      <c r="AK58" s="858"/>
      <c r="AL58" s="858"/>
      <c r="AM58" s="858"/>
      <c r="AN58" s="858"/>
      <c r="AO58" s="858"/>
      <c r="AP58" s="858"/>
      <c r="AQ58" s="858"/>
      <c r="AR58" s="197"/>
      <c r="AS58" s="825"/>
      <c r="BC58" s="1073"/>
    </row>
    <row r="59" spans="1:55" ht="37.5" x14ac:dyDescent="0.35">
      <c r="A59" s="237" t="s">
        <v>809</v>
      </c>
      <c r="B59" s="237"/>
      <c r="C59" s="237"/>
      <c r="D59" s="237"/>
      <c r="E59" s="237"/>
      <c r="F59" s="237"/>
      <c r="G59" s="237"/>
      <c r="H59" s="237"/>
      <c r="I59" s="991"/>
      <c r="J59" s="237"/>
      <c r="K59" s="237"/>
      <c r="L59" s="237"/>
      <c r="M59" s="237"/>
      <c r="N59" s="484"/>
      <c r="O59" s="237"/>
      <c r="P59" s="482"/>
      <c r="Q59" s="234"/>
      <c r="R59" s="234"/>
      <c r="S59" s="234"/>
      <c r="T59" s="482"/>
      <c r="U59" s="234"/>
      <c r="V59" s="234"/>
      <c r="W59" s="234"/>
      <c r="X59" s="807" t="s">
        <v>1129</v>
      </c>
      <c r="Y59" s="1024">
        <v>642</v>
      </c>
      <c r="Z59" s="238">
        <v>6424001907</v>
      </c>
      <c r="AA59" s="236" t="s">
        <v>1130</v>
      </c>
      <c r="AB59" s="236" t="s">
        <v>1131</v>
      </c>
      <c r="AC59" s="202">
        <f>SUM(AC60)</f>
        <v>430507331</v>
      </c>
      <c r="AD59" s="202">
        <f t="shared" ref="AD59" si="40">AC59-AE59</f>
        <v>279829768</v>
      </c>
      <c r="AE59" s="202">
        <f t="shared" ref="AE59:AQ59" si="41">SUM(AE60)</f>
        <v>150677563</v>
      </c>
      <c r="AF59" s="810">
        <f t="shared" si="41"/>
        <v>7175123</v>
      </c>
      <c r="AG59" s="810">
        <f t="shared" si="41"/>
        <v>7175123</v>
      </c>
      <c r="AH59" s="810">
        <f t="shared" si="41"/>
        <v>7175123</v>
      </c>
      <c r="AI59" s="810">
        <f t="shared" si="41"/>
        <v>7175123</v>
      </c>
      <c r="AJ59" s="810">
        <f t="shared" si="41"/>
        <v>7175123</v>
      </c>
      <c r="AK59" s="810">
        <f t="shared" si="41"/>
        <v>7175123</v>
      </c>
      <c r="AL59" s="810">
        <f t="shared" si="41"/>
        <v>7175123</v>
      </c>
      <c r="AM59" s="810">
        <f t="shared" si="41"/>
        <v>7175123</v>
      </c>
      <c r="AN59" s="810">
        <f t="shared" si="41"/>
        <v>7175123</v>
      </c>
      <c r="AO59" s="810">
        <f t="shared" si="41"/>
        <v>7175123</v>
      </c>
      <c r="AP59" s="810">
        <f t="shared" si="41"/>
        <v>7175123</v>
      </c>
      <c r="AQ59" s="810">
        <f t="shared" si="41"/>
        <v>7175123</v>
      </c>
      <c r="AR59" s="810">
        <f t="shared" si="2"/>
        <v>86101476</v>
      </c>
      <c r="AS59" s="202">
        <f>AE59-AR59</f>
        <v>64576087</v>
      </c>
      <c r="BC59" s="1073"/>
    </row>
    <row r="60" spans="1:55" ht="87.5" x14ac:dyDescent="0.35">
      <c r="A60" s="237"/>
      <c r="B60" s="237"/>
      <c r="C60" s="237"/>
      <c r="D60" s="237"/>
      <c r="E60" s="237"/>
      <c r="F60" s="237"/>
      <c r="G60" s="237"/>
      <c r="H60" s="237" t="s">
        <v>799</v>
      </c>
      <c r="I60" s="991" t="s">
        <v>1132</v>
      </c>
      <c r="J60" s="237"/>
      <c r="K60" s="237"/>
      <c r="L60" s="237"/>
      <c r="M60" s="237"/>
      <c r="N60" s="854">
        <v>44835</v>
      </c>
      <c r="O60" s="811" t="s">
        <v>1040</v>
      </c>
      <c r="P60" s="855" t="s">
        <v>1133</v>
      </c>
      <c r="Q60" s="856"/>
      <c r="R60" s="856" t="s">
        <v>878</v>
      </c>
      <c r="S60" s="857" t="s">
        <v>1134</v>
      </c>
      <c r="T60" s="842"/>
      <c r="U60" s="234"/>
      <c r="V60" s="234"/>
      <c r="W60" s="809">
        <v>44743</v>
      </c>
      <c r="X60" s="843" t="s">
        <v>1135</v>
      </c>
      <c r="Y60" s="1033"/>
      <c r="Z60" s="812" t="s">
        <v>915</v>
      </c>
      <c r="AA60" s="809" t="s">
        <v>1130</v>
      </c>
      <c r="AB60" s="809"/>
      <c r="AC60" s="858">
        <v>430507331</v>
      </c>
      <c r="AD60" s="858">
        <v>279829768</v>
      </c>
      <c r="AE60" s="858">
        <v>150677563</v>
      </c>
      <c r="AF60" s="858">
        <v>7175123</v>
      </c>
      <c r="AG60" s="858">
        <v>7175123</v>
      </c>
      <c r="AH60" s="858">
        <v>7175123</v>
      </c>
      <c r="AI60" s="858">
        <v>7175123</v>
      </c>
      <c r="AJ60" s="858">
        <v>7175123</v>
      </c>
      <c r="AK60" s="858">
        <v>7175123</v>
      </c>
      <c r="AL60" s="858">
        <v>7175123</v>
      </c>
      <c r="AM60" s="858">
        <v>7175123</v>
      </c>
      <c r="AN60" s="858">
        <v>7175123</v>
      </c>
      <c r="AO60" s="858">
        <v>7175123</v>
      </c>
      <c r="AP60" s="858">
        <v>7175123</v>
      </c>
      <c r="AQ60" s="858">
        <v>7175123</v>
      </c>
      <c r="AR60" s="197">
        <f>SUM(AF60:AQ60)</f>
        <v>86101476</v>
      </c>
      <c r="AS60" s="825">
        <f t="shared" ref="AS60" si="42">AE60-AR60</f>
        <v>64576087</v>
      </c>
      <c r="AU60" s="1060" t="e">
        <f>#REF!</f>
        <v>#REF!</v>
      </c>
      <c r="AV60" s="838" t="e">
        <f t="shared" ref="AV60" si="43">IF(AY60=2022,(12*3),IF(AY60=2023,(12*2),IF(AY60=2024,(12*1),IF(AY60=2025,0))))+(12-AZ60+1)</f>
        <v>#REF!</v>
      </c>
      <c r="AX60" s="220">
        <f>10*12</f>
        <v>120</v>
      </c>
      <c r="AY60" s="220" t="e">
        <f>YEAR(#REF!)</f>
        <v>#REF!</v>
      </c>
      <c r="AZ60" s="838" t="e">
        <f>MONTH(#REF!)</f>
        <v>#REF!</v>
      </c>
      <c r="BB60" s="838" t="e">
        <f t="shared" ref="BB60" si="44">AX60-AV60</f>
        <v>#REF!</v>
      </c>
      <c r="BC60" s="1073" t="e">
        <f>#REF!/BB60</f>
        <v>#REF!</v>
      </c>
    </row>
    <row r="61" spans="1:55" ht="25" x14ac:dyDescent="0.35">
      <c r="A61" s="237" t="s">
        <v>810</v>
      </c>
      <c r="B61" s="237"/>
      <c r="C61" s="237"/>
      <c r="D61" s="237"/>
      <c r="E61" s="237"/>
      <c r="F61" s="237"/>
      <c r="G61" s="237"/>
      <c r="H61" s="237"/>
      <c r="I61" s="991"/>
      <c r="J61" s="237"/>
      <c r="K61" s="237"/>
      <c r="L61" s="237"/>
      <c r="M61" s="237"/>
      <c r="N61" s="237"/>
      <c r="O61" s="237"/>
      <c r="P61" s="482"/>
      <c r="Q61" s="234"/>
      <c r="R61" s="234"/>
      <c r="S61" s="482" t="s">
        <v>1136</v>
      </c>
      <c r="T61" s="482"/>
      <c r="U61" s="234"/>
      <c r="V61" s="234"/>
      <c r="W61" s="234"/>
      <c r="X61" s="807" t="s">
        <v>1137</v>
      </c>
      <c r="Y61" s="1024">
        <v>627</v>
      </c>
      <c r="Z61" s="238">
        <v>6274001903</v>
      </c>
      <c r="AA61" s="236" t="s">
        <v>896</v>
      </c>
      <c r="AB61" s="236" t="s">
        <v>1038</v>
      </c>
      <c r="AC61" s="202">
        <f>SUM(AC62:AC71)</f>
        <v>4369292165</v>
      </c>
      <c r="AD61" s="202" t="e">
        <f>AC61-AE61</f>
        <v>#REF!</v>
      </c>
      <c r="AE61" s="202" t="e">
        <f>#REF!</f>
        <v>#REF!</v>
      </c>
      <c r="AF61" s="810">
        <f>SUM(AF62:AF70)</f>
        <v>75366598</v>
      </c>
      <c r="AG61" s="810">
        <f t="shared" ref="AG61:AQ61" si="45">SUM(AG62:AG70)</f>
        <v>75366598</v>
      </c>
      <c r="AH61" s="810">
        <f t="shared" si="45"/>
        <v>75366598</v>
      </c>
      <c r="AI61" s="810">
        <f t="shared" si="45"/>
        <v>75366598</v>
      </c>
      <c r="AJ61" s="810">
        <f t="shared" si="45"/>
        <v>75366598</v>
      </c>
      <c r="AK61" s="810">
        <f t="shared" si="45"/>
        <v>75366598</v>
      </c>
      <c r="AL61" s="810">
        <f t="shared" si="45"/>
        <v>73366598</v>
      </c>
      <c r="AM61" s="810">
        <f t="shared" si="45"/>
        <v>35907750</v>
      </c>
      <c r="AN61" s="810">
        <f t="shared" si="45"/>
        <v>35907750</v>
      </c>
      <c r="AO61" s="810">
        <f t="shared" si="45"/>
        <v>35907750</v>
      </c>
      <c r="AP61" s="810">
        <f t="shared" si="45"/>
        <v>35907750</v>
      </c>
      <c r="AQ61" s="810">
        <f t="shared" si="45"/>
        <v>35907750</v>
      </c>
      <c r="AR61" s="810">
        <f t="shared" ref="AR61:AR71" si="46">SUM(AF61:AQ61)</f>
        <v>705104936</v>
      </c>
      <c r="AS61" s="202" t="e">
        <f t="shared" si="10"/>
        <v>#REF!</v>
      </c>
      <c r="BC61" s="1073"/>
    </row>
    <row r="62" spans="1:55" ht="112.5" x14ac:dyDescent="0.35">
      <c r="A62" s="237"/>
      <c r="B62" s="237"/>
      <c r="C62" s="237"/>
      <c r="D62" s="237"/>
      <c r="E62" s="237"/>
      <c r="F62" s="237"/>
      <c r="G62" s="237"/>
      <c r="H62" s="237" t="s">
        <v>799</v>
      </c>
      <c r="I62" s="991" t="s">
        <v>1074</v>
      </c>
      <c r="J62" s="237"/>
      <c r="K62" s="237"/>
      <c r="L62" s="237"/>
      <c r="M62" s="237"/>
      <c r="N62" s="854">
        <v>44927</v>
      </c>
      <c r="O62" s="811" t="s">
        <v>1040</v>
      </c>
      <c r="P62" s="855" t="s">
        <v>1041</v>
      </c>
      <c r="Q62" s="856"/>
      <c r="R62" s="808" t="s">
        <v>856</v>
      </c>
      <c r="S62" s="987" t="s">
        <v>1138</v>
      </c>
      <c r="T62" s="842"/>
      <c r="U62" s="234"/>
      <c r="V62" s="234"/>
      <c r="W62" s="809">
        <v>44896</v>
      </c>
      <c r="X62" s="843" t="s">
        <v>1139</v>
      </c>
      <c r="Y62" s="1033"/>
      <c r="Z62" s="812" t="s">
        <v>895</v>
      </c>
      <c r="AA62" s="809" t="s">
        <v>896</v>
      </c>
      <c r="AB62" s="809"/>
      <c r="AC62" s="858">
        <v>2367530878</v>
      </c>
      <c r="AD62" s="858">
        <v>2093639848</v>
      </c>
      <c r="AE62" s="858">
        <v>273891030</v>
      </c>
      <c r="AF62" s="858">
        <v>39458848</v>
      </c>
      <c r="AG62" s="858">
        <v>39458848</v>
      </c>
      <c r="AH62" s="858">
        <v>39458848</v>
      </c>
      <c r="AI62" s="858">
        <v>39458848</v>
      </c>
      <c r="AJ62" s="858">
        <v>39458848</v>
      </c>
      <c r="AK62" s="858">
        <v>39458848</v>
      </c>
      <c r="AL62" s="858">
        <f>39458848-2000000</f>
        <v>37458848</v>
      </c>
      <c r="AM62" s="858"/>
      <c r="AN62" s="858"/>
      <c r="AO62" s="858"/>
      <c r="AP62" s="858"/>
      <c r="AQ62" s="858"/>
      <c r="AR62" s="197">
        <f t="shared" si="46"/>
        <v>274211936</v>
      </c>
      <c r="AS62" s="825">
        <f>AE62-AR62</f>
        <v>-320906</v>
      </c>
      <c r="AT62" s="220" t="s">
        <v>1140</v>
      </c>
      <c r="AU62" s="1060" t="e">
        <f>#REF!</f>
        <v>#REF!</v>
      </c>
      <c r="AV62" s="838" t="e">
        <f t="shared" ref="AV62:AV70" si="47">IF(AY62=2022,(12*3),IF(AY62=2023,(12*2),IF(AY62=2024,(12*1),IF(AY62=2025,0))))+(12-AZ62+1)</f>
        <v>#REF!</v>
      </c>
      <c r="AX62" s="220">
        <f>12*12</f>
        <v>144</v>
      </c>
      <c r="AY62" s="220" t="e">
        <f>YEAR(#REF!)</f>
        <v>#REF!</v>
      </c>
      <c r="AZ62" s="838" t="e">
        <f>MONTH(#REF!)</f>
        <v>#REF!</v>
      </c>
      <c r="BB62" s="838" t="e">
        <f t="shared" ref="BB62:BB70" si="48">AX62-AV62</f>
        <v>#REF!</v>
      </c>
      <c r="BC62" s="1073" t="e">
        <f>#REF!/BB62</f>
        <v>#REF!</v>
      </c>
    </row>
    <row r="63" spans="1:55" ht="87.5" x14ac:dyDescent="0.35">
      <c r="A63" s="237"/>
      <c r="B63" s="237"/>
      <c r="C63" s="237"/>
      <c r="D63" s="237"/>
      <c r="E63" s="237"/>
      <c r="F63" s="237"/>
      <c r="G63" s="237"/>
      <c r="H63" s="237" t="s">
        <v>799</v>
      </c>
      <c r="I63" s="991" t="s">
        <v>1044</v>
      </c>
      <c r="J63" s="237"/>
      <c r="K63" s="237"/>
      <c r="L63" s="237"/>
      <c r="M63" s="237"/>
      <c r="N63" s="854">
        <v>44927</v>
      </c>
      <c r="O63" s="811" t="s">
        <v>1040</v>
      </c>
      <c r="P63" s="855" t="s">
        <v>1041</v>
      </c>
      <c r="Q63" s="856"/>
      <c r="R63" s="808" t="s">
        <v>856</v>
      </c>
      <c r="S63" s="987" t="s">
        <v>1138</v>
      </c>
      <c r="T63" s="842"/>
      <c r="U63" s="234"/>
      <c r="V63" s="234"/>
      <c r="W63" s="809">
        <v>44907</v>
      </c>
      <c r="X63" s="843" t="s">
        <v>1141</v>
      </c>
      <c r="Y63" s="1033"/>
      <c r="Z63" s="812" t="s">
        <v>895</v>
      </c>
      <c r="AA63" s="809" t="s">
        <v>896</v>
      </c>
      <c r="AB63" s="809"/>
      <c r="AC63" s="858">
        <v>283678150</v>
      </c>
      <c r="AD63" s="858">
        <v>165478920</v>
      </c>
      <c r="AE63" s="858">
        <v>118199230</v>
      </c>
      <c r="AF63" s="858">
        <v>4727969</v>
      </c>
      <c r="AG63" s="858">
        <v>4727969</v>
      </c>
      <c r="AH63" s="858">
        <v>4727969</v>
      </c>
      <c r="AI63" s="858">
        <v>4727969</v>
      </c>
      <c r="AJ63" s="858">
        <v>4727969</v>
      </c>
      <c r="AK63" s="858">
        <v>4727969</v>
      </c>
      <c r="AL63" s="858">
        <v>4727969</v>
      </c>
      <c r="AM63" s="858">
        <v>4727969</v>
      </c>
      <c r="AN63" s="858">
        <v>4727969</v>
      </c>
      <c r="AO63" s="858">
        <v>4727969</v>
      </c>
      <c r="AP63" s="858">
        <v>4727969</v>
      </c>
      <c r="AQ63" s="858">
        <v>4727969</v>
      </c>
      <c r="AR63" s="197">
        <f t="shared" si="46"/>
        <v>56735628</v>
      </c>
      <c r="AS63" s="825">
        <f t="shared" si="10"/>
        <v>61463602</v>
      </c>
      <c r="AT63" s="220" t="s">
        <v>1142</v>
      </c>
      <c r="AU63" s="1060" t="e">
        <f>#REF!</f>
        <v>#REF!</v>
      </c>
      <c r="AV63" s="838" t="e">
        <f t="shared" si="47"/>
        <v>#REF!</v>
      </c>
      <c r="AX63" s="220">
        <f t="shared" ref="AX63:AX70" si="49">12*12</f>
        <v>144</v>
      </c>
      <c r="AY63" s="220" t="e">
        <f>YEAR(#REF!)</f>
        <v>#REF!</v>
      </c>
      <c r="AZ63" s="838" t="e">
        <f>MONTH(#REF!)</f>
        <v>#REF!</v>
      </c>
      <c r="BB63" s="838" t="e">
        <f t="shared" si="48"/>
        <v>#REF!</v>
      </c>
      <c r="BC63" s="1073" t="e">
        <f>#REF!/BB63</f>
        <v>#REF!</v>
      </c>
    </row>
    <row r="64" spans="1:55" ht="100" x14ac:dyDescent="0.35">
      <c r="A64" s="237"/>
      <c r="B64" s="237"/>
      <c r="C64" s="237"/>
      <c r="D64" s="237"/>
      <c r="E64" s="237"/>
      <c r="F64" s="237"/>
      <c r="G64" s="237"/>
      <c r="H64" s="237" t="s">
        <v>799</v>
      </c>
      <c r="I64" s="991" t="s">
        <v>1143</v>
      </c>
      <c r="J64" s="237"/>
      <c r="K64" s="237"/>
      <c r="L64" s="237"/>
      <c r="M64" s="237"/>
      <c r="N64" s="854">
        <v>45017</v>
      </c>
      <c r="O64" s="811" t="s">
        <v>1040</v>
      </c>
      <c r="P64" s="855" t="s">
        <v>1041</v>
      </c>
      <c r="Q64" s="856"/>
      <c r="R64" s="808" t="s">
        <v>856</v>
      </c>
      <c r="S64" s="987" t="s">
        <v>1138</v>
      </c>
      <c r="T64" s="842"/>
      <c r="U64" s="234"/>
      <c r="V64" s="234"/>
      <c r="W64" s="809">
        <v>44977</v>
      </c>
      <c r="X64" s="843" t="s">
        <v>1144</v>
      </c>
      <c r="Y64" s="1033"/>
      <c r="Z64" s="812" t="s">
        <v>895</v>
      </c>
      <c r="AA64" s="809" t="s">
        <v>896</v>
      </c>
      <c r="AB64" s="809"/>
      <c r="AC64" s="858">
        <v>145166400</v>
      </c>
      <c r="AD64" s="858">
        <v>79841520</v>
      </c>
      <c r="AE64" s="858">
        <v>65324880</v>
      </c>
      <c r="AF64" s="858">
        <v>2419440</v>
      </c>
      <c r="AG64" s="858">
        <v>2419440</v>
      </c>
      <c r="AH64" s="858">
        <v>2419440</v>
      </c>
      <c r="AI64" s="858">
        <v>2419440</v>
      </c>
      <c r="AJ64" s="858">
        <v>2419440</v>
      </c>
      <c r="AK64" s="858">
        <v>2419440</v>
      </c>
      <c r="AL64" s="858">
        <v>2419440</v>
      </c>
      <c r="AM64" s="858">
        <v>2419440</v>
      </c>
      <c r="AN64" s="858">
        <v>2419440</v>
      </c>
      <c r="AO64" s="858">
        <v>2419440</v>
      </c>
      <c r="AP64" s="858">
        <v>2419440</v>
      </c>
      <c r="AQ64" s="858">
        <v>2419440</v>
      </c>
      <c r="AR64" s="197">
        <f t="shared" si="46"/>
        <v>29033280</v>
      </c>
      <c r="AS64" s="825">
        <f t="shared" si="10"/>
        <v>36291600</v>
      </c>
      <c r="AT64" s="220" t="s">
        <v>1145</v>
      </c>
      <c r="AU64" s="1060" t="e">
        <f>#REF!</f>
        <v>#REF!</v>
      </c>
      <c r="AV64" s="838" t="e">
        <f t="shared" si="47"/>
        <v>#REF!</v>
      </c>
      <c r="AX64" s="220">
        <f t="shared" si="49"/>
        <v>144</v>
      </c>
      <c r="AY64" s="220" t="e">
        <f>YEAR(#REF!)</f>
        <v>#REF!</v>
      </c>
      <c r="AZ64" s="838" t="e">
        <f>MONTH(#REF!)</f>
        <v>#REF!</v>
      </c>
      <c r="BB64" s="838" t="e">
        <f t="shared" si="48"/>
        <v>#REF!</v>
      </c>
      <c r="BC64" s="1073" t="e">
        <f>#REF!/BB64</f>
        <v>#REF!</v>
      </c>
    </row>
    <row r="65" spans="1:55" ht="87.5" x14ac:dyDescent="0.35">
      <c r="A65" s="237"/>
      <c r="B65" s="237"/>
      <c r="C65" s="237"/>
      <c r="D65" s="237"/>
      <c r="E65" s="237"/>
      <c r="F65" s="237"/>
      <c r="G65" s="237"/>
      <c r="H65" s="237" t="s">
        <v>799</v>
      </c>
      <c r="I65" s="991" t="s">
        <v>1143</v>
      </c>
      <c r="J65" s="237"/>
      <c r="K65" s="237"/>
      <c r="L65" s="237"/>
      <c r="M65" s="237"/>
      <c r="N65" s="854">
        <v>45017</v>
      </c>
      <c r="O65" s="811" t="s">
        <v>1040</v>
      </c>
      <c r="P65" s="855" t="s">
        <v>1041</v>
      </c>
      <c r="Q65" s="856"/>
      <c r="R65" s="808" t="s">
        <v>856</v>
      </c>
      <c r="S65" s="987" t="s">
        <v>1138</v>
      </c>
      <c r="T65" s="842"/>
      <c r="U65" s="234"/>
      <c r="V65" s="234"/>
      <c r="W65" s="809">
        <v>44977</v>
      </c>
      <c r="X65" s="843" t="s">
        <v>1146</v>
      </c>
      <c r="Y65" s="1033"/>
      <c r="Z65" s="812" t="s">
        <v>895</v>
      </c>
      <c r="AA65" s="809" t="s">
        <v>896</v>
      </c>
      <c r="AB65" s="809"/>
      <c r="AC65" s="858">
        <v>192535240</v>
      </c>
      <c r="AD65" s="858">
        <v>105894383</v>
      </c>
      <c r="AE65" s="858">
        <v>86640857</v>
      </c>
      <c r="AF65" s="858">
        <v>3208921</v>
      </c>
      <c r="AG65" s="858">
        <v>3208921</v>
      </c>
      <c r="AH65" s="858">
        <v>3208921</v>
      </c>
      <c r="AI65" s="858">
        <v>3208921</v>
      </c>
      <c r="AJ65" s="858">
        <v>3208921</v>
      </c>
      <c r="AK65" s="858">
        <v>3208921</v>
      </c>
      <c r="AL65" s="858">
        <v>3208921</v>
      </c>
      <c r="AM65" s="858">
        <v>3208921</v>
      </c>
      <c r="AN65" s="858">
        <v>3208921</v>
      </c>
      <c r="AO65" s="858">
        <v>3208921</v>
      </c>
      <c r="AP65" s="858">
        <v>3208921</v>
      </c>
      <c r="AQ65" s="858">
        <v>3208921</v>
      </c>
      <c r="AR65" s="197">
        <f t="shared" si="46"/>
        <v>38507052</v>
      </c>
      <c r="AS65" s="825">
        <f t="shared" si="10"/>
        <v>48133805</v>
      </c>
      <c r="AT65" s="220" t="s">
        <v>1147</v>
      </c>
      <c r="AU65" s="1060" t="e">
        <f>#REF!</f>
        <v>#REF!</v>
      </c>
      <c r="AV65" s="838" t="e">
        <f t="shared" si="47"/>
        <v>#REF!</v>
      </c>
      <c r="AX65" s="220">
        <f t="shared" si="49"/>
        <v>144</v>
      </c>
      <c r="AY65" s="220" t="e">
        <f>YEAR(#REF!)</f>
        <v>#REF!</v>
      </c>
      <c r="AZ65" s="838" t="e">
        <f>MONTH(#REF!)</f>
        <v>#REF!</v>
      </c>
      <c r="BB65" s="838" t="e">
        <f t="shared" si="48"/>
        <v>#REF!</v>
      </c>
      <c r="BC65" s="1073" t="e">
        <f>#REF!/BB65</f>
        <v>#REF!</v>
      </c>
    </row>
    <row r="66" spans="1:55" ht="75" x14ac:dyDescent="0.35">
      <c r="A66" s="237"/>
      <c r="B66" s="237"/>
      <c r="C66" s="237"/>
      <c r="D66" s="237"/>
      <c r="E66" s="237"/>
      <c r="F66" s="237"/>
      <c r="G66" s="237"/>
      <c r="H66" s="237" t="s">
        <v>799</v>
      </c>
      <c r="I66" s="991" t="s">
        <v>1044</v>
      </c>
      <c r="J66" s="237"/>
      <c r="K66" s="237"/>
      <c r="L66" s="237"/>
      <c r="M66" s="237"/>
      <c r="N66" s="854">
        <v>45017</v>
      </c>
      <c r="O66" s="811" t="s">
        <v>1040</v>
      </c>
      <c r="P66" s="855" t="s">
        <v>1041</v>
      </c>
      <c r="Q66" s="856"/>
      <c r="R66" s="808" t="s">
        <v>856</v>
      </c>
      <c r="S66" s="987" t="s">
        <v>1138</v>
      </c>
      <c r="T66" s="842"/>
      <c r="U66" s="234"/>
      <c r="V66" s="234"/>
      <c r="W66" s="809">
        <v>44918</v>
      </c>
      <c r="X66" s="843" t="s">
        <v>1148</v>
      </c>
      <c r="Y66" s="1033"/>
      <c r="Z66" s="812" t="s">
        <v>895</v>
      </c>
      <c r="AA66" s="809" t="s">
        <v>896</v>
      </c>
      <c r="AB66" s="809"/>
      <c r="AC66" s="858">
        <v>307456000</v>
      </c>
      <c r="AD66" s="858">
        <v>169100801</v>
      </c>
      <c r="AE66" s="858">
        <v>138355199</v>
      </c>
      <c r="AF66" s="858">
        <v>5124267</v>
      </c>
      <c r="AG66" s="858">
        <v>5124267</v>
      </c>
      <c r="AH66" s="858">
        <v>5124267</v>
      </c>
      <c r="AI66" s="858">
        <v>5124267</v>
      </c>
      <c r="AJ66" s="858">
        <v>5124267</v>
      </c>
      <c r="AK66" s="858">
        <v>5124267</v>
      </c>
      <c r="AL66" s="858">
        <v>5124267</v>
      </c>
      <c r="AM66" s="858">
        <v>5124267</v>
      </c>
      <c r="AN66" s="858">
        <v>5124267</v>
      </c>
      <c r="AO66" s="858">
        <v>5124267</v>
      </c>
      <c r="AP66" s="858">
        <v>5124267</v>
      </c>
      <c r="AQ66" s="858">
        <v>5124267</v>
      </c>
      <c r="AR66" s="197">
        <f t="shared" si="46"/>
        <v>61491204</v>
      </c>
      <c r="AS66" s="825">
        <f t="shared" si="10"/>
        <v>76863995</v>
      </c>
      <c r="AT66" s="220" t="s">
        <v>1149</v>
      </c>
      <c r="AU66" s="1060" t="e">
        <f>#REF!</f>
        <v>#REF!</v>
      </c>
      <c r="AV66" s="838" t="e">
        <f t="shared" si="47"/>
        <v>#REF!</v>
      </c>
      <c r="AX66" s="220">
        <f t="shared" si="49"/>
        <v>144</v>
      </c>
      <c r="AY66" s="220" t="e">
        <f>YEAR(#REF!)</f>
        <v>#REF!</v>
      </c>
      <c r="AZ66" s="838" t="e">
        <f>MONTH(#REF!)</f>
        <v>#REF!</v>
      </c>
      <c r="BB66" s="838" t="e">
        <f t="shared" si="48"/>
        <v>#REF!</v>
      </c>
      <c r="BC66" s="1073" t="e">
        <f>#REF!/BB66</f>
        <v>#REF!</v>
      </c>
    </row>
    <row r="67" spans="1:55" ht="112.5" x14ac:dyDescent="0.35">
      <c r="A67" s="237"/>
      <c r="B67" s="237"/>
      <c r="C67" s="237"/>
      <c r="D67" s="237"/>
      <c r="E67" s="237"/>
      <c r="F67" s="237"/>
      <c r="G67" s="237"/>
      <c r="H67" s="237" t="s">
        <v>799</v>
      </c>
      <c r="I67" s="991" t="s">
        <v>1150</v>
      </c>
      <c r="J67" s="237"/>
      <c r="K67" s="237"/>
      <c r="L67" s="237"/>
      <c r="M67" s="237"/>
      <c r="N67" s="854">
        <v>45323</v>
      </c>
      <c r="O67" s="811" t="s">
        <v>1040</v>
      </c>
      <c r="P67" s="855" t="s">
        <v>1041</v>
      </c>
      <c r="Q67" s="856"/>
      <c r="R67" s="808" t="s">
        <v>856</v>
      </c>
      <c r="S67" s="987" t="s">
        <v>1138</v>
      </c>
      <c r="T67" s="842"/>
      <c r="U67" s="234"/>
      <c r="V67" s="234"/>
      <c r="W67" s="809">
        <v>45231</v>
      </c>
      <c r="X67" s="843" t="s">
        <v>1151</v>
      </c>
      <c r="Y67" s="1033"/>
      <c r="Z67" s="812" t="s">
        <v>905</v>
      </c>
      <c r="AA67" s="809" t="s">
        <v>1071</v>
      </c>
      <c r="AB67" s="809"/>
      <c r="AC67" s="858">
        <v>68000000</v>
      </c>
      <c r="AD67" s="858">
        <v>26066666</v>
      </c>
      <c r="AE67" s="858">
        <v>41933334</v>
      </c>
      <c r="AF67" s="858">
        <v>1133333</v>
      </c>
      <c r="AG67" s="858">
        <v>1133333</v>
      </c>
      <c r="AH67" s="858">
        <v>1133333</v>
      </c>
      <c r="AI67" s="858">
        <v>1133333</v>
      </c>
      <c r="AJ67" s="858">
        <v>1133333</v>
      </c>
      <c r="AK67" s="858">
        <v>1133333</v>
      </c>
      <c r="AL67" s="858">
        <v>1133333</v>
      </c>
      <c r="AM67" s="858">
        <v>1133333</v>
      </c>
      <c r="AN67" s="858">
        <v>1133333</v>
      </c>
      <c r="AO67" s="858">
        <v>1133333</v>
      </c>
      <c r="AP67" s="858">
        <v>1133333</v>
      </c>
      <c r="AQ67" s="858">
        <v>1133333</v>
      </c>
      <c r="AR67" s="197">
        <f t="shared" si="46"/>
        <v>13599996</v>
      </c>
      <c r="AS67" s="825">
        <f t="shared" si="10"/>
        <v>28333338</v>
      </c>
      <c r="AT67" s="220" t="s">
        <v>1152</v>
      </c>
      <c r="AU67" s="1060" t="e">
        <f>#REF!</f>
        <v>#REF!</v>
      </c>
      <c r="AV67" s="838" t="e">
        <f t="shared" si="47"/>
        <v>#REF!</v>
      </c>
      <c r="AX67" s="220">
        <f t="shared" si="49"/>
        <v>144</v>
      </c>
      <c r="AY67" s="220" t="e">
        <f>YEAR(#REF!)</f>
        <v>#REF!</v>
      </c>
      <c r="AZ67" s="838" t="e">
        <f>MONTH(#REF!)</f>
        <v>#REF!</v>
      </c>
      <c r="BB67" s="838" t="e">
        <f t="shared" si="48"/>
        <v>#REF!</v>
      </c>
      <c r="BC67" s="1073" t="e">
        <f>#REF!/BB67</f>
        <v>#REF!</v>
      </c>
    </row>
    <row r="68" spans="1:55" ht="100" x14ac:dyDescent="0.35">
      <c r="A68" s="237"/>
      <c r="B68" s="237"/>
      <c r="C68" s="237"/>
      <c r="D68" s="237"/>
      <c r="E68" s="237"/>
      <c r="F68" s="237"/>
      <c r="G68" s="237"/>
      <c r="H68" s="237" t="s">
        <v>799</v>
      </c>
      <c r="I68" s="991" t="s">
        <v>1153</v>
      </c>
      <c r="J68" s="237"/>
      <c r="K68" s="237"/>
      <c r="L68" s="237"/>
      <c r="M68" s="237"/>
      <c r="N68" s="854">
        <v>45535</v>
      </c>
      <c r="O68" s="811" t="s">
        <v>1040</v>
      </c>
      <c r="P68" s="855" t="s">
        <v>1041</v>
      </c>
      <c r="Q68" s="856"/>
      <c r="R68" s="808" t="s">
        <v>856</v>
      </c>
      <c r="S68" s="987" t="s">
        <v>1138</v>
      </c>
      <c r="T68" s="842"/>
      <c r="U68" s="234"/>
      <c r="V68" s="234"/>
      <c r="W68" s="809">
        <v>45278</v>
      </c>
      <c r="X68" s="843" t="s">
        <v>1154</v>
      </c>
      <c r="Y68" s="1033"/>
      <c r="Z68" s="812" t="s">
        <v>905</v>
      </c>
      <c r="AA68" s="809" t="s">
        <v>1071</v>
      </c>
      <c r="AB68" s="809"/>
      <c r="AC68" s="858">
        <v>267500000</v>
      </c>
      <c r="AD68" s="858">
        <v>75791666</v>
      </c>
      <c r="AE68" s="858">
        <v>191708334</v>
      </c>
      <c r="AF68" s="858">
        <v>4458333</v>
      </c>
      <c r="AG68" s="858">
        <v>4458333</v>
      </c>
      <c r="AH68" s="858">
        <v>4458333</v>
      </c>
      <c r="AI68" s="858">
        <v>4458333</v>
      </c>
      <c r="AJ68" s="858">
        <v>4458333</v>
      </c>
      <c r="AK68" s="858">
        <v>4458333</v>
      </c>
      <c r="AL68" s="858">
        <v>4458333</v>
      </c>
      <c r="AM68" s="858">
        <v>4458333</v>
      </c>
      <c r="AN68" s="858">
        <v>4458333</v>
      </c>
      <c r="AO68" s="858">
        <v>4458333</v>
      </c>
      <c r="AP68" s="858">
        <v>4458333</v>
      </c>
      <c r="AQ68" s="858">
        <v>4458333</v>
      </c>
      <c r="AR68" s="197">
        <f t="shared" si="46"/>
        <v>53499996</v>
      </c>
      <c r="AS68" s="825">
        <f t="shared" si="10"/>
        <v>138208338</v>
      </c>
      <c r="AT68" s="220" t="s">
        <v>1155</v>
      </c>
      <c r="AU68" s="1060" t="e">
        <f>#REF!</f>
        <v>#REF!</v>
      </c>
      <c r="AV68" s="838" t="e">
        <f t="shared" si="47"/>
        <v>#REF!</v>
      </c>
      <c r="AX68" s="220">
        <f t="shared" si="49"/>
        <v>144</v>
      </c>
      <c r="AY68" s="220" t="e">
        <f>YEAR(#REF!)</f>
        <v>#REF!</v>
      </c>
      <c r="AZ68" s="838" t="e">
        <f>MONTH(#REF!)</f>
        <v>#REF!</v>
      </c>
      <c r="BB68" s="838" t="e">
        <f t="shared" si="48"/>
        <v>#REF!</v>
      </c>
      <c r="BC68" s="1073" t="e">
        <f>#REF!/BB68</f>
        <v>#REF!</v>
      </c>
    </row>
    <row r="69" spans="1:55" ht="100" x14ac:dyDescent="0.35">
      <c r="A69" s="237"/>
      <c r="B69" s="237"/>
      <c r="C69" s="237"/>
      <c r="D69" s="237"/>
      <c r="E69" s="237"/>
      <c r="F69" s="237"/>
      <c r="G69" s="237"/>
      <c r="H69" s="237" t="s">
        <v>799</v>
      </c>
      <c r="I69" s="991" t="s">
        <v>1156</v>
      </c>
      <c r="J69" s="237"/>
      <c r="K69" s="237"/>
      <c r="L69" s="237"/>
      <c r="M69" s="237"/>
      <c r="N69" s="854">
        <v>45689</v>
      </c>
      <c r="O69" s="811" t="s">
        <v>1040</v>
      </c>
      <c r="P69" s="855" t="s">
        <v>1041</v>
      </c>
      <c r="Q69" s="856"/>
      <c r="R69" s="808" t="s">
        <v>856</v>
      </c>
      <c r="S69" s="987" t="s">
        <v>1138</v>
      </c>
      <c r="T69" s="842"/>
      <c r="U69" s="234"/>
      <c r="V69" s="234"/>
      <c r="W69" s="809">
        <v>45653</v>
      </c>
      <c r="X69" s="843" t="s">
        <v>1157</v>
      </c>
      <c r="Y69" s="1033"/>
      <c r="Z69" s="812" t="s">
        <v>905</v>
      </c>
      <c r="AA69" s="809" t="s">
        <v>1071</v>
      </c>
      <c r="AB69" s="809"/>
      <c r="AC69" s="858">
        <v>57200000</v>
      </c>
      <c r="AD69" s="858">
        <v>10486669</v>
      </c>
      <c r="AE69" s="858">
        <v>46713331</v>
      </c>
      <c r="AF69" s="858">
        <v>953334</v>
      </c>
      <c r="AG69" s="858">
        <v>953334</v>
      </c>
      <c r="AH69" s="858">
        <v>953334</v>
      </c>
      <c r="AI69" s="858">
        <v>953334</v>
      </c>
      <c r="AJ69" s="858">
        <v>953334</v>
      </c>
      <c r="AK69" s="858">
        <v>953334</v>
      </c>
      <c r="AL69" s="858">
        <v>953334</v>
      </c>
      <c r="AM69" s="858">
        <v>953334</v>
      </c>
      <c r="AN69" s="858">
        <v>953334</v>
      </c>
      <c r="AO69" s="858">
        <v>953334</v>
      </c>
      <c r="AP69" s="858">
        <v>953334</v>
      </c>
      <c r="AQ69" s="858">
        <v>953334</v>
      </c>
      <c r="AR69" s="197">
        <f t="shared" si="46"/>
        <v>11440008</v>
      </c>
      <c r="AS69" s="825">
        <f t="shared" si="10"/>
        <v>35273323</v>
      </c>
      <c r="AT69" s="220" t="s">
        <v>1158</v>
      </c>
      <c r="AU69" s="1060" t="e">
        <f>#REF!</f>
        <v>#REF!</v>
      </c>
      <c r="AV69" s="838" t="e">
        <f t="shared" si="47"/>
        <v>#REF!</v>
      </c>
      <c r="AX69" s="220">
        <f t="shared" si="49"/>
        <v>144</v>
      </c>
      <c r="AY69" s="220" t="e">
        <f>YEAR(#REF!)</f>
        <v>#REF!</v>
      </c>
      <c r="AZ69" s="838" t="e">
        <f>MONTH(#REF!)</f>
        <v>#REF!</v>
      </c>
      <c r="BB69" s="838" t="e">
        <f t="shared" si="48"/>
        <v>#REF!</v>
      </c>
      <c r="BC69" s="1073" t="e">
        <f>#REF!/BB69</f>
        <v>#REF!</v>
      </c>
    </row>
    <row r="70" spans="1:55" ht="75" x14ac:dyDescent="0.35">
      <c r="A70" s="237"/>
      <c r="B70" s="237"/>
      <c r="C70" s="237"/>
      <c r="D70" s="237"/>
      <c r="E70" s="237"/>
      <c r="F70" s="237"/>
      <c r="G70" s="237"/>
      <c r="H70" s="237" t="s">
        <v>799</v>
      </c>
      <c r="I70" s="993"/>
      <c r="J70" s="237"/>
      <c r="K70" s="237"/>
      <c r="L70" s="237"/>
      <c r="M70" s="237"/>
      <c r="N70" s="854">
        <v>45658</v>
      </c>
      <c r="O70" s="811" t="s">
        <v>1059</v>
      </c>
      <c r="P70" s="855" t="s">
        <v>1041</v>
      </c>
      <c r="Q70" s="856"/>
      <c r="R70" s="808" t="s">
        <v>856</v>
      </c>
      <c r="S70" s="987" t="s">
        <v>1138</v>
      </c>
      <c r="T70" s="842"/>
      <c r="U70" s="234"/>
      <c r="V70" s="234"/>
      <c r="W70" s="859"/>
      <c r="X70" s="843" t="s">
        <v>1159</v>
      </c>
      <c r="Y70" s="1033"/>
      <c r="Z70" s="812" t="s">
        <v>905</v>
      </c>
      <c r="AA70" s="809" t="s">
        <v>1071</v>
      </c>
      <c r="AB70" s="809"/>
      <c r="AC70" s="858">
        <v>680225497</v>
      </c>
      <c r="AD70" s="858">
        <v>166585836</v>
      </c>
      <c r="AE70" s="858">
        <v>513639661</v>
      </c>
      <c r="AF70" s="858">
        <v>13882153</v>
      </c>
      <c r="AG70" s="858">
        <v>13882153</v>
      </c>
      <c r="AH70" s="858">
        <v>13882153</v>
      </c>
      <c r="AI70" s="858">
        <v>13882153</v>
      </c>
      <c r="AJ70" s="858">
        <v>13882153</v>
      </c>
      <c r="AK70" s="858">
        <v>13882153</v>
      </c>
      <c r="AL70" s="858">
        <v>13882153</v>
      </c>
      <c r="AM70" s="858">
        <v>13882153</v>
      </c>
      <c r="AN70" s="858">
        <v>13882153</v>
      </c>
      <c r="AO70" s="858">
        <v>13882153</v>
      </c>
      <c r="AP70" s="858">
        <v>13882153</v>
      </c>
      <c r="AQ70" s="858">
        <v>13882153</v>
      </c>
      <c r="AR70" s="197">
        <f t="shared" si="46"/>
        <v>166585836</v>
      </c>
      <c r="AS70" s="825">
        <f t="shared" si="10"/>
        <v>347053825</v>
      </c>
      <c r="AT70" s="220" t="s">
        <v>1160</v>
      </c>
      <c r="AU70" s="1060" t="e">
        <f>#REF!</f>
        <v>#REF!</v>
      </c>
      <c r="AV70" s="838" t="e">
        <f t="shared" si="47"/>
        <v>#REF!</v>
      </c>
      <c r="AX70" s="220">
        <f t="shared" si="49"/>
        <v>144</v>
      </c>
      <c r="AY70" s="220" t="e">
        <f>YEAR(#REF!)</f>
        <v>#REF!</v>
      </c>
      <c r="AZ70" s="838" t="e">
        <f>MONTH(#REF!)</f>
        <v>#REF!</v>
      </c>
      <c r="BB70" s="838" t="e">
        <f t="shared" si="48"/>
        <v>#REF!</v>
      </c>
      <c r="BC70" s="1073" t="e">
        <f>#REF!/BB70</f>
        <v>#REF!</v>
      </c>
    </row>
    <row r="71" spans="1:55" x14ac:dyDescent="0.35">
      <c r="A71" s="237"/>
      <c r="B71" s="237"/>
      <c r="C71" s="237"/>
      <c r="D71" s="237"/>
      <c r="E71" s="237"/>
      <c r="F71" s="237"/>
      <c r="G71" s="237"/>
      <c r="H71" s="237"/>
      <c r="I71" s="991"/>
      <c r="J71" s="237"/>
      <c r="K71" s="237"/>
      <c r="L71" s="237"/>
      <c r="M71" s="237"/>
      <c r="N71" s="237"/>
      <c r="O71" s="237"/>
      <c r="P71" s="842"/>
      <c r="Q71" s="234"/>
      <c r="R71" s="234"/>
      <c r="S71" s="234"/>
      <c r="T71" s="842"/>
      <c r="U71" s="234"/>
      <c r="V71" s="234"/>
      <c r="W71" s="234"/>
      <c r="X71" s="843"/>
      <c r="Y71" s="1024"/>
      <c r="Z71" s="845"/>
      <c r="AA71" s="846"/>
      <c r="AB71" s="846"/>
      <c r="AC71" s="825"/>
      <c r="AD71" s="825">
        <f>AC71-AE71</f>
        <v>0</v>
      </c>
      <c r="AE71" s="825"/>
      <c r="AF71" s="197"/>
      <c r="AG71" s="197"/>
      <c r="AH71" s="197"/>
      <c r="AI71" s="197"/>
      <c r="AJ71" s="197"/>
      <c r="AK71" s="197"/>
      <c r="AL71" s="197"/>
      <c r="AM71" s="197"/>
      <c r="AN71" s="197"/>
      <c r="AO71" s="197"/>
      <c r="AP71" s="197"/>
      <c r="AQ71" s="197"/>
      <c r="AR71" s="197">
        <f t="shared" si="46"/>
        <v>0</v>
      </c>
      <c r="AS71" s="825">
        <f t="shared" si="10"/>
        <v>0</v>
      </c>
      <c r="BC71" s="1073"/>
    </row>
    <row r="72" spans="1:55" ht="37.5" x14ac:dyDescent="0.35">
      <c r="A72" s="237" t="s">
        <v>811</v>
      </c>
      <c r="B72" s="237"/>
      <c r="C72" s="237"/>
      <c r="D72" s="237"/>
      <c r="E72" s="237"/>
      <c r="F72" s="237"/>
      <c r="G72" s="237"/>
      <c r="H72" s="237"/>
      <c r="I72" s="991"/>
      <c r="J72" s="237"/>
      <c r="K72" s="237"/>
      <c r="L72" s="237"/>
      <c r="M72" s="237"/>
      <c r="N72" s="237"/>
      <c r="O72" s="237"/>
      <c r="P72" s="482"/>
      <c r="Q72" s="234"/>
      <c r="R72" s="234"/>
      <c r="S72" s="482" t="s">
        <v>1161</v>
      </c>
      <c r="T72" s="482"/>
      <c r="U72" s="234"/>
      <c r="V72" s="234"/>
      <c r="W72" s="234"/>
      <c r="X72" s="807" t="s">
        <v>1162</v>
      </c>
      <c r="Y72" s="1024">
        <v>627</v>
      </c>
      <c r="Z72" s="238">
        <v>6274001903</v>
      </c>
      <c r="AA72" s="236" t="s">
        <v>896</v>
      </c>
      <c r="AB72" s="236" t="s">
        <v>1038</v>
      </c>
      <c r="AC72" s="202">
        <f>SUM(AC73:AC76)</f>
        <v>15341783756</v>
      </c>
      <c r="AD72" s="202">
        <f>AC72-AE72</f>
        <v>7527856943</v>
      </c>
      <c r="AE72" s="202">
        <f t="shared" ref="AE72:AQ72" si="50">SUM(AE73:AE76)</f>
        <v>7813926813</v>
      </c>
      <c r="AF72" s="810">
        <f>SUM(AF73:AF76)</f>
        <v>269396719</v>
      </c>
      <c r="AG72" s="810">
        <f t="shared" si="50"/>
        <v>269396719</v>
      </c>
      <c r="AH72" s="810">
        <f t="shared" si="50"/>
        <v>269396719</v>
      </c>
      <c r="AI72" s="810">
        <f t="shared" si="50"/>
        <v>269396719</v>
      </c>
      <c r="AJ72" s="810">
        <f t="shared" si="50"/>
        <v>269396719</v>
      </c>
      <c r="AK72" s="810">
        <f t="shared" si="50"/>
        <v>269396719</v>
      </c>
      <c r="AL72" s="810">
        <f t="shared" si="50"/>
        <v>269396719</v>
      </c>
      <c r="AM72" s="810">
        <f t="shared" si="50"/>
        <v>269396719</v>
      </c>
      <c r="AN72" s="810">
        <f t="shared" si="50"/>
        <v>269396719</v>
      </c>
      <c r="AO72" s="810">
        <f t="shared" si="50"/>
        <v>269396719</v>
      </c>
      <c r="AP72" s="810">
        <f t="shared" si="50"/>
        <v>269396719</v>
      </c>
      <c r="AQ72" s="810">
        <f t="shared" si="50"/>
        <v>269396719</v>
      </c>
      <c r="AR72" s="810">
        <f t="shared" si="2"/>
        <v>3232760628</v>
      </c>
      <c r="AS72" s="202">
        <f t="shared" si="10"/>
        <v>4581166185</v>
      </c>
      <c r="BC72" s="1073"/>
    </row>
    <row r="73" spans="1:55" ht="87.5" x14ac:dyDescent="0.35">
      <c r="A73" s="237"/>
      <c r="B73" s="237"/>
      <c r="C73" s="237"/>
      <c r="D73" s="237"/>
      <c r="E73" s="237"/>
      <c r="F73" s="237"/>
      <c r="G73" s="237"/>
      <c r="H73" s="237" t="s">
        <v>799</v>
      </c>
      <c r="I73" s="991" t="s">
        <v>1163</v>
      </c>
      <c r="J73" s="237"/>
      <c r="K73" s="237"/>
      <c r="L73" s="237"/>
      <c r="M73" s="237"/>
      <c r="N73" s="237">
        <v>44927</v>
      </c>
      <c r="O73" s="237" t="s">
        <v>1040</v>
      </c>
      <c r="P73" s="842" t="s">
        <v>1041</v>
      </c>
      <c r="Q73" s="234"/>
      <c r="R73" s="234" t="s">
        <v>858</v>
      </c>
      <c r="S73" s="986" t="s">
        <v>1164</v>
      </c>
      <c r="T73" s="842"/>
      <c r="U73" s="234"/>
      <c r="V73" s="234"/>
      <c r="W73" s="809">
        <v>44621</v>
      </c>
      <c r="X73" s="843" t="s">
        <v>1165</v>
      </c>
      <c r="Y73" s="844"/>
      <c r="Z73" s="845" t="s">
        <v>895</v>
      </c>
      <c r="AA73" s="846" t="s">
        <v>896</v>
      </c>
      <c r="AB73" s="846"/>
      <c r="AC73" s="825">
        <v>12447721856</v>
      </c>
      <c r="AD73" s="825">
        <v>6034013598</v>
      </c>
      <c r="AE73" s="825">
        <v>6413708258</v>
      </c>
      <c r="AF73" s="825">
        <v>221162354</v>
      </c>
      <c r="AG73" s="825">
        <v>221162354</v>
      </c>
      <c r="AH73" s="825">
        <v>221162354</v>
      </c>
      <c r="AI73" s="825">
        <v>221162354</v>
      </c>
      <c r="AJ73" s="825">
        <v>221162354</v>
      </c>
      <c r="AK73" s="825">
        <v>221162354</v>
      </c>
      <c r="AL73" s="825">
        <v>221162354</v>
      </c>
      <c r="AM73" s="825">
        <v>221162354</v>
      </c>
      <c r="AN73" s="825">
        <v>221162354</v>
      </c>
      <c r="AO73" s="825">
        <v>221162354</v>
      </c>
      <c r="AP73" s="825">
        <v>221162354</v>
      </c>
      <c r="AQ73" s="825">
        <v>221162354</v>
      </c>
      <c r="AR73" s="825">
        <f>SUM(AF73:AQ73)</f>
        <v>2653948248</v>
      </c>
      <c r="AS73" s="825">
        <f t="shared" si="10"/>
        <v>3759760010</v>
      </c>
      <c r="AU73" s="1060" t="e">
        <f>#REF!</f>
        <v>#REF!</v>
      </c>
      <c r="AV73" s="838" t="e">
        <f t="shared" ref="AV73:AV76" si="51">IF(AY73=2022,(12*3),IF(AY73=2023,(12*2),IF(AY73=2024,(12*1),IF(AY73=2025,0))))+(12-AZ73+1)</f>
        <v>#REF!</v>
      </c>
      <c r="AX73" s="220">
        <f t="shared" ref="AX73:AX76" si="52">12*12</f>
        <v>144</v>
      </c>
      <c r="AY73" s="220" t="e">
        <f>YEAR(#REF!)</f>
        <v>#REF!</v>
      </c>
      <c r="AZ73" s="838" t="e">
        <f>MONTH(#REF!)</f>
        <v>#REF!</v>
      </c>
      <c r="BB73" s="838" t="e">
        <f t="shared" ref="BB73:BB76" si="53">AX73-AV73</f>
        <v>#REF!</v>
      </c>
      <c r="BC73" s="1073" t="e">
        <f>#REF!/BB73</f>
        <v>#REF!</v>
      </c>
    </row>
    <row r="74" spans="1:55" ht="100" x14ac:dyDescent="0.35">
      <c r="A74" s="237"/>
      <c r="B74" s="237"/>
      <c r="C74" s="237"/>
      <c r="D74" s="237"/>
      <c r="E74" s="237"/>
      <c r="F74" s="237"/>
      <c r="G74" s="237"/>
      <c r="H74" s="237" t="s">
        <v>799</v>
      </c>
      <c r="I74" s="991" t="s">
        <v>1056</v>
      </c>
      <c r="J74" s="237"/>
      <c r="K74" s="237"/>
      <c r="L74" s="237"/>
      <c r="M74" s="237"/>
      <c r="N74" s="237">
        <v>45017</v>
      </c>
      <c r="O74" s="237" t="s">
        <v>1040</v>
      </c>
      <c r="P74" s="842" t="s">
        <v>1041</v>
      </c>
      <c r="Q74" s="234"/>
      <c r="R74" s="234" t="s">
        <v>901</v>
      </c>
      <c r="S74" s="986" t="s">
        <v>1166</v>
      </c>
      <c r="T74" s="842"/>
      <c r="U74" s="234"/>
      <c r="V74" s="234"/>
      <c r="W74" s="809">
        <v>44977</v>
      </c>
      <c r="X74" s="843" t="s">
        <v>1167</v>
      </c>
      <c r="Y74" s="844"/>
      <c r="Z74" s="845" t="s">
        <v>895</v>
      </c>
      <c r="AA74" s="846" t="s">
        <v>896</v>
      </c>
      <c r="AB74" s="846"/>
      <c r="AC74" s="825">
        <v>1850573500</v>
      </c>
      <c r="AD74" s="825">
        <v>1017815426</v>
      </c>
      <c r="AE74" s="825">
        <v>832758074</v>
      </c>
      <c r="AF74" s="825">
        <v>30842892</v>
      </c>
      <c r="AG74" s="825">
        <v>30842892</v>
      </c>
      <c r="AH74" s="825">
        <v>30842892</v>
      </c>
      <c r="AI74" s="825">
        <v>30842892</v>
      </c>
      <c r="AJ74" s="825">
        <v>30842892</v>
      </c>
      <c r="AK74" s="825">
        <v>30842892</v>
      </c>
      <c r="AL74" s="825">
        <v>30842892</v>
      </c>
      <c r="AM74" s="825">
        <v>30842892</v>
      </c>
      <c r="AN74" s="825">
        <v>30842892</v>
      </c>
      <c r="AO74" s="825">
        <v>30842892</v>
      </c>
      <c r="AP74" s="825">
        <v>30842892</v>
      </c>
      <c r="AQ74" s="825">
        <v>30842892</v>
      </c>
      <c r="AR74" s="825">
        <f>SUM(AF74:AQ74)</f>
        <v>370114704</v>
      </c>
      <c r="AS74" s="825">
        <f t="shared" si="10"/>
        <v>462643370</v>
      </c>
      <c r="AU74" s="1060" t="e">
        <f>#REF!</f>
        <v>#REF!</v>
      </c>
      <c r="AV74" s="838" t="e">
        <f t="shared" si="51"/>
        <v>#REF!</v>
      </c>
      <c r="AX74" s="220">
        <f t="shared" si="52"/>
        <v>144</v>
      </c>
      <c r="AY74" s="220" t="e">
        <f>YEAR(#REF!)</f>
        <v>#REF!</v>
      </c>
      <c r="AZ74" s="838" t="e">
        <f>MONTH(#REF!)</f>
        <v>#REF!</v>
      </c>
      <c r="BB74" s="838" t="e">
        <f t="shared" si="53"/>
        <v>#REF!</v>
      </c>
      <c r="BC74" s="1073" t="e">
        <f>#REF!/BB74</f>
        <v>#REF!</v>
      </c>
    </row>
    <row r="75" spans="1:55" ht="75" x14ac:dyDescent="0.35">
      <c r="A75" s="237"/>
      <c r="B75" s="237"/>
      <c r="C75" s="237"/>
      <c r="D75" s="237"/>
      <c r="E75" s="237"/>
      <c r="F75" s="237"/>
      <c r="G75" s="237"/>
      <c r="H75" s="237" t="s">
        <v>799</v>
      </c>
      <c r="I75" s="991" t="s">
        <v>1039</v>
      </c>
      <c r="J75" s="237"/>
      <c r="K75" s="237"/>
      <c r="L75" s="237"/>
      <c r="M75" s="237"/>
      <c r="N75" s="237">
        <v>45170</v>
      </c>
      <c r="O75" s="237" t="s">
        <v>1040</v>
      </c>
      <c r="P75" s="842" t="s">
        <v>1041</v>
      </c>
      <c r="Q75" s="234"/>
      <c r="R75" s="234" t="s">
        <v>902</v>
      </c>
      <c r="S75" s="986" t="s">
        <v>1168</v>
      </c>
      <c r="T75" s="842"/>
      <c r="U75" s="234"/>
      <c r="V75" s="234"/>
      <c r="W75" s="809">
        <v>44938</v>
      </c>
      <c r="X75" s="843" t="s">
        <v>1169</v>
      </c>
      <c r="Y75" s="844"/>
      <c r="Z75" s="845" t="s">
        <v>895</v>
      </c>
      <c r="AA75" s="846" t="s">
        <v>896</v>
      </c>
      <c r="AB75" s="846"/>
      <c r="AC75" s="825">
        <v>1002488400</v>
      </c>
      <c r="AD75" s="825">
        <v>467827920</v>
      </c>
      <c r="AE75" s="825">
        <v>534660480</v>
      </c>
      <c r="AF75" s="825">
        <v>16708140</v>
      </c>
      <c r="AG75" s="825">
        <v>16708140</v>
      </c>
      <c r="AH75" s="825">
        <v>16708140</v>
      </c>
      <c r="AI75" s="825">
        <v>16708140</v>
      </c>
      <c r="AJ75" s="825">
        <v>16708140</v>
      </c>
      <c r="AK75" s="825">
        <v>16708140</v>
      </c>
      <c r="AL75" s="825">
        <v>16708140</v>
      </c>
      <c r="AM75" s="825">
        <v>16708140</v>
      </c>
      <c r="AN75" s="825">
        <v>16708140</v>
      </c>
      <c r="AO75" s="825">
        <v>16708140</v>
      </c>
      <c r="AP75" s="825">
        <v>16708140</v>
      </c>
      <c r="AQ75" s="825">
        <v>16708140</v>
      </c>
      <c r="AR75" s="825">
        <f>SUM(AF75:AQ75)</f>
        <v>200497680</v>
      </c>
      <c r="AS75" s="825">
        <f t="shared" si="10"/>
        <v>334162800</v>
      </c>
      <c r="AU75" s="1060" t="e">
        <f>#REF!</f>
        <v>#REF!</v>
      </c>
      <c r="AV75" s="838" t="e">
        <f t="shared" si="51"/>
        <v>#REF!</v>
      </c>
      <c r="AX75" s="220">
        <f t="shared" si="52"/>
        <v>144</v>
      </c>
      <c r="AY75" s="220" t="e">
        <f>YEAR(#REF!)</f>
        <v>#REF!</v>
      </c>
      <c r="AZ75" s="838" t="e">
        <f>MONTH(#REF!)</f>
        <v>#REF!</v>
      </c>
      <c r="BB75" s="838" t="e">
        <f t="shared" si="53"/>
        <v>#REF!</v>
      </c>
      <c r="BC75" s="1073" t="e">
        <f>#REF!/BB75</f>
        <v>#REF!</v>
      </c>
    </row>
    <row r="76" spans="1:55" ht="112.5" x14ac:dyDescent="0.35">
      <c r="A76" s="237"/>
      <c r="B76" s="237"/>
      <c r="C76" s="237"/>
      <c r="D76" s="237"/>
      <c r="E76" s="237"/>
      <c r="F76" s="237"/>
      <c r="G76" s="237"/>
      <c r="H76" s="237" t="s">
        <v>799</v>
      </c>
      <c r="I76" s="991" t="s">
        <v>1156</v>
      </c>
      <c r="J76" s="237"/>
      <c r="K76" s="237"/>
      <c r="L76" s="237"/>
      <c r="M76" s="237"/>
      <c r="N76" s="237">
        <v>45658</v>
      </c>
      <c r="O76" s="237" t="s">
        <v>1040</v>
      </c>
      <c r="P76" s="842" t="s">
        <v>1041</v>
      </c>
      <c r="Q76" s="234"/>
      <c r="R76" s="234" t="s">
        <v>858</v>
      </c>
      <c r="S76" s="986" t="s">
        <v>1164</v>
      </c>
      <c r="T76" s="842"/>
      <c r="U76" s="234"/>
      <c r="V76" s="234"/>
      <c r="W76" s="809">
        <v>45637</v>
      </c>
      <c r="X76" s="843" t="s">
        <v>1170</v>
      </c>
      <c r="Y76" s="844"/>
      <c r="Z76" s="845" t="s">
        <v>905</v>
      </c>
      <c r="AA76" s="846" t="s">
        <v>1071</v>
      </c>
      <c r="AB76" s="846"/>
      <c r="AC76" s="825">
        <v>41000000</v>
      </c>
      <c r="AD76" s="825">
        <v>8199999</v>
      </c>
      <c r="AE76" s="825">
        <v>32800001</v>
      </c>
      <c r="AF76" s="825">
        <v>683333</v>
      </c>
      <c r="AG76" s="825">
        <v>683333</v>
      </c>
      <c r="AH76" s="825">
        <v>683333</v>
      </c>
      <c r="AI76" s="825">
        <v>683333</v>
      </c>
      <c r="AJ76" s="825">
        <v>683333</v>
      </c>
      <c r="AK76" s="825">
        <v>683333</v>
      </c>
      <c r="AL76" s="825">
        <v>683333</v>
      </c>
      <c r="AM76" s="825">
        <v>683333</v>
      </c>
      <c r="AN76" s="825">
        <v>683333</v>
      </c>
      <c r="AO76" s="825">
        <v>683333</v>
      </c>
      <c r="AP76" s="825">
        <v>683333</v>
      </c>
      <c r="AQ76" s="825">
        <v>683333</v>
      </c>
      <c r="AR76" s="825">
        <f>SUM(AF76:AQ76)</f>
        <v>8199996</v>
      </c>
      <c r="AS76" s="825">
        <f t="shared" si="10"/>
        <v>24600005</v>
      </c>
      <c r="AU76" s="1060" t="e">
        <f>#REF!</f>
        <v>#REF!</v>
      </c>
      <c r="AV76" s="838" t="e">
        <f t="shared" si="51"/>
        <v>#REF!</v>
      </c>
      <c r="AX76" s="220">
        <f t="shared" si="52"/>
        <v>144</v>
      </c>
      <c r="AY76" s="220" t="e">
        <f>YEAR(#REF!)</f>
        <v>#REF!</v>
      </c>
      <c r="AZ76" s="838" t="e">
        <f>MONTH(#REF!)</f>
        <v>#REF!</v>
      </c>
      <c r="BB76" s="838" t="e">
        <f t="shared" si="53"/>
        <v>#REF!</v>
      </c>
      <c r="BC76" s="1073" t="e">
        <f>#REF!/BB76</f>
        <v>#REF!</v>
      </c>
    </row>
    <row r="77" spans="1:55" x14ac:dyDescent="0.35">
      <c r="A77" s="237" t="s">
        <v>812</v>
      </c>
      <c r="B77" s="237"/>
      <c r="C77" s="237"/>
      <c r="D77" s="237"/>
      <c r="E77" s="237"/>
      <c r="F77" s="237"/>
      <c r="G77" s="237"/>
      <c r="H77" s="237"/>
      <c r="I77" s="991"/>
      <c r="J77" s="237"/>
      <c r="K77" s="237"/>
      <c r="L77" s="237"/>
      <c r="M77" s="237"/>
      <c r="N77" s="237"/>
      <c r="O77" s="237"/>
      <c r="P77" s="482"/>
      <c r="Q77" s="234"/>
      <c r="R77" s="234"/>
      <c r="S77" s="234"/>
      <c r="T77" s="482"/>
      <c r="U77" s="234"/>
      <c r="V77" s="234"/>
      <c r="W77" s="234"/>
      <c r="X77" s="807"/>
      <c r="Y77" s="235"/>
      <c r="Z77" s="238"/>
      <c r="AA77" s="236"/>
      <c r="AB77" s="236"/>
      <c r="AC77" s="202"/>
      <c r="AD77" s="202"/>
      <c r="AE77" s="202"/>
      <c r="AF77" s="202"/>
      <c r="AG77" s="202"/>
      <c r="AH77" s="202"/>
      <c r="AI77" s="202"/>
      <c r="AJ77" s="202"/>
      <c r="AK77" s="202"/>
      <c r="AL77" s="202"/>
      <c r="AM77" s="202"/>
      <c r="AN77" s="202"/>
      <c r="AO77" s="202"/>
      <c r="AP77" s="202"/>
      <c r="AQ77" s="202"/>
      <c r="AR77" s="202">
        <f t="shared" si="2"/>
        <v>0</v>
      </c>
      <c r="AS77" s="202">
        <f t="shared" si="10"/>
        <v>0</v>
      </c>
    </row>
    <row r="78" spans="1:55" x14ac:dyDescent="0.35">
      <c r="A78" s="237" t="s">
        <v>813</v>
      </c>
      <c r="B78" s="237"/>
      <c r="C78" s="237"/>
      <c r="D78" s="237"/>
      <c r="E78" s="237"/>
      <c r="F78" s="237"/>
      <c r="G78" s="237"/>
      <c r="H78" s="237"/>
      <c r="I78" s="991"/>
      <c r="J78" s="237"/>
      <c r="K78" s="237"/>
      <c r="L78" s="237"/>
      <c r="M78" s="237"/>
      <c r="N78" s="237"/>
      <c r="O78" s="237"/>
      <c r="P78" s="482"/>
      <c r="Q78" s="234"/>
      <c r="R78" s="234"/>
      <c r="S78" s="234"/>
      <c r="T78" s="482"/>
      <c r="U78" s="234"/>
      <c r="V78" s="234"/>
      <c r="W78" s="234"/>
      <c r="X78" s="807"/>
      <c r="Y78" s="235"/>
      <c r="Z78" s="238"/>
      <c r="AA78" s="236"/>
      <c r="AB78" s="236"/>
      <c r="AC78" s="202"/>
      <c r="AD78" s="202"/>
      <c r="AE78" s="202"/>
      <c r="AF78" s="202"/>
      <c r="AG78" s="202"/>
      <c r="AH78" s="202"/>
      <c r="AI78" s="202"/>
      <c r="AJ78" s="202"/>
      <c r="AK78" s="202"/>
      <c r="AL78" s="202"/>
      <c r="AM78" s="202"/>
      <c r="AN78" s="202"/>
      <c r="AO78" s="202"/>
      <c r="AP78" s="202"/>
      <c r="AQ78" s="202"/>
      <c r="AR78" s="202">
        <f t="shared" si="2"/>
        <v>0</v>
      </c>
      <c r="AS78" s="202">
        <f t="shared" si="10"/>
        <v>0</v>
      </c>
    </row>
    <row r="79" spans="1:55" x14ac:dyDescent="0.35">
      <c r="A79" s="237" t="s">
        <v>814</v>
      </c>
      <c r="B79" s="237"/>
      <c r="C79" s="237"/>
      <c r="D79" s="237"/>
      <c r="E79" s="237"/>
      <c r="F79" s="237"/>
      <c r="G79" s="237"/>
      <c r="H79" s="237"/>
      <c r="I79" s="991"/>
      <c r="J79" s="237"/>
      <c r="K79" s="237"/>
      <c r="L79" s="237"/>
      <c r="M79" s="237"/>
      <c r="N79" s="237"/>
      <c r="O79" s="237"/>
      <c r="P79" s="482"/>
      <c r="Q79" s="234"/>
      <c r="R79" s="234"/>
      <c r="S79" s="234"/>
      <c r="T79" s="482"/>
      <c r="U79" s="234"/>
      <c r="V79" s="234"/>
      <c r="W79" s="234"/>
      <c r="X79" s="807"/>
      <c r="Y79" s="235"/>
      <c r="Z79" s="238"/>
      <c r="AA79" s="236"/>
      <c r="AB79" s="236"/>
      <c r="AC79" s="202"/>
      <c r="AD79" s="202"/>
      <c r="AE79" s="202"/>
      <c r="AF79" s="202"/>
      <c r="AG79" s="202"/>
      <c r="AH79" s="202"/>
      <c r="AI79" s="202"/>
      <c r="AJ79" s="202"/>
      <c r="AK79" s="202"/>
      <c r="AL79" s="202"/>
      <c r="AM79" s="202"/>
      <c r="AN79" s="202"/>
      <c r="AO79" s="202"/>
      <c r="AP79" s="202"/>
      <c r="AQ79" s="202"/>
      <c r="AR79" s="202">
        <f t="shared" si="2"/>
        <v>0</v>
      </c>
      <c r="AS79" s="202">
        <f t="shared" si="10"/>
        <v>0</v>
      </c>
    </row>
    <row r="80" spans="1:55" x14ac:dyDescent="0.35">
      <c r="A80" s="237" t="s">
        <v>815</v>
      </c>
      <c r="B80" s="237"/>
      <c r="C80" s="237"/>
      <c r="D80" s="237"/>
      <c r="E80" s="237"/>
      <c r="F80" s="237"/>
      <c r="G80" s="237"/>
      <c r="H80" s="237"/>
      <c r="I80" s="991"/>
      <c r="J80" s="237"/>
      <c r="K80" s="237"/>
      <c r="L80" s="237"/>
      <c r="M80" s="237"/>
      <c r="N80" s="237"/>
      <c r="O80" s="237"/>
      <c r="P80" s="482"/>
      <c r="Q80" s="234"/>
      <c r="R80" s="234"/>
      <c r="S80" s="234"/>
      <c r="T80" s="482"/>
      <c r="U80" s="234"/>
      <c r="V80" s="234"/>
      <c r="W80" s="234"/>
      <c r="X80" s="807"/>
      <c r="Y80" s="235"/>
      <c r="Z80" s="238"/>
      <c r="AA80" s="236"/>
      <c r="AB80" s="236"/>
      <c r="AC80" s="202"/>
      <c r="AD80" s="202"/>
      <c r="AE80" s="202"/>
      <c r="AF80" s="202"/>
      <c r="AG80" s="202"/>
      <c r="AH80" s="202"/>
      <c r="AI80" s="202"/>
      <c r="AJ80" s="202"/>
      <c r="AK80" s="202"/>
      <c r="AL80" s="202"/>
      <c r="AM80" s="202"/>
      <c r="AN80" s="202"/>
      <c r="AO80" s="202"/>
      <c r="AP80" s="202"/>
      <c r="AQ80" s="202"/>
      <c r="AR80" s="202">
        <f t="shared" si="2"/>
        <v>0</v>
      </c>
      <c r="AS80" s="202">
        <f t="shared" si="10"/>
        <v>0</v>
      </c>
    </row>
    <row r="81" spans="1:55" x14ac:dyDescent="0.35">
      <c r="A81" s="237" t="s">
        <v>816</v>
      </c>
      <c r="B81" s="237"/>
      <c r="C81" s="237"/>
      <c r="D81" s="237"/>
      <c r="E81" s="237"/>
      <c r="F81" s="237"/>
      <c r="G81" s="237"/>
      <c r="H81" s="237"/>
      <c r="I81" s="991"/>
      <c r="J81" s="237"/>
      <c r="K81" s="237"/>
      <c r="L81" s="237"/>
      <c r="M81" s="237"/>
      <c r="N81" s="237"/>
      <c r="O81" s="237"/>
      <c r="P81" s="482"/>
      <c r="Q81" s="234"/>
      <c r="R81" s="234"/>
      <c r="S81" s="234"/>
      <c r="T81" s="482"/>
      <c r="U81" s="234"/>
      <c r="V81" s="234"/>
      <c r="W81" s="234"/>
      <c r="X81" s="807"/>
      <c r="Y81" s="235"/>
      <c r="Z81" s="238"/>
      <c r="AA81" s="236"/>
      <c r="AB81" s="236"/>
      <c r="AC81" s="202"/>
      <c r="AD81" s="202"/>
      <c r="AE81" s="202"/>
      <c r="AF81" s="207"/>
      <c r="AG81" s="207"/>
      <c r="AH81" s="207"/>
      <c r="AI81" s="207"/>
      <c r="AJ81" s="207"/>
      <c r="AK81" s="207"/>
      <c r="AL81" s="207"/>
      <c r="AM81" s="207"/>
      <c r="AN81" s="207"/>
      <c r="AO81" s="207"/>
      <c r="AP81" s="207"/>
      <c r="AQ81" s="207"/>
      <c r="AR81" s="202">
        <f t="shared" si="2"/>
        <v>0</v>
      </c>
      <c r="AS81" s="202">
        <f t="shared" si="10"/>
        <v>0</v>
      </c>
    </row>
    <row r="82" spans="1:55" x14ac:dyDescent="0.35">
      <c r="A82" s="85" t="s">
        <v>2096</v>
      </c>
      <c r="B82" s="497"/>
      <c r="C82" s="497"/>
      <c r="D82" s="497"/>
      <c r="E82" s="497"/>
      <c r="F82" s="497"/>
      <c r="G82" s="497"/>
      <c r="H82" s="497"/>
      <c r="I82" s="994"/>
      <c r="J82" s="497"/>
      <c r="K82" s="497"/>
      <c r="L82" s="497"/>
      <c r="M82" s="497"/>
      <c r="N82" s="497"/>
      <c r="O82" s="497"/>
      <c r="P82" s="498"/>
      <c r="Q82" s="499"/>
      <c r="R82" s="499"/>
      <c r="S82" s="499"/>
      <c r="T82" s="498"/>
      <c r="U82" s="499"/>
      <c r="V82" s="499"/>
      <c r="W82" s="499"/>
      <c r="X82" s="805"/>
      <c r="Y82" s="500"/>
      <c r="Z82" s="501"/>
      <c r="AA82" s="502"/>
      <c r="AB82" s="502"/>
      <c r="AC82" s="207">
        <f>SUM(AC83:AC100)</f>
        <v>15378130030</v>
      </c>
      <c r="AD82" s="207" t="e">
        <f t="shared" ref="AD82:AD100" si="54">AC82-AE82</f>
        <v>#REF!</v>
      </c>
      <c r="AE82" s="207" t="e">
        <f>SUM(AE83:AE100)</f>
        <v>#REF!</v>
      </c>
      <c r="AF82" s="207" t="e">
        <f>SUM(AF83,AF90)</f>
        <v>#REF!</v>
      </c>
      <c r="AG82" s="207" t="e">
        <f t="shared" ref="AG82:AQ82" si="55">SUM(AG83,AG90)</f>
        <v>#REF!</v>
      </c>
      <c r="AH82" s="207" t="e">
        <f t="shared" si="55"/>
        <v>#REF!</v>
      </c>
      <c r="AI82" s="207" t="e">
        <f t="shared" si="55"/>
        <v>#REF!</v>
      </c>
      <c r="AJ82" s="207" t="e">
        <f t="shared" si="55"/>
        <v>#REF!</v>
      </c>
      <c r="AK82" s="207" t="e">
        <f t="shared" si="55"/>
        <v>#REF!</v>
      </c>
      <c r="AL82" s="207" t="e">
        <f t="shared" si="55"/>
        <v>#REF!</v>
      </c>
      <c r="AM82" s="207" t="e">
        <f t="shared" si="55"/>
        <v>#REF!</v>
      </c>
      <c r="AN82" s="207" t="e">
        <f t="shared" si="55"/>
        <v>#REF!</v>
      </c>
      <c r="AO82" s="207" t="e">
        <f t="shared" si="55"/>
        <v>#REF!</v>
      </c>
      <c r="AP82" s="207" t="e">
        <f t="shared" si="55"/>
        <v>#REF!</v>
      </c>
      <c r="AQ82" s="207" t="e">
        <f t="shared" si="55"/>
        <v>#REF!</v>
      </c>
      <c r="AR82" s="207" t="e">
        <f>SUM(AR83:AR100)</f>
        <v>#REF!</v>
      </c>
      <c r="AS82" s="202" t="e">
        <f t="shared" si="10"/>
        <v>#REF!</v>
      </c>
      <c r="BC82" s="1072"/>
    </row>
    <row r="83" spans="1:55" ht="50" x14ac:dyDescent="0.35">
      <c r="A83" s="1021">
        <v>2.1</v>
      </c>
      <c r="B83" s="1021" t="s">
        <v>817</v>
      </c>
      <c r="C83" s="1021" t="s">
        <v>1187</v>
      </c>
      <c r="D83" s="1021"/>
      <c r="E83" s="1021"/>
      <c r="F83" s="1021"/>
      <c r="G83" s="1021"/>
      <c r="H83" s="1021"/>
      <c r="I83" s="1038"/>
      <c r="J83" s="1021"/>
      <c r="K83" s="1021"/>
      <c r="L83" s="1021"/>
      <c r="M83" s="1021"/>
      <c r="N83" s="1039">
        <v>46023</v>
      </c>
      <c r="O83" s="1021">
        <f>12*12</f>
        <v>144</v>
      </c>
      <c r="P83" s="1027" t="s">
        <v>1041</v>
      </c>
      <c r="Q83" s="1027"/>
      <c r="R83" s="1027"/>
      <c r="S83" s="485" t="s">
        <v>1037</v>
      </c>
      <c r="T83" s="482"/>
      <c r="U83" s="1023"/>
      <c r="V83" s="1023"/>
      <c r="W83" s="1032"/>
      <c r="X83" s="806" t="s">
        <v>1037</v>
      </c>
      <c r="Y83" s="1024">
        <v>627</v>
      </c>
      <c r="Z83" s="1025">
        <v>6274001903</v>
      </c>
      <c r="AA83" s="1032" t="s">
        <v>896</v>
      </c>
      <c r="AB83" s="1032" t="s">
        <v>1038</v>
      </c>
      <c r="AC83" s="202">
        <f>SUM(AC84:AC89)</f>
        <v>1290297800</v>
      </c>
      <c r="AD83" s="202" t="e">
        <f t="shared" si="54"/>
        <v>#REF!</v>
      </c>
      <c r="AE83" s="202" t="e">
        <f>#REF!</f>
        <v>#REF!</v>
      </c>
      <c r="AF83" s="810" t="e">
        <f>SUM(AF84:AF89)</f>
        <v>#REF!</v>
      </c>
      <c r="AG83" s="810" t="e">
        <f t="shared" ref="AG83:AQ83" si="56">SUM(AG84:AG89)</f>
        <v>#REF!</v>
      </c>
      <c r="AH83" s="810" t="e">
        <f t="shared" si="56"/>
        <v>#REF!</v>
      </c>
      <c r="AI83" s="810" t="e">
        <f t="shared" si="56"/>
        <v>#REF!</v>
      </c>
      <c r="AJ83" s="810" t="e">
        <f t="shared" si="56"/>
        <v>#REF!</v>
      </c>
      <c r="AK83" s="810" t="e">
        <f t="shared" si="56"/>
        <v>#REF!</v>
      </c>
      <c r="AL83" s="810" t="e">
        <f t="shared" si="56"/>
        <v>#REF!</v>
      </c>
      <c r="AM83" s="810" t="e">
        <f t="shared" si="56"/>
        <v>#REF!</v>
      </c>
      <c r="AN83" s="810" t="e">
        <f t="shared" si="56"/>
        <v>#REF!</v>
      </c>
      <c r="AO83" s="810" t="e">
        <f t="shared" si="56"/>
        <v>#REF!</v>
      </c>
      <c r="AP83" s="810" t="e">
        <f t="shared" si="56"/>
        <v>#REF!</v>
      </c>
      <c r="AQ83" s="810" t="e">
        <f t="shared" si="56"/>
        <v>#REF!</v>
      </c>
      <c r="AR83" s="810" t="e">
        <f>SUM(AF83:AQ83)</f>
        <v>#REF!</v>
      </c>
      <c r="AS83" s="810"/>
      <c r="BC83" s="16"/>
    </row>
    <row r="84" spans="1:55" ht="25" x14ac:dyDescent="0.35">
      <c r="A84" s="237"/>
      <c r="B84" s="237" t="s">
        <v>817</v>
      </c>
      <c r="C84" s="237" t="s">
        <v>1187</v>
      </c>
      <c r="D84" s="237"/>
      <c r="E84" s="237"/>
      <c r="F84" s="237"/>
      <c r="G84" s="237"/>
      <c r="H84" s="237" t="s">
        <v>1172</v>
      </c>
      <c r="I84" s="1040" t="s">
        <v>2111</v>
      </c>
      <c r="J84" s="1035">
        <v>440032800</v>
      </c>
      <c r="K84" s="1035">
        <v>1</v>
      </c>
      <c r="L84" s="1035" t="e">
        <f>#REF!*#REF!</f>
        <v>#REF!</v>
      </c>
      <c r="M84" s="237"/>
      <c r="N84" s="854">
        <v>46023</v>
      </c>
      <c r="O84" s="237">
        <v>144</v>
      </c>
      <c r="P84" s="1020"/>
      <c r="Q84" s="1020"/>
      <c r="R84" s="1020"/>
      <c r="S84" s="1036"/>
      <c r="T84" s="842"/>
      <c r="U84" s="234"/>
      <c r="V84" s="234"/>
      <c r="W84" s="809"/>
      <c r="X84" s="1037" t="s">
        <v>851</v>
      </c>
      <c r="Y84" s="844"/>
      <c r="Z84" s="845">
        <v>6274001903</v>
      </c>
      <c r="AA84" s="809" t="s">
        <v>896</v>
      </c>
      <c r="AB84" s="809" t="s">
        <v>1038</v>
      </c>
      <c r="AC84" s="1045">
        <v>440032800</v>
      </c>
      <c r="AD84" s="825" t="e">
        <f t="shared" si="54"/>
        <v>#REF!</v>
      </c>
      <c r="AE84" s="825" t="e">
        <f>#REF!</f>
        <v>#REF!</v>
      </c>
      <c r="AF84" s="197" t="e">
        <f>#REF!/#REF!</f>
        <v>#REF!</v>
      </c>
      <c r="AG84" s="197" t="e">
        <f>#REF!/#REF!</f>
        <v>#REF!</v>
      </c>
      <c r="AH84" s="197" t="e">
        <f>#REF!/#REF!</f>
        <v>#REF!</v>
      </c>
      <c r="AI84" s="197" t="e">
        <f>#REF!/#REF!</f>
        <v>#REF!</v>
      </c>
      <c r="AJ84" s="197" t="e">
        <f>#REF!/#REF!</f>
        <v>#REF!</v>
      </c>
      <c r="AK84" s="197" t="e">
        <f>#REF!/#REF!</f>
        <v>#REF!</v>
      </c>
      <c r="AL84" s="197" t="e">
        <f>#REF!/#REF!</f>
        <v>#REF!</v>
      </c>
      <c r="AM84" s="197" t="e">
        <f>#REF!/#REF!</f>
        <v>#REF!</v>
      </c>
      <c r="AN84" s="197" t="e">
        <f>#REF!/#REF!</f>
        <v>#REF!</v>
      </c>
      <c r="AO84" s="197" t="e">
        <f>#REF!/#REF!</f>
        <v>#REF!</v>
      </c>
      <c r="AP84" s="197" t="e">
        <f>#REF!/#REF!</f>
        <v>#REF!</v>
      </c>
      <c r="AQ84" s="197" t="e">
        <f>#REF!/#REF!</f>
        <v>#REF!</v>
      </c>
      <c r="AR84" s="197" t="e">
        <f t="shared" ref="AR84:AR100" si="57">SUM(AF84:AQ84)</f>
        <v>#REF!</v>
      </c>
      <c r="AS84" s="197"/>
    </row>
    <row r="85" spans="1:55" ht="62.5" x14ac:dyDescent="0.35">
      <c r="A85" s="237"/>
      <c r="B85" s="237" t="s">
        <v>817</v>
      </c>
      <c r="C85" s="237" t="s">
        <v>1187</v>
      </c>
      <c r="D85" s="237"/>
      <c r="E85" s="237"/>
      <c r="F85" s="237"/>
      <c r="G85" s="237"/>
      <c r="H85" s="237"/>
      <c r="I85" s="1040"/>
      <c r="J85" s="1035"/>
      <c r="K85" s="1035"/>
      <c r="L85" s="1035"/>
      <c r="M85" s="237"/>
      <c r="N85" s="854"/>
      <c r="O85" s="237">
        <v>144</v>
      </c>
      <c r="P85" s="1020"/>
      <c r="Q85" s="1020"/>
      <c r="R85" s="1020"/>
      <c r="S85" s="1036"/>
      <c r="T85" s="842"/>
      <c r="U85" s="234"/>
      <c r="V85" s="234"/>
      <c r="W85" s="809"/>
      <c r="X85" s="1037" t="s">
        <v>2112</v>
      </c>
      <c r="Y85" s="844"/>
      <c r="Z85" s="845">
        <v>6274001903</v>
      </c>
      <c r="AA85" s="809" t="s">
        <v>896</v>
      </c>
      <c r="AB85" s="809" t="s">
        <v>1038</v>
      </c>
      <c r="AC85" s="825">
        <v>60000000</v>
      </c>
      <c r="AD85" s="825" t="e">
        <f t="shared" si="54"/>
        <v>#REF!</v>
      </c>
      <c r="AE85" s="825" t="e">
        <f>#REF!</f>
        <v>#REF!</v>
      </c>
      <c r="AF85" s="197" t="e">
        <f>#REF!/#REF!</f>
        <v>#REF!</v>
      </c>
      <c r="AG85" s="197" t="e">
        <f>#REF!/#REF!</f>
        <v>#REF!</v>
      </c>
      <c r="AH85" s="197" t="e">
        <f>#REF!/#REF!</f>
        <v>#REF!</v>
      </c>
      <c r="AI85" s="197" t="e">
        <f>#REF!/#REF!</f>
        <v>#REF!</v>
      </c>
      <c r="AJ85" s="197" t="e">
        <f>#REF!/#REF!</f>
        <v>#REF!</v>
      </c>
      <c r="AK85" s="197" t="e">
        <f>#REF!/#REF!</f>
        <v>#REF!</v>
      </c>
      <c r="AL85" s="197" t="e">
        <f>#REF!/#REF!</f>
        <v>#REF!</v>
      </c>
      <c r="AM85" s="197" t="e">
        <f>#REF!/#REF!</f>
        <v>#REF!</v>
      </c>
      <c r="AN85" s="197" t="e">
        <f>#REF!/#REF!</f>
        <v>#REF!</v>
      </c>
      <c r="AO85" s="197" t="e">
        <f>#REF!/#REF!</f>
        <v>#REF!</v>
      </c>
      <c r="AP85" s="197" t="e">
        <f>#REF!/#REF!</f>
        <v>#REF!</v>
      </c>
      <c r="AQ85" s="197" t="e">
        <f>#REF!/#REF!</f>
        <v>#REF!</v>
      </c>
      <c r="AR85" s="197" t="e">
        <f t="shared" si="57"/>
        <v>#REF!</v>
      </c>
      <c r="AS85" s="197"/>
    </row>
    <row r="86" spans="1:55" ht="37.5" x14ac:dyDescent="0.35">
      <c r="A86" s="237"/>
      <c r="B86" s="237" t="s">
        <v>817</v>
      </c>
      <c r="C86" s="237" t="s">
        <v>1187</v>
      </c>
      <c r="D86" s="237"/>
      <c r="E86" s="237"/>
      <c r="F86" s="237"/>
      <c r="G86" s="237"/>
      <c r="H86" s="237"/>
      <c r="I86" s="1040"/>
      <c r="J86" s="1035"/>
      <c r="K86" s="1035"/>
      <c r="L86" s="1035"/>
      <c r="M86" s="237"/>
      <c r="N86" s="854"/>
      <c r="O86" s="237">
        <v>144</v>
      </c>
      <c r="P86" s="1020"/>
      <c r="Q86" s="1020"/>
      <c r="R86" s="1020"/>
      <c r="S86" s="1036"/>
      <c r="T86" s="842"/>
      <c r="U86" s="234"/>
      <c r="V86" s="234"/>
      <c r="W86" s="809"/>
      <c r="X86" s="1037" t="s">
        <v>2113</v>
      </c>
      <c r="Y86" s="844"/>
      <c r="Z86" s="845">
        <v>6274001903</v>
      </c>
      <c r="AA86" s="809" t="s">
        <v>896</v>
      </c>
      <c r="AB86" s="809" t="s">
        <v>1038</v>
      </c>
      <c r="AC86" s="1045">
        <v>135000000</v>
      </c>
      <c r="AD86" s="825" t="e">
        <f t="shared" si="54"/>
        <v>#REF!</v>
      </c>
      <c r="AE86" s="825" t="e">
        <f>#REF!</f>
        <v>#REF!</v>
      </c>
      <c r="AF86" s="197" t="e">
        <f>#REF!/#REF!</f>
        <v>#REF!</v>
      </c>
      <c r="AG86" s="197" t="e">
        <f>#REF!/#REF!</f>
        <v>#REF!</v>
      </c>
      <c r="AH86" s="197" t="e">
        <f>#REF!/#REF!</f>
        <v>#REF!</v>
      </c>
      <c r="AI86" s="197" t="e">
        <f>#REF!/#REF!</f>
        <v>#REF!</v>
      </c>
      <c r="AJ86" s="197" t="e">
        <f>#REF!/#REF!</f>
        <v>#REF!</v>
      </c>
      <c r="AK86" s="197" t="e">
        <f>#REF!/#REF!</f>
        <v>#REF!</v>
      </c>
      <c r="AL86" s="197" t="e">
        <f>#REF!/#REF!</f>
        <v>#REF!</v>
      </c>
      <c r="AM86" s="197" t="e">
        <f>#REF!/#REF!</f>
        <v>#REF!</v>
      </c>
      <c r="AN86" s="197" t="e">
        <f>#REF!/#REF!</f>
        <v>#REF!</v>
      </c>
      <c r="AO86" s="197" t="e">
        <f>#REF!/#REF!</f>
        <v>#REF!</v>
      </c>
      <c r="AP86" s="197" t="e">
        <f>#REF!/#REF!</f>
        <v>#REF!</v>
      </c>
      <c r="AQ86" s="197" t="e">
        <f>#REF!/#REF!</f>
        <v>#REF!</v>
      </c>
      <c r="AR86" s="197" t="e">
        <f t="shared" si="57"/>
        <v>#REF!</v>
      </c>
      <c r="AS86" s="197"/>
    </row>
    <row r="87" spans="1:55" ht="37.5" x14ac:dyDescent="0.35">
      <c r="A87" s="237"/>
      <c r="B87" s="237" t="s">
        <v>817</v>
      </c>
      <c r="C87" s="237" t="s">
        <v>1187</v>
      </c>
      <c r="D87" s="237"/>
      <c r="E87" s="237"/>
      <c r="F87" s="237"/>
      <c r="G87" s="237"/>
      <c r="H87" s="237"/>
      <c r="I87" s="1040"/>
      <c r="J87" s="1035"/>
      <c r="K87" s="1035"/>
      <c r="L87" s="1035"/>
      <c r="M87" s="237"/>
      <c r="N87" s="854"/>
      <c r="O87" s="237">
        <v>144</v>
      </c>
      <c r="P87" s="1020"/>
      <c r="Q87" s="1020"/>
      <c r="R87" s="1020"/>
      <c r="S87" s="1036"/>
      <c r="T87" s="842"/>
      <c r="U87" s="234"/>
      <c r="V87" s="234"/>
      <c r="W87" s="809"/>
      <c r="X87" s="1037" t="s">
        <v>852</v>
      </c>
      <c r="Y87" s="844"/>
      <c r="Z87" s="845">
        <v>6274001903</v>
      </c>
      <c r="AA87" s="809" t="s">
        <v>896</v>
      </c>
      <c r="AB87" s="809" t="s">
        <v>1038</v>
      </c>
      <c r="AC87" s="1045">
        <v>35000000</v>
      </c>
      <c r="AD87" s="825" t="e">
        <f t="shared" si="54"/>
        <v>#REF!</v>
      </c>
      <c r="AE87" s="825" t="e">
        <f>#REF!</f>
        <v>#REF!</v>
      </c>
      <c r="AF87" s="197" t="e">
        <f>#REF!/#REF!</f>
        <v>#REF!</v>
      </c>
      <c r="AG87" s="197" t="e">
        <f>#REF!/#REF!</f>
        <v>#REF!</v>
      </c>
      <c r="AH87" s="197" t="e">
        <f>#REF!/#REF!</f>
        <v>#REF!</v>
      </c>
      <c r="AI87" s="197" t="e">
        <f>#REF!/#REF!</f>
        <v>#REF!</v>
      </c>
      <c r="AJ87" s="197" t="e">
        <f>#REF!/#REF!</f>
        <v>#REF!</v>
      </c>
      <c r="AK87" s="197" t="e">
        <f>#REF!/#REF!</f>
        <v>#REF!</v>
      </c>
      <c r="AL87" s="197" t="e">
        <f>#REF!/#REF!</f>
        <v>#REF!</v>
      </c>
      <c r="AM87" s="197" t="e">
        <f>#REF!/#REF!</f>
        <v>#REF!</v>
      </c>
      <c r="AN87" s="197" t="e">
        <f>#REF!/#REF!</f>
        <v>#REF!</v>
      </c>
      <c r="AO87" s="197" t="e">
        <f>#REF!/#REF!</f>
        <v>#REF!</v>
      </c>
      <c r="AP87" s="197" t="e">
        <f>#REF!/#REF!</f>
        <v>#REF!</v>
      </c>
      <c r="AQ87" s="197" t="e">
        <f>#REF!/#REF!</f>
        <v>#REF!</v>
      </c>
      <c r="AR87" s="197" t="e">
        <f t="shared" si="57"/>
        <v>#REF!</v>
      </c>
      <c r="AS87" s="197"/>
    </row>
    <row r="88" spans="1:55" ht="25" x14ac:dyDescent="0.35">
      <c r="A88" s="237"/>
      <c r="B88" s="237" t="s">
        <v>817</v>
      </c>
      <c r="C88" s="237" t="s">
        <v>1187</v>
      </c>
      <c r="D88" s="237"/>
      <c r="E88" s="237"/>
      <c r="F88" s="237"/>
      <c r="G88" s="237"/>
      <c r="H88" s="237"/>
      <c r="I88" s="1040"/>
      <c r="J88" s="1035"/>
      <c r="K88" s="1035"/>
      <c r="L88" s="1035"/>
      <c r="M88" s="237"/>
      <c r="N88" s="854"/>
      <c r="O88" s="237">
        <v>144</v>
      </c>
      <c r="P88" s="1020"/>
      <c r="Q88" s="1020"/>
      <c r="R88" s="1020"/>
      <c r="S88" s="1036"/>
      <c r="T88" s="842"/>
      <c r="U88" s="234"/>
      <c r="V88" s="234"/>
      <c r="W88" s="809"/>
      <c r="X88" s="1037" t="s">
        <v>2114</v>
      </c>
      <c r="Y88" s="844"/>
      <c r="Z88" s="845">
        <v>6274001903</v>
      </c>
      <c r="AA88" s="809" t="s">
        <v>896</v>
      </c>
      <c r="AB88" s="809" t="s">
        <v>1038</v>
      </c>
      <c r="AC88" s="1045">
        <f>356365000+52780000+47502000</f>
        <v>456647000</v>
      </c>
      <c r="AD88" s="825" t="e">
        <f t="shared" si="54"/>
        <v>#REF!</v>
      </c>
      <c r="AE88" s="825" t="e">
        <f>#REF!</f>
        <v>#REF!</v>
      </c>
      <c r="AF88" s="197" t="e">
        <f>#REF!/#REF!</f>
        <v>#REF!</v>
      </c>
      <c r="AG88" s="197" t="e">
        <f>#REF!/#REF!</f>
        <v>#REF!</v>
      </c>
      <c r="AH88" s="197" t="e">
        <f>#REF!/#REF!</f>
        <v>#REF!</v>
      </c>
      <c r="AI88" s="197" t="e">
        <f>#REF!/#REF!</f>
        <v>#REF!</v>
      </c>
      <c r="AJ88" s="197" t="e">
        <f>#REF!/#REF!</f>
        <v>#REF!</v>
      </c>
      <c r="AK88" s="197" t="e">
        <f>#REF!/#REF!</f>
        <v>#REF!</v>
      </c>
      <c r="AL88" s="197" t="e">
        <f>#REF!/#REF!</f>
        <v>#REF!</v>
      </c>
      <c r="AM88" s="197" t="e">
        <f>#REF!/#REF!</f>
        <v>#REF!</v>
      </c>
      <c r="AN88" s="197" t="e">
        <f>#REF!/#REF!</f>
        <v>#REF!</v>
      </c>
      <c r="AO88" s="197" t="e">
        <f>#REF!/#REF!</f>
        <v>#REF!</v>
      </c>
      <c r="AP88" s="197" t="e">
        <f>#REF!/#REF!</f>
        <v>#REF!</v>
      </c>
      <c r="AQ88" s="197" t="e">
        <f>#REF!/#REF!</f>
        <v>#REF!</v>
      </c>
      <c r="AR88" s="197" t="e">
        <f t="shared" si="57"/>
        <v>#REF!</v>
      </c>
      <c r="AS88" s="197"/>
    </row>
    <row r="89" spans="1:55" ht="75" x14ac:dyDescent="0.35">
      <c r="A89" s="237"/>
      <c r="B89" s="237" t="s">
        <v>817</v>
      </c>
      <c r="C89" s="237" t="s">
        <v>1187</v>
      </c>
      <c r="D89" s="237"/>
      <c r="E89" s="237"/>
      <c r="F89" s="237"/>
      <c r="G89" s="237"/>
      <c r="H89" s="237"/>
      <c r="I89" s="1040"/>
      <c r="J89" s="1035"/>
      <c r="K89" s="1035"/>
      <c r="L89" s="1035"/>
      <c r="M89" s="237"/>
      <c r="N89" s="854"/>
      <c r="O89" s="237">
        <v>144</v>
      </c>
      <c r="P89" s="1020"/>
      <c r="Q89" s="1020"/>
      <c r="R89" s="1020"/>
      <c r="S89" s="1036"/>
      <c r="T89" s="842"/>
      <c r="U89" s="234"/>
      <c r="V89" s="234"/>
      <c r="W89" s="809"/>
      <c r="X89" s="1037" t="s">
        <v>2115</v>
      </c>
      <c r="Y89" s="844"/>
      <c r="Z89" s="845">
        <v>6274001903</v>
      </c>
      <c r="AA89" s="809" t="s">
        <v>896</v>
      </c>
      <c r="AB89" s="809" t="s">
        <v>1038</v>
      </c>
      <c r="AC89" s="1045">
        <v>163618000</v>
      </c>
      <c r="AD89" s="825" t="e">
        <f t="shared" si="54"/>
        <v>#REF!</v>
      </c>
      <c r="AE89" s="825" t="e">
        <f>#REF!</f>
        <v>#REF!</v>
      </c>
      <c r="AF89" s="197" t="e">
        <f>#REF!/#REF!</f>
        <v>#REF!</v>
      </c>
      <c r="AG89" s="197" t="e">
        <f>#REF!/#REF!</f>
        <v>#REF!</v>
      </c>
      <c r="AH89" s="197" t="e">
        <f>#REF!/#REF!</f>
        <v>#REF!</v>
      </c>
      <c r="AI89" s="197" t="e">
        <f>#REF!/#REF!</f>
        <v>#REF!</v>
      </c>
      <c r="AJ89" s="197" t="e">
        <f>#REF!/#REF!</f>
        <v>#REF!</v>
      </c>
      <c r="AK89" s="197" t="e">
        <f>#REF!/#REF!</f>
        <v>#REF!</v>
      </c>
      <c r="AL89" s="197" t="e">
        <f>#REF!/#REF!</f>
        <v>#REF!</v>
      </c>
      <c r="AM89" s="197" t="e">
        <f>#REF!/#REF!</f>
        <v>#REF!</v>
      </c>
      <c r="AN89" s="197" t="e">
        <f>#REF!/#REF!</f>
        <v>#REF!</v>
      </c>
      <c r="AO89" s="197" t="e">
        <f>#REF!/#REF!</f>
        <v>#REF!</v>
      </c>
      <c r="AP89" s="197" t="e">
        <f>#REF!/#REF!</f>
        <v>#REF!</v>
      </c>
      <c r="AQ89" s="197" t="e">
        <f>#REF!/#REF!</f>
        <v>#REF!</v>
      </c>
      <c r="AR89" s="197" t="e">
        <f t="shared" si="57"/>
        <v>#REF!</v>
      </c>
      <c r="AS89" s="197"/>
    </row>
    <row r="90" spans="1:55" x14ac:dyDescent="0.35">
      <c r="A90" s="1021">
        <v>2.2000000000000002</v>
      </c>
      <c r="B90" s="1021" t="s">
        <v>817</v>
      </c>
      <c r="C90" s="1021" t="s">
        <v>1187</v>
      </c>
      <c r="D90" s="1021"/>
      <c r="E90" s="1021"/>
      <c r="F90" s="1021"/>
      <c r="G90" s="1021"/>
      <c r="H90" s="1021"/>
      <c r="I90" s="1038"/>
      <c r="J90" s="1021"/>
      <c r="K90" s="1021"/>
      <c r="L90" s="1021"/>
      <c r="M90" s="1021"/>
      <c r="N90" s="1039">
        <v>46023</v>
      </c>
      <c r="O90" s="1021">
        <f>12*12</f>
        <v>144</v>
      </c>
      <c r="P90" s="1027" t="s">
        <v>1041</v>
      </c>
      <c r="Q90" s="1027"/>
      <c r="R90" s="1027"/>
      <c r="S90" s="485" t="s">
        <v>1171</v>
      </c>
      <c r="T90" s="482"/>
      <c r="U90" s="1023"/>
      <c r="V90" s="1023"/>
      <c r="W90" s="1032"/>
      <c r="X90" s="485" t="s">
        <v>1171</v>
      </c>
      <c r="Y90" s="1024">
        <v>627</v>
      </c>
      <c r="Z90" s="1025">
        <v>6274001903</v>
      </c>
      <c r="AA90" s="1032" t="s">
        <v>896</v>
      </c>
      <c r="AB90" s="1032" t="s">
        <v>1038</v>
      </c>
      <c r="AC90" s="202">
        <f>SUM(AC91:AC100)</f>
        <v>6398767215</v>
      </c>
      <c r="AD90" s="202" t="e">
        <f t="shared" si="54"/>
        <v>#REF!</v>
      </c>
      <c r="AE90" s="202" t="e">
        <f>#REF!</f>
        <v>#REF!</v>
      </c>
      <c r="AF90" s="810" t="e">
        <f>SUM(AF91:AF100)</f>
        <v>#REF!</v>
      </c>
      <c r="AG90" s="810" t="e">
        <f t="shared" ref="AG90:AQ90" si="58">SUM(AG91:AG100)</f>
        <v>#REF!</v>
      </c>
      <c r="AH90" s="810" t="e">
        <f t="shared" si="58"/>
        <v>#REF!</v>
      </c>
      <c r="AI90" s="810" t="e">
        <f t="shared" si="58"/>
        <v>#REF!</v>
      </c>
      <c r="AJ90" s="810" t="e">
        <f t="shared" si="58"/>
        <v>#REF!</v>
      </c>
      <c r="AK90" s="810" t="e">
        <f t="shared" si="58"/>
        <v>#REF!</v>
      </c>
      <c r="AL90" s="810" t="e">
        <f t="shared" si="58"/>
        <v>#REF!</v>
      </c>
      <c r="AM90" s="810" t="e">
        <f t="shared" si="58"/>
        <v>#REF!</v>
      </c>
      <c r="AN90" s="810" t="e">
        <f t="shared" si="58"/>
        <v>#REF!</v>
      </c>
      <c r="AO90" s="810" t="e">
        <f t="shared" si="58"/>
        <v>#REF!</v>
      </c>
      <c r="AP90" s="810" t="e">
        <f t="shared" si="58"/>
        <v>#REF!</v>
      </c>
      <c r="AQ90" s="810" t="e">
        <f t="shared" si="58"/>
        <v>#REF!</v>
      </c>
      <c r="AR90" s="810" t="e">
        <f t="shared" si="57"/>
        <v>#REF!</v>
      </c>
      <c r="AS90" s="810"/>
      <c r="BC90" s="16"/>
    </row>
    <row r="91" spans="1:55" ht="50" x14ac:dyDescent="0.35">
      <c r="A91" s="237"/>
      <c r="B91" s="237"/>
      <c r="C91" s="237"/>
      <c r="D91" s="1017"/>
      <c r="E91" s="1017"/>
      <c r="F91" s="237"/>
      <c r="G91" s="1018"/>
      <c r="H91" s="237" t="s">
        <v>1172</v>
      </c>
      <c r="I91" s="1028" t="s">
        <v>1173</v>
      </c>
      <c r="J91" s="237"/>
      <c r="K91" s="237"/>
      <c r="L91" s="237"/>
      <c r="M91" s="237"/>
      <c r="N91" s="1019">
        <v>46023</v>
      </c>
      <c r="O91" s="237">
        <v>120</v>
      </c>
      <c r="P91" s="1020" t="s">
        <v>1041</v>
      </c>
      <c r="Q91" s="1020"/>
      <c r="R91" s="1020"/>
      <c r="S91" s="1020"/>
      <c r="T91" s="842" t="s">
        <v>1174</v>
      </c>
      <c r="U91" s="234" t="s">
        <v>1175</v>
      </c>
      <c r="V91" s="234">
        <v>1</v>
      </c>
      <c r="W91" s="809">
        <v>45901</v>
      </c>
      <c r="X91" s="997" t="s">
        <v>2097</v>
      </c>
      <c r="Y91" s="998"/>
      <c r="Z91" s="845">
        <v>6274001903</v>
      </c>
      <c r="AA91" s="809" t="s">
        <v>896</v>
      </c>
      <c r="AB91" s="809" t="s">
        <v>1038</v>
      </c>
      <c r="AC91" s="825">
        <v>3945000000</v>
      </c>
      <c r="AD91" s="825" t="e">
        <f t="shared" si="54"/>
        <v>#REF!</v>
      </c>
      <c r="AE91" s="825" t="e">
        <f>#REF!</f>
        <v>#REF!</v>
      </c>
      <c r="AF91" s="197" t="e">
        <f>#REF!/120</f>
        <v>#REF!</v>
      </c>
      <c r="AG91" s="197" t="e">
        <f>#REF!/120</f>
        <v>#REF!</v>
      </c>
      <c r="AH91" s="197" t="e">
        <f>#REF!/120</f>
        <v>#REF!</v>
      </c>
      <c r="AI91" s="197" t="e">
        <f>#REF!/120</f>
        <v>#REF!</v>
      </c>
      <c r="AJ91" s="197" t="e">
        <f>#REF!/120</f>
        <v>#REF!</v>
      </c>
      <c r="AK91" s="197" t="e">
        <f>#REF!/120</f>
        <v>#REF!</v>
      </c>
      <c r="AL91" s="197" t="e">
        <f>#REF!/120</f>
        <v>#REF!</v>
      </c>
      <c r="AM91" s="197" t="e">
        <f>#REF!/120</f>
        <v>#REF!</v>
      </c>
      <c r="AN91" s="197" t="e">
        <f>#REF!/120</f>
        <v>#REF!</v>
      </c>
      <c r="AO91" s="197" t="e">
        <f>#REF!/120</f>
        <v>#REF!</v>
      </c>
      <c r="AP91" s="197" t="e">
        <f>#REF!/120</f>
        <v>#REF!</v>
      </c>
      <c r="AQ91" s="197" t="e">
        <f>#REF!/120</f>
        <v>#REF!</v>
      </c>
      <c r="AR91" s="197" t="e">
        <f t="shared" si="57"/>
        <v>#REF!</v>
      </c>
      <c r="AS91" s="197"/>
    </row>
    <row r="92" spans="1:55" ht="100" x14ac:dyDescent="0.35">
      <c r="A92" s="237"/>
      <c r="B92" s="237"/>
      <c r="C92" s="237"/>
      <c r="D92" s="1017"/>
      <c r="E92" s="1017"/>
      <c r="F92" s="237"/>
      <c r="G92" s="1018"/>
      <c r="H92" s="237" t="s">
        <v>1172</v>
      </c>
      <c r="I92" s="1028" t="s">
        <v>1176</v>
      </c>
      <c r="J92" s="237"/>
      <c r="K92" s="237"/>
      <c r="L92" s="237"/>
      <c r="M92" s="237"/>
      <c r="N92" s="1019">
        <v>46023</v>
      </c>
      <c r="O92" s="237">
        <v>120</v>
      </c>
      <c r="P92" s="1020" t="s">
        <v>1041</v>
      </c>
      <c r="Q92" s="1020"/>
      <c r="R92" s="1020"/>
      <c r="S92" s="1020"/>
      <c r="T92" s="842" t="s">
        <v>1177</v>
      </c>
      <c r="U92" s="234"/>
      <c r="V92" s="234"/>
      <c r="W92" s="809">
        <v>45962</v>
      </c>
      <c r="X92" s="997" t="s">
        <v>2098</v>
      </c>
      <c r="Y92" s="998"/>
      <c r="Z92" s="845">
        <v>6274001903</v>
      </c>
      <c r="AA92" s="809" t="s">
        <v>896</v>
      </c>
      <c r="AB92" s="809" t="s">
        <v>1038</v>
      </c>
      <c r="AC92" s="825">
        <v>276150000</v>
      </c>
      <c r="AD92" s="825" t="e">
        <f t="shared" si="54"/>
        <v>#REF!</v>
      </c>
      <c r="AE92" s="825" t="e">
        <f>#REF!</f>
        <v>#REF!</v>
      </c>
      <c r="AF92" s="197" t="e">
        <f>#REF!/120</f>
        <v>#REF!</v>
      </c>
      <c r="AG92" s="197" t="e">
        <f>#REF!/120</f>
        <v>#REF!</v>
      </c>
      <c r="AH92" s="197" t="e">
        <f>#REF!/120</f>
        <v>#REF!</v>
      </c>
      <c r="AI92" s="197" t="e">
        <f>#REF!/120</f>
        <v>#REF!</v>
      </c>
      <c r="AJ92" s="197" t="e">
        <f>#REF!/120</f>
        <v>#REF!</v>
      </c>
      <c r="AK92" s="197" t="e">
        <f>#REF!/120</f>
        <v>#REF!</v>
      </c>
      <c r="AL92" s="197" t="e">
        <f>#REF!/120</f>
        <v>#REF!</v>
      </c>
      <c r="AM92" s="197" t="e">
        <f>#REF!/120</f>
        <v>#REF!</v>
      </c>
      <c r="AN92" s="197" t="e">
        <f>#REF!/120</f>
        <v>#REF!</v>
      </c>
      <c r="AO92" s="197" t="e">
        <f>#REF!/120</f>
        <v>#REF!</v>
      </c>
      <c r="AP92" s="197" t="e">
        <f>#REF!/120</f>
        <v>#REF!</v>
      </c>
      <c r="AQ92" s="197" t="e">
        <f>#REF!/120</f>
        <v>#REF!</v>
      </c>
      <c r="AR92" s="197" t="e">
        <f t="shared" si="57"/>
        <v>#REF!</v>
      </c>
      <c r="AS92" s="197"/>
    </row>
    <row r="93" spans="1:55" ht="87.5" x14ac:dyDescent="0.35">
      <c r="A93" s="237"/>
      <c r="B93" s="237"/>
      <c r="C93" s="237"/>
      <c r="D93" s="1017"/>
      <c r="E93" s="1017"/>
      <c r="F93" s="237"/>
      <c r="G93" s="1018"/>
      <c r="H93" s="237" t="s">
        <v>1172</v>
      </c>
      <c r="I93" s="1028" t="s">
        <v>1176</v>
      </c>
      <c r="J93" s="237"/>
      <c r="K93" s="237"/>
      <c r="L93" s="237"/>
      <c r="M93" s="237"/>
      <c r="N93" s="1019">
        <v>46023</v>
      </c>
      <c r="O93" s="237">
        <v>120</v>
      </c>
      <c r="P93" s="1020" t="s">
        <v>1041</v>
      </c>
      <c r="Q93" s="1020"/>
      <c r="R93" s="1020"/>
      <c r="S93" s="1020"/>
      <c r="T93" s="842" t="s">
        <v>1178</v>
      </c>
      <c r="U93" s="234"/>
      <c r="V93" s="234"/>
      <c r="W93" s="809">
        <v>45962</v>
      </c>
      <c r="X93" s="997" t="s">
        <v>2099</v>
      </c>
      <c r="Y93" s="998"/>
      <c r="Z93" s="845">
        <v>6274001903</v>
      </c>
      <c r="AA93" s="809" t="s">
        <v>896</v>
      </c>
      <c r="AB93" s="809" t="s">
        <v>1038</v>
      </c>
      <c r="AC93" s="825">
        <v>101255000</v>
      </c>
      <c r="AD93" s="825" t="e">
        <f t="shared" si="54"/>
        <v>#REF!</v>
      </c>
      <c r="AE93" s="825" t="e">
        <f>#REF!</f>
        <v>#REF!</v>
      </c>
      <c r="AF93" s="197" t="e">
        <f>#REF!/120</f>
        <v>#REF!</v>
      </c>
      <c r="AG93" s="197" t="e">
        <f>#REF!/120</f>
        <v>#REF!</v>
      </c>
      <c r="AH93" s="197" t="e">
        <f>#REF!/120</f>
        <v>#REF!</v>
      </c>
      <c r="AI93" s="197" t="e">
        <f>#REF!/120</f>
        <v>#REF!</v>
      </c>
      <c r="AJ93" s="197" t="e">
        <f>#REF!/120</f>
        <v>#REF!</v>
      </c>
      <c r="AK93" s="197" t="e">
        <f>#REF!/120</f>
        <v>#REF!</v>
      </c>
      <c r="AL93" s="197" t="e">
        <f>#REF!/120</f>
        <v>#REF!</v>
      </c>
      <c r="AM93" s="197" t="e">
        <f>#REF!/120</f>
        <v>#REF!</v>
      </c>
      <c r="AN93" s="197" t="e">
        <f>#REF!/120</f>
        <v>#REF!</v>
      </c>
      <c r="AO93" s="197" t="e">
        <f>#REF!/120</f>
        <v>#REF!</v>
      </c>
      <c r="AP93" s="197" t="e">
        <f>#REF!/120</f>
        <v>#REF!</v>
      </c>
      <c r="AQ93" s="197" t="e">
        <f>#REF!/120</f>
        <v>#REF!</v>
      </c>
      <c r="AR93" s="197" t="e">
        <f t="shared" si="57"/>
        <v>#REF!</v>
      </c>
      <c r="AS93" s="197"/>
    </row>
    <row r="94" spans="1:55" ht="62.5" x14ac:dyDescent="0.35">
      <c r="A94" s="237"/>
      <c r="B94" s="237"/>
      <c r="C94" s="237"/>
      <c r="D94" s="1017"/>
      <c r="E94" s="1017"/>
      <c r="F94" s="237"/>
      <c r="G94" s="1018"/>
      <c r="H94" s="237" t="s">
        <v>1179</v>
      </c>
      <c r="I94" s="1028" t="s">
        <v>1180</v>
      </c>
      <c r="J94" s="237"/>
      <c r="K94" s="237"/>
      <c r="L94" s="237"/>
      <c r="M94" s="237"/>
      <c r="N94" s="1019">
        <v>46023</v>
      </c>
      <c r="O94" s="237">
        <v>120</v>
      </c>
      <c r="P94" s="1020" t="s">
        <v>1041</v>
      </c>
      <c r="Q94" s="1020"/>
      <c r="R94" s="1020"/>
      <c r="S94" s="1020"/>
      <c r="T94" s="842" t="s">
        <v>1181</v>
      </c>
      <c r="U94" s="234"/>
      <c r="V94" s="234"/>
      <c r="W94" s="809">
        <v>45962</v>
      </c>
      <c r="X94" s="997" t="s">
        <v>2100</v>
      </c>
      <c r="Y94" s="998"/>
      <c r="Z94" s="845">
        <v>6274001903</v>
      </c>
      <c r="AA94" s="809" t="s">
        <v>896</v>
      </c>
      <c r="AB94" s="809" t="s">
        <v>1038</v>
      </c>
      <c r="AC94" s="825">
        <v>931989999</v>
      </c>
      <c r="AD94" s="825" t="e">
        <f t="shared" si="54"/>
        <v>#REF!</v>
      </c>
      <c r="AE94" s="825" t="e">
        <f>#REF!</f>
        <v>#REF!</v>
      </c>
      <c r="AF94" s="197" t="e">
        <f>#REF!/120</f>
        <v>#REF!</v>
      </c>
      <c r="AG94" s="197" t="e">
        <f>#REF!/120</f>
        <v>#REF!</v>
      </c>
      <c r="AH94" s="197" t="e">
        <f>#REF!/120</f>
        <v>#REF!</v>
      </c>
      <c r="AI94" s="197" t="e">
        <f>#REF!/120</f>
        <v>#REF!</v>
      </c>
      <c r="AJ94" s="197" t="e">
        <f>#REF!/120</f>
        <v>#REF!</v>
      </c>
      <c r="AK94" s="197" t="e">
        <f>#REF!/120</f>
        <v>#REF!</v>
      </c>
      <c r="AL94" s="197" t="e">
        <f>#REF!/120</f>
        <v>#REF!</v>
      </c>
      <c r="AM94" s="197" t="e">
        <f>#REF!/120</f>
        <v>#REF!</v>
      </c>
      <c r="AN94" s="197" t="e">
        <f>#REF!/120</f>
        <v>#REF!</v>
      </c>
      <c r="AO94" s="197" t="e">
        <f>#REF!/120</f>
        <v>#REF!</v>
      </c>
      <c r="AP94" s="197" t="e">
        <f>#REF!/120</f>
        <v>#REF!</v>
      </c>
      <c r="AQ94" s="197" t="e">
        <f>#REF!/120</f>
        <v>#REF!</v>
      </c>
      <c r="AR94" s="197" t="e">
        <f t="shared" si="57"/>
        <v>#REF!</v>
      </c>
      <c r="AS94" s="197"/>
    </row>
    <row r="95" spans="1:55" ht="37.5" x14ac:dyDescent="0.35">
      <c r="A95" s="237"/>
      <c r="B95" s="237"/>
      <c r="C95" s="237"/>
      <c r="D95" s="1017"/>
      <c r="E95" s="1017"/>
      <c r="F95" s="237"/>
      <c r="G95" s="1018"/>
      <c r="H95" s="237" t="s">
        <v>1179</v>
      </c>
      <c r="I95" s="1028" t="s">
        <v>1182</v>
      </c>
      <c r="J95" s="237"/>
      <c r="K95" s="237"/>
      <c r="L95" s="237"/>
      <c r="M95" s="237"/>
      <c r="N95" s="1019">
        <v>46023</v>
      </c>
      <c r="O95" s="237">
        <v>120</v>
      </c>
      <c r="P95" s="1020" t="s">
        <v>1041</v>
      </c>
      <c r="Q95" s="1020"/>
      <c r="R95" s="1020"/>
      <c r="S95" s="1020"/>
      <c r="T95" s="842" t="s">
        <v>1182</v>
      </c>
      <c r="U95" s="234"/>
      <c r="V95" s="234"/>
      <c r="W95" s="809">
        <v>45962</v>
      </c>
      <c r="X95" s="997" t="s">
        <v>1068</v>
      </c>
      <c r="Y95" s="998"/>
      <c r="Z95" s="845">
        <v>6274001903</v>
      </c>
      <c r="AA95" s="809" t="s">
        <v>896</v>
      </c>
      <c r="AB95" s="809"/>
      <c r="AC95" s="825">
        <v>411189335</v>
      </c>
      <c r="AD95" s="825" t="e">
        <f t="shared" si="54"/>
        <v>#REF!</v>
      </c>
      <c r="AE95" s="825" t="e">
        <f>#REF!</f>
        <v>#REF!</v>
      </c>
      <c r="AF95" s="197" t="e">
        <f>#REF!/120</f>
        <v>#REF!</v>
      </c>
      <c r="AG95" s="197" t="e">
        <f>#REF!/120</f>
        <v>#REF!</v>
      </c>
      <c r="AH95" s="197" t="e">
        <f>#REF!/120</f>
        <v>#REF!</v>
      </c>
      <c r="AI95" s="197" t="e">
        <f>#REF!/120</f>
        <v>#REF!</v>
      </c>
      <c r="AJ95" s="197" t="e">
        <f>#REF!/120</f>
        <v>#REF!</v>
      </c>
      <c r="AK95" s="197" t="e">
        <f>#REF!/120</f>
        <v>#REF!</v>
      </c>
      <c r="AL95" s="197" t="e">
        <f>#REF!/120</f>
        <v>#REF!</v>
      </c>
      <c r="AM95" s="197" t="e">
        <f>#REF!/120</f>
        <v>#REF!</v>
      </c>
      <c r="AN95" s="197" t="e">
        <f>#REF!/120</f>
        <v>#REF!</v>
      </c>
      <c r="AO95" s="197" t="e">
        <f>#REF!/120</f>
        <v>#REF!</v>
      </c>
      <c r="AP95" s="197" t="e">
        <f>#REF!/120</f>
        <v>#REF!</v>
      </c>
      <c r="AQ95" s="197" t="e">
        <f>#REF!/120</f>
        <v>#REF!</v>
      </c>
      <c r="AR95" s="197" t="e">
        <f t="shared" si="57"/>
        <v>#REF!</v>
      </c>
      <c r="AS95" s="197"/>
    </row>
    <row r="96" spans="1:55" ht="38.5" x14ac:dyDescent="0.35">
      <c r="A96" s="237"/>
      <c r="B96" s="237"/>
      <c r="C96" s="237"/>
      <c r="D96" s="1017"/>
      <c r="E96" s="1017"/>
      <c r="F96" s="237"/>
      <c r="G96" s="1018"/>
      <c r="H96" s="237" t="s">
        <v>1179</v>
      </c>
      <c r="I96" s="1028" t="s">
        <v>1183</v>
      </c>
      <c r="J96" s="237"/>
      <c r="K96" s="237"/>
      <c r="L96" s="237"/>
      <c r="M96" s="237"/>
      <c r="N96" s="1019">
        <v>46023</v>
      </c>
      <c r="O96" s="237">
        <v>120</v>
      </c>
      <c r="P96" s="1020" t="s">
        <v>1041</v>
      </c>
      <c r="Q96" s="1020"/>
      <c r="R96" s="1020"/>
      <c r="S96" s="1020"/>
      <c r="T96" s="842" t="s">
        <v>1183</v>
      </c>
      <c r="U96" s="234"/>
      <c r="V96" s="234"/>
      <c r="W96" s="809">
        <v>45962</v>
      </c>
      <c r="X96" s="997" t="s">
        <v>1184</v>
      </c>
      <c r="Y96" s="998"/>
      <c r="Z96" s="845">
        <v>6274001903</v>
      </c>
      <c r="AA96" s="809" t="s">
        <v>896</v>
      </c>
      <c r="AB96" s="809"/>
      <c r="AC96" s="825">
        <v>379743553</v>
      </c>
      <c r="AD96" s="825" t="e">
        <f t="shared" si="54"/>
        <v>#REF!</v>
      </c>
      <c r="AE96" s="825" t="e">
        <f>#REF!</f>
        <v>#REF!</v>
      </c>
      <c r="AF96" s="197" t="e">
        <f>#REF!/120</f>
        <v>#REF!</v>
      </c>
      <c r="AG96" s="197" t="e">
        <f>#REF!/120</f>
        <v>#REF!</v>
      </c>
      <c r="AH96" s="197" t="e">
        <f>#REF!/120</f>
        <v>#REF!</v>
      </c>
      <c r="AI96" s="197" t="e">
        <f>#REF!/120</f>
        <v>#REF!</v>
      </c>
      <c r="AJ96" s="197" t="e">
        <f>#REF!/120</f>
        <v>#REF!</v>
      </c>
      <c r="AK96" s="197" t="e">
        <f>#REF!/120</f>
        <v>#REF!</v>
      </c>
      <c r="AL96" s="197" t="e">
        <f>#REF!/120</f>
        <v>#REF!</v>
      </c>
      <c r="AM96" s="197" t="e">
        <f>#REF!/120</f>
        <v>#REF!</v>
      </c>
      <c r="AN96" s="197" t="e">
        <f>#REF!/120</f>
        <v>#REF!</v>
      </c>
      <c r="AO96" s="197" t="e">
        <f>#REF!/120</f>
        <v>#REF!</v>
      </c>
      <c r="AP96" s="197" t="e">
        <f>#REF!/120</f>
        <v>#REF!</v>
      </c>
      <c r="AQ96" s="197" t="e">
        <f>#REF!/120</f>
        <v>#REF!</v>
      </c>
      <c r="AR96" s="197" t="e">
        <f t="shared" si="57"/>
        <v>#REF!</v>
      </c>
      <c r="AS96" s="197"/>
    </row>
    <row r="97" spans="1:55" ht="37.5" x14ac:dyDescent="0.35">
      <c r="A97" s="237"/>
      <c r="B97" s="237"/>
      <c r="C97" s="237"/>
      <c r="D97" s="1017"/>
      <c r="E97" s="1017"/>
      <c r="F97" s="237"/>
      <c r="G97" s="1018"/>
      <c r="H97" s="237" t="s">
        <v>1179</v>
      </c>
      <c r="I97" s="1028" t="s">
        <v>1185</v>
      </c>
      <c r="J97" s="237"/>
      <c r="K97" s="237"/>
      <c r="L97" s="237"/>
      <c r="M97" s="237"/>
      <c r="N97" s="1019">
        <v>46023</v>
      </c>
      <c r="O97" s="237">
        <v>120</v>
      </c>
      <c r="P97" s="1020" t="s">
        <v>1041</v>
      </c>
      <c r="Q97" s="1020"/>
      <c r="R97" s="1020"/>
      <c r="S97" s="1020"/>
      <c r="T97" s="842" t="s">
        <v>1185</v>
      </c>
      <c r="U97" s="234"/>
      <c r="V97" s="234"/>
      <c r="W97" s="809">
        <v>45962</v>
      </c>
      <c r="X97" s="997" t="s">
        <v>2101</v>
      </c>
      <c r="Y97" s="998"/>
      <c r="Z97" s="845">
        <v>6274001903</v>
      </c>
      <c r="AA97" s="809" t="s">
        <v>896</v>
      </c>
      <c r="AB97" s="809"/>
      <c r="AC97" s="825">
        <v>172119328</v>
      </c>
      <c r="AD97" s="825" t="e">
        <f t="shared" si="54"/>
        <v>#REF!</v>
      </c>
      <c r="AE97" s="825" t="e">
        <f>#REF!</f>
        <v>#REF!</v>
      </c>
      <c r="AF97" s="197" t="e">
        <f>#REF!/120</f>
        <v>#REF!</v>
      </c>
      <c r="AG97" s="197" t="e">
        <f>#REF!/120</f>
        <v>#REF!</v>
      </c>
      <c r="AH97" s="197" t="e">
        <f>#REF!/120</f>
        <v>#REF!</v>
      </c>
      <c r="AI97" s="197" t="e">
        <f>#REF!/120</f>
        <v>#REF!</v>
      </c>
      <c r="AJ97" s="197" t="e">
        <f>#REF!/120</f>
        <v>#REF!</v>
      </c>
      <c r="AK97" s="197" t="e">
        <f>#REF!/120</f>
        <v>#REF!</v>
      </c>
      <c r="AL97" s="197" t="e">
        <f>#REF!/120</f>
        <v>#REF!</v>
      </c>
      <c r="AM97" s="197" t="e">
        <f>#REF!/120</f>
        <v>#REF!</v>
      </c>
      <c r="AN97" s="197" t="e">
        <f>#REF!/120</f>
        <v>#REF!</v>
      </c>
      <c r="AO97" s="197" t="e">
        <f>#REF!/120</f>
        <v>#REF!</v>
      </c>
      <c r="AP97" s="197" t="e">
        <f>#REF!/120</f>
        <v>#REF!</v>
      </c>
      <c r="AQ97" s="197" t="e">
        <f>#REF!/120</f>
        <v>#REF!</v>
      </c>
      <c r="AR97" s="197" t="e">
        <f t="shared" si="57"/>
        <v>#REF!</v>
      </c>
      <c r="AS97" s="197"/>
    </row>
    <row r="98" spans="1:55" ht="25" x14ac:dyDescent="0.35">
      <c r="A98" s="237"/>
      <c r="B98" s="237"/>
      <c r="C98" s="237"/>
      <c r="D98" s="1017"/>
      <c r="E98" s="1017"/>
      <c r="F98" s="237"/>
      <c r="G98" s="1018"/>
      <c r="H98" s="237" t="s">
        <v>1179</v>
      </c>
      <c r="I98" s="1028"/>
      <c r="J98" s="237"/>
      <c r="K98" s="237"/>
      <c r="L98" s="237"/>
      <c r="M98" s="237"/>
      <c r="N98" s="1019">
        <v>46023</v>
      </c>
      <c r="O98" s="237">
        <v>120</v>
      </c>
      <c r="P98" s="1020" t="s">
        <v>1041</v>
      </c>
      <c r="Q98" s="1020"/>
      <c r="R98" s="1020"/>
      <c r="S98" s="1020"/>
      <c r="T98" s="842"/>
      <c r="U98" s="234"/>
      <c r="V98" s="234"/>
      <c r="W98" s="809">
        <v>45962</v>
      </c>
      <c r="X98" s="997" t="s">
        <v>2102</v>
      </c>
      <c r="Y98" s="998"/>
      <c r="Z98" s="845">
        <v>6274001903</v>
      </c>
      <c r="AA98" s="809" t="s">
        <v>896</v>
      </c>
      <c r="AB98" s="809"/>
      <c r="AC98" s="825">
        <v>114000000</v>
      </c>
      <c r="AD98" s="825" t="e">
        <f t="shared" si="54"/>
        <v>#REF!</v>
      </c>
      <c r="AE98" s="825" t="e">
        <f>#REF!</f>
        <v>#REF!</v>
      </c>
      <c r="AF98" s="197" t="e">
        <f>#REF!/120</f>
        <v>#REF!</v>
      </c>
      <c r="AG98" s="197" t="e">
        <f>#REF!/120</f>
        <v>#REF!</v>
      </c>
      <c r="AH98" s="197" t="e">
        <f>#REF!/120</f>
        <v>#REF!</v>
      </c>
      <c r="AI98" s="197" t="e">
        <f>#REF!/120</f>
        <v>#REF!</v>
      </c>
      <c r="AJ98" s="197" t="e">
        <f>#REF!/120</f>
        <v>#REF!</v>
      </c>
      <c r="AK98" s="197" t="e">
        <f>#REF!/120</f>
        <v>#REF!</v>
      </c>
      <c r="AL98" s="197" t="e">
        <f>#REF!/120</f>
        <v>#REF!</v>
      </c>
      <c r="AM98" s="197" t="e">
        <f>#REF!/120</f>
        <v>#REF!</v>
      </c>
      <c r="AN98" s="197" t="e">
        <f>#REF!/120</f>
        <v>#REF!</v>
      </c>
      <c r="AO98" s="197" t="e">
        <f>#REF!/120</f>
        <v>#REF!</v>
      </c>
      <c r="AP98" s="197" t="e">
        <f>#REF!/120</f>
        <v>#REF!</v>
      </c>
      <c r="AQ98" s="197" t="e">
        <f>#REF!/120</f>
        <v>#REF!</v>
      </c>
      <c r="AR98" s="197" t="e">
        <f t="shared" si="57"/>
        <v>#REF!</v>
      </c>
      <c r="AS98" s="197"/>
    </row>
    <row r="99" spans="1:55" ht="37.5" x14ac:dyDescent="0.35">
      <c r="A99" s="237"/>
      <c r="B99" s="237"/>
      <c r="C99" s="237"/>
      <c r="D99" s="1017"/>
      <c r="E99" s="1017"/>
      <c r="F99" s="237"/>
      <c r="G99" s="1018"/>
      <c r="H99" s="237" t="s">
        <v>1179</v>
      </c>
      <c r="I99" s="1028"/>
      <c r="J99" s="237"/>
      <c r="K99" s="237"/>
      <c r="L99" s="237"/>
      <c r="M99" s="237"/>
      <c r="N99" s="1019">
        <v>46023</v>
      </c>
      <c r="O99" s="237">
        <v>120</v>
      </c>
      <c r="P99" s="1020" t="s">
        <v>1041</v>
      </c>
      <c r="Q99" s="1020"/>
      <c r="R99" s="1020"/>
      <c r="S99" s="1020"/>
      <c r="T99" s="842"/>
      <c r="U99" s="234"/>
      <c r="V99" s="234"/>
      <c r="W99" s="809">
        <v>45962</v>
      </c>
      <c r="X99" s="997" t="s">
        <v>2103</v>
      </c>
      <c r="Y99" s="998"/>
      <c r="Z99" s="845">
        <v>6274001903</v>
      </c>
      <c r="AA99" s="809" t="s">
        <v>896</v>
      </c>
      <c r="AB99" s="809"/>
      <c r="AC99" s="825">
        <v>43650000</v>
      </c>
      <c r="AD99" s="825" t="e">
        <f t="shared" si="54"/>
        <v>#REF!</v>
      </c>
      <c r="AE99" s="825" t="e">
        <f>#REF!</f>
        <v>#REF!</v>
      </c>
      <c r="AF99" s="197" t="e">
        <f>#REF!/120</f>
        <v>#REF!</v>
      </c>
      <c r="AG99" s="197" t="e">
        <f>#REF!/120</f>
        <v>#REF!</v>
      </c>
      <c r="AH99" s="197" t="e">
        <f>#REF!/120</f>
        <v>#REF!</v>
      </c>
      <c r="AI99" s="197" t="e">
        <f>#REF!/120</f>
        <v>#REF!</v>
      </c>
      <c r="AJ99" s="197" t="e">
        <f>#REF!/120</f>
        <v>#REF!</v>
      </c>
      <c r="AK99" s="197" t="e">
        <f>#REF!/120</f>
        <v>#REF!</v>
      </c>
      <c r="AL99" s="197" t="e">
        <f>#REF!/120</f>
        <v>#REF!</v>
      </c>
      <c r="AM99" s="197" t="e">
        <f>#REF!/120</f>
        <v>#REF!</v>
      </c>
      <c r="AN99" s="197" t="e">
        <f>#REF!/120</f>
        <v>#REF!</v>
      </c>
      <c r="AO99" s="197" t="e">
        <f>#REF!/120</f>
        <v>#REF!</v>
      </c>
      <c r="AP99" s="197" t="e">
        <f>#REF!/120</f>
        <v>#REF!</v>
      </c>
      <c r="AQ99" s="197" t="e">
        <f>#REF!/120</f>
        <v>#REF!</v>
      </c>
      <c r="AR99" s="197" t="e">
        <f t="shared" si="57"/>
        <v>#REF!</v>
      </c>
      <c r="AS99" s="197"/>
    </row>
    <row r="100" spans="1:55" ht="37.5" x14ac:dyDescent="0.35">
      <c r="A100" s="237"/>
      <c r="B100" s="237"/>
      <c r="C100" s="237"/>
      <c r="D100" s="1017"/>
      <c r="E100" s="1017"/>
      <c r="F100" s="237"/>
      <c r="G100" s="1018"/>
      <c r="H100" s="237" t="s">
        <v>1179</v>
      </c>
      <c r="I100" s="1028"/>
      <c r="J100" s="237"/>
      <c r="K100" s="237"/>
      <c r="L100" s="237"/>
      <c r="M100" s="237"/>
      <c r="N100" s="1019">
        <v>46023</v>
      </c>
      <c r="O100" s="237">
        <v>120</v>
      </c>
      <c r="P100" s="1020" t="s">
        <v>1041</v>
      </c>
      <c r="Q100" s="1020"/>
      <c r="R100" s="1020"/>
      <c r="S100" s="1020"/>
      <c r="T100" s="842"/>
      <c r="U100" s="234"/>
      <c r="V100" s="234"/>
      <c r="W100" s="809">
        <v>45962</v>
      </c>
      <c r="X100" s="997" t="s">
        <v>2104</v>
      </c>
      <c r="Y100" s="998"/>
      <c r="Z100" s="845">
        <v>6274001903</v>
      </c>
      <c r="AA100" s="809" t="s">
        <v>896</v>
      </c>
      <c r="AB100" s="809"/>
      <c r="AC100" s="825">
        <v>23670000</v>
      </c>
      <c r="AD100" s="825" t="e">
        <f t="shared" si="54"/>
        <v>#REF!</v>
      </c>
      <c r="AE100" s="825" t="e">
        <f>#REF!</f>
        <v>#REF!</v>
      </c>
      <c r="AF100" s="197" t="e">
        <f>#REF!/120</f>
        <v>#REF!</v>
      </c>
      <c r="AG100" s="197" t="e">
        <f>#REF!/120</f>
        <v>#REF!</v>
      </c>
      <c r="AH100" s="197" t="e">
        <f>#REF!/120</f>
        <v>#REF!</v>
      </c>
      <c r="AI100" s="197" t="e">
        <f>#REF!/120</f>
        <v>#REF!</v>
      </c>
      <c r="AJ100" s="197" t="e">
        <f>#REF!/120</f>
        <v>#REF!</v>
      </c>
      <c r="AK100" s="197" t="e">
        <f>#REF!/120</f>
        <v>#REF!</v>
      </c>
      <c r="AL100" s="197" t="e">
        <f>#REF!/120</f>
        <v>#REF!</v>
      </c>
      <c r="AM100" s="197" t="e">
        <f>#REF!/120</f>
        <v>#REF!</v>
      </c>
      <c r="AN100" s="197" t="e">
        <f>#REF!/120</f>
        <v>#REF!</v>
      </c>
      <c r="AO100" s="197" t="e">
        <f>#REF!/120</f>
        <v>#REF!</v>
      </c>
      <c r="AP100" s="197" t="e">
        <f>#REF!/120</f>
        <v>#REF!</v>
      </c>
      <c r="AQ100" s="197" t="e">
        <f>#REF!/120</f>
        <v>#REF!</v>
      </c>
      <c r="AR100" s="197" t="e">
        <f t="shared" si="57"/>
        <v>#REF!</v>
      </c>
      <c r="AS100" s="197"/>
    </row>
    <row r="101" spans="1:55" ht="75" x14ac:dyDescent="0.35">
      <c r="A101" s="1074">
        <v>2.2999999999999998</v>
      </c>
      <c r="B101" s="1074"/>
      <c r="C101" s="1074"/>
      <c r="D101" s="1075"/>
      <c r="E101" s="1075"/>
      <c r="F101" s="1074"/>
      <c r="G101" s="1076"/>
      <c r="H101" s="1074"/>
      <c r="I101" s="1076"/>
      <c r="J101" s="1074"/>
      <c r="K101" s="1074"/>
      <c r="L101" s="1074"/>
      <c r="M101" s="1074"/>
      <c r="N101" s="1077"/>
      <c r="O101" s="1078"/>
      <c r="P101" s="1079"/>
      <c r="Q101" s="1079"/>
      <c r="R101" s="1079"/>
      <c r="S101" s="1079"/>
      <c r="T101" s="1080"/>
      <c r="U101" s="1081"/>
      <c r="V101" s="1081"/>
      <c r="W101" s="1082"/>
      <c r="X101" s="1083" t="s">
        <v>2145</v>
      </c>
      <c r="Y101" s="1084"/>
      <c r="Z101" s="1085"/>
      <c r="AA101" s="1082"/>
      <c r="AB101" s="1082"/>
      <c r="AC101" s="1086"/>
      <c r="AD101" s="1087">
        <f>AC101-AE101</f>
        <v>0</v>
      </c>
      <c r="AE101" s="1087"/>
      <c r="AF101" s="1081"/>
      <c r="AG101" s="1081"/>
      <c r="AH101" s="1081"/>
      <c r="AI101" s="1081"/>
      <c r="AJ101" s="1081"/>
      <c r="AK101" s="1081"/>
      <c r="AL101" s="1081"/>
      <c r="AM101" s="1081"/>
      <c r="AN101" s="1081"/>
      <c r="AO101" s="1081"/>
      <c r="AP101" s="1081"/>
      <c r="AQ101" s="1081"/>
      <c r="AR101" s="1088">
        <f>SUM(AF101:AQ101)</f>
        <v>0</v>
      </c>
      <c r="AS101" s="197"/>
    </row>
    <row r="102" spans="1:55" x14ac:dyDescent="0.35">
      <c r="A102" s="1074"/>
      <c r="B102" s="1074"/>
      <c r="C102" s="1074"/>
      <c r="D102" s="1075"/>
      <c r="E102" s="1075"/>
      <c r="F102" s="1074"/>
      <c r="G102" s="1076"/>
      <c r="H102" s="1074"/>
      <c r="I102" s="1076"/>
      <c r="J102" s="1074"/>
      <c r="K102" s="1074"/>
      <c r="L102" s="1074"/>
      <c r="M102" s="1074"/>
      <c r="N102" s="1077"/>
      <c r="O102" s="1078"/>
      <c r="P102" s="1079"/>
      <c r="Q102" s="1079"/>
      <c r="R102" s="1079"/>
      <c r="S102" s="1079"/>
      <c r="T102" s="1080"/>
      <c r="U102" s="1081"/>
      <c r="V102" s="1081"/>
      <c r="W102" s="1082"/>
      <c r="X102" s="1083"/>
      <c r="Y102" s="1084"/>
      <c r="Z102" s="1085"/>
      <c r="AA102" s="1082"/>
      <c r="AB102" s="1082"/>
      <c r="AC102" s="1086"/>
      <c r="AD102" s="1087">
        <f>AC102-AE102</f>
        <v>0</v>
      </c>
      <c r="AE102" s="1087"/>
      <c r="AF102" s="1081"/>
      <c r="AG102" s="1081"/>
      <c r="AH102" s="1081"/>
      <c r="AI102" s="1081"/>
      <c r="AJ102" s="1081"/>
      <c r="AK102" s="1081"/>
      <c r="AL102" s="1081"/>
      <c r="AM102" s="1081"/>
      <c r="AN102" s="1081"/>
      <c r="AO102" s="1081"/>
      <c r="AP102" s="1081"/>
      <c r="AQ102" s="1081"/>
      <c r="AR102" s="1088">
        <f>SUM(AF102:AQ102)</f>
        <v>0</v>
      </c>
      <c r="AS102" s="197"/>
    </row>
    <row r="103" spans="1:55" x14ac:dyDescent="0.35">
      <c r="A103" s="1074"/>
      <c r="B103" s="1074"/>
      <c r="C103" s="1074"/>
      <c r="D103" s="1075"/>
      <c r="E103" s="1075"/>
      <c r="F103" s="1074"/>
      <c r="G103" s="1076"/>
      <c r="H103" s="1074"/>
      <c r="I103" s="1076"/>
      <c r="J103" s="1074"/>
      <c r="K103" s="1074"/>
      <c r="L103" s="1074"/>
      <c r="M103" s="1074"/>
      <c r="N103" s="1077"/>
      <c r="O103" s="1078"/>
      <c r="P103" s="1079"/>
      <c r="Q103" s="1079"/>
      <c r="R103" s="1079"/>
      <c r="S103" s="1079"/>
      <c r="T103" s="1080"/>
      <c r="U103" s="1081"/>
      <c r="V103" s="1081"/>
      <c r="W103" s="1082"/>
      <c r="X103" s="1083"/>
      <c r="Y103" s="1084"/>
      <c r="Z103" s="1085"/>
      <c r="AA103" s="1082"/>
      <c r="AB103" s="1082"/>
      <c r="AC103" s="1086"/>
      <c r="AD103" s="1087">
        <f>AC103-AE103</f>
        <v>0</v>
      </c>
      <c r="AE103" s="1087"/>
      <c r="AF103" s="1081"/>
      <c r="AG103" s="1081"/>
      <c r="AH103" s="1081"/>
      <c r="AI103" s="1081"/>
      <c r="AJ103" s="1081"/>
      <c r="AK103" s="1081"/>
      <c r="AL103" s="1081"/>
      <c r="AM103" s="1081"/>
      <c r="AN103" s="1081"/>
      <c r="AO103" s="1081"/>
      <c r="AP103" s="1081"/>
      <c r="AQ103" s="1081"/>
      <c r="AR103" s="1088">
        <f>SUM(AF103:AQ103)</f>
        <v>0</v>
      </c>
      <c r="AS103" s="197"/>
    </row>
    <row r="104" spans="1:55" x14ac:dyDescent="0.35">
      <c r="A104" s="85" t="s">
        <v>1186</v>
      </c>
      <c r="B104" s="497"/>
      <c r="C104" s="497"/>
      <c r="D104" s="497"/>
      <c r="E104" s="497"/>
      <c r="F104" s="497"/>
      <c r="G104" s="497"/>
      <c r="H104" s="497"/>
      <c r="I104" s="994"/>
      <c r="J104" s="497"/>
      <c r="K104" s="497"/>
      <c r="L104" s="497"/>
      <c r="M104" s="497"/>
      <c r="N104" s="497"/>
      <c r="O104" s="237"/>
      <c r="P104" s="498"/>
      <c r="Q104" s="499"/>
      <c r="R104" s="499"/>
      <c r="S104" s="499"/>
      <c r="T104" s="498"/>
      <c r="U104" s="499"/>
      <c r="V104" s="499"/>
      <c r="W104" s="499"/>
      <c r="X104" s="805"/>
      <c r="Y104" s="500"/>
      <c r="Z104" s="501">
        <v>6274001903</v>
      </c>
      <c r="AA104" s="1042" t="s">
        <v>896</v>
      </c>
      <c r="AB104" s="502"/>
      <c r="AC104" s="207">
        <f>SUM(AC105,AC123,AC110,AC116,AC119)</f>
        <v>24500217000</v>
      </c>
      <c r="AD104" s="207" t="e">
        <f>AC104-AE104</f>
        <v>#REF!</v>
      </c>
      <c r="AE104" s="207" t="e">
        <f>SUM(AE105:AE127)</f>
        <v>#REF!</v>
      </c>
      <c r="AF104" s="207" t="e">
        <f t="shared" ref="AF104:AR104" si="59">SUM(AF105,AF123,AF110,AF116,AF119)</f>
        <v>#REF!</v>
      </c>
      <c r="AG104" s="207" t="e">
        <f t="shared" si="59"/>
        <v>#REF!</v>
      </c>
      <c r="AH104" s="207" t="e">
        <f t="shared" si="59"/>
        <v>#REF!</v>
      </c>
      <c r="AI104" s="207" t="e">
        <f t="shared" si="59"/>
        <v>#REF!</v>
      </c>
      <c r="AJ104" s="207" t="e">
        <f t="shared" si="59"/>
        <v>#REF!</v>
      </c>
      <c r="AK104" s="207" t="e">
        <f t="shared" si="59"/>
        <v>#REF!</v>
      </c>
      <c r="AL104" s="207" t="e">
        <f t="shared" si="59"/>
        <v>#REF!</v>
      </c>
      <c r="AM104" s="207" t="e">
        <f t="shared" si="59"/>
        <v>#REF!</v>
      </c>
      <c r="AN104" s="207" t="e">
        <f t="shared" si="59"/>
        <v>#REF!</v>
      </c>
      <c r="AO104" s="207" t="e">
        <f t="shared" si="59"/>
        <v>#REF!</v>
      </c>
      <c r="AP104" s="207" t="e">
        <f t="shared" si="59"/>
        <v>#REF!</v>
      </c>
      <c r="AQ104" s="207" t="e">
        <f t="shared" si="59"/>
        <v>#REF!</v>
      </c>
      <c r="AR104" s="207" t="e">
        <f t="shared" si="59"/>
        <v>#REF!</v>
      </c>
      <c r="AS104" s="810" t="e">
        <f t="shared" si="10"/>
        <v>#REF!</v>
      </c>
      <c r="BC104" s="1072"/>
    </row>
    <row r="105" spans="1:55" ht="162.5" x14ac:dyDescent="0.35">
      <c r="A105" s="1021">
        <v>3.1</v>
      </c>
      <c r="B105" s="1021" t="s">
        <v>817</v>
      </c>
      <c r="C105" s="1021" t="s">
        <v>1187</v>
      </c>
      <c r="D105" s="1021"/>
      <c r="E105" s="1021"/>
      <c r="F105" s="1021"/>
      <c r="G105" s="1021"/>
      <c r="H105" s="1021"/>
      <c r="I105" s="1022"/>
      <c r="J105" s="1021"/>
      <c r="K105" s="1021"/>
      <c r="L105" s="1021"/>
      <c r="M105" s="1021"/>
      <c r="N105" s="1039">
        <v>46388</v>
      </c>
      <c r="O105" s="1021">
        <f>12*12</f>
        <v>144</v>
      </c>
      <c r="P105" s="1027" t="s">
        <v>1041</v>
      </c>
      <c r="Q105" s="1023"/>
      <c r="R105" s="1023"/>
      <c r="S105" s="485" t="s">
        <v>2122</v>
      </c>
      <c r="T105" s="482"/>
      <c r="U105" s="1023"/>
      <c r="V105" s="1023"/>
      <c r="W105" s="1032">
        <v>46113</v>
      </c>
      <c r="X105" s="806" t="s">
        <v>2121</v>
      </c>
      <c r="Y105" s="1024">
        <v>627</v>
      </c>
      <c r="Z105" s="1025">
        <v>6274001903</v>
      </c>
      <c r="AA105" s="1032" t="s">
        <v>896</v>
      </c>
      <c r="AB105" s="1032" t="s">
        <v>1038</v>
      </c>
      <c r="AC105" s="202">
        <f>SUM(AC106:AC109)</f>
        <v>20039600000</v>
      </c>
      <c r="AD105" s="202"/>
      <c r="AE105" s="202" t="e">
        <f>SUM(AE106:AE109)</f>
        <v>#REF!</v>
      </c>
      <c r="AF105" s="810"/>
      <c r="AG105" s="810"/>
      <c r="AH105" s="810"/>
      <c r="AI105" s="810"/>
      <c r="AJ105" s="810"/>
      <c r="AK105" s="810"/>
      <c r="AL105" s="810"/>
      <c r="AM105" s="810"/>
      <c r="AN105" s="810"/>
      <c r="AO105" s="810"/>
      <c r="AP105" s="810"/>
      <c r="AQ105" s="810"/>
      <c r="AR105" s="810">
        <f t="shared" si="2"/>
        <v>0</v>
      </c>
      <c r="AS105" s="810" t="e">
        <f t="shared" si="10"/>
        <v>#REF!</v>
      </c>
      <c r="BC105" s="16"/>
    </row>
    <row r="106" spans="1:55" ht="409.5" x14ac:dyDescent="0.35">
      <c r="A106" s="971"/>
      <c r="B106" s="971"/>
      <c r="C106" s="971" t="s">
        <v>1187</v>
      </c>
      <c r="D106" s="972"/>
      <c r="E106" s="972"/>
      <c r="F106" s="971"/>
      <c r="G106" s="973"/>
      <c r="H106" s="971" t="s">
        <v>1179</v>
      </c>
      <c r="I106" s="988" t="s">
        <v>1189</v>
      </c>
      <c r="J106" s="971"/>
      <c r="K106" s="971"/>
      <c r="L106" s="971"/>
      <c r="M106" s="971"/>
      <c r="N106" s="1039">
        <v>46388</v>
      </c>
      <c r="O106" s="237">
        <v>144</v>
      </c>
      <c r="P106" s="975" t="s">
        <v>1041</v>
      </c>
      <c r="Q106" s="975"/>
      <c r="R106" s="975"/>
      <c r="S106" s="985" t="s">
        <v>849</v>
      </c>
      <c r="T106" s="976"/>
      <c r="U106" s="977"/>
      <c r="V106" s="977"/>
      <c r="W106" s="1031">
        <v>46113</v>
      </c>
      <c r="X106" s="997" t="s">
        <v>2118</v>
      </c>
      <c r="Y106" s="844"/>
      <c r="Z106" s="845">
        <v>6274001903</v>
      </c>
      <c r="AA106" s="809" t="s">
        <v>896</v>
      </c>
      <c r="AB106" s="809" t="s">
        <v>1038</v>
      </c>
      <c r="AC106" s="825">
        <v>10068000000</v>
      </c>
      <c r="AD106" s="825" t="e">
        <f t="shared" ref="AD106:AD109" si="60">AC106-AE106</f>
        <v>#REF!</v>
      </c>
      <c r="AE106" s="825" t="e">
        <f>#REF!</f>
        <v>#REF!</v>
      </c>
      <c r="AF106" s="197"/>
      <c r="AG106" s="197"/>
      <c r="AH106" s="197"/>
      <c r="AI106" s="197"/>
      <c r="AJ106" s="197"/>
      <c r="AK106" s="197"/>
      <c r="AL106" s="197" t="e">
        <f>#REF!/#REF!</f>
        <v>#REF!</v>
      </c>
      <c r="AM106" s="197" t="e">
        <f>#REF!/#REF!</f>
        <v>#REF!</v>
      </c>
      <c r="AN106" s="197" t="e">
        <f>#REF!/#REF!</f>
        <v>#REF!</v>
      </c>
      <c r="AO106" s="197" t="e">
        <f>#REF!/#REF!</f>
        <v>#REF!</v>
      </c>
      <c r="AP106" s="197" t="e">
        <f>#REF!/#REF!</f>
        <v>#REF!</v>
      </c>
      <c r="AQ106" s="197" t="e">
        <f>#REF!/#REF!</f>
        <v>#REF!</v>
      </c>
      <c r="AR106" s="1002" t="e">
        <f t="shared" si="2"/>
        <v>#REF!</v>
      </c>
      <c r="AS106" s="810"/>
    </row>
    <row r="107" spans="1:55" ht="387.5" x14ac:dyDescent="0.35">
      <c r="A107" s="971"/>
      <c r="B107" s="971"/>
      <c r="C107" s="971" t="s">
        <v>1187</v>
      </c>
      <c r="D107" s="972"/>
      <c r="E107" s="972"/>
      <c r="F107" s="971"/>
      <c r="G107" s="973"/>
      <c r="H107" s="971" t="s">
        <v>1179</v>
      </c>
      <c r="I107" s="988" t="s">
        <v>1189</v>
      </c>
      <c r="J107" s="971"/>
      <c r="K107" s="971"/>
      <c r="L107" s="971"/>
      <c r="M107" s="971"/>
      <c r="N107" s="1039">
        <v>46388</v>
      </c>
      <c r="O107" s="237">
        <v>144</v>
      </c>
      <c r="P107" s="975" t="s">
        <v>1041</v>
      </c>
      <c r="Q107" s="975"/>
      <c r="R107" s="975"/>
      <c r="S107" s="985" t="s">
        <v>1190</v>
      </c>
      <c r="T107" s="976"/>
      <c r="U107" s="977"/>
      <c r="V107" s="977"/>
      <c r="W107" s="1031">
        <v>46113</v>
      </c>
      <c r="X107" s="997" t="s">
        <v>2119</v>
      </c>
      <c r="Y107" s="844"/>
      <c r="Z107" s="845">
        <v>6274001903</v>
      </c>
      <c r="AA107" s="809" t="s">
        <v>896</v>
      </c>
      <c r="AB107" s="809" t="s">
        <v>1038</v>
      </c>
      <c r="AC107" s="825">
        <v>8018000000</v>
      </c>
      <c r="AD107" s="825" t="e">
        <f t="shared" si="60"/>
        <v>#REF!</v>
      </c>
      <c r="AE107" s="825" t="e">
        <f>#REF!</f>
        <v>#REF!</v>
      </c>
      <c r="AF107" s="197"/>
      <c r="AG107" s="197"/>
      <c r="AH107" s="197"/>
      <c r="AI107" s="197"/>
      <c r="AJ107" s="197"/>
      <c r="AK107" s="197"/>
      <c r="AL107" s="197" t="e">
        <f>#REF!/#REF!</f>
        <v>#REF!</v>
      </c>
      <c r="AM107" s="197" t="e">
        <f>#REF!/#REF!</f>
        <v>#REF!</v>
      </c>
      <c r="AN107" s="197" t="e">
        <f>#REF!/#REF!</f>
        <v>#REF!</v>
      </c>
      <c r="AO107" s="197" t="e">
        <f>#REF!/#REF!</f>
        <v>#REF!</v>
      </c>
      <c r="AP107" s="197" t="e">
        <f>#REF!/#REF!</f>
        <v>#REF!</v>
      </c>
      <c r="AQ107" s="197" t="e">
        <f>#REF!/#REF!</f>
        <v>#REF!</v>
      </c>
      <c r="AR107" s="1002" t="e">
        <f t="shared" si="2"/>
        <v>#REF!</v>
      </c>
      <c r="AS107" s="810"/>
    </row>
    <row r="108" spans="1:55" ht="212.5" x14ac:dyDescent="0.35">
      <c r="A108" s="971"/>
      <c r="B108" s="971"/>
      <c r="C108" s="971" t="s">
        <v>1187</v>
      </c>
      <c r="D108" s="972"/>
      <c r="E108" s="972"/>
      <c r="F108" s="971"/>
      <c r="G108" s="973"/>
      <c r="H108" s="971" t="s">
        <v>1179</v>
      </c>
      <c r="I108" s="988" t="s">
        <v>1189</v>
      </c>
      <c r="J108" s="971"/>
      <c r="K108" s="971"/>
      <c r="L108" s="971"/>
      <c r="M108" s="971"/>
      <c r="N108" s="1039">
        <v>46388</v>
      </c>
      <c r="O108" s="237">
        <v>144</v>
      </c>
      <c r="P108" s="975" t="s">
        <v>1041</v>
      </c>
      <c r="Q108" s="975"/>
      <c r="R108" s="975"/>
      <c r="S108" s="985" t="s">
        <v>1191</v>
      </c>
      <c r="T108" s="976"/>
      <c r="U108" s="977"/>
      <c r="V108" s="977"/>
      <c r="W108" s="1031">
        <v>46113</v>
      </c>
      <c r="X108" s="997" t="s">
        <v>2120</v>
      </c>
      <c r="Y108" s="998"/>
      <c r="Z108" s="845">
        <v>6274001903</v>
      </c>
      <c r="AA108" s="809" t="s">
        <v>896</v>
      </c>
      <c r="AB108" s="809"/>
      <c r="AC108" s="825">
        <v>1953600000</v>
      </c>
      <c r="AD108" s="825" t="e">
        <f t="shared" si="60"/>
        <v>#REF!</v>
      </c>
      <c r="AE108" s="825" t="e">
        <f>#REF!</f>
        <v>#REF!</v>
      </c>
      <c r="AF108" s="197"/>
      <c r="AG108" s="197"/>
      <c r="AH108" s="197"/>
      <c r="AI108" s="197"/>
      <c r="AJ108" s="197"/>
      <c r="AK108" s="197"/>
      <c r="AL108" s="197" t="e">
        <f>#REF!/#REF!</f>
        <v>#REF!</v>
      </c>
      <c r="AM108" s="197" t="e">
        <f>#REF!/#REF!</f>
        <v>#REF!</v>
      </c>
      <c r="AN108" s="197" t="e">
        <f>#REF!/#REF!</f>
        <v>#REF!</v>
      </c>
      <c r="AO108" s="197" t="e">
        <f>#REF!/#REF!</f>
        <v>#REF!</v>
      </c>
      <c r="AP108" s="197" t="e">
        <f>#REF!/#REF!</f>
        <v>#REF!</v>
      </c>
      <c r="AQ108" s="197" t="e">
        <f>#REF!/#REF!</f>
        <v>#REF!</v>
      </c>
      <c r="AR108" s="1002" t="e">
        <f t="shared" si="2"/>
        <v>#REF!</v>
      </c>
      <c r="AS108" s="810"/>
    </row>
    <row r="109" spans="1:55" ht="76" x14ac:dyDescent="0.35">
      <c r="A109" s="971"/>
      <c r="B109" s="971"/>
      <c r="C109" s="971" t="s">
        <v>1187</v>
      </c>
      <c r="D109" s="972"/>
      <c r="E109" s="972"/>
      <c r="F109" s="971"/>
      <c r="G109" s="973"/>
      <c r="H109" s="971" t="s">
        <v>1179</v>
      </c>
      <c r="I109" s="988" t="s">
        <v>1189</v>
      </c>
      <c r="J109" s="971"/>
      <c r="K109" s="971"/>
      <c r="L109" s="971"/>
      <c r="M109" s="971"/>
      <c r="N109" s="1039">
        <v>46388</v>
      </c>
      <c r="O109" s="237">
        <v>144</v>
      </c>
      <c r="P109" s="975" t="s">
        <v>1041</v>
      </c>
      <c r="Q109" s="975"/>
      <c r="R109" s="975"/>
      <c r="S109" s="985" t="s">
        <v>1192</v>
      </c>
      <c r="T109" s="976"/>
      <c r="U109" s="977"/>
      <c r="V109" s="977"/>
      <c r="W109" s="1031"/>
      <c r="X109" s="997"/>
      <c r="Y109" s="998"/>
      <c r="Z109" s="845"/>
      <c r="AA109" s="809"/>
      <c r="AB109" s="809"/>
      <c r="AC109" s="825"/>
      <c r="AD109" s="825" t="e">
        <f t="shared" si="60"/>
        <v>#REF!</v>
      </c>
      <c r="AE109" s="825" t="e">
        <f>#REF!</f>
        <v>#REF!</v>
      </c>
      <c r="AF109" s="197"/>
      <c r="AG109" s="197"/>
      <c r="AH109" s="197"/>
      <c r="AI109" s="197"/>
      <c r="AJ109" s="197"/>
      <c r="AK109" s="197"/>
      <c r="AL109" s="197" t="e">
        <f>#REF!/#REF!</f>
        <v>#REF!</v>
      </c>
      <c r="AM109" s="197" t="e">
        <f>#REF!/#REF!</f>
        <v>#REF!</v>
      </c>
      <c r="AN109" s="197" t="e">
        <f>#REF!/#REF!</f>
        <v>#REF!</v>
      </c>
      <c r="AO109" s="197" t="e">
        <f>#REF!/#REF!</f>
        <v>#REF!</v>
      </c>
      <c r="AP109" s="197" t="e">
        <f>#REF!/#REF!</f>
        <v>#REF!</v>
      </c>
      <c r="AQ109" s="197" t="e">
        <f>#REF!/#REF!</f>
        <v>#REF!</v>
      </c>
      <c r="AR109" s="1002" t="e">
        <f t="shared" si="2"/>
        <v>#REF!</v>
      </c>
      <c r="AS109" s="810"/>
    </row>
    <row r="110" spans="1:55" ht="50" x14ac:dyDescent="0.35">
      <c r="A110" s="1021">
        <v>3.2</v>
      </c>
      <c r="B110" s="1021" t="s">
        <v>817</v>
      </c>
      <c r="C110" s="1021" t="s">
        <v>2125</v>
      </c>
      <c r="D110" s="1021"/>
      <c r="E110" s="1021"/>
      <c r="F110" s="1021"/>
      <c r="G110" s="1021"/>
      <c r="H110" s="1021"/>
      <c r="I110" s="1022"/>
      <c r="J110" s="1021"/>
      <c r="K110" s="1021"/>
      <c r="L110" s="1021"/>
      <c r="M110" s="1021"/>
      <c r="N110" s="1039">
        <v>46023</v>
      </c>
      <c r="O110" s="1021">
        <f>8*12</f>
        <v>96</v>
      </c>
      <c r="P110" s="1027" t="s">
        <v>1133</v>
      </c>
      <c r="Q110" s="1023"/>
      <c r="R110" s="1023"/>
      <c r="S110" s="485" t="s">
        <v>1196</v>
      </c>
      <c r="T110" s="482"/>
      <c r="U110" s="1023" t="s">
        <v>2126</v>
      </c>
      <c r="V110" s="1023"/>
      <c r="W110" s="1032">
        <v>46023</v>
      </c>
      <c r="X110" s="806" t="s">
        <v>1196</v>
      </c>
      <c r="Y110" s="1024">
        <v>627</v>
      </c>
      <c r="Z110" s="1025">
        <v>6274001903</v>
      </c>
      <c r="AA110" s="1032" t="s">
        <v>896</v>
      </c>
      <c r="AB110" s="1026"/>
      <c r="AC110" s="202">
        <f>SUM(AC111:AC115)</f>
        <v>1159000000</v>
      </c>
      <c r="AD110" s="202"/>
      <c r="AE110" s="202" t="e">
        <f>SUM(AE111:AE115)</f>
        <v>#REF!</v>
      </c>
      <c r="AF110" s="810" t="e">
        <f>SUM(AF111:AF115)</f>
        <v>#REF!</v>
      </c>
      <c r="AG110" s="810" t="e">
        <f t="shared" ref="AG110:AQ110" si="61">SUM(AG111:AG115)</f>
        <v>#REF!</v>
      </c>
      <c r="AH110" s="810" t="e">
        <f t="shared" si="61"/>
        <v>#REF!</v>
      </c>
      <c r="AI110" s="810" t="e">
        <f t="shared" si="61"/>
        <v>#REF!</v>
      </c>
      <c r="AJ110" s="810" t="e">
        <f t="shared" si="61"/>
        <v>#REF!</v>
      </c>
      <c r="AK110" s="810" t="e">
        <f t="shared" si="61"/>
        <v>#REF!</v>
      </c>
      <c r="AL110" s="810" t="e">
        <f t="shared" si="61"/>
        <v>#REF!</v>
      </c>
      <c r="AM110" s="810" t="e">
        <f t="shared" si="61"/>
        <v>#REF!</v>
      </c>
      <c r="AN110" s="810" t="e">
        <f t="shared" si="61"/>
        <v>#REF!</v>
      </c>
      <c r="AO110" s="810" t="e">
        <f t="shared" si="61"/>
        <v>#REF!</v>
      </c>
      <c r="AP110" s="810" t="e">
        <f t="shared" si="61"/>
        <v>#REF!</v>
      </c>
      <c r="AQ110" s="810" t="e">
        <f t="shared" si="61"/>
        <v>#REF!</v>
      </c>
      <c r="AR110" s="1003" t="e">
        <f t="shared" si="2"/>
        <v>#REF!</v>
      </c>
      <c r="AS110" s="810" t="e">
        <f t="shared" si="10"/>
        <v>#REF!</v>
      </c>
      <c r="BC110" s="16"/>
    </row>
    <row r="111" spans="1:55" ht="62.5" x14ac:dyDescent="0.35">
      <c r="A111" s="971"/>
      <c r="B111" s="971"/>
      <c r="C111" s="971"/>
      <c r="D111" s="972"/>
      <c r="E111" s="972"/>
      <c r="F111" s="971"/>
      <c r="G111" s="973"/>
      <c r="H111" s="971"/>
      <c r="I111" s="973"/>
      <c r="J111" s="971"/>
      <c r="K111" s="971"/>
      <c r="L111" s="971"/>
      <c r="M111" s="971"/>
      <c r="N111" s="1041">
        <v>46023</v>
      </c>
      <c r="O111" s="237">
        <f>8*12</f>
        <v>96</v>
      </c>
      <c r="P111" s="975" t="s">
        <v>1133</v>
      </c>
      <c r="Q111" s="975"/>
      <c r="R111" s="975"/>
      <c r="S111" s="984" t="s">
        <v>1196</v>
      </c>
      <c r="T111" s="976"/>
      <c r="U111" s="234" t="s">
        <v>2126</v>
      </c>
      <c r="V111" s="977"/>
      <c r="W111" s="1031">
        <v>46023</v>
      </c>
      <c r="X111" s="997" t="s">
        <v>1191</v>
      </c>
      <c r="Y111" s="979"/>
      <c r="Z111" s="238">
        <v>6274001903</v>
      </c>
      <c r="AA111" s="1031" t="s">
        <v>896</v>
      </c>
      <c r="AB111" s="1031"/>
      <c r="AC111" s="825">
        <v>453000000</v>
      </c>
      <c r="AD111" s="825" t="e">
        <f>AC111-AE111</f>
        <v>#REF!</v>
      </c>
      <c r="AE111" s="825" t="e">
        <f>#REF!</f>
        <v>#REF!</v>
      </c>
      <c r="AF111" s="1000" t="e">
        <f>#REF!/#REF!</f>
        <v>#REF!</v>
      </c>
      <c r="AG111" s="1000" t="e">
        <f>#REF!/#REF!</f>
        <v>#REF!</v>
      </c>
      <c r="AH111" s="1000" t="e">
        <f>#REF!/#REF!</f>
        <v>#REF!</v>
      </c>
      <c r="AI111" s="1000" t="e">
        <f>#REF!/#REF!</f>
        <v>#REF!</v>
      </c>
      <c r="AJ111" s="1000" t="e">
        <f>#REF!/#REF!</f>
        <v>#REF!</v>
      </c>
      <c r="AK111" s="1000" t="e">
        <f>#REF!/#REF!</f>
        <v>#REF!</v>
      </c>
      <c r="AL111" s="1000" t="e">
        <f>#REF!/#REF!</f>
        <v>#REF!</v>
      </c>
      <c r="AM111" s="1000" t="e">
        <f>#REF!/#REF!</f>
        <v>#REF!</v>
      </c>
      <c r="AN111" s="1000" t="e">
        <f>#REF!/#REF!</f>
        <v>#REF!</v>
      </c>
      <c r="AO111" s="1000" t="e">
        <f>#REF!/#REF!</f>
        <v>#REF!</v>
      </c>
      <c r="AP111" s="1000" t="e">
        <f>#REF!/#REF!</f>
        <v>#REF!</v>
      </c>
      <c r="AQ111" s="1000" t="e">
        <f>#REF!/#REF!</f>
        <v>#REF!</v>
      </c>
      <c r="AR111" s="1001" t="e">
        <f>SUM(AF111:AQ111)</f>
        <v>#REF!</v>
      </c>
      <c r="AS111" s="810"/>
    </row>
    <row r="112" spans="1:55" ht="62.5" x14ac:dyDescent="0.35">
      <c r="A112" s="971"/>
      <c r="B112" s="971"/>
      <c r="C112" s="971"/>
      <c r="D112" s="972"/>
      <c r="E112" s="972"/>
      <c r="F112" s="971"/>
      <c r="G112" s="973"/>
      <c r="H112" s="971"/>
      <c r="I112" s="973"/>
      <c r="J112" s="971"/>
      <c r="K112" s="971"/>
      <c r="L112" s="971"/>
      <c r="M112" s="971"/>
      <c r="N112" s="1041">
        <v>46023</v>
      </c>
      <c r="O112" s="237">
        <f t="shared" ref="O112:O115" si="62">8*12</f>
        <v>96</v>
      </c>
      <c r="P112" s="975" t="s">
        <v>1133</v>
      </c>
      <c r="Q112" s="975"/>
      <c r="R112" s="975"/>
      <c r="S112" s="984"/>
      <c r="T112" s="976"/>
      <c r="U112" s="977"/>
      <c r="V112" s="977"/>
      <c r="W112" s="1031">
        <v>46023</v>
      </c>
      <c r="X112" s="997" t="s">
        <v>1192</v>
      </c>
      <c r="Y112" s="979"/>
      <c r="Z112" s="238">
        <v>6274001903</v>
      </c>
      <c r="AA112" s="1031" t="s">
        <v>896</v>
      </c>
      <c r="AB112" s="1031"/>
      <c r="AC112" s="825">
        <v>163000000</v>
      </c>
      <c r="AD112" s="825" t="e">
        <f>AC112-AE112</f>
        <v>#REF!</v>
      </c>
      <c r="AE112" s="825" t="e">
        <f>#REF!</f>
        <v>#REF!</v>
      </c>
      <c r="AF112" s="1000" t="e">
        <f>#REF!/#REF!</f>
        <v>#REF!</v>
      </c>
      <c r="AG112" s="1000" t="e">
        <f>#REF!/#REF!</f>
        <v>#REF!</v>
      </c>
      <c r="AH112" s="1000" t="e">
        <f>#REF!/#REF!</f>
        <v>#REF!</v>
      </c>
      <c r="AI112" s="1000" t="e">
        <f>#REF!/#REF!</f>
        <v>#REF!</v>
      </c>
      <c r="AJ112" s="1000" t="e">
        <f>#REF!/#REF!</f>
        <v>#REF!</v>
      </c>
      <c r="AK112" s="1000" t="e">
        <f>#REF!/#REF!</f>
        <v>#REF!</v>
      </c>
      <c r="AL112" s="1000" t="e">
        <f>#REF!/#REF!</f>
        <v>#REF!</v>
      </c>
      <c r="AM112" s="1000" t="e">
        <f>#REF!/#REF!</f>
        <v>#REF!</v>
      </c>
      <c r="AN112" s="1000" t="e">
        <f>#REF!/#REF!</f>
        <v>#REF!</v>
      </c>
      <c r="AO112" s="1000" t="e">
        <f>#REF!/#REF!</f>
        <v>#REF!</v>
      </c>
      <c r="AP112" s="1000" t="e">
        <f>#REF!/#REF!</f>
        <v>#REF!</v>
      </c>
      <c r="AQ112" s="1000" t="e">
        <f>#REF!/#REF!</f>
        <v>#REF!</v>
      </c>
      <c r="AR112" s="1001" t="e">
        <f>SUM(AF112:AQ112)</f>
        <v>#REF!</v>
      </c>
      <c r="AS112" s="810"/>
    </row>
    <row r="113" spans="1:55" ht="75" x14ac:dyDescent="0.35">
      <c r="A113" s="971"/>
      <c r="B113" s="971"/>
      <c r="C113" s="971"/>
      <c r="D113" s="972"/>
      <c r="E113" s="972"/>
      <c r="F113" s="971"/>
      <c r="G113" s="973"/>
      <c r="H113" s="971"/>
      <c r="I113" s="973"/>
      <c r="J113" s="971"/>
      <c r="K113" s="971"/>
      <c r="L113" s="971"/>
      <c r="M113" s="971"/>
      <c r="N113" s="1041">
        <v>46023</v>
      </c>
      <c r="O113" s="237">
        <f t="shared" si="62"/>
        <v>96</v>
      </c>
      <c r="P113" s="975" t="s">
        <v>1133</v>
      </c>
      <c r="Q113" s="975"/>
      <c r="R113" s="975"/>
      <c r="S113" s="984"/>
      <c r="T113" s="976"/>
      <c r="U113" s="977"/>
      <c r="V113" s="977"/>
      <c r="W113" s="1031">
        <v>46023</v>
      </c>
      <c r="X113" s="997" t="s">
        <v>1195</v>
      </c>
      <c r="Y113" s="979"/>
      <c r="Z113" s="238">
        <v>6274001903</v>
      </c>
      <c r="AA113" s="1031" t="s">
        <v>896</v>
      </c>
      <c r="AB113" s="1031"/>
      <c r="AC113" s="825">
        <v>123000000</v>
      </c>
      <c r="AD113" s="825" t="e">
        <f>AC113-AE113</f>
        <v>#REF!</v>
      </c>
      <c r="AE113" s="825" t="e">
        <f>#REF!</f>
        <v>#REF!</v>
      </c>
      <c r="AF113" s="1000" t="e">
        <f>#REF!/#REF!</f>
        <v>#REF!</v>
      </c>
      <c r="AG113" s="1000" t="e">
        <f>#REF!/#REF!</f>
        <v>#REF!</v>
      </c>
      <c r="AH113" s="1000" t="e">
        <f>#REF!/#REF!</f>
        <v>#REF!</v>
      </c>
      <c r="AI113" s="1000" t="e">
        <f>#REF!/#REF!</f>
        <v>#REF!</v>
      </c>
      <c r="AJ113" s="1000" t="e">
        <f>#REF!/#REF!</f>
        <v>#REF!</v>
      </c>
      <c r="AK113" s="1000" t="e">
        <f>#REF!/#REF!</f>
        <v>#REF!</v>
      </c>
      <c r="AL113" s="1000" t="e">
        <f>#REF!/#REF!</f>
        <v>#REF!</v>
      </c>
      <c r="AM113" s="1000" t="e">
        <f>#REF!/#REF!</f>
        <v>#REF!</v>
      </c>
      <c r="AN113" s="1000" t="e">
        <f>#REF!/#REF!</f>
        <v>#REF!</v>
      </c>
      <c r="AO113" s="1000" t="e">
        <f>#REF!/#REF!</f>
        <v>#REF!</v>
      </c>
      <c r="AP113" s="1000" t="e">
        <f>#REF!/#REF!</f>
        <v>#REF!</v>
      </c>
      <c r="AQ113" s="1000" t="e">
        <f>#REF!/#REF!</f>
        <v>#REF!</v>
      </c>
      <c r="AR113" s="1001" t="e">
        <f>SUM(AF113:AQ113)</f>
        <v>#REF!</v>
      </c>
      <c r="AS113" s="810"/>
    </row>
    <row r="114" spans="1:55" ht="125" x14ac:dyDescent="0.35">
      <c r="A114" s="971"/>
      <c r="B114" s="971"/>
      <c r="C114" s="971"/>
      <c r="D114" s="972"/>
      <c r="E114" s="972"/>
      <c r="F114" s="971"/>
      <c r="G114" s="973"/>
      <c r="H114" s="971"/>
      <c r="I114" s="973"/>
      <c r="J114" s="971"/>
      <c r="K114" s="971"/>
      <c r="L114" s="971"/>
      <c r="M114" s="971"/>
      <c r="N114" s="1041">
        <v>46023</v>
      </c>
      <c r="O114" s="237">
        <f t="shared" si="62"/>
        <v>96</v>
      </c>
      <c r="P114" s="975" t="s">
        <v>1133</v>
      </c>
      <c r="Q114" s="975"/>
      <c r="R114" s="975"/>
      <c r="S114" s="984"/>
      <c r="T114" s="976"/>
      <c r="U114" s="977"/>
      <c r="V114" s="977"/>
      <c r="W114" s="1031">
        <v>46023</v>
      </c>
      <c r="X114" s="997" t="s">
        <v>1193</v>
      </c>
      <c r="Y114" s="979"/>
      <c r="Z114" s="238">
        <v>6274001903</v>
      </c>
      <c r="AA114" s="1031" t="s">
        <v>896</v>
      </c>
      <c r="AB114" s="1031"/>
      <c r="AC114" s="825">
        <v>270000000</v>
      </c>
      <c r="AD114" s="825" t="e">
        <f>AC114-AE114</f>
        <v>#REF!</v>
      </c>
      <c r="AE114" s="825" t="e">
        <f>#REF!</f>
        <v>#REF!</v>
      </c>
      <c r="AF114" s="1000" t="e">
        <f>#REF!/#REF!</f>
        <v>#REF!</v>
      </c>
      <c r="AG114" s="1000" t="e">
        <f>#REF!/#REF!</f>
        <v>#REF!</v>
      </c>
      <c r="AH114" s="1000" t="e">
        <f>#REF!/#REF!</f>
        <v>#REF!</v>
      </c>
      <c r="AI114" s="1000" t="e">
        <f>#REF!/#REF!</f>
        <v>#REF!</v>
      </c>
      <c r="AJ114" s="1000" t="e">
        <f>#REF!/#REF!</f>
        <v>#REF!</v>
      </c>
      <c r="AK114" s="1000" t="e">
        <f>#REF!/#REF!</f>
        <v>#REF!</v>
      </c>
      <c r="AL114" s="1000" t="e">
        <f>#REF!/#REF!</f>
        <v>#REF!</v>
      </c>
      <c r="AM114" s="1000" t="e">
        <f>#REF!/#REF!</f>
        <v>#REF!</v>
      </c>
      <c r="AN114" s="1000" t="e">
        <f>#REF!/#REF!</f>
        <v>#REF!</v>
      </c>
      <c r="AO114" s="1000" t="e">
        <f>#REF!/#REF!</f>
        <v>#REF!</v>
      </c>
      <c r="AP114" s="1000" t="e">
        <f>#REF!/#REF!</f>
        <v>#REF!</v>
      </c>
      <c r="AQ114" s="1000" t="e">
        <f>#REF!/#REF!</f>
        <v>#REF!</v>
      </c>
      <c r="AR114" s="1001" t="e">
        <f>SUM(AF114:AQ114)</f>
        <v>#REF!</v>
      </c>
      <c r="AS114" s="810"/>
    </row>
    <row r="115" spans="1:55" ht="87.5" x14ac:dyDescent="0.35">
      <c r="A115" s="971"/>
      <c r="B115" s="971"/>
      <c r="C115" s="971"/>
      <c r="D115" s="972"/>
      <c r="E115" s="972"/>
      <c r="F115" s="971"/>
      <c r="G115" s="973"/>
      <c r="H115" s="971"/>
      <c r="I115" s="973"/>
      <c r="J115" s="971"/>
      <c r="K115" s="971"/>
      <c r="L115" s="971"/>
      <c r="M115" s="971"/>
      <c r="N115" s="1041">
        <v>46023</v>
      </c>
      <c r="O115" s="237">
        <f t="shared" si="62"/>
        <v>96</v>
      </c>
      <c r="P115" s="975" t="s">
        <v>1133</v>
      </c>
      <c r="Q115" s="975"/>
      <c r="R115" s="975"/>
      <c r="S115" s="984"/>
      <c r="T115" s="976"/>
      <c r="U115" s="977"/>
      <c r="V115" s="977"/>
      <c r="W115" s="1031">
        <v>46023</v>
      </c>
      <c r="X115" s="997" t="s">
        <v>850</v>
      </c>
      <c r="Y115" s="979"/>
      <c r="Z115" s="238">
        <v>6274001903</v>
      </c>
      <c r="AA115" s="1031" t="s">
        <v>896</v>
      </c>
      <c r="AB115" s="1031"/>
      <c r="AC115" s="825">
        <v>150000000</v>
      </c>
      <c r="AD115" s="825" t="e">
        <f>AC115-AE115</f>
        <v>#REF!</v>
      </c>
      <c r="AE115" s="825" t="e">
        <f>#REF!</f>
        <v>#REF!</v>
      </c>
      <c r="AF115" s="1000" t="e">
        <f>#REF!/#REF!</f>
        <v>#REF!</v>
      </c>
      <c r="AG115" s="1000" t="e">
        <f>#REF!/#REF!</f>
        <v>#REF!</v>
      </c>
      <c r="AH115" s="1000" t="e">
        <f>#REF!/#REF!</f>
        <v>#REF!</v>
      </c>
      <c r="AI115" s="1000" t="e">
        <f>#REF!/#REF!</f>
        <v>#REF!</v>
      </c>
      <c r="AJ115" s="1000" t="e">
        <f>#REF!/#REF!</f>
        <v>#REF!</v>
      </c>
      <c r="AK115" s="1000" t="e">
        <f>#REF!/#REF!</f>
        <v>#REF!</v>
      </c>
      <c r="AL115" s="1000" t="e">
        <f>#REF!/#REF!</f>
        <v>#REF!</v>
      </c>
      <c r="AM115" s="1000" t="e">
        <f>#REF!/#REF!</f>
        <v>#REF!</v>
      </c>
      <c r="AN115" s="1000" t="e">
        <f>#REF!/#REF!</f>
        <v>#REF!</v>
      </c>
      <c r="AO115" s="1000" t="e">
        <f>#REF!/#REF!</f>
        <v>#REF!</v>
      </c>
      <c r="AP115" s="1000" t="e">
        <f>#REF!/#REF!</f>
        <v>#REF!</v>
      </c>
      <c r="AQ115" s="1000" t="e">
        <f>#REF!/#REF!</f>
        <v>#REF!</v>
      </c>
      <c r="AR115" s="1001" t="e">
        <f>SUM(AF115:AQ115)</f>
        <v>#REF!</v>
      </c>
      <c r="AS115" s="810"/>
    </row>
    <row r="116" spans="1:55" ht="37.5" x14ac:dyDescent="0.35">
      <c r="A116" s="1021">
        <v>3.3</v>
      </c>
      <c r="B116" s="1021" t="s">
        <v>817</v>
      </c>
      <c r="C116" s="1021" t="s">
        <v>1187</v>
      </c>
      <c r="D116" s="1021"/>
      <c r="E116" s="1021"/>
      <c r="F116" s="1021"/>
      <c r="G116" s="1021"/>
      <c r="H116" s="1021"/>
      <c r="I116" s="1022"/>
      <c r="J116" s="1021"/>
      <c r="K116" s="1021"/>
      <c r="L116" s="1021"/>
      <c r="M116" s="1021"/>
      <c r="N116" s="1039">
        <v>46023</v>
      </c>
      <c r="O116" s="1021">
        <f>12*10</f>
        <v>120</v>
      </c>
      <c r="P116" s="1027" t="s">
        <v>1041</v>
      </c>
      <c r="Q116" s="1023"/>
      <c r="R116" s="1023"/>
      <c r="S116" s="485" t="s">
        <v>2127</v>
      </c>
      <c r="T116" s="482"/>
      <c r="U116" s="1023" t="s">
        <v>2126</v>
      </c>
      <c r="V116" s="1023"/>
      <c r="W116" s="1032">
        <v>46023</v>
      </c>
      <c r="X116" s="806" t="s">
        <v>2127</v>
      </c>
      <c r="Y116" s="1024">
        <v>627</v>
      </c>
      <c r="Z116" s="1025">
        <v>6274001903</v>
      </c>
      <c r="AA116" s="1032" t="s">
        <v>896</v>
      </c>
      <c r="AB116" s="1026"/>
      <c r="AC116" s="202">
        <f>SUM(AC117:AC118)</f>
        <v>601617000</v>
      </c>
      <c r="AD116" s="202"/>
      <c r="AE116" s="202" t="e">
        <f t="shared" ref="AE116:AQ116" si="63">SUM(AE117:AE118)</f>
        <v>#REF!</v>
      </c>
      <c r="AF116" s="810" t="e">
        <f t="shared" si="63"/>
        <v>#REF!</v>
      </c>
      <c r="AG116" s="810" t="e">
        <f t="shared" si="63"/>
        <v>#REF!</v>
      </c>
      <c r="AH116" s="810" t="e">
        <f t="shared" si="63"/>
        <v>#REF!</v>
      </c>
      <c r="AI116" s="810" t="e">
        <f t="shared" si="63"/>
        <v>#REF!</v>
      </c>
      <c r="AJ116" s="810" t="e">
        <f t="shared" si="63"/>
        <v>#REF!</v>
      </c>
      <c r="AK116" s="810" t="e">
        <f t="shared" si="63"/>
        <v>#REF!</v>
      </c>
      <c r="AL116" s="810" t="e">
        <f t="shared" si="63"/>
        <v>#REF!</v>
      </c>
      <c r="AM116" s="810" t="e">
        <f t="shared" si="63"/>
        <v>#REF!</v>
      </c>
      <c r="AN116" s="810" t="e">
        <f t="shared" si="63"/>
        <v>#REF!</v>
      </c>
      <c r="AO116" s="810" t="e">
        <f t="shared" si="63"/>
        <v>#REF!</v>
      </c>
      <c r="AP116" s="810" t="e">
        <f t="shared" si="63"/>
        <v>#REF!</v>
      </c>
      <c r="AQ116" s="810" t="e">
        <f t="shared" si="63"/>
        <v>#REF!</v>
      </c>
      <c r="AR116" s="1003" t="e">
        <f t="shared" si="2"/>
        <v>#REF!</v>
      </c>
      <c r="AS116" s="810" t="e">
        <f t="shared" si="10"/>
        <v>#REF!</v>
      </c>
      <c r="BC116" s="16"/>
    </row>
    <row r="117" spans="1:55" ht="50" x14ac:dyDescent="0.35">
      <c r="A117" s="971"/>
      <c r="B117" s="971"/>
      <c r="C117" s="971"/>
      <c r="D117" s="972"/>
      <c r="E117" s="972"/>
      <c r="F117" s="971"/>
      <c r="G117" s="973"/>
      <c r="H117" s="971"/>
      <c r="I117" s="973"/>
      <c r="J117" s="971"/>
      <c r="K117" s="971"/>
      <c r="L117" s="971"/>
      <c r="M117" s="971"/>
      <c r="N117" s="1041">
        <v>46023</v>
      </c>
      <c r="O117" s="237">
        <v>120</v>
      </c>
      <c r="P117" s="975" t="s">
        <v>1041</v>
      </c>
      <c r="Q117" s="975"/>
      <c r="R117" s="975"/>
      <c r="S117" s="996"/>
      <c r="T117" s="976"/>
      <c r="U117" s="977"/>
      <c r="V117" s="977"/>
      <c r="W117" s="1031">
        <v>46023</v>
      </c>
      <c r="X117" s="997" t="s">
        <v>2127</v>
      </c>
      <c r="Y117" s="979"/>
      <c r="Z117" s="238">
        <v>6274001903</v>
      </c>
      <c r="AA117" s="1031" t="s">
        <v>896</v>
      </c>
      <c r="AB117" s="1031"/>
      <c r="AC117" s="825">
        <v>601617000</v>
      </c>
      <c r="AD117" s="825" t="e">
        <f t="shared" ref="AD117:AD118" si="64">AC117-AE117</f>
        <v>#REF!</v>
      </c>
      <c r="AE117" s="825" t="e">
        <f>#REF!</f>
        <v>#REF!</v>
      </c>
      <c r="AF117" s="1000" t="e">
        <f>#REF!/#REF!</f>
        <v>#REF!</v>
      </c>
      <c r="AG117" s="1000" t="e">
        <f>#REF!/#REF!</f>
        <v>#REF!</v>
      </c>
      <c r="AH117" s="1000" t="e">
        <f>#REF!/#REF!</f>
        <v>#REF!</v>
      </c>
      <c r="AI117" s="1000" t="e">
        <f>#REF!/#REF!</f>
        <v>#REF!</v>
      </c>
      <c r="AJ117" s="1000" t="e">
        <f>#REF!/#REF!</f>
        <v>#REF!</v>
      </c>
      <c r="AK117" s="1000" t="e">
        <f>#REF!/#REF!</f>
        <v>#REF!</v>
      </c>
      <c r="AL117" s="1000" t="e">
        <f>#REF!/#REF!</f>
        <v>#REF!</v>
      </c>
      <c r="AM117" s="1000" t="e">
        <f>#REF!/#REF!</f>
        <v>#REF!</v>
      </c>
      <c r="AN117" s="1000" t="e">
        <f>#REF!/#REF!</f>
        <v>#REF!</v>
      </c>
      <c r="AO117" s="1000" t="e">
        <f>#REF!/#REF!</f>
        <v>#REF!</v>
      </c>
      <c r="AP117" s="1000" t="e">
        <f>#REF!/#REF!</f>
        <v>#REF!</v>
      </c>
      <c r="AQ117" s="1000" t="e">
        <f>#REF!/#REF!</f>
        <v>#REF!</v>
      </c>
      <c r="AR117" s="1001" t="e">
        <f t="shared" si="2"/>
        <v>#REF!</v>
      </c>
      <c r="AS117" s="810"/>
    </row>
    <row r="118" spans="1:55" x14ac:dyDescent="0.35">
      <c r="A118" s="971"/>
      <c r="B118" s="971"/>
      <c r="C118" s="971"/>
      <c r="D118" s="972"/>
      <c r="E118" s="972"/>
      <c r="F118" s="971"/>
      <c r="G118" s="973"/>
      <c r="H118" s="971"/>
      <c r="I118" s="973"/>
      <c r="J118" s="971"/>
      <c r="K118" s="971"/>
      <c r="L118" s="971"/>
      <c r="M118" s="971"/>
      <c r="N118" s="1041"/>
      <c r="O118" s="237"/>
      <c r="P118" s="975"/>
      <c r="Q118" s="975"/>
      <c r="R118" s="975"/>
      <c r="S118" s="996"/>
      <c r="T118" s="976"/>
      <c r="U118" s="977"/>
      <c r="V118" s="977"/>
      <c r="W118" s="1031"/>
      <c r="X118" s="997"/>
      <c r="Y118" s="979"/>
      <c r="Z118" s="238"/>
      <c r="AA118" s="1031"/>
      <c r="AB118" s="1031"/>
      <c r="AC118" s="825"/>
      <c r="AD118" s="825" t="e">
        <f t="shared" si="64"/>
        <v>#REF!</v>
      </c>
      <c r="AE118" s="825" t="e">
        <f>#REF!</f>
        <v>#REF!</v>
      </c>
      <c r="AF118" s="1000"/>
      <c r="AG118" s="1000"/>
      <c r="AH118" s="1000"/>
      <c r="AI118" s="1000"/>
      <c r="AJ118" s="1000"/>
      <c r="AK118" s="1000"/>
      <c r="AL118" s="1000"/>
      <c r="AM118" s="1000"/>
      <c r="AN118" s="1000"/>
      <c r="AO118" s="1000"/>
      <c r="AP118" s="1000"/>
      <c r="AQ118" s="1000"/>
      <c r="AR118" s="1001">
        <f t="shared" si="2"/>
        <v>0</v>
      </c>
      <c r="AS118" s="810"/>
    </row>
    <row r="119" spans="1:55" x14ac:dyDescent="0.35">
      <c r="A119" s="1021">
        <v>3.4</v>
      </c>
      <c r="B119" s="1021" t="s">
        <v>817</v>
      </c>
      <c r="C119" s="1021" t="s">
        <v>1187</v>
      </c>
      <c r="D119" s="1021"/>
      <c r="E119" s="1021"/>
      <c r="F119" s="1021"/>
      <c r="G119" s="1021"/>
      <c r="H119" s="1021"/>
      <c r="I119" s="1022"/>
      <c r="J119" s="1021"/>
      <c r="K119" s="1021"/>
      <c r="L119" s="1021"/>
      <c r="M119" s="1021"/>
      <c r="N119" s="1039">
        <v>46023</v>
      </c>
      <c r="O119" s="1021">
        <f>20*12</f>
        <v>240</v>
      </c>
      <c r="P119" s="1027" t="s">
        <v>1041</v>
      </c>
      <c r="Q119" s="1023"/>
      <c r="R119" s="1023"/>
      <c r="S119" s="1023" t="s">
        <v>2128</v>
      </c>
      <c r="T119" s="482"/>
      <c r="U119" s="1023"/>
      <c r="V119" s="1023"/>
      <c r="W119" s="1032">
        <v>46023</v>
      </c>
      <c r="X119" s="485" t="s">
        <v>2128</v>
      </c>
      <c r="Y119" s="1024">
        <v>627</v>
      </c>
      <c r="Z119" s="1025">
        <v>6274001901</v>
      </c>
      <c r="AA119" s="1026" t="s">
        <v>1095</v>
      </c>
      <c r="AB119" s="1026"/>
      <c r="AC119" s="202">
        <f>SUM(AC120:AC122)</f>
        <v>1200000000</v>
      </c>
      <c r="AD119" s="202"/>
      <c r="AE119" s="202" t="e">
        <f>#REF!</f>
        <v>#REF!</v>
      </c>
      <c r="AF119" s="810" t="e">
        <f>SUM(AF120:AF121)</f>
        <v>#REF!</v>
      </c>
      <c r="AG119" s="810" t="e">
        <f t="shared" ref="AG119:AQ119" si="65">SUM(AG120:AG121)</f>
        <v>#REF!</v>
      </c>
      <c r="AH119" s="810" t="e">
        <f t="shared" si="65"/>
        <v>#REF!</v>
      </c>
      <c r="AI119" s="810" t="e">
        <f t="shared" si="65"/>
        <v>#REF!</v>
      </c>
      <c r="AJ119" s="810" t="e">
        <f t="shared" si="65"/>
        <v>#REF!</v>
      </c>
      <c r="AK119" s="810" t="e">
        <f t="shared" si="65"/>
        <v>#REF!</v>
      </c>
      <c r="AL119" s="810" t="e">
        <f t="shared" si="65"/>
        <v>#REF!</v>
      </c>
      <c r="AM119" s="810" t="e">
        <f t="shared" si="65"/>
        <v>#REF!</v>
      </c>
      <c r="AN119" s="810" t="e">
        <f t="shared" si="65"/>
        <v>#REF!</v>
      </c>
      <c r="AO119" s="810" t="e">
        <f t="shared" si="65"/>
        <v>#REF!</v>
      </c>
      <c r="AP119" s="810" t="e">
        <f t="shared" si="65"/>
        <v>#REF!</v>
      </c>
      <c r="AQ119" s="810" t="e">
        <f t="shared" si="65"/>
        <v>#REF!</v>
      </c>
      <c r="AR119" s="1003" t="e">
        <f t="shared" si="2"/>
        <v>#REF!</v>
      </c>
      <c r="AS119" s="810" t="e">
        <f>AE119-AR119</f>
        <v>#REF!</v>
      </c>
      <c r="BC119" s="16"/>
    </row>
    <row r="120" spans="1:55" x14ac:dyDescent="0.35">
      <c r="A120" s="237"/>
      <c r="B120" s="237" t="s">
        <v>817</v>
      </c>
      <c r="C120" s="237" t="s">
        <v>1187</v>
      </c>
      <c r="D120" s="237"/>
      <c r="E120" s="237"/>
      <c r="F120" s="237"/>
      <c r="G120" s="237"/>
      <c r="H120" s="237"/>
      <c r="I120" s="991"/>
      <c r="J120" s="237"/>
      <c r="K120" s="237"/>
      <c r="L120" s="237"/>
      <c r="M120" s="237"/>
      <c r="N120" s="1041">
        <v>46023</v>
      </c>
      <c r="O120" s="237">
        <v>240</v>
      </c>
      <c r="P120" s="482"/>
      <c r="Q120" s="234"/>
      <c r="R120" s="234"/>
      <c r="S120" s="1046" t="s">
        <v>2129</v>
      </c>
      <c r="T120" s="482"/>
      <c r="U120" s="234"/>
      <c r="V120" s="234"/>
      <c r="W120" s="1031">
        <v>46023</v>
      </c>
      <c r="X120" s="807"/>
      <c r="Y120" s="235"/>
      <c r="Z120" s="238"/>
      <c r="AA120" s="236"/>
      <c r="AB120" s="236"/>
      <c r="AC120" s="825">
        <v>1200000000</v>
      </c>
      <c r="AD120" s="825"/>
      <c r="AE120" s="825" t="e">
        <f>#REF!</f>
        <v>#REF!</v>
      </c>
      <c r="AF120" s="197" t="e">
        <f>#REF!/#REF!</f>
        <v>#REF!</v>
      </c>
      <c r="AG120" s="197" t="e">
        <f>#REF!/#REF!</f>
        <v>#REF!</v>
      </c>
      <c r="AH120" s="197" t="e">
        <f>#REF!/#REF!</f>
        <v>#REF!</v>
      </c>
      <c r="AI120" s="197" t="e">
        <f>#REF!/#REF!</f>
        <v>#REF!</v>
      </c>
      <c r="AJ120" s="197" t="e">
        <f>#REF!/#REF!</f>
        <v>#REF!</v>
      </c>
      <c r="AK120" s="197" t="e">
        <f>#REF!/#REF!</f>
        <v>#REF!</v>
      </c>
      <c r="AL120" s="197" t="e">
        <f>#REF!/#REF!</f>
        <v>#REF!</v>
      </c>
      <c r="AM120" s="197" t="e">
        <f>#REF!/#REF!</f>
        <v>#REF!</v>
      </c>
      <c r="AN120" s="197" t="e">
        <f>#REF!/#REF!</f>
        <v>#REF!</v>
      </c>
      <c r="AO120" s="197" t="e">
        <f>#REF!/#REF!</f>
        <v>#REF!</v>
      </c>
      <c r="AP120" s="197" t="e">
        <f>#REF!/#REF!</f>
        <v>#REF!</v>
      </c>
      <c r="AQ120" s="197" t="e">
        <f>#REF!/#REF!</f>
        <v>#REF!</v>
      </c>
      <c r="AR120" s="1002" t="e">
        <f t="shared" si="2"/>
        <v>#REF!</v>
      </c>
      <c r="AS120" s="810"/>
    </row>
    <row r="121" spans="1:55" x14ac:dyDescent="0.35">
      <c r="A121" s="237"/>
      <c r="B121" s="237" t="s">
        <v>817</v>
      </c>
      <c r="C121" s="237" t="s">
        <v>1187</v>
      </c>
      <c r="D121" s="239"/>
      <c r="E121" s="239"/>
      <c r="F121" s="239"/>
      <c r="G121" s="239"/>
      <c r="H121" s="239"/>
      <c r="I121" s="995"/>
      <c r="J121" s="239"/>
      <c r="K121" s="239"/>
      <c r="L121" s="239"/>
      <c r="M121" s="239"/>
      <c r="N121" s="1041"/>
      <c r="O121" s="239"/>
      <c r="P121" s="483"/>
      <c r="Q121" s="240"/>
      <c r="R121" s="240"/>
      <c r="S121" s="240"/>
      <c r="T121" s="483"/>
      <c r="U121" s="240"/>
      <c r="V121" s="240"/>
      <c r="W121" s="240"/>
      <c r="X121" s="814"/>
      <c r="Y121" s="241"/>
      <c r="Z121" s="242"/>
      <c r="AA121" s="243"/>
      <c r="AB121" s="243"/>
      <c r="AC121" s="825"/>
      <c r="AD121" s="825"/>
      <c r="AE121" s="825"/>
      <c r="AF121" s="825"/>
      <c r="AG121" s="825"/>
      <c r="AH121" s="825"/>
      <c r="AI121" s="825"/>
      <c r="AJ121" s="825"/>
      <c r="AK121" s="825"/>
      <c r="AL121" s="825"/>
      <c r="AM121" s="825"/>
      <c r="AN121" s="825"/>
      <c r="AO121" s="825"/>
      <c r="AP121" s="825"/>
      <c r="AQ121" s="825"/>
      <c r="AR121" s="982">
        <f t="shared" si="2"/>
        <v>0</v>
      </c>
      <c r="AS121" s="202"/>
    </row>
    <row r="122" spans="1:55" x14ac:dyDescent="0.35">
      <c r="A122" s="237"/>
      <c r="B122" s="237" t="s">
        <v>817</v>
      </c>
      <c r="C122" s="237" t="s">
        <v>1187</v>
      </c>
      <c r="D122" s="239"/>
      <c r="E122" s="239"/>
      <c r="F122" s="239"/>
      <c r="G122" s="239"/>
      <c r="H122" s="239"/>
      <c r="I122" s="995"/>
      <c r="J122" s="239"/>
      <c r="K122" s="239"/>
      <c r="L122" s="239"/>
      <c r="M122" s="239"/>
      <c r="N122" s="1041"/>
      <c r="O122" s="239"/>
      <c r="P122" s="483"/>
      <c r="Q122" s="240"/>
      <c r="R122" s="240"/>
      <c r="S122" s="240"/>
      <c r="T122" s="483"/>
      <c r="U122" s="240"/>
      <c r="V122" s="240"/>
      <c r="W122" s="240"/>
      <c r="X122" s="814"/>
      <c r="Y122" s="241"/>
      <c r="Z122" s="242"/>
      <c r="AA122" s="243"/>
      <c r="AB122" s="243"/>
      <c r="AC122" s="825"/>
      <c r="AD122" s="825"/>
      <c r="AE122" s="825"/>
      <c r="AF122" s="825"/>
      <c r="AG122" s="825"/>
      <c r="AH122" s="825"/>
      <c r="AI122" s="825"/>
      <c r="AJ122" s="825"/>
      <c r="AK122" s="825"/>
      <c r="AL122" s="825"/>
      <c r="AM122" s="825"/>
      <c r="AN122" s="825"/>
      <c r="AO122" s="825"/>
      <c r="AP122" s="825"/>
      <c r="AQ122" s="825"/>
      <c r="AR122" s="982">
        <f t="shared" si="2"/>
        <v>0</v>
      </c>
      <c r="AS122" s="202"/>
    </row>
    <row r="123" spans="1:55" x14ac:dyDescent="0.35">
      <c r="A123" s="1021">
        <v>3.5</v>
      </c>
      <c r="B123" s="1021" t="s">
        <v>817</v>
      </c>
      <c r="C123" s="1021" t="s">
        <v>1187</v>
      </c>
      <c r="D123" s="1021"/>
      <c r="E123" s="1021"/>
      <c r="F123" s="1021"/>
      <c r="G123" s="1021"/>
      <c r="H123" s="1021"/>
      <c r="I123" s="1022"/>
      <c r="J123" s="1021"/>
      <c r="K123" s="1021"/>
      <c r="L123" s="1021"/>
      <c r="M123" s="1021"/>
      <c r="N123" s="1039"/>
      <c r="O123" s="237"/>
      <c r="P123" s="482"/>
      <c r="Q123" s="1023"/>
      <c r="R123" s="1023"/>
      <c r="S123" s="485" t="s">
        <v>2124</v>
      </c>
      <c r="T123" s="482"/>
      <c r="U123" s="1023"/>
      <c r="V123" s="1023"/>
      <c r="W123" s="1023"/>
      <c r="X123" s="485" t="s">
        <v>2123</v>
      </c>
      <c r="Y123" s="1024">
        <v>627</v>
      </c>
      <c r="Z123" s="1025">
        <v>6274001903</v>
      </c>
      <c r="AA123" s="1032" t="s">
        <v>896</v>
      </c>
      <c r="AB123" s="1026"/>
      <c r="AC123" s="202">
        <f>SUM(AC124:AC125)</f>
        <v>1500000000</v>
      </c>
      <c r="AD123" s="202"/>
      <c r="AE123" s="202" t="e">
        <f>SUM(AE124:AE125)</f>
        <v>#REF!</v>
      </c>
      <c r="AF123" s="810"/>
      <c r="AG123" s="810"/>
      <c r="AH123" s="810"/>
      <c r="AI123" s="810"/>
      <c r="AJ123" s="810"/>
      <c r="AK123" s="810"/>
      <c r="AL123" s="810"/>
      <c r="AM123" s="810"/>
      <c r="AN123" s="810"/>
      <c r="AO123" s="810"/>
      <c r="AP123" s="810"/>
      <c r="AQ123" s="810"/>
      <c r="AR123" s="810">
        <f>SUM(AF123:AQ123)</f>
        <v>0</v>
      </c>
      <c r="AS123" s="810" t="e">
        <f>AE123-AR123</f>
        <v>#REF!</v>
      </c>
      <c r="BC123" s="16"/>
    </row>
    <row r="124" spans="1:55" ht="50" x14ac:dyDescent="0.35">
      <c r="A124" s="971"/>
      <c r="B124" s="971"/>
      <c r="C124" s="971"/>
      <c r="D124" s="972"/>
      <c r="E124" s="972"/>
      <c r="F124" s="971"/>
      <c r="G124" s="973"/>
      <c r="H124" s="971" t="s">
        <v>1194</v>
      </c>
      <c r="I124" s="973"/>
      <c r="J124" s="971"/>
      <c r="K124" s="971"/>
      <c r="L124" s="971"/>
      <c r="M124" s="971"/>
      <c r="N124" s="1039">
        <v>46388</v>
      </c>
      <c r="O124" s="237">
        <v>144</v>
      </c>
      <c r="P124" s="975" t="s">
        <v>1041</v>
      </c>
      <c r="Q124" s="975"/>
      <c r="R124" s="975"/>
      <c r="S124" s="996"/>
      <c r="T124" s="976"/>
      <c r="U124" s="977"/>
      <c r="V124" s="977"/>
      <c r="W124" s="1031">
        <v>46296</v>
      </c>
      <c r="X124" s="997" t="s">
        <v>2123</v>
      </c>
      <c r="Y124" s="979"/>
      <c r="Z124" s="238">
        <v>6274001903</v>
      </c>
      <c r="AA124" s="1031" t="s">
        <v>896</v>
      </c>
      <c r="AB124" s="1031"/>
      <c r="AC124" s="825">
        <v>1500000000</v>
      </c>
      <c r="AD124" s="825" t="e">
        <f t="shared" ref="AD124:AD125" si="66">AC124-AE124</f>
        <v>#REF!</v>
      </c>
      <c r="AE124" s="825" t="e">
        <f>#REF!</f>
        <v>#REF!</v>
      </c>
      <c r="AF124" s="197"/>
      <c r="AG124" s="977"/>
      <c r="AH124" s="977"/>
      <c r="AI124" s="977"/>
      <c r="AJ124" s="977"/>
      <c r="AK124" s="977"/>
      <c r="AL124" s="977"/>
      <c r="AM124" s="977"/>
      <c r="AN124" s="977"/>
      <c r="AO124" s="197"/>
      <c r="AP124" s="197"/>
      <c r="AQ124" s="197"/>
      <c r="AR124" s="1002">
        <f>SUM(AF124:AQ124)</f>
        <v>0</v>
      </c>
      <c r="AS124" s="810"/>
    </row>
    <row r="125" spans="1:55" x14ac:dyDescent="0.35">
      <c r="A125" s="971"/>
      <c r="B125" s="971"/>
      <c r="C125" s="971"/>
      <c r="D125" s="972"/>
      <c r="E125" s="972"/>
      <c r="F125" s="971"/>
      <c r="G125" s="973"/>
      <c r="H125" s="971" t="s">
        <v>1194</v>
      </c>
      <c r="I125" s="973"/>
      <c r="J125" s="971"/>
      <c r="K125" s="971"/>
      <c r="L125" s="971"/>
      <c r="M125" s="971"/>
      <c r="N125" s="1039">
        <v>46388</v>
      </c>
      <c r="O125" s="237">
        <v>144</v>
      </c>
      <c r="P125" s="975" t="s">
        <v>1041</v>
      </c>
      <c r="Q125" s="975"/>
      <c r="R125" s="975"/>
      <c r="S125" s="996"/>
      <c r="T125" s="976"/>
      <c r="U125" s="977"/>
      <c r="V125" s="977"/>
      <c r="W125" s="1031"/>
      <c r="X125" s="997"/>
      <c r="Y125" s="979"/>
      <c r="Z125" s="238"/>
      <c r="AA125" s="1031"/>
      <c r="AB125" s="1031"/>
      <c r="AC125" s="825"/>
      <c r="AD125" s="825" t="e">
        <f t="shared" si="66"/>
        <v>#REF!</v>
      </c>
      <c r="AE125" s="825" t="e">
        <f>#REF!</f>
        <v>#REF!</v>
      </c>
      <c r="AF125" s="197"/>
      <c r="AG125" s="977"/>
      <c r="AH125" s="977"/>
      <c r="AI125" s="977"/>
      <c r="AJ125" s="977"/>
      <c r="AK125" s="977"/>
      <c r="AL125" s="977"/>
      <c r="AM125" s="977"/>
      <c r="AN125" s="977"/>
      <c r="AO125" s="197"/>
      <c r="AP125" s="197"/>
      <c r="AQ125" s="197"/>
      <c r="AR125" s="1002">
        <f>SUM(AF125:AQ125)</f>
        <v>0</v>
      </c>
      <c r="AS125" s="810"/>
    </row>
    <row r="126" spans="1:55" x14ac:dyDescent="0.35">
      <c r="A126" s="971"/>
      <c r="B126" s="971"/>
      <c r="C126" s="971"/>
      <c r="D126" s="972"/>
      <c r="E126" s="972"/>
      <c r="F126" s="971"/>
      <c r="G126" s="973"/>
      <c r="H126" s="971"/>
      <c r="I126" s="973"/>
      <c r="J126" s="971"/>
      <c r="K126" s="971"/>
      <c r="L126" s="971"/>
      <c r="M126" s="971"/>
      <c r="N126" s="1039"/>
      <c r="O126" s="974"/>
      <c r="P126" s="975"/>
      <c r="Q126" s="975"/>
      <c r="R126" s="975"/>
      <c r="S126" s="975"/>
      <c r="T126" s="976"/>
      <c r="U126" s="977"/>
      <c r="V126" s="977"/>
      <c r="W126" s="1031"/>
      <c r="X126" s="978"/>
      <c r="Y126" s="979"/>
      <c r="Z126" s="238"/>
      <c r="AA126" s="1031"/>
      <c r="AB126" s="1031"/>
      <c r="AC126" s="980"/>
      <c r="AD126" s="981">
        <f>AC126-AE126</f>
        <v>0</v>
      </c>
      <c r="AE126" s="981"/>
      <c r="AF126" s="977"/>
      <c r="AG126" s="977"/>
      <c r="AH126" s="977"/>
      <c r="AI126" s="977"/>
      <c r="AJ126" s="977"/>
      <c r="AK126" s="977"/>
      <c r="AL126" s="977"/>
      <c r="AM126" s="977"/>
      <c r="AN126" s="977"/>
      <c r="AO126" s="977"/>
      <c r="AP126" s="977"/>
      <c r="AQ126" s="977"/>
      <c r="AR126" s="1002">
        <f>SUM(AF126:AQ126)</f>
        <v>0</v>
      </c>
      <c r="AS126" s="810"/>
    </row>
    <row r="127" spans="1:55" x14ac:dyDescent="0.35">
      <c r="A127" s="239"/>
      <c r="B127" s="239"/>
      <c r="C127" s="239"/>
      <c r="D127" s="239"/>
      <c r="E127" s="239"/>
      <c r="F127" s="239"/>
      <c r="G127" s="239"/>
      <c r="H127" s="239"/>
      <c r="I127" s="995"/>
      <c r="J127" s="239"/>
      <c r="K127" s="239"/>
      <c r="L127" s="239"/>
      <c r="M127" s="239"/>
      <c r="N127" s="1041"/>
      <c r="O127" s="239"/>
      <c r="P127" s="483"/>
      <c r="Q127" s="240"/>
      <c r="R127" s="240"/>
      <c r="S127" s="240"/>
      <c r="T127" s="483"/>
      <c r="U127" s="240"/>
      <c r="V127" s="240"/>
      <c r="W127" s="240"/>
      <c r="X127" s="814"/>
      <c r="Y127" s="241"/>
      <c r="Z127" s="242"/>
      <c r="AA127" s="243"/>
      <c r="AB127" s="243"/>
      <c r="AC127" s="202"/>
      <c r="AD127" s="202"/>
      <c r="AE127" s="202"/>
      <c r="AF127" s="825"/>
      <c r="AG127" s="825"/>
      <c r="AH127" s="825"/>
      <c r="AI127" s="825"/>
      <c r="AJ127" s="825"/>
      <c r="AK127" s="825"/>
      <c r="AL127" s="825"/>
      <c r="AM127" s="825"/>
      <c r="AN127" s="825"/>
      <c r="AO127" s="825"/>
      <c r="AP127" s="825"/>
      <c r="AQ127" s="825"/>
      <c r="AR127" s="982">
        <f t="shared" si="2"/>
        <v>0</v>
      </c>
      <c r="AS127" s="202">
        <f t="shared" si="10"/>
        <v>0</v>
      </c>
    </row>
    <row r="128" spans="1:55" x14ac:dyDescent="0.35">
      <c r="A128" s="244"/>
      <c r="B128" s="244"/>
      <c r="C128" s="245" t="s">
        <v>1197</v>
      </c>
      <c r="D128" s="244"/>
      <c r="E128" s="244"/>
      <c r="F128" s="244"/>
      <c r="G128" s="244"/>
      <c r="H128" s="244"/>
      <c r="I128" s="815"/>
      <c r="J128" s="244"/>
      <c r="K128" s="244"/>
      <c r="L128" s="244"/>
      <c r="M128" s="244"/>
      <c r="N128" s="244"/>
      <c r="O128" s="244"/>
      <c r="P128" s="244"/>
      <c r="Q128" s="244"/>
      <c r="R128" s="244"/>
      <c r="S128" s="244"/>
      <c r="T128" s="244"/>
      <c r="U128" s="210"/>
      <c r="V128" s="244"/>
      <c r="W128" s="244"/>
      <c r="X128" s="815"/>
      <c r="Y128" s="354">
        <v>627</v>
      </c>
      <c r="Z128" s="246"/>
      <c r="AA128" s="244"/>
      <c r="AB128" s="244"/>
      <c r="AC128" s="816">
        <f>SUMIFS($AC$8:$AC$127,$Y$8:$Y$127,$Y128)</f>
        <v>67592163544</v>
      </c>
      <c r="AD128" s="816" t="e">
        <f t="shared" ref="AD128:AR128" si="67">SUMIFS(AD$8:AD$127,$Y$8:$Y$127,$Y128)</f>
        <v>#REF!</v>
      </c>
      <c r="AE128" s="816" t="e">
        <f t="shared" si="67"/>
        <v>#REF!</v>
      </c>
      <c r="AF128" s="816" t="e">
        <f t="shared" si="67"/>
        <v>#REF!</v>
      </c>
      <c r="AG128" s="816" t="e">
        <f t="shared" si="67"/>
        <v>#REF!</v>
      </c>
      <c r="AH128" s="816" t="e">
        <f t="shared" si="67"/>
        <v>#REF!</v>
      </c>
      <c r="AI128" s="816" t="e">
        <f t="shared" si="67"/>
        <v>#REF!</v>
      </c>
      <c r="AJ128" s="816" t="e">
        <f t="shared" si="67"/>
        <v>#REF!</v>
      </c>
      <c r="AK128" s="816" t="e">
        <f t="shared" si="67"/>
        <v>#REF!</v>
      </c>
      <c r="AL128" s="816" t="e">
        <f t="shared" si="67"/>
        <v>#REF!</v>
      </c>
      <c r="AM128" s="816" t="e">
        <f t="shared" si="67"/>
        <v>#REF!</v>
      </c>
      <c r="AN128" s="816" t="e">
        <f t="shared" si="67"/>
        <v>#REF!</v>
      </c>
      <c r="AO128" s="816" t="e">
        <f t="shared" si="67"/>
        <v>#REF!</v>
      </c>
      <c r="AP128" s="816" t="e">
        <f t="shared" si="67"/>
        <v>#REF!</v>
      </c>
      <c r="AQ128" s="816" t="e">
        <f t="shared" si="67"/>
        <v>#REF!</v>
      </c>
      <c r="AR128" s="816" t="e">
        <f t="shared" si="67"/>
        <v>#REF!</v>
      </c>
      <c r="AS128" s="360" t="e">
        <f t="shared" si="10"/>
        <v>#REF!</v>
      </c>
    </row>
    <row r="129" spans="1:45" x14ac:dyDescent="0.35">
      <c r="A129" s="244"/>
      <c r="B129" s="244"/>
      <c r="C129" s="983" t="s">
        <v>1198</v>
      </c>
      <c r="D129" s="244"/>
      <c r="E129" s="244"/>
      <c r="F129" s="244"/>
      <c r="G129" s="244"/>
      <c r="H129" s="244"/>
      <c r="I129" s="244"/>
      <c r="J129" s="244"/>
      <c r="K129" s="244"/>
      <c r="L129" s="244"/>
      <c r="M129" s="244"/>
      <c r="N129" s="244"/>
      <c r="O129" s="244"/>
      <c r="P129" s="244"/>
      <c r="Q129" s="244"/>
      <c r="R129" s="244"/>
      <c r="S129" s="244"/>
      <c r="T129" s="244"/>
      <c r="U129" s="210"/>
      <c r="V129" s="244"/>
      <c r="W129" s="244"/>
      <c r="X129" s="983" t="s">
        <v>1198</v>
      </c>
      <c r="Y129" s="354"/>
      <c r="Z129" s="246"/>
      <c r="AA129" s="983" t="s">
        <v>1198</v>
      </c>
      <c r="AB129" s="244"/>
      <c r="AC129" s="212">
        <f>SUM(AC9,AC16,AC83,AC105)</f>
        <v>29767824119</v>
      </c>
      <c r="AD129" s="212" t="e">
        <f>SUM(AD9,AD16,AD83,AD105)</f>
        <v>#REF!</v>
      </c>
      <c r="AE129" s="212" t="e">
        <f>SUM(AE9,AE16,AE83,AE105)</f>
        <v>#REF!</v>
      </c>
      <c r="AF129" s="212" t="e">
        <f t="shared" ref="AF129:AR129" si="68">SUM(AF9,AF16,AF83,AF105,AF110,AF116)</f>
        <v>#REF!</v>
      </c>
      <c r="AG129" s="212" t="e">
        <f t="shared" si="68"/>
        <v>#REF!</v>
      </c>
      <c r="AH129" s="212" t="e">
        <f t="shared" si="68"/>
        <v>#REF!</v>
      </c>
      <c r="AI129" s="212" t="e">
        <f t="shared" si="68"/>
        <v>#REF!</v>
      </c>
      <c r="AJ129" s="212" t="e">
        <f t="shared" si="68"/>
        <v>#REF!</v>
      </c>
      <c r="AK129" s="212" t="e">
        <f t="shared" si="68"/>
        <v>#REF!</v>
      </c>
      <c r="AL129" s="212" t="e">
        <f t="shared" si="68"/>
        <v>#REF!</v>
      </c>
      <c r="AM129" s="212" t="e">
        <f t="shared" si="68"/>
        <v>#REF!</v>
      </c>
      <c r="AN129" s="212" t="e">
        <f t="shared" si="68"/>
        <v>#REF!</v>
      </c>
      <c r="AO129" s="212" t="e">
        <f t="shared" si="68"/>
        <v>#REF!</v>
      </c>
      <c r="AP129" s="212" t="e">
        <f t="shared" si="68"/>
        <v>#REF!</v>
      </c>
      <c r="AQ129" s="212" t="e">
        <f t="shared" si="68"/>
        <v>#REF!</v>
      </c>
      <c r="AR129" s="212" t="e">
        <f t="shared" si="68"/>
        <v>#REF!</v>
      </c>
      <c r="AS129" s="1030" t="e">
        <f t="shared" si="10"/>
        <v>#REF!</v>
      </c>
    </row>
    <row r="130" spans="1:45" x14ac:dyDescent="0.35">
      <c r="A130" s="244"/>
      <c r="B130" s="244"/>
      <c r="C130" s="983" t="s">
        <v>1199</v>
      </c>
      <c r="D130" s="244"/>
      <c r="E130" s="244"/>
      <c r="F130" s="244"/>
      <c r="G130" s="244"/>
      <c r="H130" s="244"/>
      <c r="I130" s="244"/>
      <c r="J130" s="244"/>
      <c r="K130" s="244"/>
      <c r="L130" s="244"/>
      <c r="M130" s="244"/>
      <c r="N130" s="244"/>
      <c r="O130" s="244"/>
      <c r="P130" s="244"/>
      <c r="Q130" s="244"/>
      <c r="R130" s="244"/>
      <c r="S130" s="244"/>
      <c r="T130" s="244"/>
      <c r="U130" s="210"/>
      <c r="V130" s="244"/>
      <c r="W130" s="244"/>
      <c r="X130" s="983" t="s">
        <v>1199</v>
      </c>
      <c r="Y130" s="354"/>
      <c r="Z130" s="246"/>
      <c r="AA130" s="983" t="s">
        <v>1199</v>
      </c>
      <c r="AB130" s="244"/>
      <c r="AC130" s="212">
        <f t="shared" ref="AC130:AR130" si="69">SUM(AC61,AC123)</f>
        <v>5869292165</v>
      </c>
      <c r="AD130" s="212" t="e">
        <f t="shared" si="69"/>
        <v>#REF!</v>
      </c>
      <c r="AE130" s="212" t="e">
        <f t="shared" si="69"/>
        <v>#REF!</v>
      </c>
      <c r="AF130" s="212">
        <f t="shared" si="69"/>
        <v>75366598</v>
      </c>
      <c r="AG130" s="212">
        <f t="shared" si="69"/>
        <v>75366598</v>
      </c>
      <c r="AH130" s="212">
        <f t="shared" si="69"/>
        <v>75366598</v>
      </c>
      <c r="AI130" s="212">
        <f t="shared" si="69"/>
        <v>75366598</v>
      </c>
      <c r="AJ130" s="212">
        <f t="shared" si="69"/>
        <v>75366598</v>
      </c>
      <c r="AK130" s="212">
        <f t="shared" si="69"/>
        <v>75366598</v>
      </c>
      <c r="AL130" s="212">
        <f t="shared" si="69"/>
        <v>73366598</v>
      </c>
      <c r="AM130" s="212">
        <f t="shared" si="69"/>
        <v>35907750</v>
      </c>
      <c r="AN130" s="212">
        <f t="shared" si="69"/>
        <v>35907750</v>
      </c>
      <c r="AO130" s="212">
        <f t="shared" si="69"/>
        <v>35907750</v>
      </c>
      <c r="AP130" s="212">
        <f t="shared" si="69"/>
        <v>35907750</v>
      </c>
      <c r="AQ130" s="212">
        <f t="shared" si="69"/>
        <v>35907750</v>
      </c>
      <c r="AR130" s="212">
        <f t="shared" si="69"/>
        <v>705104936</v>
      </c>
      <c r="AS130" s="1030" t="e">
        <f t="shared" si="10"/>
        <v>#REF!</v>
      </c>
    </row>
    <row r="131" spans="1:45" x14ac:dyDescent="0.35">
      <c r="A131" s="244"/>
      <c r="B131" s="244"/>
      <c r="C131" s="983" t="s">
        <v>1200</v>
      </c>
      <c r="D131" s="244"/>
      <c r="E131" s="244"/>
      <c r="F131" s="244"/>
      <c r="G131" s="244"/>
      <c r="H131" s="244"/>
      <c r="I131" s="244"/>
      <c r="J131" s="244"/>
      <c r="K131" s="244"/>
      <c r="L131" s="244"/>
      <c r="M131" s="244"/>
      <c r="N131" s="244"/>
      <c r="O131" s="244"/>
      <c r="P131" s="244"/>
      <c r="Q131" s="244"/>
      <c r="R131" s="244"/>
      <c r="S131" s="244"/>
      <c r="T131" s="244"/>
      <c r="U131" s="210"/>
      <c r="V131" s="244"/>
      <c r="W131" s="244"/>
      <c r="X131" s="983" t="s">
        <v>1200</v>
      </c>
      <c r="Y131" s="354"/>
      <c r="Z131" s="246"/>
      <c r="AA131" s="983" t="s">
        <v>1200</v>
      </c>
      <c r="AB131" s="244"/>
      <c r="AC131" s="212">
        <f t="shared" ref="AC131:AR131" si="70">SUM(AC72)</f>
        <v>15341783756</v>
      </c>
      <c r="AD131" s="212">
        <f t="shared" si="70"/>
        <v>7527856943</v>
      </c>
      <c r="AE131" s="212">
        <f t="shared" si="70"/>
        <v>7813926813</v>
      </c>
      <c r="AF131" s="212">
        <f t="shared" si="70"/>
        <v>269396719</v>
      </c>
      <c r="AG131" s="212">
        <f t="shared" si="70"/>
        <v>269396719</v>
      </c>
      <c r="AH131" s="212">
        <f t="shared" si="70"/>
        <v>269396719</v>
      </c>
      <c r="AI131" s="212">
        <f t="shared" si="70"/>
        <v>269396719</v>
      </c>
      <c r="AJ131" s="212">
        <f t="shared" si="70"/>
        <v>269396719</v>
      </c>
      <c r="AK131" s="212">
        <f t="shared" si="70"/>
        <v>269396719</v>
      </c>
      <c r="AL131" s="212">
        <f t="shared" si="70"/>
        <v>269396719</v>
      </c>
      <c r="AM131" s="212">
        <f t="shared" si="70"/>
        <v>269396719</v>
      </c>
      <c r="AN131" s="212">
        <f t="shared" si="70"/>
        <v>269396719</v>
      </c>
      <c r="AO131" s="212">
        <f t="shared" si="70"/>
        <v>269396719</v>
      </c>
      <c r="AP131" s="212">
        <f t="shared" si="70"/>
        <v>269396719</v>
      </c>
      <c r="AQ131" s="212">
        <f t="shared" si="70"/>
        <v>269396719</v>
      </c>
      <c r="AR131" s="212">
        <f t="shared" si="70"/>
        <v>3232760628</v>
      </c>
      <c r="AS131" s="1030">
        <f t="shared" si="10"/>
        <v>4581166185</v>
      </c>
    </row>
    <row r="132" spans="1:45" x14ac:dyDescent="0.35">
      <c r="A132" s="244"/>
      <c r="B132" s="244"/>
      <c r="C132" s="983" t="s">
        <v>1201</v>
      </c>
      <c r="D132" s="244"/>
      <c r="E132" s="244"/>
      <c r="F132" s="244"/>
      <c r="G132" s="244"/>
      <c r="H132" s="244"/>
      <c r="I132" s="244"/>
      <c r="J132" s="244"/>
      <c r="K132" s="244"/>
      <c r="L132" s="244"/>
      <c r="M132" s="244"/>
      <c r="N132" s="244"/>
      <c r="O132" s="244"/>
      <c r="P132" s="244"/>
      <c r="Q132" s="244"/>
      <c r="R132" s="244"/>
      <c r="S132" s="244"/>
      <c r="T132" s="244"/>
      <c r="U132" s="210"/>
      <c r="V132" s="244"/>
      <c r="W132" s="244"/>
      <c r="X132" s="983" t="s">
        <v>1201</v>
      </c>
      <c r="Y132" s="354"/>
      <c r="Z132" s="246"/>
      <c r="AA132" s="983" t="s">
        <v>1201</v>
      </c>
      <c r="AB132" s="244"/>
      <c r="AC132" s="212">
        <f t="shared" ref="AC132:AR132" si="71">SUM(AC90)</f>
        <v>6398767215</v>
      </c>
      <c r="AD132" s="212" t="e">
        <f t="shared" si="71"/>
        <v>#REF!</v>
      </c>
      <c r="AE132" s="212" t="e">
        <f t="shared" si="71"/>
        <v>#REF!</v>
      </c>
      <c r="AF132" s="212" t="e">
        <f t="shared" si="71"/>
        <v>#REF!</v>
      </c>
      <c r="AG132" s="212" t="e">
        <f t="shared" si="71"/>
        <v>#REF!</v>
      </c>
      <c r="AH132" s="212" t="e">
        <f t="shared" si="71"/>
        <v>#REF!</v>
      </c>
      <c r="AI132" s="212" t="e">
        <f t="shared" si="71"/>
        <v>#REF!</v>
      </c>
      <c r="AJ132" s="212" t="e">
        <f t="shared" si="71"/>
        <v>#REF!</v>
      </c>
      <c r="AK132" s="212" t="e">
        <f t="shared" si="71"/>
        <v>#REF!</v>
      </c>
      <c r="AL132" s="212" t="e">
        <f t="shared" si="71"/>
        <v>#REF!</v>
      </c>
      <c r="AM132" s="212" t="e">
        <f t="shared" si="71"/>
        <v>#REF!</v>
      </c>
      <c r="AN132" s="212" t="e">
        <f t="shared" si="71"/>
        <v>#REF!</v>
      </c>
      <c r="AO132" s="212" t="e">
        <f t="shared" si="71"/>
        <v>#REF!</v>
      </c>
      <c r="AP132" s="212" t="e">
        <f t="shared" si="71"/>
        <v>#REF!</v>
      </c>
      <c r="AQ132" s="212" t="e">
        <f t="shared" si="71"/>
        <v>#REF!</v>
      </c>
      <c r="AR132" s="212" t="e">
        <f t="shared" si="71"/>
        <v>#REF!</v>
      </c>
      <c r="AS132" s="1030" t="e">
        <f t="shared" si="10"/>
        <v>#REF!</v>
      </c>
    </row>
    <row r="133" spans="1:45" x14ac:dyDescent="0.35">
      <c r="A133" s="244"/>
      <c r="B133" s="244"/>
      <c r="C133" s="983" t="s">
        <v>1202</v>
      </c>
      <c r="D133" s="244"/>
      <c r="E133" s="244"/>
      <c r="F133" s="244"/>
      <c r="G133" s="244"/>
      <c r="H133" s="244"/>
      <c r="I133" s="244"/>
      <c r="J133" s="244"/>
      <c r="K133" s="244"/>
      <c r="L133" s="244"/>
      <c r="M133" s="244"/>
      <c r="N133" s="244"/>
      <c r="O133" s="244"/>
      <c r="P133" s="244"/>
      <c r="Q133" s="244"/>
      <c r="R133" s="244"/>
      <c r="S133" s="244"/>
      <c r="T133" s="244"/>
      <c r="U133" s="210"/>
      <c r="V133" s="244"/>
      <c r="W133" s="244"/>
      <c r="X133" s="983" t="s">
        <v>1202</v>
      </c>
      <c r="Y133" s="354"/>
      <c r="Z133" s="246"/>
      <c r="AA133" s="983" t="s">
        <v>1202</v>
      </c>
      <c r="AB133" s="244"/>
      <c r="AC133" s="212">
        <f>SUM(AC24,AC27,AC30,AC38,AC42,AC45,AC46,AC47,AC50)</f>
        <v>7253879289</v>
      </c>
      <c r="AD133" s="212">
        <f>SUM(AD24,AD27,AD30,AD38,AD42,AD45,AD46,AD47,AD50)</f>
        <v>2970487440</v>
      </c>
      <c r="AE133" s="212">
        <f>SUM(AE24,AE27,AE30,AE38,AE42,AE45,AE46,AE47,AE50)</f>
        <v>4283391849</v>
      </c>
      <c r="AF133" s="212" t="e">
        <f t="shared" ref="AF133:AQ133" si="72">SUM(AF24,AF27,AF30,AF38,AF42,AF45,AF46,AF47,AF50,AF119)</f>
        <v>#REF!</v>
      </c>
      <c r="AG133" s="212" t="e">
        <f t="shared" si="72"/>
        <v>#REF!</v>
      </c>
      <c r="AH133" s="212" t="e">
        <f t="shared" si="72"/>
        <v>#REF!</v>
      </c>
      <c r="AI133" s="212" t="e">
        <f t="shared" si="72"/>
        <v>#REF!</v>
      </c>
      <c r="AJ133" s="212" t="e">
        <f t="shared" si="72"/>
        <v>#REF!</v>
      </c>
      <c r="AK133" s="212" t="e">
        <f t="shared" si="72"/>
        <v>#REF!</v>
      </c>
      <c r="AL133" s="212" t="e">
        <f t="shared" si="72"/>
        <v>#REF!</v>
      </c>
      <c r="AM133" s="212" t="e">
        <f t="shared" si="72"/>
        <v>#REF!</v>
      </c>
      <c r="AN133" s="212" t="e">
        <f t="shared" si="72"/>
        <v>#REF!</v>
      </c>
      <c r="AO133" s="212" t="e">
        <f t="shared" si="72"/>
        <v>#REF!</v>
      </c>
      <c r="AP133" s="212" t="e">
        <f t="shared" si="72"/>
        <v>#REF!</v>
      </c>
      <c r="AQ133" s="212" t="e">
        <f t="shared" si="72"/>
        <v>#REF!</v>
      </c>
      <c r="AR133" s="212">
        <f>SUM(AR24,AR27,AR30,AR38,AR42,AR45,AR46,AR47,AR50)</f>
        <v>1518070712</v>
      </c>
      <c r="AS133" s="1030">
        <f t="shared" si="10"/>
        <v>2765321137</v>
      </c>
    </row>
    <row r="134" spans="1:45" x14ac:dyDescent="0.35">
      <c r="A134" s="244"/>
      <c r="B134" s="244"/>
      <c r="C134" s="245" t="s">
        <v>1203</v>
      </c>
      <c r="D134" s="244"/>
      <c r="E134" s="244"/>
      <c r="F134" s="244"/>
      <c r="G134" s="244"/>
      <c r="H134" s="244"/>
      <c r="I134" s="244"/>
      <c r="J134" s="244"/>
      <c r="K134" s="244"/>
      <c r="L134" s="244"/>
      <c r="M134" s="244"/>
      <c r="N134" s="244"/>
      <c r="O134" s="244"/>
      <c r="P134" s="244"/>
      <c r="Q134" s="244"/>
      <c r="R134" s="244"/>
      <c r="S134" s="244"/>
      <c r="T134" s="244"/>
      <c r="U134" s="210"/>
      <c r="V134" s="244"/>
      <c r="W134" s="244"/>
      <c r="X134" s="815"/>
      <c r="Y134" s="354">
        <v>642</v>
      </c>
      <c r="Z134" s="246"/>
      <c r="AA134" s="244"/>
      <c r="AB134" s="244"/>
      <c r="AC134" s="212">
        <f>SUMIFS($AC$8:$AC$127,$Y$8:$Y$127,$Y134)</f>
        <v>513507331</v>
      </c>
      <c r="AD134" s="212">
        <f t="shared" ref="AD134:AR134" si="73">SUMIFS(AD$8:AD$127,$Y$8:$Y$127,$Y134)</f>
        <v>325664212</v>
      </c>
      <c r="AE134" s="212">
        <f t="shared" si="73"/>
        <v>187843119</v>
      </c>
      <c r="AF134" s="212">
        <f t="shared" si="73"/>
        <v>8604567</v>
      </c>
      <c r="AG134" s="212">
        <f t="shared" si="73"/>
        <v>8604567</v>
      </c>
      <c r="AH134" s="212">
        <f t="shared" si="73"/>
        <v>8604567</v>
      </c>
      <c r="AI134" s="212">
        <f t="shared" si="73"/>
        <v>8604567</v>
      </c>
      <c r="AJ134" s="212">
        <f t="shared" si="73"/>
        <v>8604567</v>
      </c>
      <c r="AK134" s="212">
        <f t="shared" si="73"/>
        <v>8604567</v>
      </c>
      <c r="AL134" s="212">
        <f t="shared" si="73"/>
        <v>8604567</v>
      </c>
      <c r="AM134" s="212">
        <f t="shared" si="73"/>
        <v>8604567</v>
      </c>
      <c r="AN134" s="212">
        <f t="shared" si="73"/>
        <v>8604567</v>
      </c>
      <c r="AO134" s="212">
        <f t="shared" si="73"/>
        <v>8604567</v>
      </c>
      <c r="AP134" s="212">
        <f t="shared" si="73"/>
        <v>8604567</v>
      </c>
      <c r="AQ134" s="212">
        <f t="shared" si="73"/>
        <v>8604567</v>
      </c>
      <c r="AR134" s="212">
        <f t="shared" si="73"/>
        <v>103254804</v>
      </c>
      <c r="AS134" s="1030">
        <f t="shared" si="10"/>
        <v>84588315</v>
      </c>
    </row>
    <row r="135" spans="1:45" x14ac:dyDescent="0.35">
      <c r="A135" s="244"/>
      <c r="B135" s="244"/>
      <c r="C135" s="245" t="s">
        <v>1204</v>
      </c>
      <c r="D135" s="244"/>
      <c r="E135" s="244"/>
      <c r="F135" s="244"/>
      <c r="G135" s="244"/>
      <c r="H135" s="244"/>
      <c r="I135" s="244"/>
      <c r="J135" s="244"/>
      <c r="K135" s="244"/>
      <c r="L135" s="244"/>
      <c r="M135" s="244"/>
      <c r="N135" s="244"/>
      <c r="O135" s="244"/>
      <c r="P135" s="244"/>
      <c r="Q135" s="244"/>
      <c r="R135" s="244"/>
      <c r="S135" s="244"/>
      <c r="T135" s="244"/>
      <c r="U135" s="210"/>
      <c r="V135" s="244"/>
      <c r="W135" s="244"/>
      <c r="X135" s="815"/>
      <c r="Y135" s="354"/>
      <c r="Z135" s="246"/>
      <c r="AA135" s="244"/>
      <c r="AB135" s="244"/>
      <c r="AC135" s="360">
        <f>AC128+AC134</f>
        <v>68105670875</v>
      </c>
      <c r="AD135" s="360" t="e">
        <f t="shared" ref="AD135:AS135" si="74">AD128+AD134</f>
        <v>#REF!</v>
      </c>
      <c r="AE135" s="360" t="e">
        <f t="shared" si="74"/>
        <v>#REF!</v>
      </c>
      <c r="AF135" s="360" t="e">
        <f t="shared" si="74"/>
        <v>#REF!</v>
      </c>
      <c r="AG135" s="360" t="e">
        <f t="shared" si="74"/>
        <v>#REF!</v>
      </c>
      <c r="AH135" s="360" t="e">
        <f t="shared" si="74"/>
        <v>#REF!</v>
      </c>
      <c r="AI135" s="360" t="e">
        <f t="shared" si="74"/>
        <v>#REF!</v>
      </c>
      <c r="AJ135" s="360" t="e">
        <f t="shared" si="74"/>
        <v>#REF!</v>
      </c>
      <c r="AK135" s="360" t="e">
        <f t="shared" si="74"/>
        <v>#REF!</v>
      </c>
      <c r="AL135" s="360" t="e">
        <f t="shared" si="74"/>
        <v>#REF!</v>
      </c>
      <c r="AM135" s="360" t="e">
        <f t="shared" si="74"/>
        <v>#REF!</v>
      </c>
      <c r="AN135" s="360" t="e">
        <f t="shared" si="74"/>
        <v>#REF!</v>
      </c>
      <c r="AO135" s="360" t="e">
        <f t="shared" si="74"/>
        <v>#REF!</v>
      </c>
      <c r="AP135" s="360" t="e">
        <f t="shared" si="74"/>
        <v>#REF!</v>
      </c>
      <c r="AQ135" s="360" t="e">
        <f t="shared" si="74"/>
        <v>#REF!</v>
      </c>
      <c r="AR135" s="360" t="e">
        <f>AR128+AR134</f>
        <v>#REF!</v>
      </c>
      <c r="AS135" s="360" t="e">
        <f t="shared" si="74"/>
        <v>#REF!</v>
      </c>
    </row>
    <row r="136" spans="1:45" x14ac:dyDescent="0.35">
      <c r="AF136" s="223"/>
    </row>
    <row r="137" spans="1:45" x14ac:dyDescent="0.35">
      <c r="AF137" s="1029"/>
      <c r="AG137" s="1029"/>
      <c r="AH137" s="1029"/>
      <c r="AI137" s="1029"/>
      <c r="AJ137" s="1029"/>
      <c r="AK137" s="1029"/>
      <c r="AL137" s="1029"/>
      <c r="AM137" s="1029"/>
      <c r="AN137" s="1029"/>
      <c r="AO137" s="1029"/>
      <c r="AP137" s="1029"/>
      <c r="AQ137" s="1029"/>
    </row>
    <row r="138" spans="1:45" x14ac:dyDescent="0.35">
      <c r="AF138" s="1029">
        <v>192489491.16618299</v>
      </c>
      <c r="AG138" s="1029">
        <v>192489491.16618299</v>
      </c>
      <c r="AH138" s="1029">
        <v>192489491.16618299</v>
      </c>
      <c r="AI138" s="1029">
        <v>192489491.16618299</v>
      </c>
      <c r="AJ138" s="1029">
        <v>192489491.16618299</v>
      </c>
      <c r="AK138" s="1029">
        <v>192489491.16618299</v>
      </c>
      <c r="AL138" s="1029">
        <v>192489491.16618299</v>
      </c>
      <c r="AM138" s="1029">
        <v>192489491.16618299</v>
      </c>
      <c r="AN138" s="1029">
        <v>192489491.16618299</v>
      </c>
      <c r="AO138" s="1029">
        <v>192489491.16618299</v>
      </c>
      <c r="AP138" s="1029">
        <v>192489491.16618299</v>
      </c>
      <c r="AQ138" s="1029">
        <v>192489491.16618299</v>
      </c>
      <c r="AR138" s="1029"/>
    </row>
    <row r="139" spans="1:45" x14ac:dyDescent="0.35">
      <c r="AF139" s="1029" t="e">
        <f>AF138+AF104</f>
        <v>#REF!</v>
      </c>
      <c r="AG139" s="1029" t="e">
        <f t="shared" ref="AG139:AQ139" si="75">AG138+AG104</f>
        <v>#REF!</v>
      </c>
      <c r="AH139" s="1029" t="e">
        <f t="shared" si="75"/>
        <v>#REF!</v>
      </c>
      <c r="AI139" s="1029" t="e">
        <f t="shared" si="75"/>
        <v>#REF!</v>
      </c>
      <c r="AJ139" s="1029" t="e">
        <f t="shared" si="75"/>
        <v>#REF!</v>
      </c>
      <c r="AK139" s="1029" t="e">
        <f t="shared" si="75"/>
        <v>#REF!</v>
      </c>
      <c r="AL139" s="1029" t="e">
        <f t="shared" si="75"/>
        <v>#REF!</v>
      </c>
      <c r="AM139" s="1029" t="e">
        <f t="shared" si="75"/>
        <v>#REF!</v>
      </c>
      <c r="AN139" s="1029" t="e">
        <f t="shared" si="75"/>
        <v>#REF!</v>
      </c>
      <c r="AO139" s="1029" t="e">
        <f t="shared" si="75"/>
        <v>#REF!</v>
      </c>
      <c r="AP139" s="1029" t="e">
        <f t="shared" si="75"/>
        <v>#REF!</v>
      </c>
      <c r="AQ139" s="1029" t="e">
        <f t="shared" si="75"/>
        <v>#REF!</v>
      </c>
      <c r="AR139" s="1029" t="e">
        <f>SUM(AF139:AQ139)</f>
        <v>#REF!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S48"/>
  <sheetViews>
    <sheetView workbookViewId="0"/>
  </sheetViews>
  <sheetFormatPr defaultRowHeight="14.5" x14ac:dyDescent="0.35"/>
  <sheetData>
    <row r="1" spans="1:45" x14ac:dyDescent="0.35">
      <c r="D1" s="221" t="s">
        <v>764</v>
      </c>
      <c r="E1" s="222"/>
      <c r="U1" s="220"/>
      <c r="AG1" s="220"/>
      <c r="AH1" s="220"/>
      <c r="AI1" s="220"/>
      <c r="AJ1" s="220"/>
      <c r="AK1" s="220"/>
      <c r="AL1" s="220"/>
      <c r="AM1" s="220"/>
      <c r="AN1" s="220"/>
    </row>
    <row r="2" spans="1:45" x14ac:dyDescent="0.35">
      <c r="D2" s="224" t="s">
        <v>765</v>
      </c>
      <c r="E2" s="222"/>
      <c r="U2" s="220"/>
      <c r="AG2" s="220"/>
      <c r="AH2" s="220"/>
      <c r="AI2" s="220"/>
      <c r="AJ2" s="220"/>
      <c r="AK2" s="220"/>
      <c r="AL2" s="220"/>
      <c r="AM2" s="220"/>
      <c r="AN2" s="220"/>
    </row>
    <row r="3" spans="1:45" x14ac:dyDescent="0.35">
      <c r="D3" s="225" t="s">
        <v>766</v>
      </c>
      <c r="E3" s="222"/>
      <c r="U3" s="220"/>
      <c r="AG3" s="220"/>
      <c r="AH3" s="220"/>
      <c r="AI3" s="220"/>
      <c r="AJ3" s="220"/>
      <c r="AK3" s="220"/>
      <c r="AL3" s="220"/>
      <c r="AM3" s="220"/>
      <c r="AN3" s="220"/>
    </row>
    <row r="4" spans="1:45" x14ac:dyDescent="0.35">
      <c r="D4" s="226"/>
      <c r="E4" s="226"/>
      <c r="U4" s="220"/>
      <c r="AG4" s="220"/>
      <c r="AH4" s="220"/>
      <c r="AI4" s="220"/>
      <c r="AJ4" s="220"/>
      <c r="AK4" s="220"/>
      <c r="AL4" s="220"/>
      <c r="AM4" s="220"/>
      <c r="AN4" s="220"/>
    </row>
    <row r="5" spans="1:45" x14ac:dyDescent="0.35">
      <c r="L5" s="227" t="s">
        <v>767</v>
      </c>
      <c r="M5" s="228">
        <v>26500</v>
      </c>
      <c r="U5" s="220"/>
      <c r="AG5" s="220"/>
      <c r="AH5" s="220"/>
      <c r="AI5" s="220"/>
      <c r="AJ5" s="220"/>
      <c r="AK5" s="220"/>
      <c r="AL5" s="220"/>
      <c r="AM5" s="220"/>
      <c r="AN5" s="220"/>
    </row>
    <row r="6" spans="1:45" ht="39.5" x14ac:dyDescent="0.35">
      <c r="B6" s="230" t="s">
        <v>768</v>
      </c>
      <c r="C6" s="230"/>
      <c r="D6" s="230" t="s">
        <v>768</v>
      </c>
      <c r="E6" s="230"/>
      <c r="F6" s="230"/>
      <c r="G6" s="230"/>
      <c r="H6" s="230" t="s">
        <v>768</v>
      </c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 t="s">
        <v>768</v>
      </c>
      <c r="T6" s="230"/>
      <c r="U6" s="230"/>
      <c r="V6" s="230"/>
      <c r="W6" s="230"/>
      <c r="X6" s="230"/>
      <c r="Y6" s="231"/>
      <c r="Z6" s="510" t="s">
        <v>769</v>
      </c>
      <c r="AA6" s="510" t="s">
        <v>769</v>
      </c>
      <c r="AB6" s="510" t="s">
        <v>769</v>
      </c>
      <c r="AC6" s="232"/>
      <c r="AD6" s="232"/>
      <c r="AE6" s="232"/>
      <c r="AR6" s="233"/>
      <c r="AS6" s="232"/>
    </row>
    <row r="7" spans="1:45" ht="65" x14ac:dyDescent="0.35">
      <c r="A7" s="489" t="s">
        <v>36</v>
      </c>
      <c r="B7" s="489" t="s">
        <v>770</v>
      </c>
      <c r="C7" s="489" t="s">
        <v>771</v>
      </c>
      <c r="D7" s="495" t="s">
        <v>772</v>
      </c>
      <c r="E7" s="495" t="s">
        <v>773</v>
      </c>
      <c r="F7" s="496" t="s">
        <v>774</v>
      </c>
      <c r="G7" s="496" t="s">
        <v>775</v>
      </c>
      <c r="H7" s="489" t="s">
        <v>776</v>
      </c>
      <c r="I7" s="489" t="s">
        <v>777</v>
      </c>
      <c r="J7" s="489" t="s">
        <v>778</v>
      </c>
      <c r="K7" s="489" t="s">
        <v>779</v>
      </c>
      <c r="L7" s="489" t="s">
        <v>780</v>
      </c>
      <c r="M7" s="489" t="s">
        <v>781</v>
      </c>
      <c r="N7" s="489" t="s">
        <v>782</v>
      </c>
      <c r="O7" s="490" t="s">
        <v>783</v>
      </c>
      <c r="P7" s="490" t="s">
        <v>784</v>
      </c>
      <c r="Q7" s="490" t="s">
        <v>785</v>
      </c>
      <c r="R7" s="490" t="s">
        <v>786</v>
      </c>
      <c r="S7" s="490" t="s">
        <v>787</v>
      </c>
      <c r="T7" s="489" t="s">
        <v>788</v>
      </c>
      <c r="U7" s="489" t="s">
        <v>789</v>
      </c>
      <c r="V7" s="489" t="s">
        <v>790</v>
      </c>
      <c r="W7" s="489" t="s">
        <v>791</v>
      </c>
      <c r="X7" s="489" t="s">
        <v>792</v>
      </c>
      <c r="Y7" s="491" t="s">
        <v>793</v>
      </c>
      <c r="Z7" s="492" t="s">
        <v>482</v>
      </c>
      <c r="AA7" s="492" t="s">
        <v>483</v>
      </c>
      <c r="AB7" s="357" t="s">
        <v>484</v>
      </c>
      <c r="AC7" s="358" t="s">
        <v>794</v>
      </c>
      <c r="AD7" s="358" t="s">
        <v>795</v>
      </c>
      <c r="AE7" s="358" t="s">
        <v>796</v>
      </c>
      <c r="AF7" s="359" t="s">
        <v>149</v>
      </c>
      <c r="AG7" s="359" t="s">
        <v>150</v>
      </c>
      <c r="AH7" s="359" t="s">
        <v>151</v>
      </c>
      <c r="AI7" s="359" t="s">
        <v>152</v>
      </c>
      <c r="AJ7" s="359" t="s">
        <v>153</v>
      </c>
      <c r="AK7" s="359" t="s">
        <v>154</v>
      </c>
      <c r="AL7" s="359" t="s">
        <v>155</v>
      </c>
      <c r="AM7" s="359" t="s">
        <v>156</v>
      </c>
      <c r="AN7" s="359" t="s">
        <v>157</v>
      </c>
      <c r="AO7" s="359" t="s">
        <v>158</v>
      </c>
      <c r="AP7" s="359" t="s">
        <v>159</v>
      </c>
      <c r="AQ7" s="359" t="s">
        <v>160</v>
      </c>
      <c r="AR7" s="493" t="s">
        <v>161</v>
      </c>
      <c r="AS7" s="494" t="s">
        <v>797</v>
      </c>
    </row>
    <row r="8" spans="1:45" x14ac:dyDescent="0.35">
      <c r="A8" s="63" t="s">
        <v>798</v>
      </c>
      <c r="B8" s="497"/>
      <c r="C8" s="497"/>
      <c r="D8" s="497"/>
      <c r="E8" s="497"/>
      <c r="F8" s="497"/>
      <c r="G8" s="497"/>
      <c r="H8" s="497"/>
      <c r="I8" s="497"/>
      <c r="J8" s="497"/>
      <c r="K8" s="497"/>
      <c r="L8" s="497"/>
      <c r="M8" s="497"/>
      <c r="N8" s="504"/>
      <c r="O8" s="497"/>
      <c r="P8" s="498"/>
      <c r="Q8" s="499"/>
      <c r="R8" s="499"/>
      <c r="S8" s="499"/>
      <c r="T8" s="498"/>
      <c r="U8" s="499"/>
      <c r="V8" s="499"/>
      <c r="W8" s="499"/>
      <c r="X8" s="498"/>
      <c r="Y8" s="500"/>
      <c r="Z8" s="501"/>
      <c r="AA8" s="502"/>
      <c r="AB8" s="502"/>
      <c r="AC8" s="207">
        <f>SUM(AC9:AC28)</f>
        <v>0</v>
      </c>
      <c r="AD8" s="207">
        <f>AC8-AE8</f>
        <v>0</v>
      </c>
      <c r="AE8" s="207">
        <f t="shared" ref="AE8:AS8" si="0">SUM(AE9:AE28)</f>
        <v>0</v>
      </c>
      <c r="AF8" s="207">
        <f t="shared" si="0"/>
        <v>0</v>
      </c>
      <c r="AG8" s="207">
        <f t="shared" si="0"/>
        <v>0</v>
      </c>
      <c r="AH8" s="207">
        <f t="shared" si="0"/>
        <v>0</v>
      </c>
      <c r="AI8" s="207">
        <f t="shared" si="0"/>
        <v>0</v>
      </c>
      <c r="AJ8" s="207">
        <f t="shared" si="0"/>
        <v>0</v>
      </c>
      <c r="AK8" s="207">
        <f t="shared" si="0"/>
        <v>0</v>
      </c>
      <c r="AL8" s="207">
        <f t="shared" si="0"/>
        <v>0</v>
      </c>
      <c r="AM8" s="207">
        <f t="shared" si="0"/>
        <v>0</v>
      </c>
      <c r="AN8" s="207">
        <f t="shared" si="0"/>
        <v>0</v>
      </c>
      <c r="AO8" s="207">
        <f t="shared" si="0"/>
        <v>0</v>
      </c>
      <c r="AP8" s="207">
        <f t="shared" si="0"/>
        <v>0</v>
      </c>
      <c r="AQ8" s="207">
        <f t="shared" si="0"/>
        <v>0</v>
      </c>
      <c r="AR8" s="207">
        <f>SUM(AF8:AQ8)</f>
        <v>0</v>
      </c>
      <c r="AS8" s="207">
        <f t="shared" si="0"/>
        <v>0</v>
      </c>
    </row>
    <row r="9" spans="1:45" x14ac:dyDescent="0.35">
      <c r="A9" s="237" t="s">
        <v>164</v>
      </c>
      <c r="B9" s="484"/>
      <c r="C9" s="484"/>
      <c r="D9" s="484"/>
      <c r="E9" s="484"/>
      <c r="F9" s="484"/>
      <c r="G9" s="484"/>
      <c r="H9" s="484"/>
      <c r="I9" s="484"/>
      <c r="J9" s="484"/>
      <c r="K9" s="484"/>
      <c r="L9" s="484"/>
      <c r="M9" s="484"/>
      <c r="N9" s="484"/>
      <c r="O9" s="484"/>
      <c r="P9" s="485"/>
      <c r="Q9" s="486"/>
      <c r="R9" s="486"/>
      <c r="S9" s="485"/>
      <c r="T9" s="485"/>
      <c r="U9" s="486"/>
      <c r="V9" s="486"/>
      <c r="W9" s="486"/>
      <c r="X9" s="485"/>
      <c r="Y9" s="487"/>
      <c r="Z9" s="488"/>
      <c r="AA9" s="355"/>
      <c r="AB9" s="355"/>
      <c r="AC9" s="356"/>
      <c r="AD9" s="356"/>
      <c r="AE9" s="356"/>
      <c r="AF9" s="356"/>
      <c r="AG9" s="356"/>
      <c r="AH9" s="356"/>
      <c r="AI9" s="356"/>
      <c r="AJ9" s="356"/>
      <c r="AK9" s="356"/>
      <c r="AL9" s="356"/>
      <c r="AM9" s="356"/>
      <c r="AN9" s="356"/>
      <c r="AO9" s="356"/>
      <c r="AP9" s="356"/>
      <c r="AQ9" s="356"/>
      <c r="AR9" s="202">
        <f t="shared" ref="AR9:AR45" si="1">SUM(AF9:AQ9)</f>
        <v>0</v>
      </c>
      <c r="AS9" s="202">
        <f>AE9-AR9</f>
        <v>0</v>
      </c>
    </row>
    <row r="10" spans="1:45" x14ac:dyDescent="0.35">
      <c r="A10" s="237" t="s">
        <v>166</v>
      </c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484"/>
      <c r="O10" s="237"/>
      <c r="P10" s="482"/>
      <c r="Q10" s="234"/>
      <c r="R10" s="234"/>
      <c r="S10" s="485"/>
      <c r="T10" s="482"/>
      <c r="U10" s="234"/>
      <c r="V10" s="234"/>
      <c r="W10" s="234"/>
      <c r="X10" s="485"/>
      <c r="Y10" s="235"/>
      <c r="Z10" s="238"/>
      <c r="AA10" s="236"/>
      <c r="AB10" s="236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>
        <f t="shared" si="1"/>
        <v>0</v>
      </c>
      <c r="AS10" s="202">
        <f t="shared" ref="AS10:AS47" si="2">AE10-AR10</f>
        <v>0</v>
      </c>
    </row>
    <row r="11" spans="1:45" x14ac:dyDescent="0.35">
      <c r="A11" s="237" t="s">
        <v>168</v>
      </c>
      <c r="B11" s="237"/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484"/>
      <c r="O11" s="237"/>
      <c r="P11" s="482"/>
      <c r="Q11" s="234"/>
      <c r="R11" s="234"/>
      <c r="S11" s="234"/>
      <c r="T11" s="482"/>
      <c r="U11" s="234"/>
      <c r="V11" s="234"/>
      <c r="W11" s="234"/>
      <c r="X11" s="482"/>
      <c r="Y11" s="235"/>
      <c r="Z11" s="238"/>
      <c r="AA11" s="236"/>
      <c r="AB11" s="236"/>
      <c r="AC11" s="202"/>
      <c r="AD11" s="202"/>
      <c r="AE11" s="202"/>
      <c r="AF11" s="202"/>
      <c r="AG11" s="202"/>
      <c r="AH11" s="202"/>
      <c r="AI11" s="202"/>
      <c r="AJ11" s="202"/>
      <c r="AK11" s="202"/>
      <c r="AL11" s="202"/>
      <c r="AM11" s="202"/>
      <c r="AN11" s="202"/>
      <c r="AO11" s="202"/>
      <c r="AP11" s="202"/>
      <c r="AQ11" s="202"/>
      <c r="AR11" s="202">
        <f t="shared" si="1"/>
        <v>0</v>
      </c>
      <c r="AS11" s="202">
        <f t="shared" si="2"/>
        <v>0</v>
      </c>
    </row>
    <row r="12" spans="1:45" x14ac:dyDescent="0.35">
      <c r="A12" s="237" t="s">
        <v>800</v>
      </c>
      <c r="B12" s="237"/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484"/>
      <c r="O12" s="237"/>
      <c r="P12" s="482"/>
      <c r="Q12" s="234"/>
      <c r="R12" s="234"/>
      <c r="S12" s="234"/>
      <c r="T12" s="482"/>
      <c r="U12" s="234"/>
      <c r="V12" s="234"/>
      <c r="W12" s="234"/>
      <c r="X12" s="482"/>
      <c r="Y12" s="235"/>
      <c r="Z12" s="238"/>
      <c r="AA12" s="236"/>
      <c r="AB12" s="236"/>
      <c r="AC12" s="202"/>
      <c r="AD12" s="202"/>
      <c r="AE12" s="202"/>
      <c r="AF12" s="202"/>
      <c r="AG12" s="202"/>
      <c r="AH12" s="202"/>
      <c r="AI12" s="202"/>
      <c r="AJ12" s="202"/>
      <c r="AK12" s="202"/>
      <c r="AL12" s="202"/>
      <c r="AM12" s="202"/>
      <c r="AN12" s="202"/>
      <c r="AO12" s="202"/>
      <c r="AP12" s="202"/>
      <c r="AQ12" s="202"/>
      <c r="AR12" s="202">
        <f t="shared" si="1"/>
        <v>0</v>
      </c>
      <c r="AS12" s="202">
        <f t="shared" si="2"/>
        <v>0</v>
      </c>
    </row>
    <row r="13" spans="1:45" x14ac:dyDescent="0.35">
      <c r="A13" s="237" t="s">
        <v>801</v>
      </c>
      <c r="B13" s="237"/>
      <c r="C13" s="237"/>
      <c r="D13" s="237"/>
      <c r="E13" s="237"/>
      <c r="F13" s="237"/>
      <c r="G13" s="237"/>
      <c r="H13" s="237"/>
      <c r="I13" s="237"/>
      <c r="J13" s="237"/>
      <c r="K13" s="237"/>
      <c r="L13" s="237"/>
      <c r="M13" s="237"/>
      <c r="N13" s="484"/>
      <c r="O13" s="237"/>
      <c r="P13" s="482"/>
      <c r="Q13" s="234"/>
      <c r="R13" s="234"/>
      <c r="S13" s="234"/>
      <c r="T13" s="482"/>
      <c r="U13" s="234"/>
      <c r="V13" s="234"/>
      <c r="W13" s="234"/>
      <c r="X13" s="482"/>
      <c r="Y13" s="235"/>
      <c r="Z13" s="238"/>
      <c r="AA13" s="236"/>
      <c r="AB13" s="236"/>
      <c r="AC13" s="202"/>
      <c r="AD13" s="202"/>
      <c r="AE13" s="202"/>
      <c r="AF13" s="202"/>
      <c r="AG13" s="202"/>
      <c r="AH13" s="202"/>
      <c r="AI13" s="202"/>
      <c r="AJ13" s="202"/>
      <c r="AK13" s="202"/>
      <c r="AL13" s="202"/>
      <c r="AM13" s="202"/>
      <c r="AN13" s="202"/>
      <c r="AO13" s="202"/>
      <c r="AP13" s="202"/>
      <c r="AQ13" s="202"/>
      <c r="AR13" s="202">
        <f t="shared" si="1"/>
        <v>0</v>
      </c>
      <c r="AS13" s="202">
        <f t="shared" si="2"/>
        <v>0</v>
      </c>
    </row>
    <row r="14" spans="1:45" x14ac:dyDescent="0.35">
      <c r="A14" s="237" t="s">
        <v>802</v>
      </c>
      <c r="B14" s="237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484"/>
      <c r="O14" s="237"/>
      <c r="P14" s="482"/>
      <c r="Q14" s="234"/>
      <c r="R14" s="234"/>
      <c r="S14" s="482"/>
      <c r="T14" s="482"/>
      <c r="U14" s="234"/>
      <c r="V14" s="234"/>
      <c r="W14" s="234"/>
      <c r="X14" s="482"/>
      <c r="Y14" s="235"/>
      <c r="Z14" s="238"/>
      <c r="AA14" s="236"/>
      <c r="AB14" s="236"/>
      <c r="AC14" s="202"/>
      <c r="AD14" s="202"/>
      <c r="AE14" s="202"/>
      <c r="AF14" s="202"/>
      <c r="AG14" s="202"/>
      <c r="AH14" s="202"/>
      <c r="AI14" s="202"/>
      <c r="AJ14" s="202"/>
      <c r="AK14" s="202"/>
      <c r="AL14" s="202"/>
      <c r="AM14" s="202"/>
      <c r="AN14" s="202"/>
      <c r="AO14" s="202"/>
      <c r="AP14" s="202"/>
      <c r="AQ14" s="202"/>
      <c r="AR14" s="202">
        <f t="shared" si="1"/>
        <v>0</v>
      </c>
      <c r="AS14" s="202">
        <f t="shared" si="2"/>
        <v>0</v>
      </c>
    </row>
    <row r="15" spans="1:45" x14ac:dyDescent="0.35">
      <c r="A15" s="237" t="s">
        <v>803</v>
      </c>
      <c r="B15" s="237"/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484"/>
      <c r="O15" s="237"/>
      <c r="P15" s="482"/>
      <c r="Q15" s="234"/>
      <c r="R15" s="234"/>
      <c r="S15" s="482"/>
      <c r="T15" s="482"/>
      <c r="U15" s="234"/>
      <c r="V15" s="234"/>
      <c r="W15" s="234"/>
      <c r="X15" s="482"/>
      <c r="Y15" s="235"/>
      <c r="Z15" s="238"/>
      <c r="AA15" s="236"/>
      <c r="AB15" s="236"/>
      <c r="AC15" s="202"/>
      <c r="AD15" s="202"/>
      <c r="AE15" s="202"/>
      <c r="AF15" s="202"/>
      <c r="AG15" s="202"/>
      <c r="AH15" s="202"/>
      <c r="AI15" s="202"/>
      <c r="AJ15" s="202"/>
      <c r="AK15" s="202"/>
      <c r="AL15" s="202"/>
      <c r="AM15" s="202"/>
      <c r="AN15" s="202"/>
      <c r="AO15" s="202"/>
      <c r="AP15" s="202"/>
      <c r="AQ15" s="202"/>
      <c r="AR15" s="202">
        <f t="shared" si="1"/>
        <v>0</v>
      </c>
      <c r="AS15" s="202">
        <f t="shared" si="2"/>
        <v>0</v>
      </c>
    </row>
    <row r="16" spans="1:45" x14ac:dyDescent="0.35">
      <c r="A16" s="237" t="s">
        <v>804</v>
      </c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484"/>
      <c r="O16" s="237"/>
      <c r="P16" s="482"/>
      <c r="Q16" s="234"/>
      <c r="R16" s="234"/>
      <c r="S16" s="482"/>
      <c r="T16" s="482"/>
      <c r="U16" s="234"/>
      <c r="V16" s="234"/>
      <c r="W16" s="234"/>
      <c r="X16" s="482"/>
      <c r="Y16" s="235"/>
      <c r="Z16" s="238"/>
      <c r="AA16" s="236"/>
      <c r="AB16" s="236"/>
      <c r="AC16" s="202"/>
      <c r="AD16" s="202"/>
      <c r="AE16" s="202"/>
      <c r="AF16" s="202"/>
      <c r="AG16" s="202"/>
      <c r="AH16" s="202"/>
      <c r="AI16" s="202"/>
      <c r="AJ16" s="202"/>
      <c r="AK16" s="202"/>
      <c r="AL16" s="202"/>
      <c r="AM16" s="202"/>
      <c r="AN16" s="202"/>
      <c r="AO16" s="202"/>
      <c r="AP16" s="202"/>
      <c r="AQ16" s="202"/>
      <c r="AR16" s="202">
        <f t="shared" si="1"/>
        <v>0</v>
      </c>
      <c r="AS16" s="202">
        <f t="shared" si="2"/>
        <v>0</v>
      </c>
    </row>
    <row r="17" spans="1:45" x14ac:dyDescent="0.35">
      <c r="A17" s="237" t="s">
        <v>805</v>
      </c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484"/>
      <c r="O17" s="237"/>
      <c r="P17" s="482"/>
      <c r="Q17" s="234"/>
      <c r="R17" s="234"/>
      <c r="S17" s="482"/>
      <c r="T17" s="482"/>
      <c r="U17" s="234"/>
      <c r="V17" s="234"/>
      <c r="W17" s="234"/>
      <c r="X17" s="482"/>
      <c r="Y17" s="235"/>
      <c r="Z17" s="238"/>
      <c r="AA17" s="236"/>
      <c r="AB17" s="236"/>
      <c r="AC17" s="202"/>
      <c r="AD17" s="202"/>
      <c r="AE17" s="202"/>
      <c r="AF17" s="202"/>
      <c r="AG17" s="202"/>
      <c r="AH17" s="202"/>
      <c r="AI17" s="202"/>
      <c r="AJ17" s="202"/>
      <c r="AK17" s="202"/>
      <c r="AL17" s="202"/>
      <c r="AM17" s="202"/>
      <c r="AN17" s="202"/>
      <c r="AO17" s="202"/>
      <c r="AP17" s="202"/>
      <c r="AQ17" s="202"/>
      <c r="AR17" s="202">
        <f t="shared" si="1"/>
        <v>0</v>
      </c>
      <c r="AS17" s="202">
        <f t="shared" si="2"/>
        <v>0</v>
      </c>
    </row>
    <row r="18" spans="1:45" x14ac:dyDescent="0.35">
      <c r="A18" s="237" t="s">
        <v>806</v>
      </c>
      <c r="B18" s="237"/>
      <c r="C18" s="237"/>
      <c r="D18" s="237"/>
      <c r="E18" s="237"/>
      <c r="F18" s="237"/>
      <c r="G18" s="237"/>
      <c r="H18" s="237"/>
      <c r="I18" s="237"/>
      <c r="J18" s="237"/>
      <c r="K18" s="237"/>
      <c r="L18" s="237"/>
      <c r="M18" s="237"/>
      <c r="N18" s="484"/>
      <c r="O18" s="237"/>
      <c r="P18" s="482"/>
      <c r="Q18" s="234"/>
      <c r="R18" s="234"/>
      <c r="S18" s="234"/>
      <c r="T18" s="482"/>
      <c r="U18" s="234"/>
      <c r="V18" s="234"/>
      <c r="W18" s="234"/>
      <c r="X18" s="482"/>
      <c r="Y18" s="235"/>
      <c r="Z18" s="238"/>
      <c r="AA18" s="236"/>
      <c r="AB18" s="236"/>
      <c r="AC18" s="202"/>
      <c r="AD18" s="202"/>
      <c r="AE18" s="202"/>
      <c r="AF18" s="202"/>
      <c r="AG18" s="202"/>
      <c r="AH18" s="202"/>
      <c r="AI18" s="202"/>
      <c r="AJ18" s="202"/>
      <c r="AK18" s="202"/>
      <c r="AL18" s="202"/>
      <c r="AM18" s="202"/>
      <c r="AN18" s="202"/>
      <c r="AO18" s="202"/>
      <c r="AP18" s="202"/>
      <c r="AQ18" s="202"/>
      <c r="AR18" s="202">
        <f t="shared" si="1"/>
        <v>0</v>
      </c>
      <c r="AS18" s="202">
        <f t="shared" si="2"/>
        <v>0</v>
      </c>
    </row>
    <row r="19" spans="1:45" x14ac:dyDescent="0.35">
      <c r="A19" s="237" t="s">
        <v>807</v>
      </c>
      <c r="B19" s="237"/>
      <c r="C19" s="237"/>
      <c r="D19" s="237"/>
      <c r="E19" s="237"/>
      <c r="F19" s="237"/>
      <c r="G19" s="237"/>
      <c r="H19" s="237"/>
      <c r="I19" s="237"/>
      <c r="J19" s="237"/>
      <c r="K19" s="237"/>
      <c r="L19" s="237"/>
      <c r="M19" s="237"/>
      <c r="N19" s="484"/>
      <c r="O19" s="237"/>
      <c r="P19" s="482"/>
      <c r="Q19" s="234"/>
      <c r="R19" s="234"/>
      <c r="S19" s="234"/>
      <c r="T19" s="482"/>
      <c r="U19" s="234"/>
      <c r="V19" s="234"/>
      <c r="W19" s="234"/>
      <c r="X19" s="482"/>
      <c r="Y19" s="235"/>
      <c r="Z19" s="238"/>
      <c r="AA19" s="236"/>
      <c r="AB19" s="236"/>
      <c r="AC19" s="202"/>
      <c r="AD19" s="202"/>
      <c r="AE19" s="202"/>
      <c r="AF19" s="202"/>
      <c r="AG19" s="202"/>
      <c r="AH19" s="202"/>
      <c r="AI19" s="202"/>
      <c r="AJ19" s="202"/>
      <c r="AK19" s="202"/>
      <c r="AL19" s="202"/>
      <c r="AM19" s="202"/>
      <c r="AN19" s="202"/>
      <c r="AO19" s="202"/>
      <c r="AP19" s="202"/>
      <c r="AQ19" s="202"/>
      <c r="AR19" s="202">
        <f t="shared" si="1"/>
        <v>0</v>
      </c>
      <c r="AS19" s="202">
        <f t="shared" si="2"/>
        <v>0</v>
      </c>
    </row>
    <row r="20" spans="1:45" x14ac:dyDescent="0.35">
      <c r="A20" s="237" t="s">
        <v>808</v>
      </c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37"/>
      <c r="N20" s="484"/>
      <c r="O20" s="237"/>
      <c r="P20" s="482"/>
      <c r="Q20" s="234"/>
      <c r="R20" s="234"/>
      <c r="S20" s="234"/>
      <c r="T20" s="482"/>
      <c r="U20" s="234"/>
      <c r="V20" s="234"/>
      <c r="W20" s="234"/>
      <c r="X20" s="482"/>
      <c r="Y20" s="235"/>
      <c r="Z20" s="238"/>
      <c r="AA20" s="236"/>
      <c r="AB20" s="236"/>
      <c r="AC20" s="202"/>
      <c r="AD20" s="202"/>
      <c r="AE20" s="202"/>
      <c r="AF20" s="202"/>
      <c r="AG20" s="202"/>
      <c r="AH20" s="202"/>
      <c r="AI20" s="202"/>
      <c r="AJ20" s="202"/>
      <c r="AK20" s="202"/>
      <c r="AL20" s="202"/>
      <c r="AM20" s="202"/>
      <c r="AN20" s="202"/>
      <c r="AO20" s="202"/>
      <c r="AP20" s="202"/>
      <c r="AQ20" s="202"/>
      <c r="AR20" s="202">
        <f t="shared" si="1"/>
        <v>0</v>
      </c>
      <c r="AS20" s="202">
        <f t="shared" si="2"/>
        <v>0</v>
      </c>
    </row>
    <row r="21" spans="1:45" x14ac:dyDescent="0.35">
      <c r="A21" s="237" t="s">
        <v>809</v>
      </c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484"/>
      <c r="O21" s="237"/>
      <c r="P21" s="482"/>
      <c r="Q21" s="234"/>
      <c r="R21" s="234"/>
      <c r="S21" s="234"/>
      <c r="T21" s="482"/>
      <c r="U21" s="234"/>
      <c r="V21" s="234"/>
      <c r="W21" s="234"/>
      <c r="X21" s="482"/>
      <c r="Y21" s="235"/>
      <c r="Z21" s="238"/>
      <c r="AA21" s="236"/>
      <c r="AB21" s="236"/>
      <c r="AC21" s="202"/>
      <c r="AD21" s="202"/>
      <c r="AE21" s="202"/>
      <c r="AF21" s="202"/>
      <c r="AG21" s="202"/>
      <c r="AH21" s="202"/>
      <c r="AI21" s="202"/>
      <c r="AJ21" s="202"/>
      <c r="AK21" s="202"/>
      <c r="AL21" s="202"/>
      <c r="AM21" s="202"/>
      <c r="AN21" s="202"/>
      <c r="AO21" s="202"/>
      <c r="AP21" s="202"/>
      <c r="AQ21" s="202"/>
      <c r="AR21" s="202">
        <f t="shared" si="1"/>
        <v>0</v>
      </c>
      <c r="AS21" s="202">
        <f t="shared" si="2"/>
        <v>0</v>
      </c>
    </row>
    <row r="22" spans="1:45" x14ac:dyDescent="0.35">
      <c r="A22" s="237" t="s">
        <v>810</v>
      </c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482"/>
      <c r="Q22" s="234"/>
      <c r="R22" s="234"/>
      <c r="S22" s="234"/>
      <c r="T22" s="482"/>
      <c r="U22" s="234"/>
      <c r="V22" s="234"/>
      <c r="W22" s="234"/>
      <c r="X22" s="482"/>
      <c r="Y22" s="235"/>
      <c r="Z22" s="238"/>
      <c r="AA22" s="236"/>
      <c r="AB22" s="236"/>
      <c r="AC22" s="202"/>
      <c r="AD22" s="202"/>
      <c r="AE22" s="202"/>
      <c r="AF22" s="202"/>
      <c r="AG22" s="202"/>
      <c r="AH22" s="202"/>
      <c r="AI22" s="202"/>
      <c r="AJ22" s="202"/>
      <c r="AK22" s="202"/>
      <c r="AL22" s="202"/>
      <c r="AM22" s="202"/>
      <c r="AN22" s="202"/>
      <c r="AO22" s="202"/>
      <c r="AP22" s="202"/>
      <c r="AQ22" s="202"/>
      <c r="AR22" s="202">
        <f>SUM(AF22:AQ22)</f>
        <v>0</v>
      </c>
      <c r="AS22" s="202">
        <f t="shared" si="2"/>
        <v>0</v>
      </c>
    </row>
    <row r="23" spans="1:45" x14ac:dyDescent="0.35">
      <c r="A23" s="237" t="s">
        <v>811</v>
      </c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482"/>
      <c r="Q23" s="234"/>
      <c r="R23" s="234"/>
      <c r="S23" s="234"/>
      <c r="T23" s="482"/>
      <c r="U23" s="234"/>
      <c r="V23" s="234"/>
      <c r="W23" s="234"/>
      <c r="X23" s="482"/>
      <c r="Y23" s="235"/>
      <c r="Z23" s="238"/>
      <c r="AA23" s="236"/>
      <c r="AB23" s="236"/>
      <c r="AC23" s="202"/>
      <c r="AD23" s="202"/>
      <c r="AE23" s="202"/>
      <c r="AF23" s="202"/>
      <c r="AG23" s="202"/>
      <c r="AH23" s="202"/>
      <c r="AI23" s="202"/>
      <c r="AJ23" s="202"/>
      <c r="AK23" s="202"/>
      <c r="AL23" s="202"/>
      <c r="AM23" s="202"/>
      <c r="AN23" s="202"/>
      <c r="AO23" s="202"/>
      <c r="AP23" s="202"/>
      <c r="AQ23" s="202"/>
      <c r="AR23" s="202">
        <f t="shared" si="1"/>
        <v>0</v>
      </c>
      <c r="AS23" s="202">
        <f t="shared" si="2"/>
        <v>0</v>
      </c>
    </row>
    <row r="24" spans="1:45" x14ac:dyDescent="0.35">
      <c r="A24" s="237" t="s">
        <v>812</v>
      </c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482"/>
      <c r="Q24" s="234"/>
      <c r="R24" s="234"/>
      <c r="S24" s="234"/>
      <c r="T24" s="482"/>
      <c r="U24" s="234"/>
      <c r="V24" s="234"/>
      <c r="W24" s="234"/>
      <c r="X24" s="482"/>
      <c r="Y24" s="235"/>
      <c r="Z24" s="238"/>
      <c r="AA24" s="236"/>
      <c r="AB24" s="236"/>
      <c r="AC24" s="202"/>
      <c r="AD24" s="202"/>
      <c r="AE24" s="202"/>
      <c r="AF24" s="202"/>
      <c r="AG24" s="202"/>
      <c r="AH24" s="202"/>
      <c r="AI24" s="202"/>
      <c r="AJ24" s="202"/>
      <c r="AK24" s="202"/>
      <c r="AL24" s="202"/>
      <c r="AM24" s="202"/>
      <c r="AN24" s="202"/>
      <c r="AO24" s="202"/>
      <c r="AP24" s="202"/>
      <c r="AQ24" s="202"/>
      <c r="AR24" s="202">
        <f t="shared" si="1"/>
        <v>0</v>
      </c>
      <c r="AS24" s="202">
        <f t="shared" si="2"/>
        <v>0</v>
      </c>
    </row>
    <row r="25" spans="1:45" x14ac:dyDescent="0.35">
      <c r="A25" s="237" t="s">
        <v>813</v>
      </c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482"/>
      <c r="Q25" s="234"/>
      <c r="R25" s="234"/>
      <c r="S25" s="234"/>
      <c r="T25" s="482"/>
      <c r="U25" s="234"/>
      <c r="V25" s="234"/>
      <c r="W25" s="234"/>
      <c r="X25" s="482"/>
      <c r="Y25" s="235"/>
      <c r="Z25" s="238"/>
      <c r="AA25" s="236"/>
      <c r="AB25" s="236"/>
      <c r="AC25" s="202"/>
      <c r="AD25" s="202"/>
      <c r="AE25" s="202"/>
      <c r="AF25" s="202"/>
      <c r="AG25" s="202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>
        <f t="shared" si="1"/>
        <v>0</v>
      </c>
      <c r="AS25" s="202">
        <f t="shared" si="2"/>
        <v>0</v>
      </c>
    </row>
    <row r="26" spans="1:45" x14ac:dyDescent="0.35">
      <c r="A26" s="237" t="s">
        <v>814</v>
      </c>
      <c r="B26" s="237"/>
      <c r="C26" s="237"/>
      <c r="D26" s="237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482"/>
      <c r="Q26" s="234"/>
      <c r="R26" s="234"/>
      <c r="S26" s="234"/>
      <c r="T26" s="482"/>
      <c r="U26" s="234"/>
      <c r="V26" s="234"/>
      <c r="W26" s="234"/>
      <c r="X26" s="482"/>
      <c r="Y26" s="235"/>
      <c r="Z26" s="238"/>
      <c r="AA26" s="236"/>
      <c r="AB26" s="236"/>
      <c r="AC26" s="202"/>
      <c r="AD26" s="202"/>
      <c r="AE26" s="202"/>
      <c r="AF26" s="202"/>
      <c r="AG26" s="202"/>
      <c r="AH26" s="202"/>
      <c r="AI26" s="202"/>
      <c r="AJ26" s="202"/>
      <c r="AK26" s="202"/>
      <c r="AL26" s="202"/>
      <c r="AM26" s="202"/>
      <c r="AN26" s="202"/>
      <c r="AO26" s="202"/>
      <c r="AP26" s="202"/>
      <c r="AQ26" s="202"/>
      <c r="AR26" s="202">
        <f t="shared" si="1"/>
        <v>0</v>
      </c>
      <c r="AS26" s="202">
        <f t="shared" si="2"/>
        <v>0</v>
      </c>
    </row>
    <row r="27" spans="1:45" x14ac:dyDescent="0.35">
      <c r="A27" s="237" t="s">
        <v>815</v>
      </c>
      <c r="B27" s="237"/>
      <c r="C27" s="237"/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482"/>
      <c r="Q27" s="234"/>
      <c r="R27" s="234"/>
      <c r="S27" s="234"/>
      <c r="T27" s="482"/>
      <c r="U27" s="234"/>
      <c r="V27" s="234"/>
      <c r="W27" s="234"/>
      <c r="X27" s="482"/>
      <c r="Y27" s="235"/>
      <c r="Z27" s="238"/>
      <c r="AA27" s="236"/>
      <c r="AB27" s="236"/>
      <c r="AC27" s="202"/>
      <c r="AD27" s="202"/>
      <c r="AE27" s="202"/>
      <c r="AF27" s="202"/>
      <c r="AG27" s="202"/>
      <c r="AH27" s="202"/>
      <c r="AI27" s="202"/>
      <c r="AJ27" s="202"/>
      <c r="AK27" s="202"/>
      <c r="AL27" s="202"/>
      <c r="AM27" s="202"/>
      <c r="AN27" s="202"/>
      <c r="AO27" s="202"/>
      <c r="AP27" s="202"/>
      <c r="AQ27" s="202"/>
      <c r="AR27" s="202">
        <f t="shared" si="1"/>
        <v>0</v>
      </c>
      <c r="AS27" s="202">
        <f t="shared" si="2"/>
        <v>0</v>
      </c>
    </row>
    <row r="28" spans="1:45" x14ac:dyDescent="0.35">
      <c r="A28" s="237" t="s">
        <v>816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482"/>
      <c r="Q28" s="234"/>
      <c r="R28" s="234"/>
      <c r="S28" s="234"/>
      <c r="T28" s="482"/>
      <c r="U28" s="234"/>
      <c r="V28" s="234"/>
      <c r="W28" s="234"/>
      <c r="X28" s="482"/>
      <c r="Y28" s="235"/>
      <c r="Z28" s="238"/>
      <c r="AA28" s="236"/>
      <c r="AB28" s="236"/>
      <c r="AC28" s="202"/>
      <c r="AD28" s="202"/>
      <c r="AE28" s="202"/>
      <c r="AF28" s="202"/>
      <c r="AG28" s="202"/>
      <c r="AH28" s="202"/>
      <c r="AI28" s="202"/>
      <c r="AJ28" s="202"/>
      <c r="AK28" s="202"/>
      <c r="AL28" s="202"/>
      <c r="AM28" s="202"/>
      <c r="AN28" s="202"/>
      <c r="AO28" s="202"/>
      <c r="AP28" s="202"/>
      <c r="AQ28" s="202"/>
      <c r="AR28" s="202">
        <f t="shared" si="1"/>
        <v>0</v>
      </c>
      <c r="AS28" s="202">
        <f t="shared" si="2"/>
        <v>0</v>
      </c>
    </row>
    <row r="29" spans="1:45" x14ac:dyDescent="0.35">
      <c r="A29" s="63" t="s">
        <v>818</v>
      </c>
      <c r="B29" s="497"/>
      <c r="C29" s="497"/>
      <c r="D29" s="497"/>
      <c r="E29" s="497"/>
      <c r="F29" s="497"/>
      <c r="G29" s="497"/>
      <c r="H29" s="497"/>
      <c r="I29" s="497"/>
      <c r="J29" s="497"/>
      <c r="K29" s="497"/>
      <c r="L29" s="497"/>
      <c r="M29" s="497"/>
      <c r="N29" s="497"/>
      <c r="O29" s="497"/>
      <c r="P29" s="498"/>
      <c r="Q29" s="499"/>
      <c r="R29" s="499"/>
      <c r="S29" s="499"/>
      <c r="T29" s="498"/>
      <c r="U29" s="499"/>
      <c r="V29" s="499"/>
      <c r="W29" s="499"/>
      <c r="X29" s="498"/>
      <c r="Y29" s="500"/>
      <c r="Z29" s="501"/>
      <c r="AA29" s="502"/>
      <c r="AB29" s="502"/>
      <c r="AC29" s="503">
        <f>SUM(AC30:AC45)</f>
        <v>0</v>
      </c>
      <c r="AD29" s="503">
        <f>AC29-AE29</f>
        <v>0</v>
      </c>
      <c r="AE29" s="503">
        <f t="shared" ref="AE29:AS29" si="3">SUM(AE30:AE45)</f>
        <v>0</v>
      </c>
      <c r="AF29" s="503">
        <f t="shared" si="3"/>
        <v>0</v>
      </c>
      <c r="AG29" s="503">
        <f t="shared" si="3"/>
        <v>0</v>
      </c>
      <c r="AH29" s="503">
        <f t="shared" si="3"/>
        <v>0</v>
      </c>
      <c r="AI29" s="503">
        <f t="shared" si="3"/>
        <v>0</v>
      </c>
      <c r="AJ29" s="503">
        <f t="shared" si="3"/>
        <v>0</v>
      </c>
      <c r="AK29" s="503">
        <f t="shared" si="3"/>
        <v>0</v>
      </c>
      <c r="AL29" s="503">
        <f t="shared" si="3"/>
        <v>0</v>
      </c>
      <c r="AM29" s="503">
        <f t="shared" si="3"/>
        <v>0</v>
      </c>
      <c r="AN29" s="503">
        <f t="shared" si="3"/>
        <v>0</v>
      </c>
      <c r="AO29" s="503">
        <f t="shared" si="3"/>
        <v>0</v>
      </c>
      <c r="AP29" s="503">
        <f t="shared" si="3"/>
        <v>0</v>
      </c>
      <c r="AQ29" s="503">
        <f t="shared" si="3"/>
        <v>0</v>
      </c>
      <c r="AR29" s="503">
        <f>SUM(AF29:AQ29)</f>
        <v>0</v>
      </c>
      <c r="AS29" s="503">
        <f t="shared" si="3"/>
        <v>0</v>
      </c>
    </row>
    <row r="30" spans="1:45" x14ac:dyDescent="0.35">
      <c r="A30" s="237" t="s">
        <v>171</v>
      </c>
      <c r="B30" s="237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482"/>
      <c r="Q30" s="234"/>
      <c r="R30" s="234"/>
      <c r="S30" s="234"/>
      <c r="T30" s="482"/>
      <c r="U30" s="234"/>
      <c r="V30" s="234"/>
      <c r="W30" s="234"/>
      <c r="X30" s="482"/>
      <c r="Y30" s="235"/>
      <c r="Z30" s="238"/>
      <c r="AA30" s="236"/>
      <c r="AB30" s="236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>
        <f t="shared" si="1"/>
        <v>0</v>
      </c>
      <c r="AS30" s="202"/>
    </row>
    <row r="31" spans="1:45" x14ac:dyDescent="0.35">
      <c r="A31" s="237" t="s">
        <v>172</v>
      </c>
      <c r="B31" s="237"/>
      <c r="C31" s="237"/>
      <c r="D31" s="237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482"/>
      <c r="Q31" s="234"/>
      <c r="R31" s="234"/>
      <c r="S31" s="234"/>
      <c r="T31" s="482"/>
      <c r="U31" s="234"/>
      <c r="V31" s="234"/>
      <c r="W31" s="234"/>
      <c r="X31" s="482"/>
      <c r="Y31" s="235"/>
      <c r="Z31" s="238"/>
      <c r="AA31" s="236"/>
      <c r="AB31" s="236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>
        <f t="shared" si="1"/>
        <v>0</v>
      </c>
      <c r="AS31" s="202"/>
    </row>
    <row r="32" spans="1:45" x14ac:dyDescent="0.35">
      <c r="A32" s="237" t="s">
        <v>173</v>
      </c>
      <c r="B32" s="237"/>
      <c r="C32" s="237"/>
      <c r="D32" s="237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482"/>
      <c r="Q32" s="234"/>
      <c r="R32" s="234"/>
      <c r="S32" s="234"/>
      <c r="T32" s="482"/>
      <c r="U32" s="234"/>
      <c r="V32" s="234"/>
      <c r="W32" s="234"/>
      <c r="X32" s="482"/>
      <c r="Y32" s="235"/>
      <c r="Z32" s="238"/>
      <c r="AA32" s="236"/>
      <c r="AB32" s="236"/>
      <c r="AC32" s="202"/>
      <c r="AD32" s="202"/>
      <c r="AE32" s="202"/>
      <c r="AF32" s="202"/>
      <c r="AG32" s="202"/>
      <c r="AH32" s="202"/>
      <c r="AI32" s="202"/>
      <c r="AJ32" s="202"/>
      <c r="AK32" s="202"/>
      <c r="AL32" s="202"/>
      <c r="AM32" s="202"/>
      <c r="AN32" s="202"/>
      <c r="AO32" s="202"/>
      <c r="AP32" s="202"/>
      <c r="AQ32" s="202"/>
      <c r="AR32" s="202">
        <f t="shared" si="1"/>
        <v>0</v>
      </c>
      <c r="AS32" s="202"/>
    </row>
    <row r="33" spans="1:45" x14ac:dyDescent="0.35">
      <c r="A33" s="237" t="s">
        <v>174</v>
      </c>
      <c r="B33" s="237"/>
      <c r="C33" s="237"/>
      <c r="D33" s="237"/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482"/>
      <c r="Q33" s="234"/>
      <c r="R33" s="234"/>
      <c r="S33" s="234"/>
      <c r="T33" s="482"/>
      <c r="U33" s="234"/>
      <c r="V33" s="234"/>
      <c r="W33" s="234"/>
      <c r="X33" s="482"/>
      <c r="Y33" s="235"/>
      <c r="Z33" s="238"/>
      <c r="AA33" s="236"/>
      <c r="AB33" s="236"/>
      <c r="AC33" s="202"/>
      <c r="AD33" s="202"/>
      <c r="AE33" s="202"/>
      <c r="AF33" s="202"/>
      <c r="AG33" s="202"/>
      <c r="AH33" s="202"/>
      <c r="AI33" s="202"/>
      <c r="AJ33" s="202"/>
      <c r="AK33" s="202"/>
      <c r="AL33" s="202"/>
      <c r="AM33" s="202"/>
      <c r="AN33" s="202"/>
      <c r="AO33" s="202"/>
      <c r="AP33" s="202"/>
      <c r="AQ33" s="202"/>
      <c r="AR33" s="202">
        <f t="shared" si="1"/>
        <v>0</v>
      </c>
      <c r="AS33" s="202"/>
    </row>
    <row r="34" spans="1:45" x14ac:dyDescent="0.35">
      <c r="A34" s="237" t="s">
        <v>365</v>
      </c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482"/>
      <c r="Q34" s="234"/>
      <c r="R34" s="234"/>
      <c r="S34" s="234"/>
      <c r="T34" s="482"/>
      <c r="U34" s="234"/>
      <c r="V34" s="234"/>
      <c r="W34" s="234"/>
      <c r="X34" s="482"/>
      <c r="Y34" s="235"/>
      <c r="Z34" s="238"/>
      <c r="AA34" s="236"/>
      <c r="AB34" s="236"/>
      <c r="AC34" s="202"/>
      <c r="AD34" s="202"/>
      <c r="AE34" s="202"/>
      <c r="AF34" s="202"/>
      <c r="AG34" s="202"/>
      <c r="AH34" s="202"/>
      <c r="AI34" s="202"/>
      <c r="AJ34" s="202"/>
      <c r="AK34" s="202"/>
      <c r="AL34" s="202"/>
      <c r="AM34" s="202"/>
      <c r="AN34" s="202"/>
      <c r="AO34" s="202"/>
      <c r="AP34" s="202"/>
      <c r="AQ34" s="202"/>
      <c r="AR34" s="202">
        <f t="shared" si="1"/>
        <v>0</v>
      </c>
      <c r="AS34" s="202"/>
    </row>
    <row r="35" spans="1:45" x14ac:dyDescent="0.35">
      <c r="A35" s="237" t="s">
        <v>367</v>
      </c>
      <c r="B35" s="237"/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482"/>
      <c r="Q35" s="234"/>
      <c r="R35" s="234"/>
      <c r="S35" s="234"/>
      <c r="T35" s="482"/>
      <c r="U35" s="234"/>
      <c r="V35" s="234"/>
      <c r="W35" s="234"/>
      <c r="X35" s="482"/>
      <c r="Y35" s="235"/>
      <c r="Z35" s="238"/>
      <c r="AA35" s="236"/>
      <c r="AB35" s="236"/>
      <c r="AC35" s="202"/>
      <c r="AD35" s="202"/>
      <c r="AE35" s="202"/>
      <c r="AF35" s="202"/>
      <c r="AG35" s="202"/>
      <c r="AH35" s="202"/>
      <c r="AI35" s="202"/>
      <c r="AJ35" s="202"/>
      <c r="AK35" s="202"/>
      <c r="AL35" s="202"/>
      <c r="AM35" s="202"/>
      <c r="AN35" s="202"/>
      <c r="AO35" s="202"/>
      <c r="AP35" s="202"/>
      <c r="AQ35" s="202"/>
      <c r="AR35" s="202">
        <f t="shared" si="1"/>
        <v>0</v>
      </c>
      <c r="AS35" s="202"/>
    </row>
    <row r="36" spans="1:45" x14ac:dyDescent="0.35">
      <c r="A36" s="237" t="s">
        <v>819</v>
      </c>
      <c r="B36" s="237"/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482"/>
      <c r="Q36" s="234"/>
      <c r="R36" s="234"/>
      <c r="S36" s="234"/>
      <c r="T36" s="482"/>
      <c r="U36" s="234"/>
      <c r="V36" s="234"/>
      <c r="W36" s="234"/>
      <c r="X36" s="482"/>
      <c r="Y36" s="235"/>
      <c r="Z36" s="238"/>
      <c r="AA36" s="236"/>
      <c r="AB36" s="236"/>
      <c r="AC36" s="202"/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>
        <f t="shared" si="1"/>
        <v>0</v>
      </c>
      <c r="AS36" s="202"/>
    </row>
    <row r="37" spans="1:45" x14ac:dyDescent="0.35">
      <c r="A37" s="237" t="s">
        <v>820</v>
      </c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482"/>
      <c r="Q37" s="234"/>
      <c r="R37" s="234"/>
      <c r="S37" s="234"/>
      <c r="T37" s="482"/>
      <c r="U37" s="234"/>
      <c r="V37" s="234"/>
      <c r="W37" s="234"/>
      <c r="X37" s="482"/>
      <c r="Y37" s="235"/>
      <c r="Z37" s="238"/>
      <c r="AA37" s="236"/>
      <c r="AB37" s="236"/>
      <c r="AC37" s="202"/>
      <c r="AD37" s="202"/>
      <c r="AE37" s="202"/>
      <c r="AF37" s="202"/>
      <c r="AG37" s="202"/>
      <c r="AH37" s="202"/>
      <c r="AI37" s="202"/>
      <c r="AJ37" s="202"/>
      <c r="AK37" s="202"/>
      <c r="AL37" s="202"/>
      <c r="AM37" s="202"/>
      <c r="AN37" s="202"/>
      <c r="AO37" s="202"/>
      <c r="AP37" s="202"/>
      <c r="AQ37" s="202"/>
      <c r="AR37" s="202">
        <f t="shared" si="1"/>
        <v>0</v>
      </c>
      <c r="AS37" s="202"/>
    </row>
    <row r="38" spans="1:45" x14ac:dyDescent="0.35">
      <c r="A38" s="237" t="s">
        <v>821</v>
      </c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482"/>
      <c r="Q38" s="234"/>
      <c r="R38" s="234"/>
      <c r="S38" s="234"/>
      <c r="T38" s="482"/>
      <c r="U38" s="234"/>
      <c r="V38" s="234"/>
      <c r="W38" s="234"/>
      <c r="X38" s="482"/>
      <c r="Y38" s="235"/>
      <c r="Z38" s="238"/>
      <c r="AA38" s="236"/>
      <c r="AB38" s="236"/>
      <c r="AC38" s="202"/>
      <c r="AD38" s="202"/>
      <c r="AE38" s="202"/>
      <c r="AF38" s="202"/>
      <c r="AG38" s="202"/>
      <c r="AH38" s="202"/>
      <c r="AI38" s="202"/>
      <c r="AJ38" s="202"/>
      <c r="AK38" s="202"/>
      <c r="AL38" s="202"/>
      <c r="AM38" s="202"/>
      <c r="AN38" s="202"/>
      <c r="AO38" s="202"/>
      <c r="AP38" s="202"/>
      <c r="AQ38" s="202"/>
      <c r="AR38" s="202">
        <f t="shared" si="1"/>
        <v>0</v>
      </c>
      <c r="AS38" s="202"/>
    </row>
    <row r="39" spans="1:45" x14ac:dyDescent="0.35">
      <c r="A39" s="237" t="s">
        <v>822</v>
      </c>
      <c r="B39" s="237"/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482"/>
      <c r="Q39" s="234"/>
      <c r="R39" s="234"/>
      <c r="S39" s="234"/>
      <c r="T39" s="482"/>
      <c r="U39" s="234"/>
      <c r="V39" s="234"/>
      <c r="W39" s="234"/>
      <c r="X39" s="482"/>
      <c r="Y39" s="235"/>
      <c r="Z39" s="238"/>
      <c r="AA39" s="236"/>
      <c r="AB39" s="236"/>
      <c r="AC39" s="202"/>
      <c r="AD39" s="202"/>
      <c r="AE39" s="202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>
        <f t="shared" si="1"/>
        <v>0</v>
      </c>
      <c r="AS39" s="202"/>
    </row>
    <row r="40" spans="1:45" x14ac:dyDescent="0.35">
      <c r="A40" s="237" t="s">
        <v>823</v>
      </c>
      <c r="B40" s="237"/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  <c r="O40" s="237"/>
      <c r="P40" s="482"/>
      <c r="Q40" s="234"/>
      <c r="R40" s="234"/>
      <c r="S40" s="234"/>
      <c r="T40" s="482"/>
      <c r="U40" s="234"/>
      <c r="V40" s="234"/>
      <c r="W40" s="234"/>
      <c r="X40" s="482"/>
      <c r="Y40" s="235"/>
      <c r="Z40" s="238"/>
      <c r="AA40" s="236"/>
      <c r="AB40" s="236"/>
      <c r="AC40" s="202"/>
      <c r="AD40" s="202"/>
      <c r="AE40" s="202"/>
      <c r="AF40" s="202"/>
      <c r="AG40" s="202"/>
      <c r="AH40" s="202"/>
      <c r="AI40" s="202"/>
      <c r="AJ40" s="202"/>
      <c r="AK40" s="202"/>
      <c r="AL40" s="202"/>
      <c r="AM40" s="202"/>
      <c r="AN40" s="202"/>
      <c r="AO40" s="202"/>
      <c r="AP40" s="202"/>
      <c r="AQ40" s="202"/>
      <c r="AR40" s="202">
        <f t="shared" si="1"/>
        <v>0</v>
      </c>
      <c r="AS40" s="202"/>
    </row>
    <row r="41" spans="1:45" x14ac:dyDescent="0.35">
      <c r="A41" s="237" t="s">
        <v>824</v>
      </c>
      <c r="B41" s="23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482"/>
      <c r="Q41" s="234"/>
      <c r="R41" s="234"/>
      <c r="S41" s="234"/>
      <c r="T41" s="482"/>
      <c r="U41" s="234"/>
      <c r="V41" s="234"/>
      <c r="W41" s="234"/>
      <c r="X41" s="482"/>
      <c r="Y41" s="235"/>
      <c r="Z41" s="238"/>
      <c r="AA41" s="236"/>
      <c r="AB41" s="236"/>
      <c r="AC41" s="202"/>
      <c r="AD41" s="202"/>
      <c r="AE41" s="202"/>
      <c r="AF41" s="202"/>
      <c r="AG41" s="202"/>
      <c r="AH41" s="202"/>
      <c r="AI41" s="202"/>
      <c r="AJ41" s="202"/>
      <c r="AK41" s="202"/>
      <c r="AL41" s="202"/>
      <c r="AM41" s="202"/>
      <c r="AN41" s="202"/>
      <c r="AO41" s="202"/>
      <c r="AP41" s="202"/>
      <c r="AQ41" s="202"/>
      <c r="AR41" s="202">
        <f t="shared" si="1"/>
        <v>0</v>
      </c>
      <c r="AS41" s="202"/>
    </row>
    <row r="42" spans="1:45" x14ac:dyDescent="0.35">
      <c r="A42" s="237" t="s">
        <v>825</v>
      </c>
      <c r="B42" s="237"/>
      <c r="C42" s="237"/>
      <c r="D42" s="237"/>
      <c r="E42" s="237"/>
      <c r="F42" s="237"/>
      <c r="G42" s="237"/>
      <c r="H42" s="237"/>
      <c r="I42" s="237"/>
      <c r="J42" s="237"/>
      <c r="K42" s="237"/>
      <c r="L42" s="237"/>
      <c r="M42" s="237"/>
      <c r="N42" s="237"/>
      <c r="O42" s="237"/>
      <c r="P42" s="482"/>
      <c r="Q42" s="234"/>
      <c r="R42" s="234"/>
      <c r="S42" s="234"/>
      <c r="T42" s="482"/>
      <c r="U42" s="234"/>
      <c r="V42" s="234"/>
      <c r="W42" s="234"/>
      <c r="X42" s="482"/>
      <c r="Y42" s="235"/>
      <c r="Z42" s="238"/>
      <c r="AA42" s="236"/>
      <c r="AB42" s="236"/>
      <c r="AC42" s="202"/>
      <c r="AD42" s="202"/>
      <c r="AE42" s="202"/>
      <c r="AF42" s="202"/>
      <c r="AG42" s="202"/>
      <c r="AH42" s="202"/>
      <c r="AI42" s="202"/>
      <c r="AJ42" s="202"/>
      <c r="AK42" s="202"/>
      <c r="AL42" s="202"/>
      <c r="AM42" s="202"/>
      <c r="AN42" s="202"/>
      <c r="AO42" s="202"/>
      <c r="AP42" s="202"/>
      <c r="AQ42" s="202"/>
      <c r="AR42" s="202">
        <f t="shared" si="1"/>
        <v>0</v>
      </c>
      <c r="AS42" s="202">
        <f t="shared" si="2"/>
        <v>0</v>
      </c>
    </row>
    <row r="43" spans="1:45" x14ac:dyDescent="0.35">
      <c r="A43" s="237" t="s">
        <v>826</v>
      </c>
      <c r="B43" s="239"/>
      <c r="C43" s="239"/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P43" s="483"/>
      <c r="Q43" s="240"/>
      <c r="R43" s="240"/>
      <c r="S43" s="240"/>
      <c r="T43" s="483"/>
      <c r="U43" s="240"/>
      <c r="V43" s="240"/>
      <c r="W43" s="240"/>
      <c r="X43" s="483"/>
      <c r="Y43" s="241"/>
      <c r="Z43" s="242"/>
      <c r="AA43" s="243"/>
      <c r="AB43" s="243"/>
      <c r="AC43" s="202"/>
      <c r="AD43" s="202"/>
      <c r="AE43" s="202"/>
      <c r="AF43" s="202"/>
      <c r="AG43" s="202"/>
      <c r="AH43" s="202"/>
      <c r="AI43" s="202"/>
      <c r="AJ43" s="202"/>
      <c r="AK43" s="202"/>
      <c r="AL43" s="202"/>
      <c r="AM43" s="202"/>
      <c r="AN43" s="202"/>
      <c r="AO43" s="202"/>
      <c r="AP43" s="202"/>
      <c r="AQ43" s="202"/>
      <c r="AR43" s="202">
        <f t="shared" si="1"/>
        <v>0</v>
      </c>
      <c r="AS43" s="202"/>
    </row>
    <row r="44" spans="1:45" x14ac:dyDescent="0.35">
      <c r="A44" s="237" t="s">
        <v>827</v>
      </c>
      <c r="B44" s="239"/>
      <c r="C44" s="239"/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P44" s="483"/>
      <c r="Q44" s="240"/>
      <c r="R44" s="240"/>
      <c r="S44" s="240"/>
      <c r="T44" s="483"/>
      <c r="U44" s="240"/>
      <c r="V44" s="240"/>
      <c r="W44" s="240"/>
      <c r="X44" s="483"/>
      <c r="Y44" s="241"/>
      <c r="Z44" s="242"/>
      <c r="AA44" s="243"/>
      <c r="AB44" s="243"/>
      <c r="AC44" s="202"/>
      <c r="AD44" s="202"/>
      <c r="AE44" s="202"/>
      <c r="AF44" s="202"/>
      <c r="AG44" s="202"/>
      <c r="AH44" s="202"/>
      <c r="AI44" s="202"/>
      <c r="AJ44" s="202"/>
      <c r="AK44" s="202"/>
      <c r="AL44" s="202"/>
      <c r="AM44" s="202"/>
      <c r="AN44" s="202"/>
      <c r="AO44" s="202"/>
      <c r="AP44" s="202"/>
      <c r="AQ44" s="202"/>
      <c r="AR44" s="202">
        <f t="shared" si="1"/>
        <v>0</v>
      </c>
      <c r="AS44" s="202"/>
    </row>
    <row r="45" spans="1:45" x14ac:dyDescent="0.35">
      <c r="A45" s="239"/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P45" s="483"/>
      <c r="Q45" s="240"/>
      <c r="R45" s="240"/>
      <c r="S45" s="240"/>
      <c r="T45" s="483"/>
      <c r="U45" s="240"/>
      <c r="V45" s="240"/>
      <c r="W45" s="240"/>
      <c r="X45" s="483"/>
      <c r="Y45" s="241"/>
      <c r="Z45" s="242"/>
      <c r="AA45" s="243"/>
      <c r="AB45" s="243"/>
      <c r="AC45" s="202"/>
      <c r="AD45" s="202"/>
      <c r="AE45" s="202"/>
      <c r="AF45" s="202"/>
      <c r="AG45" s="202"/>
      <c r="AH45" s="202"/>
      <c r="AI45" s="202"/>
      <c r="AJ45" s="202"/>
      <c r="AK45" s="202"/>
      <c r="AL45" s="202"/>
      <c r="AM45" s="202"/>
      <c r="AN45" s="202"/>
      <c r="AO45" s="202"/>
      <c r="AP45" s="202"/>
      <c r="AQ45" s="202"/>
      <c r="AR45" s="202">
        <f t="shared" si="1"/>
        <v>0</v>
      </c>
      <c r="AS45" s="202">
        <f t="shared" si="2"/>
        <v>0</v>
      </c>
    </row>
    <row r="46" spans="1:45" x14ac:dyDescent="0.35">
      <c r="A46" s="244"/>
      <c r="B46" s="244"/>
      <c r="C46" s="245" t="s">
        <v>828</v>
      </c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T46" s="244"/>
      <c r="U46" s="210"/>
      <c r="V46" s="244"/>
      <c r="W46" s="244"/>
      <c r="X46" s="244"/>
      <c r="Y46" s="354">
        <v>627</v>
      </c>
      <c r="Z46" s="246"/>
      <c r="AA46" s="244"/>
      <c r="AB46" s="244"/>
      <c r="AC46" s="816">
        <f>SUMIFS($AC$8:$AC$45,$Y$8:$Y$45,$Y46)</f>
        <v>0</v>
      </c>
      <c r="AD46" s="816">
        <f t="shared" ref="AD46:AR47" si="4">SUMIFS(AD$8:AD$45,$Y$8:$Y$45,$Y46)</f>
        <v>0</v>
      </c>
      <c r="AE46" s="816">
        <f t="shared" si="4"/>
        <v>0</v>
      </c>
      <c r="AF46" s="816">
        <f t="shared" si="4"/>
        <v>0</v>
      </c>
      <c r="AG46" s="816">
        <f t="shared" si="4"/>
        <v>0</v>
      </c>
      <c r="AH46" s="816">
        <f t="shared" si="4"/>
        <v>0</v>
      </c>
      <c r="AI46" s="816">
        <f t="shared" si="4"/>
        <v>0</v>
      </c>
      <c r="AJ46" s="816">
        <f t="shared" si="4"/>
        <v>0</v>
      </c>
      <c r="AK46" s="816">
        <f t="shared" si="4"/>
        <v>0</v>
      </c>
      <c r="AL46" s="816">
        <f t="shared" si="4"/>
        <v>0</v>
      </c>
      <c r="AM46" s="816">
        <f t="shared" si="4"/>
        <v>0</v>
      </c>
      <c r="AN46" s="816">
        <f t="shared" si="4"/>
        <v>0</v>
      </c>
      <c r="AO46" s="816">
        <f t="shared" si="4"/>
        <v>0</v>
      </c>
      <c r="AP46" s="816">
        <f t="shared" si="4"/>
        <v>0</v>
      </c>
      <c r="AQ46" s="816">
        <f t="shared" si="4"/>
        <v>0</v>
      </c>
      <c r="AR46" s="816">
        <f t="shared" si="4"/>
        <v>0</v>
      </c>
      <c r="AS46" s="360">
        <f t="shared" si="2"/>
        <v>0</v>
      </c>
    </row>
    <row r="47" spans="1:45" x14ac:dyDescent="0.35">
      <c r="A47" s="244"/>
      <c r="B47" s="244"/>
      <c r="C47" s="245" t="s">
        <v>829</v>
      </c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10"/>
      <c r="V47" s="244"/>
      <c r="W47" s="244"/>
      <c r="X47" s="244"/>
      <c r="Y47" s="354">
        <v>642</v>
      </c>
      <c r="Z47" s="246"/>
      <c r="AA47" s="244"/>
      <c r="AB47" s="244"/>
      <c r="AC47" s="816">
        <f>SUMIFS($AC$8:$AC$45,$Y$8:$Y$45,$Y47)</f>
        <v>0</v>
      </c>
      <c r="AD47" s="816">
        <f t="shared" si="4"/>
        <v>0</v>
      </c>
      <c r="AE47" s="816">
        <f t="shared" si="4"/>
        <v>0</v>
      </c>
      <c r="AF47" s="816">
        <f t="shared" si="4"/>
        <v>0</v>
      </c>
      <c r="AG47" s="816">
        <f t="shared" si="4"/>
        <v>0</v>
      </c>
      <c r="AH47" s="816">
        <f t="shared" si="4"/>
        <v>0</v>
      </c>
      <c r="AI47" s="816">
        <f t="shared" si="4"/>
        <v>0</v>
      </c>
      <c r="AJ47" s="816">
        <f t="shared" si="4"/>
        <v>0</v>
      </c>
      <c r="AK47" s="816">
        <f t="shared" si="4"/>
        <v>0</v>
      </c>
      <c r="AL47" s="816">
        <f t="shared" si="4"/>
        <v>0</v>
      </c>
      <c r="AM47" s="816">
        <f t="shared" si="4"/>
        <v>0</v>
      </c>
      <c r="AN47" s="816">
        <f t="shared" si="4"/>
        <v>0</v>
      </c>
      <c r="AO47" s="816">
        <f t="shared" si="4"/>
        <v>0</v>
      </c>
      <c r="AP47" s="816">
        <f t="shared" si="4"/>
        <v>0</v>
      </c>
      <c r="AQ47" s="816">
        <f t="shared" si="4"/>
        <v>0</v>
      </c>
      <c r="AR47" s="816">
        <f t="shared" si="4"/>
        <v>0</v>
      </c>
      <c r="AS47" s="360">
        <f t="shared" si="2"/>
        <v>0</v>
      </c>
    </row>
    <row r="48" spans="1:45" x14ac:dyDescent="0.35">
      <c r="A48" s="244"/>
      <c r="B48" s="244"/>
      <c r="C48" s="245" t="s">
        <v>830</v>
      </c>
      <c r="D48" s="244"/>
      <c r="E48" s="244"/>
      <c r="F48" s="244"/>
      <c r="G48" s="244"/>
      <c r="H48" s="244"/>
      <c r="I48" s="244"/>
      <c r="J48" s="244"/>
      <c r="K48" s="244"/>
      <c r="L48" s="244"/>
      <c r="M48" s="244"/>
      <c r="N48" s="244"/>
      <c r="O48" s="244"/>
      <c r="P48" s="244"/>
      <c r="Q48" s="244"/>
      <c r="R48" s="244"/>
      <c r="S48" s="244"/>
      <c r="T48" s="244"/>
      <c r="U48" s="210"/>
      <c r="V48" s="244"/>
      <c r="W48" s="244"/>
      <c r="X48" s="244"/>
      <c r="Y48" s="354"/>
      <c r="Z48" s="246"/>
      <c r="AA48" s="244"/>
      <c r="AB48" s="244"/>
      <c r="AC48" s="360">
        <f>AC46+AC47</f>
        <v>0</v>
      </c>
      <c r="AD48" s="360">
        <f t="shared" ref="AD48:AS48" si="5">AD46+AD47</f>
        <v>0</v>
      </c>
      <c r="AE48" s="360">
        <f t="shared" si="5"/>
        <v>0</v>
      </c>
      <c r="AF48" s="360">
        <f t="shared" si="5"/>
        <v>0</v>
      </c>
      <c r="AG48" s="360">
        <f t="shared" si="5"/>
        <v>0</v>
      </c>
      <c r="AH48" s="360">
        <f t="shared" si="5"/>
        <v>0</v>
      </c>
      <c r="AI48" s="360">
        <f t="shared" si="5"/>
        <v>0</v>
      </c>
      <c r="AJ48" s="360">
        <f t="shared" si="5"/>
        <v>0</v>
      </c>
      <c r="AK48" s="360">
        <f t="shared" si="5"/>
        <v>0</v>
      </c>
      <c r="AL48" s="360">
        <f t="shared" si="5"/>
        <v>0</v>
      </c>
      <c r="AM48" s="360">
        <f t="shared" si="5"/>
        <v>0</v>
      </c>
      <c r="AN48" s="360">
        <f t="shared" si="5"/>
        <v>0</v>
      </c>
      <c r="AO48" s="360">
        <f t="shared" si="5"/>
        <v>0</v>
      </c>
      <c r="AP48" s="360">
        <f t="shared" si="5"/>
        <v>0</v>
      </c>
      <c r="AQ48" s="360">
        <f t="shared" si="5"/>
        <v>0</v>
      </c>
      <c r="AR48" s="360">
        <f t="shared" si="5"/>
        <v>0</v>
      </c>
      <c r="AS48" s="360">
        <f t="shared" si="5"/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T365"/>
  <sheetViews>
    <sheetView workbookViewId="0"/>
  </sheetViews>
  <sheetFormatPr defaultRowHeight="14.5" x14ac:dyDescent="0.35"/>
  <sheetData>
    <row r="1" spans="1:46" ht="20" x14ac:dyDescent="0.4">
      <c r="A1" s="275"/>
      <c r="B1" s="275"/>
      <c r="C1" s="276"/>
      <c r="D1" s="277"/>
      <c r="E1" s="277"/>
      <c r="F1" s="277"/>
      <c r="G1" s="277"/>
      <c r="H1" s="278" t="s">
        <v>1205</v>
      </c>
      <c r="I1" s="276"/>
      <c r="J1" s="277"/>
      <c r="K1" s="277"/>
      <c r="L1" s="276"/>
      <c r="M1" s="277"/>
      <c r="N1" s="277"/>
      <c r="O1" s="276"/>
      <c r="P1" s="277"/>
      <c r="Q1" s="277"/>
      <c r="R1" s="277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</row>
    <row r="2" spans="1:46" ht="20" x14ac:dyDescent="0.4">
      <c r="A2" s="275"/>
      <c r="B2" s="275"/>
      <c r="C2" s="276"/>
      <c r="D2" s="277"/>
      <c r="E2" s="277"/>
      <c r="F2" s="277"/>
      <c r="G2" s="277"/>
      <c r="H2" s="280" t="s">
        <v>765</v>
      </c>
      <c r="I2" s="276"/>
      <c r="J2" s="277"/>
      <c r="K2" s="277"/>
      <c r="L2" s="276"/>
      <c r="M2" s="277"/>
      <c r="N2" s="277"/>
      <c r="O2" s="276"/>
      <c r="P2" s="277"/>
      <c r="Q2" s="277"/>
      <c r="R2" s="277"/>
      <c r="S2" s="279"/>
      <c r="T2" s="279"/>
      <c r="U2" s="279"/>
      <c r="V2" s="279"/>
      <c r="W2" s="279"/>
      <c r="X2" s="279"/>
      <c r="Y2" s="279"/>
      <c r="Z2" s="279"/>
      <c r="AA2" s="279"/>
      <c r="AB2" s="279"/>
      <c r="AC2" s="279"/>
      <c r="AD2" s="279"/>
    </row>
    <row r="3" spans="1:46" ht="20" x14ac:dyDescent="0.4">
      <c r="A3" s="275"/>
      <c r="B3" s="275"/>
      <c r="C3" s="276"/>
      <c r="D3" s="277"/>
      <c r="E3" s="277"/>
      <c r="F3" s="277"/>
      <c r="G3" s="277"/>
      <c r="H3" s="281" t="s">
        <v>1206</v>
      </c>
      <c r="I3" s="276"/>
      <c r="J3" s="277"/>
      <c r="K3" s="277"/>
      <c r="L3" s="280"/>
      <c r="M3" s="277"/>
      <c r="N3" s="277"/>
      <c r="O3" s="276"/>
      <c r="P3" s="277"/>
      <c r="Q3" s="277"/>
      <c r="S3" s="279"/>
      <c r="T3" s="279"/>
      <c r="U3" s="279"/>
      <c r="V3" s="279"/>
      <c r="W3" s="279"/>
      <c r="X3" s="279"/>
      <c r="Y3" s="279"/>
      <c r="Z3" s="279"/>
      <c r="AA3" s="279"/>
      <c r="AB3" s="279"/>
      <c r="AC3" s="279"/>
      <c r="AD3" s="279"/>
    </row>
    <row r="4" spans="1:46" ht="20" x14ac:dyDescent="0.4">
      <c r="A4" s="275"/>
      <c r="B4" s="275"/>
      <c r="C4" s="276"/>
      <c r="D4" s="277"/>
      <c r="E4" s="277"/>
      <c r="F4" s="277"/>
      <c r="G4" s="277"/>
      <c r="H4" s="282" t="s">
        <v>1207</v>
      </c>
      <c r="I4" s="276"/>
      <c r="J4" s="277"/>
      <c r="K4" s="277"/>
      <c r="L4" s="282"/>
      <c r="M4" s="277"/>
      <c r="N4" s="277"/>
      <c r="O4" s="276"/>
      <c r="P4" s="277"/>
      <c r="Q4" s="277"/>
      <c r="R4" s="280"/>
      <c r="S4" s="279"/>
      <c r="T4" s="279"/>
      <c r="U4" s="279"/>
      <c r="V4" s="279"/>
      <c r="W4" s="279"/>
      <c r="X4" s="279"/>
      <c r="Y4" s="279"/>
      <c r="Z4" s="279"/>
      <c r="AA4" s="279"/>
      <c r="AB4" s="279"/>
      <c r="AC4" s="279"/>
      <c r="AD4" s="279"/>
    </row>
    <row r="5" spans="1:46" ht="20" x14ac:dyDescent="0.4">
      <c r="H5" s="283"/>
      <c r="L5" s="284"/>
      <c r="R5" s="285"/>
      <c r="S5" s="286"/>
      <c r="T5" s="286"/>
      <c r="U5" s="286"/>
      <c r="V5" s="286"/>
      <c r="W5" s="286"/>
      <c r="X5" s="286"/>
      <c r="Y5" s="286"/>
      <c r="Z5" s="286"/>
      <c r="AA5" s="286"/>
      <c r="AB5" s="286"/>
      <c r="AC5" s="286"/>
      <c r="AD5" s="286"/>
    </row>
    <row r="6" spans="1:46" ht="16.5" x14ac:dyDescent="0.35">
      <c r="A6" s="287"/>
      <c r="B6" s="287"/>
      <c r="C6" s="288"/>
      <c r="D6" s="289"/>
      <c r="E6" s="290" t="s">
        <v>1208</v>
      </c>
      <c r="F6" s="289"/>
      <c r="G6" s="289"/>
      <c r="H6" s="289"/>
      <c r="I6" s="291"/>
      <c r="J6" s="292"/>
      <c r="K6" s="289"/>
      <c r="L6" s="288"/>
      <c r="M6" s="289"/>
      <c r="N6" s="292"/>
      <c r="O6" s="291"/>
      <c r="P6" s="292"/>
      <c r="Q6" s="292"/>
      <c r="S6" s="293"/>
      <c r="T6" s="293"/>
      <c r="U6" s="293"/>
      <c r="V6" s="293"/>
      <c r="W6" s="293"/>
      <c r="X6" s="293"/>
      <c r="Y6" s="293"/>
      <c r="Z6" s="293"/>
      <c r="AA6" s="293"/>
      <c r="AB6" s="293"/>
      <c r="AC6" s="293"/>
      <c r="AD6" s="293"/>
      <c r="AF6" s="294" t="s">
        <v>1209</v>
      </c>
      <c r="AG6" s="295"/>
      <c r="AH6" s="295"/>
      <c r="AI6" s="295"/>
      <c r="AJ6" s="295"/>
      <c r="AK6" s="295"/>
      <c r="AL6" s="295"/>
      <c r="AM6" s="295"/>
      <c r="AN6" s="296" t="s">
        <v>1210</v>
      </c>
      <c r="AO6" s="296"/>
      <c r="AP6" s="297"/>
      <c r="AQ6" s="297"/>
    </row>
    <row r="7" spans="1:46" ht="28.5" x14ac:dyDescent="0.35">
      <c r="A7" s="298" t="s">
        <v>1211</v>
      </c>
      <c r="B7" s="298" t="s">
        <v>853</v>
      </c>
      <c r="C7" s="298" t="s">
        <v>1212</v>
      </c>
      <c r="D7" s="298" t="s">
        <v>1213</v>
      </c>
      <c r="E7" s="298" t="s">
        <v>1214</v>
      </c>
      <c r="F7" s="298" t="s">
        <v>1215</v>
      </c>
      <c r="G7" s="298" t="s">
        <v>1216</v>
      </c>
      <c r="H7" s="298" t="s">
        <v>1217</v>
      </c>
      <c r="I7" s="298" t="s">
        <v>1218</v>
      </c>
      <c r="J7" s="298" t="s">
        <v>1219</v>
      </c>
      <c r="K7" s="298" t="s">
        <v>1220</v>
      </c>
      <c r="L7" s="298" t="s">
        <v>1221</v>
      </c>
      <c r="M7" s="298" t="s">
        <v>1222</v>
      </c>
      <c r="N7" s="298"/>
      <c r="O7" s="299" t="s">
        <v>1218</v>
      </c>
      <c r="P7" s="298" t="s">
        <v>1219</v>
      </c>
      <c r="Q7" s="298" t="s">
        <v>1219</v>
      </c>
      <c r="R7" s="300" t="s">
        <v>1223</v>
      </c>
      <c r="S7" s="300" t="s">
        <v>1224</v>
      </c>
      <c r="T7" s="300" t="s">
        <v>1225</v>
      </c>
      <c r="U7" s="300" t="s">
        <v>1226</v>
      </c>
      <c r="V7" s="300" t="s">
        <v>1227</v>
      </c>
      <c r="W7" s="300" t="s">
        <v>1228</v>
      </c>
      <c r="X7" s="300" t="s">
        <v>1229</v>
      </c>
      <c r="Y7" s="300" t="s">
        <v>1230</v>
      </c>
      <c r="Z7" s="300" t="s">
        <v>1231</v>
      </c>
      <c r="AA7" s="300" t="s">
        <v>1232</v>
      </c>
      <c r="AB7" s="300" t="s">
        <v>1233</v>
      </c>
      <c r="AC7" s="300" t="s">
        <v>1234</v>
      </c>
      <c r="AD7" s="300" t="s">
        <v>1235</v>
      </c>
      <c r="AF7" s="301" t="s">
        <v>1236</v>
      </c>
      <c r="AG7" s="301" t="s">
        <v>1237</v>
      </c>
      <c r="AH7" s="301" t="s">
        <v>1238</v>
      </c>
      <c r="AI7" s="301" t="s">
        <v>1239</v>
      </c>
      <c r="AJ7" s="301" t="s">
        <v>1240</v>
      </c>
      <c r="AK7" s="301" t="s">
        <v>1241</v>
      </c>
      <c r="AL7" s="301" t="s">
        <v>1242</v>
      </c>
      <c r="AM7" s="301" t="s">
        <v>1243</v>
      </c>
      <c r="AN7" s="302" t="s">
        <v>1244</v>
      </c>
      <c r="AO7" s="302" t="s">
        <v>1245</v>
      </c>
      <c r="AP7" s="302" t="s">
        <v>1246</v>
      </c>
      <c r="AQ7" s="302" t="s">
        <v>1247</v>
      </c>
      <c r="AR7" s="301" t="s">
        <v>1248</v>
      </c>
      <c r="AS7" s="303" t="s">
        <v>528</v>
      </c>
      <c r="AT7" s="303" t="s">
        <v>529</v>
      </c>
    </row>
    <row r="8" spans="1:46" ht="56" x14ac:dyDescent="0.35">
      <c r="A8" s="298" t="s">
        <v>1211</v>
      </c>
      <c r="B8" s="298" t="s">
        <v>853</v>
      </c>
      <c r="C8" s="298" t="s">
        <v>1212</v>
      </c>
      <c r="D8" s="298" t="s">
        <v>1249</v>
      </c>
      <c r="E8" s="298" t="s">
        <v>1250</v>
      </c>
      <c r="F8" s="304" t="s">
        <v>1251</v>
      </c>
      <c r="G8" s="304" t="s">
        <v>1252</v>
      </c>
      <c r="H8" s="305" t="s">
        <v>1253</v>
      </c>
      <c r="I8" s="306" t="s">
        <v>482</v>
      </c>
      <c r="J8" s="306" t="s">
        <v>483</v>
      </c>
      <c r="K8" s="307" t="s">
        <v>762</v>
      </c>
      <c r="L8" s="308" t="s">
        <v>1254</v>
      </c>
      <c r="M8" s="308" t="s">
        <v>1255</v>
      </c>
      <c r="N8" s="298" t="s">
        <v>519</v>
      </c>
      <c r="O8" s="309" t="s">
        <v>1256</v>
      </c>
      <c r="P8" s="310" t="s">
        <v>1257</v>
      </c>
      <c r="Q8" s="310" t="s">
        <v>1258</v>
      </c>
      <c r="R8" s="300" t="s">
        <v>1259</v>
      </c>
      <c r="S8" s="300" t="s">
        <v>1260</v>
      </c>
      <c r="T8" s="300" t="s">
        <v>1261</v>
      </c>
      <c r="U8" s="300" t="s">
        <v>1262</v>
      </c>
      <c r="V8" s="300" t="s">
        <v>1263</v>
      </c>
      <c r="W8" s="300" t="s">
        <v>1264</v>
      </c>
      <c r="X8" s="300" t="s">
        <v>1265</v>
      </c>
      <c r="Y8" s="300" t="s">
        <v>1266</v>
      </c>
      <c r="Z8" s="300" t="s">
        <v>1267</v>
      </c>
      <c r="AA8" s="300" t="s">
        <v>1268</v>
      </c>
      <c r="AB8" s="300" t="s">
        <v>1269</v>
      </c>
      <c r="AC8" s="300" t="s">
        <v>1270</v>
      </c>
      <c r="AD8" s="300" t="s">
        <v>1271</v>
      </c>
      <c r="AF8" s="311" t="s">
        <v>1272</v>
      </c>
      <c r="AG8" s="311" t="s">
        <v>1273</v>
      </c>
      <c r="AH8" s="311" t="s">
        <v>1274</v>
      </c>
      <c r="AI8" s="311" t="s">
        <v>1275</v>
      </c>
      <c r="AJ8" s="311" t="s">
        <v>1276</v>
      </c>
      <c r="AK8" s="311" t="s">
        <v>1277</v>
      </c>
      <c r="AL8" s="311" t="s">
        <v>1278</v>
      </c>
      <c r="AM8" s="311" t="s">
        <v>1279</v>
      </c>
      <c r="AN8" s="312" t="s">
        <v>1280</v>
      </c>
      <c r="AO8" s="312" t="s">
        <v>1245</v>
      </c>
      <c r="AP8" s="312" t="s">
        <v>1246</v>
      </c>
      <c r="AQ8" s="312" t="s">
        <v>1247</v>
      </c>
      <c r="AR8" s="311" t="s">
        <v>1281</v>
      </c>
      <c r="AS8" s="313" t="s">
        <v>528</v>
      </c>
      <c r="AT8" s="313" t="s">
        <v>529</v>
      </c>
    </row>
    <row r="9" spans="1:46" x14ac:dyDescent="0.35">
      <c r="A9" s="314" t="s">
        <v>1282</v>
      </c>
      <c r="B9" s="314" t="s">
        <v>1283</v>
      </c>
      <c r="C9" s="315" t="s">
        <v>429</v>
      </c>
      <c r="D9" s="315"/>
      <c r="E9" s="315"/>
      <c r="F9" s="315"/>
      <c r="G9" s="315"/>
      <c r="H9" s="316" t="s">
        <v>1284</v>
      </c>
      <c r="I9" s="316" t="s">
        <v>1285</v>
      </c>
      <c r="J9" s="315"/>
      <c r="K9" s="315"/>
      <c r="L9" s="317"/>
      <c r="M9" s="317"/>
      <c r="N9" s="315"/>
      <c r="O9" s="316" t="s">
        <v>1285</v>
      </c>
      <c r="P9" s="315"/>
      <c r="Q9" s="315"/>
      <c r="R9" s="318">
        <f t="shared" ref="R9:AC9" si="0">SUM(R10:R22)</f>
        <v>0</v>
      </c>
      <c r="S9" s="318">
        <f t="shared" si="0"/>
        <v>0</v>
      </c>
      <c r="T9" s="318">
        <f t="shared" si="0"/>
        <v>0</v>
      </c>
      <c r="U9" s="318">
        <f t="shared" si="0"/>
        <v>0</v>
      </c>
      <c r="V9" s="318">
        <f t="shared" si="0"/>
        <v>0</v>
      </c>
      <c r="W9" s="318">
        <f t="shared" si="0"/>
        <v>0</v>
      </c>
      <c r="X9" s="318">
        <f t="shared" si="0"/>
        <v>0</v>
      </c>
      <c r="Y9" s="318">
        <f t="shared" si="0"/>
        <v>0</v>
      </c>
      <c r="Z9" s="318">
        <f t="shared" si="0"/>
        <v>0</v>
      </c>
      <c r="AA9" s="318">
        <f t="shared" si="0"/>
        <v>0</v>
      </c>
      <c r="AB9" s="318">
        <f t="shared" si="0"/>
        <v>0</v>
      </c>
      <c r="AC9" s="318">
        <f t="shared" si="0"/>
        <v>0</v>
      </c>
      <c r="AD9" s="318">
        <f>SUM(R9:AC9)</f>
        <v>0</v>
      </c>
      <c r="AF9" s="318">
        <f t="shared" ref="AF9:AR9" si="1">SUM(AF10:AF22)</f>
        <v>0</v>
      </c>
      <c r="AG9" s="318">
        <f t="shared" si="1"/>
        <v>0</v>
      </c>
      <c r="AH9" s="318">
        <f t="shared" si="1"/>
        <v>0</v>
      </c>
      <c r="AI9" s="318">
        <f t="shared" si="1"/>
        <v>0</v>
      </c>
      <c r="AJ9" s="318">
        <f t="shared" si="1"/>
        <v>0</v>
      </c>
      <c r="AK9" s="318">
        <f t="shared" si="1"/>
        <v>0</v>
      </c>
      <c r="AL9" s="318">
        <f t="shared" si="1"/>
        <v>0</v>
      </c>
      <c r="AM9" s="318">
        <f t="shared" si="1"/>
        <v>0</v>
      </c>
      <c r="AN9" s="318">
        <f t="shared" si="1"/>
        <v>0</v>
      </c>
      <c r="AO9" s="318">
        <f t="shared" si="1"/>
        <v>0</v>
      </c>
      <c r="AP9" s="318">
        <f t="shared" si="1"/>
        <v>0</v>
      </c>
      <c r="AQ9" s="318">
        <f t="shared" si="1"/>
        <v>0</v>
      </c>
      <c r="AR9" s="318">
        <f t="shared" si="1"/>
        <v>0</v>
      </c>
      <c r="AS9" s="320">
        <f>AD9-AR9</f>
        <v>0</v>
      </c>
      <c r="AT9" s="320">
        <f>IFERROR(AS9/AR9,0)</f>
        <v>0</v>
      </c>
    </row>
    <row r="10" spans="1:46" x14ac:dyDescent="0.35">
      <c r="A10" s="321" t="s">
        <v>1282</v>
      </c>
      <c r="B10" s="321" t="s">
        <v>1283</v>
      </c>
      <c r="C10" s="322" t="s">
        <v>429</v>
      </c>
      <c r="D10" s="323" t="s">
        <v>204</v>
      </c>
      <c r="E10" s="323" t="s">
        <v>1286</v>
      </c>
      <c r="F10" s="323" t="s">
        <v>1287</v>
      </c>
      <c r="G10" s="323" t="s">
        <v>503</v>
      </c>
      <c r="H10" s="323" t="s">
        <v>1288</v>
      </c>
      <c r="I10" s="322" t="s">
        <v>882</v>
      </c>
      <c r="J10" s="323" t="s">
        <v>504</v>
      </c>
      <c r="K10" s="323" t="s">
        <v>489</v>
      </c>
      <c r="L10" s="322" t="s">
        <v>1289</v>
      </c>
      <c r="M10" s="323" t="s">
        <v>1290</v>
      </c>
      <c r="N10" s="323"/>
      <c r="O10" s="322"/>
      <c r="P10" s="323"/>
      <c r="Q10" s="323"/>
      <c r="R10" s="324"/>
      <c r="S10" s="324"/>
      <c r="T10" s="324"/>
      <c r="U10" s="324"/>
      <c r="V10" s="324"/>
      <c r="W10" s="324"/>
      <c r="X10" s="324"/>
      <c r="Y10" s="324"/>
      <c r="Z10" s="324"/>
      <c r="AA10" s="324"/>
      <c r="AB10" s="324"/>
      <c r="AC10" s="324"/>
      <c r="AD10" s="324">
        <f t="shared" ref="AD10:AD78" si="2">SUM(R10:AC10)</f>
        <v>0</v>
      </c>
      <c r="AE10" s="319"/>
      <c r="AF10" s="325"/>
      <c r="AG10" s="325"/>
      <c r="AH10" s="325"/>
      <c r="AI10" s="325"/>
      <c r="AJ10" s="325"/>
      <c r="AK10" s="325"/>
      <c r="AL10" s="325"/>
      <c r="AM10" s="325"/>
      <c r="AN10" s="325"/>
      <c r="AO10" s="325"/>
      <c r="AP10" s="325"/>
      <c r="AQ10" s="325"/>
      <c r="AR10" s="325">
        <f>SUM(AF10:AQ10)</f>
        <v>0</v>
      </c>
      <c r="AS10" s="325">
        <f t="shared" ref="AS10:AS77" si="3">AD10-AR10</f>
        <v>0</v>
      </c>
      <c r="AT10" s="325">
        <f t="shared" ref="AT10:AT77" si="4">IFERROR(AS10/AR10,0)</f>
        <v>0</v>
      </c>
    </row>
    <row r="11" spans="1:46" x14ac:dyDescent="0.35">
      <c r="A11" s="321" t="s">
        <v>1282</v>
      </c>
      <c r="B11" s="321" t="s">
        <v>1283</v>
      </c>
      <c r="C11" s="322" t="s">
        <v>429</v>
      </c>
      <c r="D11" s="323" t="s">
        <v>204</v>
      </c>
      <c r="E11" s="323" t="s">
        <v>1286</v>
      </c>
      <c r="F11" s="323" t="s">
        <v>1287</v>
      </c>
      <c r="G11" s="323" t="s">
        <v>503</v>
      </c>
      <c r="H11" s="323" t="s">
        <v>1288</v>
      </c>
      <c r="I11" s="322" t="s">
        <v>884</v>
      </c>
      <c r="J11" s="323" t="s">
        <v>505</v>
      </c>
      <c r="K11" s="323" t="s">
        <v>489</v>
      </c>
      <c r="L11" s="322" t="s">
        <v>1291</v>
      </c>
      <c r="M11" s="323" t="s">
        <v>1292</v>
      </c>
      <c r="N11" s="323"/>
      <c r="O11" s="322"/>
      <c r="P11" s="323"/>
      <c r="Q11" s="323"/>
      <c r="R11" s="324"/>
      <c r="S11" s="324"/>
      <c r="T11" s="324"/>
      <c r="U11" s="324"/>
      <c r="V11" s="324"/>
      <c r="W11" s="324"/>
      <c r="X11" s="324"/>
      <c r="Y11" s="324"/>
      <c r="Z11" s="324"/>
      <c r="AA11" s="324"/>
      <c r="AB11" s="324"/>
      <c r="AC11" s="324"/>
      <c r="AD11" s="324">
        <f t="shared" si="2"/>
        <v>0</v>
      </c>
      <c r="AE11" s="319"/>
      <c r="AF11" s="325"/>
      <c r="AG11" s="325"/>
      <c r="AH11" s="325"/>
      <c r="AI11" s="325"/>
      <c r="AJ11" s="325"/>
      <c r="AK11" s="325"/>
      <c r="AL11" s="325"/>
      <c r="AM11" s="325"/>
      <c r="AN11" s="325"/>
      <c r="AO11" s="325"/>
      <c r="AP11" s="325"/>
      <c r="AQ11" s="325"/>
      <c r="AR11" s="325">
        <f t="shared" ref="AR11:AR40" si="5">SUM(AF11:AQ11)</f>
        <v>0</v>
      </c>
      <c r="AS11" s="325">
        <f t="shared" si="3"/>
        <v>0</v>
      </c>
      <c r="AT11" s="325">
        <f t="shared" si="4"/>
        <v>0</v>
      </c>
    </row>
    <row r="12" spans="1:46" x14ac:dyDescent="0.35">
      <c r="A12" s="321" t="s">
        <v>1282</v>
      </c>
      <c r="B12" s="321" t="s">
        <v>1283</v>
      </c>
      <c r="C12" s="322" t="s">
        <v>429</v>
      </c>
      <c r="D12" s="323" t="s">
        <v>204</v>
      </c>
      <c r="E12" s="323" t="s">
        <v>1286</v>
      </c>
      <c r="F12" s="323" t="s">
        <v>1293</v>
      </c>
      <c r="G12" s="323" t="s">
        <v>503</v>
      </c>
      <c r="H12" s="323" t="s">
        <v>1288</v>
      </c>
      <c r="I12" s="322" t="s">
        <v>888</v>
      </c>
      <c r="J12" s="323" t="s">
        <v>510</v>
      </c>
      <c r="K12" s="323" t="s">
        <v>493</v>
      </c>
      <c r="L12" s="322" t="s">
        <v>1294</v>
      </c>
      <c r="M12" s="323" t="s">
        <v>946</v>
      </c>
      <c r="N12" s="323"/>
      <c r="O12" s="322"/>
      <c r="P12" s="323"/>
      <c r="Q12" s="323"/>
      <c r="R12" s="324"/>
      <c r="S12" s="324"/>
      <c r="T12" s="324"/>
      <c r="U12" s="324"/>
      <c r="V12" s="324"/>
      <c r="W12" s="324"/>
      <c r="X12" s="324"/>
      <c r="Y12" s="324"/>
      <c r="Z12" s="324"/>
      <c r="AA12" s="324"/>
      <c r="AB12" s="324"/>
      <c r="AC12" s="324"/>
      <c r="AD12" s="324">
        <f t="shared" si="2"/>
        <v>0</v>
      </c>
      <c r="AE12" s="319"/>
      <c r="AF12" s="325"/>
      <c r="AG12" s="325"/>
      <c r="AH12" s="325"/>
      <c r="AI12" s="325"/>
      <c r="AJ12" s="325"/>
      <c r="AK12" s="325"/>
      <c r="AL12" s="325"/>
      <c r="AM12" s="325"/>
      <c r="AN12" s="325"/>
      <c r="AO12" s="325"/>
      <c r="AP12" s="325"/>
      <c r="AQ12" s="325"/>
      <c r="AR12" s="325">
        <f t="shared" si="5"/>
        <v>0</v>
      </c>
      <c r="AS12" s="325">
        <f t="shared" si="3"/>
        <v>0</v>
      </c>
      <c r="AT12" s="325">
        <f t="shared" si="4"/>
        <v>0</v>
      </c>
    </row>
    <row r="13" spans="1:46" x14ac:dyDescent="0.35">
      <c r="A13" s="321" t="s">
        <v>1282</v>
      </c>
      <c r="B13" s="321" t="s">
        <v>1283</v>
      </c>
      <c r="C13" s="322" t="s">
        <v>429</v>
      </c>
      <c r="D13" s="323" t="s">
        <v>204</v>
      </c>
      <c r="E13" s="323" t="s">
        <v>1286</v>
      </c>
      <c r="F13" s="323" t="s">
        <v>1293</v>
      </c>
      <c r="G13" s="323" t="s">
        <v>503</v>
      </c>
      <c r="H13" s="323" t="s">
        <v>1288</v>
      </c>
      <c r="I13" s="322" t="s">
        <v>888</v>
      </c>
      <c r="J13" s="323" t="s">
        <v>510</v>
      </c>
      <c r="K13" s="323" t="s">
        <v>493</v>
      </c>
      <c r="L13" s="322" t="s">
        <v>1294</v>
      </c>
      <c r="M13" s="323" t="s">
        <v>946</v>
      </c>
      <c r="N13" s="323"/>
      <c r="O13" s="322"/>
      <c r="P13" s="323"/>
      <c r="Q13" s="323"/>
      <c r="R13" s="324"/>
      <c r="S13" s="324"/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>
        <f t="shared" si="2"/>
        <v>0</v>
      </c>
      <c r="AE13" s="319"/>
      <c r="AF13" s="325"/>
      <c r="AG13" s="325"/>
      <c r="AH13" s="325"/>
      <c r="AI13" s="325"/>
      <c r="AJ13" s="325"/>
      <c r="AK13" s="325"/>
      <c r="AL13" s="325"/>
      <c r="AM13" s="325"/>
      <c r="AN13" s="325"/>
      <c r="AO13" s="325"/>
      <c r="AP13" s="325"/>
      <c r="AQ13" s="325"/>
      <c r="AR13" s="325">
        <f t="shared" ref="AR13:AR14" si="6">SUM(AF13:AQ13)</f>
        <v>0</v>
      </c>
      <c r="AS13" s="325">
        <f t="shared" si="3"/>
        <v>0</v>
      </c>
      <c r="AT13" s="325">
        <f t="shared" si="4"/>
        <v>0</v>
      </c>
    </row>
    <row r="14" spans="1:46" x14ac:dyDescent="0.35">
      <c r="A14" s="321" t="s">
        <v>1282</v>
      </c>
      <c r="B14" s="321" t="s">
        <v>1283</v>
      </c>
      <c r="C14" s="322" t="s">
        <v>429</v>
      </c>
      <c r="D14" s="323" t="s">
        <v>204</v>
      </c>
      <c r="E14" s="323" t="s">
        <v>1286</v>
      </c>
      <c r="F14" s="323" t="s">
        <v>1293</v>
      </c>
      <c r="G14" s="323" t="s">
        <v>503</v>
      </c>
      <c r="H14" s="323" t="s">
        <v>1288</v>
      </c>
      <c r="I14" s="322" t="s">
        <v>888</v>
      </c>
      <c r="J14" s="323" t="s">
        <v>510</v>
      </c>
      <c r="K14" s="323" t="s">
        <v>493</v>
      </c>
      <c r="L14" s="322" t="s">
        <v>1294</v>
      </c>
      <c r="M14" s="323" t="s">
        <v>946</v>
      </c>
      <c r="N14" s="323"/>
      <c r="O14" s="322"/>
      <c r="P14" s="323"/>
      <c r="Q14" s="323"/>
      <c r="R14" s="324"/>
      <c r="S14" s="324"/>
      <c r="T14" s="324"/>
      <c r="U14" s="324"/>
      <c r="V14" s="324"/>
      <c r="W14" s="324"/>
      <c r="X14" s="324"/>
      <c r="Y14" s="324"/>
      <c r="Z14" s="324"/>
      <c r="AA14" s="324"/>
      <c r="AB14" s="324"/>
      <c r="AC14" s="324"/>
      <c r="AD14" s="324">
        <f t="shared" si="2"/>
        <v>0</v>
      </c>
      <c r="AE14" s="319"/>
      <c r="AF14" s="325"/>
      <c r="AG14" s="325"/>
      <c r="AH14" s="325"/>
      <c r="AI14" s="325"/>
      <c r="AJ14" s="325"/>
      <c r="AK14" s="325"/>
      <c r="AL14" s="325"/>
      <c r="AM14" s="325"/>
      <c r="AN14" s="325"/>
      <c r="AO14" s="325"/>
      <c r="AP14" s="325"/>
      <c r="AQ14" s="325"/>
      <c r="AR14" s="325">
        <f t="shared" si="6"/>
        <v>0</v>
      </c>
      <c r="AS14" s="325">
        <f t="shared" si="3"/>
        <v>0</v>
      </c>
      <c r="AT14" s="325">
        <f t="shared" si="4"/>
        <v>0</v>
      </c>
    </row>
    <row r="15" spans="1:46" x14ac:dyDescent="0.35">
      <c r="A15" s="321" t="s">
        <v>1282</v>
      </c>
      <c r="B15" s="321" t="s">
        <v>1283</v>
      </c>
      <c r="C15" s="322" t="s">
        <v>429</v>
      </c>
      <c r="D15" s="323" t="s">
        <v>204</v>
      </c>
      <c r="E15" s="323" t="s">
        <v>1286</v>
      </c>
      <c r="F15" s="323" t="s">
        <v>1295</v>
      </c>
      <c r="G15" s="323" t="s">
        <v>503</v>
      </c>
      <c r="H15" s="323" t="s">
        <v>1296</v>
      </c>
      <c r="I15" s="322" t="s">
        <v>1297</v>
      </c>
      <c r="J15" s="323" t="s">
        <v>511</v>
      </c>
      <c r="K15" s="323" t="s">
        <v>489</v>
      </c>
      <c r="L15" s="322" t="s">
        <v>1298</v>
      </c>
      <c r="M15" s="323" t="s">
        <v>1299</v>
      </c>
      <c r="N15" s="323"/>
      <c r="O15" s="322"/>
      <c r="P15" s="323"/>
      <c r="Q15" s="323"/>
      <c r="R15" s="324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>
        <f t="shared" si="2"/>
        <v>0</v>
      </c>
      <c r="AE15" s="319"/>
      <c r="AF15" s="325"/>
      <c r="AG15" s="325"/>
      <c r="AH15" s="325"/>
      <c r="AI15" s="325"/>
      <c r="AJ15" s="325"/>
      <c r="AK15" s="325"/>
      <c r="AL15" s="325"/>
      <c r="AM15" s="325"/>
      <c r="AN15" s="325"/>
      <c r="AO15" s="325"/>
      <c r="AP15" s="325"/>
      <c r="AQ15" s="325"/>
      <c r="AR15" s="325">
        <f t="shared" si="5"/>
        <v>0</v>
      </c>
      <c r="AS15" s="325">
        <f t="shared" si="3"/>
        <v>0</v>
      </c>
      <c r="AT15" s="325">
        <f t="shared" si="4"/>
        <v>0</v>
      </c>
    </row>
    <row r="16" spans="1:46" x14ac:dyDescent="0.35">
      <c r="A16" s="321" t="s">
        <v>1282</v>
      </c>
      <c r="B16" s="321" t="s">
        <v>1283</v>
      </c>
      <c r="C16" s="322" t="s">
        <v>429</v>
      </c>
      <c r="D16" s="323" t="s">
        <v>204</v>
      </c>
      <c r="E16" s="323" t="s">
        <v>1286</v>
      </c>
      <c r="F16" s="323" t="s">
        <v>1300</v>
      </c>
      <c r="G16" s="323" t="s">
        <v>503</v>
      </c>
      <c r="H16" s="323" t="s">
        <v>1301</v>
      </c>
      <c r="I16" s="322" t="s">
        <v>1302</v>
      </c>
      <c r="J16" s="323" t="s">
        <v>506</v>
      </c>
      <c r="K16" s="323" t="s">
        <v>493</v>
      </c>
      <c r="L16" s="322" t="s">
        <v>1303</v>
      </c>
      <c r="M16" s="323" t="s">
        <v>1304</v>
      </c>
      <c r="N16" s="323"/>
      <c r="O16" s="322"/>
      <c r="P16" s="323"/>
      <c r="Q16" s="323"/>
      <c r="R16" s="324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  <c r="AC16" s="324"/>
      <c r="AD16" s="324">
        <f t="shared" si="2"/>
        <v>0</v>
      </c>
      <c r="AE16" s="319"/>
      <c r="AF16" s="325"/>
      <c r="AG16" s="325"/>
      <c r="AH16" s="325"/>
      <c r="AI16" s="325"/>
      <c r="AJ16" s="325"/>
      <c r="AK16" s="325"/>
      <c r="AL16" s="325"/>
      <c r="AM16" s="325"/>
      <c r="AN16" s="325"/>
      <c r="AO16" s="325"/>
      <c r="AP16" s="325"/>
      <c r="AQ16" s="325"/>
      <c r="AR16" s="325">
        <f t="shared" si="5"/>
        <v>0</v>
      </c>
      <c r="AS16" s="325">
        <f t="shared" si="3"/>
        <v>0</v>
      </c>
      <c r="AT16" s="325">
        <f t="shared" si="4"/>
        <v>0</v>
      </c>
    </row>
    <row r="17" spans="1:46" x14ac:dyDescent="0.35">
      <c r="A17" s="321" t="s">
        <v>1282</v>
      </c>
      <c r="B17" s="321" t="s">
        <v>1283</v>
      </c>
      <c r="C17" s="322" t="s">
        <v>429</v>
      </c>
      <c r="D17" s="323" t="s">
        <v>204</v>
      </c>
      <c r="E17" s="323" t="s">
        <v>1286</v>
      </c>
      <c r="F17" s="323" t="s">
        <v>1300</v>
      </c>
      <c r="G17" s="323" t="s">
        <v>503</v>
      </c>
      <c r="H17" s="323" t="s">
        <v>1301</v>
      </c>
      <c r="I17" s="322" t="s">
        <v>885</v>
      </c>
      <c r="J17" s="323" t="s">
        <v>507</v>
      </c>
      <c r="K17" s="323" t="s">
        <v>489</v>
      </c>
      <c r="L17" s="322" t="s">
        <v>1305</v>
      </c>
      <c r="M17" s="323"/>
      <c r="N17" s="323"/>
      <c r="O17" s="322"/>
      <c r="P17" s="323"/>
      <c r="Q17" s="323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19"/>
      <c r="AF17" s="325"/>
      <c r="AG17" s="325"/>
      <c r="AH17" s="325"/>
      <c r="AI17" s="325"/>
      <c r="AJ17" s="325"/>
      <c r="AK17" s="325"/>
      <c r="AL17" s="325"/>
      <c r="AM17" s="325"/>
      <c r="AN17" s="325"/>
      <c r="AO17" s="325"/>
      <c r="AP17" s="325"/>
      <c r="AQ17" s="325"/>
      <c r="AR17" s="325">
        <f t="shared" si="5"/>
        <v>0</v>
      </c>
      <c r="AS17" s="325">
        <f t="shared" si="3"/>
        <v>0</v>
      </c>
      <c r="AT17" s="325">
        <f t="shared" si="4"/>
        <v>0</v>
      </c>
    </row>
    <row r="18" spans="1:46" x14ac:dyDescent="0.35">
      <c r="A18" s="321" t="s">
        <v>1282</v>
      </c>
      <c r="B18" s="321" t="s">
        <v>1283</v>
      </c>
      <c r="C18" s="322" t="s">
        <v>429</v>
      </c>
      <c r="D18" s="323" t="s">
        <v>204</v>
      </c>
      <c r="E18" s="323" t="s">
        <v>1286</v>
      </c>
      <c r="F18" s="323" t="s">
        <v>1306</v>
      </c>
      <c r="G18" s="323" t="s">
        <v>503</v>
      </c>
      <c r="H18" s="323" t="s">
        <v>1307</v>
      </c>
      <c r="I18" s="322" t="s">
        <v>1308</v>
      </c>
      <c r="J18" s="323" t="s">
        <v>509</v>
      </c>
      <c r="K18" s="323" t="s">
        <v>489</v>
      </c>
      <c r="L18" s="322" t="s">
        <v>1309</v>
      </c>
      <c r="M18" s="323" t="s">
        <v>1310</v>
      </c>
      <c r="N18" s="323"/>
      <c r="O18" s="322"/>
      <c r="P18" s="323"/>
      <c r="Q18" s="323"/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>
        <f t="shared" si="2"/>
        <v>0</v>
      </c>
      <c r="AE18" s="319"/>
      <c r="AF18" s="325"/>
      <c r="AG18" s="325"/>
      <c r="AH18" s="325"/>
      <c r="AI18" s="325"/>
      <c r="AJ18" s="325"/>
      <c r="AK18" s="325"/>
      <c r="AL18" s="325"/>
      <c r="AM18" s="325"/>
      <c r="AN18" s="325"/>
      <c r="AO18" s="325"/>
      <c r="AP18" s="325"/>
      <c r="AQ18" s="325"/>
      <c r="AR18" s="325">
        <f t="shared" si="5"/>
        <v>0</v>
      </c>
      <c r="AS18" s="325">
        <f t="shared" si="3"/>
        <v>0</v>
      </c>
      <c r="AT18" s="325">
        <f t="shared" si="4"/>
        <v>0</v>
      </c>
    </row>
    <row r="19" spans="1:46" x14ac:dyDescent="0.35">
      <c r="A19" s="321" t="s">
        <v>1282</v>
      </c>
      <c r="B19" s="321" t="s">
        <v>1283</v>
      </c>
      <c r="C19" s="322" t="s">
        <v>429</v>
      </c>
      <c r="D19" s="323" t="s">
        <v>204</v>
      </c>
      <c r="E19" s="323" t="s">
        <v>1286</v>
      </c>
      <c r="F19" s="323" t="s">
        <v>1306</v>
      </c>
      <c r="G19" s="323" t="s">
        <v>503</v>
      </c>
      <c r="H19" s="323" t="s">
        <v>1307</v>
      </c>
      <c r="I19" s="322" t="s">
        <v>1311</v>
      </c>
      <c r="J19" s="323" t="s">
        <v>1312</v>
      </c>
      <c r="K19" s="323" t="s">
        <v>1313</v>
      </c>
      <c r="L19" s="322" t="s">
        <v>1314</v>
      </c>
      <c r="M19" s="323" t="s">
        <v>1315</v>
      </c>
      <c r="N19" s="323"/>
      <c r="O19" s="322"/>
      <c r="P19" s="323"/>
      <c r="Q19" s="323"/>
      <c r="R19" s="324"/>
      <c r="S19" s="324"/>
      <c r="T19" s="324"/>
      <c r="U19" s="324"/>
      <c r="V19" s="324"/>
      <c r="W19" s="324"/>
      <c r="X19" s="324"/>
      <c r="Y19" s="324"/>
      <c r="Z19" s="324"/>
      <c r="AA19" s="324"/>
      <c r="AB19" s="324"/>
      <c r="AC19" s="324"/>
      <c r="AD19" s="324">
        <f t="shared" si="2"/>
        <v>0</v>
      </c>
      <c r="AE19" s="319"/>
      <c r="AF19" s="325"/>
      <c r="AG19" s="325"/>
      <c r="AH19" s="325"/>
      <c r="AI19" s="325"/>
      <c r="AJ19" s="325"/>
      <c r="AK19" s="325"/>
      <c r="AL19" s="325"/>
      <c r="AM19" s="325"/>
      <c r="AN19" s="325"/>
      <c r="AO19" s="325"/>
      <c r="AP19" s="325"/>
      <c r="AQ19" s="325"/>
      <c r="AR19" s="325">
        <f t="shared" si="5"/>
        <v>0</v>
      </c>
      <c r="AS19" s="325">
        <f t="shared" si="3"/>
        <v>0</v>
      </c>
      <c r="AT19" s="325">
        <f t="shared" si="4"/>
        <v>0</v>
      </c>
    </row>
    <row r="20" spans="1:46" x14ac:dyDescent="0.35">
      <c r="A20" s="321" t="s">
        <v>1282</v>
      </c>
      <c r="B20" s="321" t="s">
        <v>1283</v>
      </c>
      <c r="C20" s="322" t="s">
        <v>429</v>
      </c>
      <c r="D20" s="323" t="s">
        <v>204</v>
      </c>
      <c r="E20" s="323" t="s">
        <v>1286</v>
      </c>
      <c r="F20" s="323" t="s">
        <v>1316</v>
      </c>
      <c r="G20" s="323" t="s">
        <v>503</v>
      </c>
      <c r="H20" s="323" t="s">
        <v>1307</v>
      </c>
      <c r="I20" s="322" t="s">
        <v>887</v>
      </c>
      <c r="J20" s="323" t="s">
        <v>508</v>
      </c>
      <c r="K20" s="323" t="s">
        <v>493</v>
      </c>
      <c r="L20" s="322" t="s">
        <v>1317</v>
      </c>
      <c r="M20" s="323" t="s">
        <v>1318</v>
      </c>
      <c r="N20" s="323"/>
      <c r="O20" s="322"/>
      <c r="P20" s="323"/>
      <c r="Q20" s="323"/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4"/>
      <c r="AC20" s="324"/>
      <c r="AD20" s="324">
        <f t="shared" si="2"/>
        <v>0</v>
      </c>
      <c r="AE20" s="319"/>
      <c r="AF20" s="325"/>
      <c r="AG20" s="325"/>
      <c r="AH20" s="325"/>
      <c r="AI20" s="325"/>
      <c r="AJ20" s="325"/>
      <c r="AK20" s="325"/>
      <c r="AL20" s="325"/>
      <c r="AM20" s="325"/>
      <c r="AN20" s="325"/>
      <c r="AO20" s="325"/>
      <c r="AP20" s="325"/>
      <c r="AQ20" s="325"/>
      <c r="AR20" s="325">
        <f t="shared" si="5"/>
        <v>0</v>
      </c>
      <c r="AS20" s="325">
        <f t="shared" si="3"/>
        <v>0</v>
      </c>
      <c r="AT20" s="325">
        <f t="shared" si="4"/>
        <v>0</v>
      </c>
    </row>
    <row r="21" spans="1:46" x14ac:dyDescent="0.35">
      <c r="A21" s="321" t="s">
        <v>1282</v>
      </c>
      <c r="B21" s="321" t="s">
        <v>1283</v>
      </c>
      <c r="C21" s="322" t="s">
        <v>429</v>
      </c>
      <c r="D21" s="323" t="s">
        <v>1319</v>
      </c>
      <c r="E21" s="323" t="s">
        <v>1320</v>
      </c>
      <c r="F21" s="323" t="s">
        <v>1321</v>
      </c>
      <c r="G21" s="323" t="s">
        <v>1322</v>
      </c>
      <c r="H21" s="323" t="s">
        <v>1323</v>
      </c>
      <c r="I21" s="322" t="s">
        <v>886</v>
      </c>
      <c r="J21" s="323" t="s">
        <v>702</v>
      </c>
      <c r="K21" s="323" t="s">
        <v>493</v>
      </c>
      <c r="L21" s="322" t="s">
        <v>1324</v>
      </c>
      <c r="M21" s="323" t="s">
        <v>1325</v>
      </c>
      <c r="N21" s="323"/>
      <c r="O21" s="322"/>
      <c r="P21" s="323"/>
      <c r="Q21" s="323"/>
      <c r="R21" s="324"/>
      <c r="S21" s="324"/>
      <c r="T21" s="324"/>
      <c r="U21" s="324"/>
      <c r="V21" s="324"/>
      <c r="W21" s="324"/>
      <c r="X21" s="324"/>
      <c r="Y21" s="324"/>
      <c r="Z21" s="324"/>
      <c r="AA21" s="324"/>
      <c r="AB21" s="324"/>
      <c r="AC21" s="324"/>
      <c r="AD21" s="326">
        <f t="shared" si="2"/>
        <v>0</v>
      </c>
      <c r="AE21" s="319"/>
      <c r="AF21" s="325"/>
      <c r="AG21" s="325"/>
      <c r="AH21" s="325"/>
      <c r="AI21" s="325"/>
      <c r="AJ21" s="325"/>
      <c r="AK21" s="325"/>
      <c r="AL21" s="325"/>
      <c r="AM21" s="325"/>
      <c r="AN21" s="325"/>
      <c r="AO21" s="325"/>
      <c r="AP21" s="325"/>
      <c r="AQ21" s="325"/>
      <c r="AR21" s="325">
        <f t="shared" si="5"/>
        <v>0</v>
      </c>
      <c r="AS21" s="325">
        <f t="shared" si="3"/>
        <v>0</v>
      </c>
      <c r="AT21" s="325">
        <f t="shared" si="4"/>
        <v>0</v>
      </c>
    </row>
    <row r="22" spans="1:46" x14ac:dyDescent="0.35">
      <c r="A22" s="321" t="s">
        <v>1282</v>
      </c>
      <c r="B22" s="321" t="s">
        <v>1283</v>
      </c>
      <c r="C22" s="322" t="s">
        <v>429</v>
      </c>
      <c r="D22" s="323" t="s">
        <v>1319</v>
      </c>
      <c r="E22" s="323" t="s">
        <v>1320</v>
      </c>
      <c r="F22" s="323" t="s">
        <v>1326</v>
      </c>
      <c r="G22" s="323" t="s">
        <v>1322</v>
      </c>
      <c r="H22" s="323" t="s">
        <v>1301</v>
      </c>
      <c r="I22" s="322" t="s">
        <v>1327</v>
      </c>
      <c r="J22" s="323" t="s">
        <v>495</v>
      </c>
      <c r="K22" s="323" t="s">
        <v>493</v>
      </c>
      <c r="L22" s="322" t="s">
        <v>1328</v>
      </c>
      <c r="M22" s="323" t="s">
        <v>1329</v>
      </c>
      <c r="N22" s="323"/>
      <c r="O22" s="322"/>
      <c r="P22" s="323"/>
      <c r="Q22" s="323"/>
      <c r="R22" s="324"/>
      <c r="S22" s="324"/>
      <c r="T22" s="324"/>
      <c r="U22" s="324"/>
      <c r="V22" s="324"/>
      <c r="W22" s="324"/>
      <c r="X22" s="324"/>
      <c r="Y22" s="324"/>
      <c r="Z22" s="324"/>
      <c r="AA22" s="324"/>
      <c r="AB22" s="324"/>
      <c r="AC22" s="324"/>
      <c r="AD22" s="324">
        <f t="shared" si="2"/>
        <v>0</v>
      </c>
      <c r="AF22" s="327"/>
      <c r="AG22" s="327"/>
      <c r="AH22" s="327"/>
      <c r="AI22" s="327"/>
      <c r="AJ22" s="327"/>
      <c r="AK22" s="327"/>
      <c r="AL22" s="327"/>
      <c r="AM22" s="327"/>
      <c r="AN22" s="327"/>
      <c r="AO22" s="327"/>
      <c r="AP22" s="327"/>
      <c r="AQ22" s="327"/>
      <c r="AR22" s="325">
        <f t="shared" si="5"/>
        <v>0</v>
      </c>
      <c r="AS22" s="327">
        <f t="shared" si="3"/>
        <v>0</v>
      </c>
      <c r="AT22" s="327">
        <f t="shared" si="4"/>
        <v>0</v>
      </c>
    </row>
    <row r="23" spans="1:46" x14ac:dyDescent="0.35">
      <c r="A23" s="314" t="s">
        <v>1282</v>
      </c>
      <c r="B23" s="314" t="s">
        <v>1283</v>
      </c>
      <c r="C23" s="315" t="s">
        <v>417</v>
      </c>
      <c r="D23" s="315"/>
      <c r="E23" s="315"/>
      <c r="F23" s="315"/>
      <c r="G23" s="315"/>
      <c r="H23" s="316" t="s">
        <v>1330</v>
      </c>
      <c r="I23" s="316" t="s">
        <v>707</v>
      </c>
      <c r="J23" s="328"/>
      <c r="K23" s="315"/>
      <c r="L23" s="315"/>
      <c r="M23" s="315"/>
      <c r="N23" s="328"/>
      <c r="O23" s="316" t="s">
        <v>707</v>
      </c>
      <c r="P23" s="328"/>
      <c r="Q23" s="328"/>
      <c r="R23" s="318">
        <f t="shared" ref="R23:AC23" si="7">R24</f>
        <v>0</v>
      </c>
      <c r="S23" s="318">
        <f t="shared" si="7"/>
        <v>0</v>
      </c>
      <c r="T23" s="318">
        <f t="shared" si="7"/>
        <v>0</v>
      </c>
      <c r="U23" s="318">
        <f t="shared" si="7"/>
        <v>0</v>
      </c>
      <c r="V23" s="318">
        <f t="shared" si="7"/>
        <v>0</v>
      </c>
      <c r="W23" s="318">
        <f t="shared" si="7"/>
        <v>0</v>
      </c>
      <c r="X23" s="318">
        <f t="shared" si="7"/>
        <v>0</v>
      </c>
      <c r="Y23" s="318">
        <f t="shared" si="7"/>
        <v>0</v>
      </c>
      <c r="Z23" s="318">
        <f t="shared" si="7"/>
        <v>0</v>
      </c>
      <c r="AA23" s="318">
        <f t="shared" si="7"/>
        <v>0</v>
      </c>
      <c r="AB23" s="318">
        <f>AB24</f>
        <v>0</v>
      </c>
      <c r="AC23" s="318">
        <f t="shared" si="7"/>
        <v>0</v>
      </c>
      <c r="AD23" s="318">
        <f t="shared" si="2"/>
        <v>0</v>
      </c>
      <c r="AE23" s="319"/>
      <c r="AF23" s="318">
        <f t="shared" ref="AF23:AR23" si="8">AF24</f>
        <v>0</v>
      </c>
      <c r="AG23" s="318">
        <f t="shared" si="8"/>
        <v>0</v>
      </c>
      <c r="AH23" s="318">
        <f t="shared" si="8"/>
        <v>0</v>
      </c>
      <c r="AI23" s="318">
        <f t="shared" si="8"/>
        <v>0</v>
      </c>
      <c r="AJ23" s="318">
        <f t="shared" si="8"/>
        <v>0</v>
      </c>
      <c r="AK23" s="318">
        <f t="shared" si="8"/>
        <v>0</v>
      </c>
      <c r="AL23" s="318">
        <f t="shared" si="8"/>
        <v>0</v>
      </c>
      <c r="AM23" s="318">
        <f t="shared" si="8"/>
        <v>0</v>
      </c>
      <c r="AN23" s="318">
        <f t="shared" si="8"/>
        <v>0</v>
      </c>
      <c r="AO23" s="318">
        <f t="shared" si="8"/>
        <v>0</v>
      </c>
      <c r="AP23" s="318">
        <f t="shared" si="8"/>
        <v>0</v>
      </c>
      <c r="AQ23" s="318">
        <f t="shared" si="8"/>
        <v>0</v>
      </c>
      <c r="AR23" s="318">
        <f t="shared" si="8"/>
        <v>0</v>
      </c>
      <c r="AS23" s="318">
        <f t="shared" si="3"/>
        <v>0</v>
      </c>
      <c r="AT23" s="318">
        <f t="shared" si="4"/>
        <v>0</v>
      </c>
    </row>
    <row r="24" spans="1:46" x14ac:dyDescent="0.35">
      <c r="A24" s="321" t="s">
        <v>1282</v>
      </c>
      <c r="B24" s="321" t="s">
        <v>1283</v>
      </c>
      <c r="C24" s="322" t="s">
        <v>417</v>
      </c>
      <c r="D24" s="323" t="s">
        <v>1331</v>
      </c>
      <c r="E24" s="323" t="s">
        <v>1332</v>
      </c>
      <c r="F24" s="323" t="s">
        <v>1333</v>
      </c>
      <c r="G24" s="323" t="s">
        <v>1322</v>
      </c>
      <c r="H24" s="323" t="s">
        <v>1334</v>
      </c>
      <c r="I24" s="322" t="s">
        <v>907</v>
      </c>
      <c r="J24" s="323" t="s">
        <v>707</v>
      </c>
      <c r="K24" s="323" t="s">
        <v>708</v>
      </c>
      <c r="L24" s="322" t="s">
        <v>1335</v>
      </c>
      <c r="M24" s="323" t="s">
        <v>1330</v>
      </c>
      <c r="N24" s="323"/>
      <c r="O24" s="322"/>
      <c r="P24" s="329"/>
      <c r="Q24" s="329"/>
      <c r="R24" s="324"/>
      <c r="S24" s="324"/>
      <c r="T24" s="324"/>
      <c r="U24" s="324"/>
      <c r="V24" s="324"/>
      <c r="W24" s="324"/>
      <c r="X24" s="324"/>
      <c r="Y24" s="324"/>
      <c r="Z24" s="324"/>
      <c r="AA24" s="324"/>
      <c r="AB24" s="324"/>
      <c r="AC24" s="324"/>
      <c r="AD24" s="326">
        <f t="shared" si="2"/>
        <v>0</v>
      </c>
      <c r="AF24" s="327"/>
      <c r="AG24" s="327"/>
      <c r="AH24" s="327"/>
      <c r="AI24" s="327"/>
      <c r="AJ24" s="327"/>
      <c r="AK24" s="327"/>
      <c r="AL24" s="327"/>
      <c r="AM24" s="327"/>
      <c r="AN24" s="327"/>
      <c r="AO24" s="327"/>
      <c r="AP24" s="327"/>
      <c r="AQ24" s="327"/>
      <c r="AR24" s="325">
        <f t="shared" si="5"/>
        <v>0</v>
      </c>
      <c r="AS24" s="327">
        <f t="shared" si="3"/>
        <v>0</v>
      </c>
      <c r="AT24" s="327">
        <f t="shared" si="4"/>
        <v>0</v>
      </c>
    </row>
    <row r="25" spans="1:46" x14ac:dyDescent="0.35">
      <c r="A25" s="314" t="s">
        <v>1282</v>
      </c>
      <c r="B25" s="314" t="s">
        <v>1283</v>
      </c>
      <c r="C25" s="315" t="s">
        <v>417</v>
      </c>
      <c r="D25" s="315"/>
      <c r="E25" s="315"/>
      <c r="F25" s="315"/>
      <c r="G25" s="315"/>
      <c r="H25" s="316" t="s">
        <v>1336</v>
      </c>
      <c r="I25" s="316" t="s">
        <v>1337</v>
      </c>
      <c r="J25" s="328"/>
      <c r="K25" s="315"/>
      <c r="L25" s="315"/>
      <c r="M25" s="315"/>
      <c r="N25" s="328"/>
      <c r="O25" s="316" t="s">
        <v>1337</v>
      </c>
      <c r="P25" s="328"/>
      <c r="Q25" s="328"/>
      <c r="R25" s="318">
        <f t="shared" ref="R25:AC25" si="9">SUM(R26:R40)</f>
        <v>0</v>
      </c>
      <c r="S25" s="318">
        <f t="shared" si="9"/>
        <v>0</v>
      </c>
      <c r="T25" s="318">
        <f t="shared" si="9"/>
        <v>0</v>
      </c>
      <c r="U25" s="318">
        <f t="shared" si="9"/>
        <v>0</v>
      </c>
      <c r="V25" s="318">
        <f t="shared" si="9"/>
        <v>0</v>
      </c>
      <c r="W25" s="318">
        <f t="shared" si="9"/>
        <v>0</v>
      </c>
      <c r="X25" s="318">
        <f t="shared" si="9"/>
        <v>0</v>
      </c>
      <c r="Y25" s="318">
        <f t="shared" si="9"/>
        <v>0</v>
      </c>
      <c r="Z25" s="318">
        <f t="shared" si="9"/>
        <v>0</v>
      </c>
      <c r="AA25" s="318">
        <f t="shared" si="9"/>
        <v>0</v>
      </c>
      <c r="AB25" s="318">
        <f t="shared" si="9"/>
        <v>0</v>
      </c>
      <c r="AC25" s="318">
        <f t="shared" si="9"/>
        <v>0</v>
      </c>
      <c r="AD25" s="318">
        <f t="shared" si="2"/>
        <v>0</v>
      </c>
      <c r="AE25" s="319"/>
      <c r="AF25" s="318">
        <f t="shared" ref="AF25:AR25" si="10">SUM(AF26:AF40)</f>
        <v>0</v>
      </c>
      <c r="AG25" s="318">
        <f t="shared" si="10"/>
        <v>0</v>
      </c>
      <c r="AH25" s="318">
        <f t="shared" si="10"/>
        <v>0</v>
      </c>
      <c r="AI25" s="318">
        <f t="shared" si="10"/>
        <v>0</v>
      </c>
      <c r="AJ25" s="318">
        <f t="shared" si="10"/>
        <v>0</v>
      </c>
      <c r="AK25" s="318">
        <f t="shared" si="10"/>
        <v>0</v>
      </c>
      <c r="AL25" s="318">
        <f t="shared" si="10"/>
        <v>0</v>
      </c>
      <c r="AM25" s="318">
        <f t="shared" si="10"/>
        <v>0</v>
      </c>
      <c r="AN25" s="318">
        <f t="shared" si="10"/>
        <v>0</v>
      </c>
      <c r="AO25" s="318">
        <f t="shared" si="10"/>
        <v>0</v>
      </c>
      <c r="AP25" s="318">
        <f t="shared" si="10"/>
        <v>0</v>
      </c>
      <c r="AQ25" s="318">
        <f t="shared" si="10"/>
        <v>0</v>
      </c>
      <c r="AR25" s="318">
        <f t="shared" si="10"/>
        <v>0</v>
      </c>
      <c r="AS25" s="318">
        <f t="shared" si="3"/>
        <v>0</v>
      </c>
      <c r="AT25" s="318">
        <f t="shared" si="4"/>
        <v>0</v>
      </c>
    </row>
    <row r="26" spans="1:46" x14ac:dyDescent="0.35">
      <c r="A26" s="321" t="s">
        <v>1282</v>
      </c>
      <c r="B26" s="321" t="s">
        <v>1283</v>
      </c>
      <c r="C26" s="322" t="s">
        <v>417</v>
      </c>
      <c r="D26" s="323" t="s">
        <v>204</v>
      </c>
      <c r="E26" s="323" t="s">
        <v>1338</v>
      </c>
      <c r="F26" s="323" t="s">
        <v>1339</v>
      </c>
      <c r="G26" s="323" t="s">
        <v>500</v>
      </c>
      <c r="H26" s="323" t="s">
        <v>1340</v>
      </c>
      <c r="I26" s="322" t="s">
        <v>883</v>
      </c>
      <c r="J26" s="323" t="s">
        <v>488</v>
      </c>
      <c r="K26" s="323" t="s">
        <v>491</v>
      </c>
      <c r="L26" s="322" t="s">
        <v>1341</v>
      </c>
      <c r="M26" s="323" t="s">
        <v>1342</v>
      </c>
      <c r="N26" s="323"/>
      <c r="O26" s="322"/>
      <c r="P26" s="323"/>
      <c r="Q26" s="323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>
        <f t="shared" si="2"/>
        <v>0</v>
      </c>
      <c r="AE26" s="319"/>
      <c r="AF26" s="325"/>
      <c r="AG26" s="325"/>
      <c r="AH26" s="325"/>
      <c r="AI26" s="325"/>
      <c r="AJ26" s="325"/>
      <c r="AK26" s="325"/>
      <c r="AL26" s="325"/>
      <c r="AM26" s="325"/>
      <c r="AN26" s="325"/>
      <c r="AO26" s="325"/>
      <c r="AP26" s="325"/>
      <c r="AQ26" s="325"/>
      <c r="AR26" s="325">
        <f t="shared" si="5"/>
        <v>0</v>
      </c>
      <c r="AS26" s="325">
        <f t="shared" si="3"/>
        <v>0</v>
      </c>
      <c r="AT26" s="325">
        <f t="shared" si="4"/>
        <v>0</v>
      </c>
    </row>
    <row r="27" spans="1:46" x14ac:dyDescent="0.35">
      <c r="A27" s="321" t="s">
        <v>1282</v>
      </c>
      <c r="B27" s="321" t="s">
        <v>1283</v>
      </c>
      <c r="C27" s="322" t="s">
        <v>417</v>
      </c>
      <c r="D27" s="323" t="s">
        <v>204</v>
      </c>
      <c r="E27" s="323" t="s">
        <v>1338</v>
      </c>
      <c r="F27" s="323" t="s">
        <v>1339</v>
      </c>
      <c r="G27" s="323" t="s">
        <v>500</v>
      </c>
      <c r="H27" s="323" t="s">
        <v>1340</v>
      </c>
      <c r="I27" s="322" t="s">
        <v>889</v>
      </c>
      <c r="J27" s="323" t="s">
        <v>490</v>
      </c>
      <c r="K27" s="323" t="s">
        <v>491</v>
      </c>
      <c r="L27" s="322" t="s">
        <v>1343</v>
      </c>
      <c r="M27" s="323" t="s">
        <v>1344</v>
      </c>
      <c r="N27" s="323"/>
      <c r="O27" s="322"/>
      <c r="P27" s="323"/>
      <c r="Q27" s="323"/>
      <c r="R27" s="324"/>
      <c r="S27" s="324"/>
      <c r="T27" s="324"/>
      <c r="U27" s="324"/>
      <c r="V27" s="324"/>
      <c r="W27" s="324"/>
      <c r="X27" s="324"/>
      <c r="Y27" s="324"/>
      <c r="Z27" s="324"/>
      <c r="AA27" s="324"/>
      <c r="AB27" s="324"/>
      <c r="AC27" s="324"/>
      <c r="AD27" s="324">
        <f t="shared" si="2"/>
        <v>0</v>
      </c>
      <c r="AE27" s="319"/>
      <c r="AF27" s="325"/>
      <c r="AG27" s="325"/>
      <c r="AH27" s="325"/>
      <c r="AI27" s="325"/>
      <c r="AJ27" s="325"/>
      <c r="AK27" s="325"/>
      <c r="AL27" s="325"/>
      <c r="AM27" s="325"/>
      <c r="AN27" s="325"/>
      <c r="AO27" s="325"/>
      <c r="AP27" s="325"/>
      <c r="AQ27" s="325"/>
      <c r="AR27" s="325">
        <f t="shared" si="5"/>
        <v>0</v>
      </c>
      <c r="AS27" s="325">
        <f t="shared" si="3"/>
        <v>0</v>
      </c>
      <c r="AT27" s="325">
        <f t="shared" si="4"/>
        <v>0</v>
      </c>
    </row>
    <row r="28" spans="1:46" x14ac:dyDescent="0.35">
      <c r="A28" s="321" t="s">
        <v>1282</v>
      </c>
      <c r="B28" s="321" t="s">
        <v>1283</v>
      </c>
      <c r="C28" s="322" t="s">
        <v>417</v>
      </c>
      <c r="D28" s="323" t="s">
        <v>204</v>
      </c>
      <c r="E28" s="323" t="s">
        <v>1338</v>
      </c>
      <c r="F28" s="323" t="s">
        <v>1345</v>
      </c>
      <c r="G28" s="323" t="s">
        <v>500</v>
      </c>
      <c r="H28" s="323" t="s">
        <v>1340</v>
      </c>
      <c r="I28" s="322" t="s">
        <v>893</v>
      </c>
      <c r="J28" s="323" t="s">
        <v>498</v>
      </c>
      <c r="K28" s="323" t="s">
        <v>493</v>
      </c>
      <c r="L28" s="322" t="s">
        <v>1294</v>
      </c>
      <c r="M28" s="323" t="s">
        <v>946</v>
      </c>
      <c r="N28" s="323"/>
      <c r="O28" s="322"/>
      <c r="P28" s="323"/>
      <c r="Q28" s="323"/>
      <c r="R28" s="324"/>
      <c r="S28" s="324"/>
      <c r="T28" s="324"/>
      <c r="U28" s="324"/>
      <c r="V28" s="324"/>
      <c r="W28" s="324"/>
      <c r="X28" s="324"/>
      <c r="Y28" s="324"/>
      <c r="Z28" s="324"/>
      <c r="AA28" s="324"/>
      <c r="AB28" s="324"/>
      <c r="AC28" s="324"/>
      <c r="AD28" s="324">
        <f t="shared" si="2"/>
        <v>0</v>
      </c>
      <c r="AE28" s="319"/>
      <c r="AF28" s="325"/>
      <c r="AG28" s="325"/>
      <c r="AH28" s="325"/>
      <c r="AI28" s="325"/>
      <c r="AJ28" s="325"/>
      <c r="AK28" s="325"/>
      <c r="AL28" s="325"/>
      <c r="AM28" s="325"/>
      <c r="AN28" s="325"/>
      <c r="AO28" s="325"/>
      <c r="AP28" s="325"/>
      <c r="AQ28" s="325"/>
      <c r="AR28" s="325">
        <f t="shared" si="5"/>
        <v>0</v>
      </c>
      <c r="AS28" s="325">
        <f t="shared" si="3"/>
        <v>0</v>
      </c>
      <c r="AT28" s="325">
        <f t="shared" si="4"/>
        <v>0</v>
      </c>
    </row>
    <row r="29" spans="1:46" x14ac:dyDescent="0.35">
      <c r="A29" s="321" t="s">
        <v>1282</v>
      </c>
      <c r="B29" s="321" t="s">
        <v>1283</v>
      </c>
      <c r="C29" s="322" t="s">
        <v>417</v>
      </c>
      <c r="D29" s="323" t="s">
        <v>204</v>
      </c>
      <c r="E29" s="323" t="s">
        <v>1338</v>
      </c>
      <c r="F29" s="323" t="s">
        <v>1345</v>
      </c>
      <c r="G29" s="323" t="s">
        <v>500</v>
      </c>
      <c r="H29" s="323" t="s">
        <v>1340</v>
      </c>
      <c r="I29" s="322" t="s">
        <v>893</v>
      </c>
      <c r="J29" s="323" t="s">
        <v>498</v>
      </c>
      <c r="K29" s="323" t="s">
        <v>493</v>
      </c>
      <c r="L29" s="322" t="s">
        <v>1294</v>
      </c>
      <c r="M29" s="323" t="s">
        <v>946</v>
      </c>
      <c r="N29" s="323"/>
      <c r="O29" s="322"/>
      <c r="P29" s="323"/>
      <c r="Q29" s="323"/>
      <c r="R29" s="324"/>
      <c r="S29" s="324"/>
      <c r="T29" s="324"/>
      <c r="U29" s="324"/>
      <c r="V29" s="324"/>
      <c r="W29" s="324"/>
      <c r="X29" s="324"/>
      <c r="Y29" s="324"/>
      <c r="Z29" s="324"/>
      <c r="AA29" s="324"/>
      <c r="AB29" s="324"/>
      <c r="AC29" s="324"/>
      <c r="AD29" s="324">
        <f t="shared" si="2"/>
        <v>0</v>
      </c>
      <c r="AE29" s="319"/>
      <c r="AF29" s="325"/>
      <c r="AG29" s="325"/>
      <c r="AH29" s="325"/>
      <c r="AI29" s="325"/>
      <c r="AJ29" s="325"/>
      <c r="AK29" s="325"/>
      <c r="AL29" s="325"/>
      <c r="AM29" s="325"/>
      <c r="AN29" s="325"/>
      <c r="AO29" s="325"/>
      <c r="AP29" s="325"/>
      <c r="AQ29" s="325"/>
      <c r="AR29" s="325">
        <f t="shared" si="5"/>
        <v>0</v>
      </c>
      <c r="AS29" s="325">
        <f t="shared" si="3"/>
        <v>0</v>
      </c>
      <c r="AT29" s="325">
        <f t="shared" si="4"/>
        <v>0</v>
      </c>
    </row>
    <row r="30" spans="1:46" x14ac:dyDescent="0.35">
      <c r="A30" s="321" t="s">
        <v>1282</v>
      </c>
      <c r="B30" s="321" t="s">
        <v>1283</v>
      </c>
      <c r="C30" s="322" t="s">
        <v>417</v>
      </c>
      <c r="D30" s="323" t="s">
        <v>204</v>
      </c>
      <c r="E30" s="323" t="s">
        <v>1338</v>
      </c>
      <c r="F30" s="323" t="s">
        <v>1345</v>
      </c>
      <c r="G30" s="323" t="s">
        <v>500</v>
      </c>
      <c r="H30" s="323" t="s">
        <v>1340</v>
      </c>
      <c r="I30" s="322" t="s">
        <v>893</v>
      </c>
      <c r="J30" s="323" t="s">
        <v>498</v>
      </c>
      <c r="K30" s="323" t="s">
        <v>493</v>
      </c>
      <c r="L30" s="322" t="s">
        <v>1294</v>
      </c>
      <c r="M30" s="323" t="s">
        <v>946</v>
      </c>
      <c r="N30" s="323"/>
      <c r="O30" s="322"/>
      <c r="P30" s="323"/>
      <c r="Q30" s="323"/>
      <c r="R30" s="324"/>
      <c r="S30" s="324"/>
      <c r="T30" s="324"/>
      <c r="U30" s="324"/>
      <c r="V30" s="324"/>
      <c r="W30" s="324"/>
      <c r="X30" s="324"/>
      <c r="Y30" s="324"/>
      <c r="Z30" s="324"/>
      <c r="AA30" s="324"/>
      <c r="AB30" s="324"/>
      <c r="AC30" s="324"/>
      <c r="AD30" s="324">
        <f t="shared" si="2"/>
        <v>0</v>
      </c>
      <c r="AE30" s="319"/>
      <c r="AF30" s="325"/>
      <c r="AG30" s="325"/>
      <c r="AH30" s="325"/>
      <c r="AI30" s="325"/>
      <c r="AJ30" s="325"/>
      <c r="AK30" s="325"/>
      <c r="AL30" s="325"/>
      <c r="AM30" s="325"/>
      <c r="AN30" s="325"/>
      <c r="AO30" s="325"/>
      <c r="AP30" s="325"/>
      <c r="AQ30" s="325"/>
      <c r="AR30" s="325">
        <f t="shared" si="5"/>
        <v>0</v>
      </c>
      <c r="AS30" s="325">
        <f t="shared" si="3"/>
        <v>0</v>
      </c>
      <c r="AT30" s="325">
        <f t="shared" si="4"/>
        <v>0</v>
      </c>
    </row>
    <row r="31" spans="1:46" x14ac:dyDescent="0.35">
      <c r="A31" s="321" t="s">
        <v>1282</v>
      </c>
      <c r="B31" s="321" t="s">
        <v>1283</v>
      </c>
      <c r="C31" s="322" t="s">
        <v>417</v>
      </c>
      <c r="D31" s="323" t="s">
        <v>204</v>
      </c>
      <c r="E31" s="323" t="s">
        <v>1338</v>
      </c>
      <c r="F31" s="323" t="s">
        <v>1346</v>
      </c>
      <c r="G31" s="323" t="s">
        <v>500</v>
      </c>
      <c r="H31" s="323" t="s">
        <v>1347</v>
      </c>
      <c r="I31" s="322" t="s">
        <v>1348</v>
      </c>
      <c r="J31" s="323" t="s">
        <v>499</v>
      </c>
      <c r="K31" s="323" t="s">
        <v>491</v>
      </c>
      <c r="L31" s="322" t="s">
        <v>1349</v>
      </c>
      <c r="M31" s="323" t="s">
        <v>1350</v>
      </c>
      <c r="N31" s="323"/>
      <c r="O31" s="322"/>
      <c r="P31" s="323"/>
      <c r="Q31" s="323"/>
      <c r="R31" s="324"/>
      <c r="S31" s="324"/>
      <c r="T31" s="324"/>
      <c r="U31" s="324"/>
      <c r="V31" s="324"/>
      <c r="W31" s="324"/>
      <c r="X31" s="324"/>
      <c r="Y31" s="324"/>
      <c r="Z31" s="324"/>
      <c r="AA31" s="324"/>
      <c r="AB31" s="324"/>
      <c r="AC31" s="324"/>
      <c r="AD31" s="324">
        <f t="shared" si="2"/>
        <v>0</v>
      </c>
      <c r="AE31" s="319"/>
      <c r="AF31" s="325"/>
      <c r="AG31" s="325"/>
      <c r="AH31" s="325"/>
      <c r="AI31" s="325"/>
      <c r="AJ31" s="325"/>
      <c r="AK31" s="325"/>
      <c r="AL31" s="325"/>
      <c r="AM31" s="325"/>
      <c r="AN31" s="325"/>
      <c r="AO31" s="325"/>
      <c r="AP31" s="325"/>
      <c r="AQ31" s="325"/>
      <c r="AR31" s="325">
        <f t="shared" si="5"/>
        <v>0</v>
      </c>
      <c r="AS31" s="325">
        <f t="shared" si="3"/>
        <v>0</v>
      </c>
      <c r="AT31" s="325">
        <f t="shared" si="4"/>
        <v>0</v>
      </c>
    </row>
    <row r="32" spans="1:46" x14ac:dyDescent="0.35">
      <c r="A32" s="321" t="s">
        <v>1282</v>
      </c>
      <c r="B32" s="321" t="s">
        <v>1283</v>
      </c>
      <c r="C32" s="322" t="s">
        <v>417</v>
      </c>
      <c r="D32" s="323" t="s">
        <v>204</v>
      </c>
      <c r="E32" s="323" t="s">
        <v>1338</v>
      </c>
      <c r="F32" s="323" t="s">
        <v>1351</v>
      </c>
      <c r="G32" s="323" t="s">
        <v>500</v>
      </c>
      <c r="H32" s="323" t="s">
        <v>1352</v>
      </c>
      <c r="I32" s="322" t="s">
        <v>1353</v>
      </c>
      <c r="J32" s="323" t="s">
        <v>492</v>
      </c>
      <c r="K32" s="323" t="s">
        <v>493</v>
      </c>
      <c r="L32" s="322" t="s">
        <v>1303</v>
      </c>
      <c r="M32" s="323" t="s">
        <v>1304</v>
      </c>
      <c r="N32" s="323"/>
      <c r="O32" s="322"/>
      <c r="P32" s="323"/>
      <c r="Q32" s="323"/>
      <c r="R32" s="324"/>
      <c r="S32" s="324"/>
      <c r="T32" s="324"/>
      <c r="U32" s="324"/>
      <c r="V32" s="324"/>
      <c r="W32" s="324"/>
      <c r="X32" s="324"/>
      <c r="Y32" s="324"/>
      <c r="Z32" s="324"/>
      <c r="AA32" s="324"/>
      <c r="AB32" s="324"/>
      <c r="AC32" s="324"/>
      <c r="AD32" s="324">
        <f t="shared" si="2"/>
        <v>0</v>
      </c>
      <c r="AE32" s="319"/>
      <c r="AF32" s="325"/>
      <c r="AG32" s="325"/>
      <c r="AH32" s="325"/>
      <c r="AI32" s="325"/>
      <c r="AJ32" s="325"/>
      <c r="AK32" s="325"/>
      <c r="AL32" s="325"/>
      <c r="AM32" s="325"/>
      <c r="AN32" s="325"/>
      <c r="AO32" s="325"/>
      <c r="AP32" s="325"/>
      <c r="AQ32" s="325"/>
      <c r="AR32" s="325">
        <f t="shared" si="5"/>
        <v>0</v>
      </c>
      <c r="AS32" s="325">
        <f t="shared" si="3"/>
        <v>0</v>
      </c>
      <c r="AT32" s="325">
        <f t="shared" si="4"/>
        <v>0</v>
      </c>
    </row>
    <row r="33" spans="1:46" x14ac:dyDescent="0.35">
      <c r="A33" s="321" t="s">
        <v>1282</v>
      </c>
      <c r="B33" s="321" t="s">
        <v>1283</v>
      </c>
      <c r="C33" s="322" t="s">
        <v>417</v>
      </c>
      <c r="D33" s="323" t="s">
        <v>204</v>
      </c>
      <c r="E33" s="323" t="s">
        <v>1338</v>
      </c>
      <c r="F33" s="323" t="s">
        <v>1351</v>
      </c>
      <c r="G33" s="323" t="s">
        <v>500</v>
      </c>
      <c r="H33" s="323" t="s">
        <v>1352</v>
      </c>
      <c r="I33" s="322" t="s">
        <v>891</v>
      </c>
      <c r="J33" s="323" t="s">
        <v>501</v>
      </c>
      <c r="K33" s="323" t="s">
        <v>491</v>
      </c>
      <c r="L33" s="322" t="s">
        <v>1305</v>
      </c>
      <c r="M33" s="323"/>
      <c r="N33" s="323"/>
      <c r="O33" s="322"/>
      <c r="P33" s="323"/>
      <c r="Q33" s="323"/>
      <c r="R33" s="324"/>
      <c r="S33" s="324"/>
      <c r="T33" s="324"/>
      <c r="U33" s="324"/>
      <c r="V33" s="324"/>
      <c r="W33" s="324"/>
      <c r="X33" s="324"/>
      <c r="Y33" s="324"/>
      <c r="Z33" s="324"/>
      <c r="AA33" s="324"/>
      <c r="AB33" s="324"/>
      <c r="AC33" s="324"/>
      <c r="AD33" s="324"/>
      <c r="AE33" s="319"/>
      <c r="AF33" s="325"/>
      <c r="AG33" s="325"/>
      <c r="AH33" s="325"/>
      <c r="AI33" s="325"/>
      <c r="AJ33" s="325"/>
      <c r="AK33" s="325"/>
      <c r="AL33" s="325"/>
      <c r="AM33" s="325"/>
      <c r="AN33" s="325"/>
      <c r="AO33" s="325"/>
      <c r="AP33" s="325"/>
      <c r="AQ33" s="325"/>
      <c r="AR33" s="325">
        <f t="shared" si="5"/>
        <v>0</v>
      </c>
      <c r="AS33" s="325">
        <f t="shared" si="3"/>
        <v>0</v>
      </c>
      <c r="AT33" s="325">
        <f t="shared" si="4"/>
        <v>0</v>
      </c>
    </row>
    <row r="34" spans="1:46" x14ac:dyDescent="0.35">
      <c r="A34" s="321" t="s">
        <v>1282</v>
      </c>
      <c r="B34" s="321" t="s">
        <v>1283</v>
      </c>
      <c r="C34" s="322" t="s">
        <v>417</v>
      </c>
      <c r="D34" s="323" t="s">
        <v>204</v>
      </c>
      <c r="E34" s="323" t="s">
        <v>1338</v>
      </c>
      <c r="F34" s="323" t="s">
        <v>1354</v>
      </c>
      <c r="G34" s="323" t="s">
        <v>500</v>
      </c>
      <c r="H34" s="323" t="s">
        <v>1355</v>
      </c>
      <c r="I34" s="322" t="s">
        <v>1356</v>
      </c>
      <c r="J34" s="323" t="s">
        <v>497</v>
      </c>
      <c r="K34" s="323" t="s">
        <v>491</v>
      </c>
      <c r="L34" s="322" t="s">
        <v>1309</v>
      </c>
      <c r="M34" s="323" t="s">
        <v>1310</v>
      </c>
      <c r="N34" s="323"/>
      <c r="O34" s="322"/>
      <c r="P34" s="323"/>
      <c r="Q34" s="323"/>
      <c r="R34" s="324"/>
      <c r="S34" s="324"/>
      <c r="T34" s="324"/>
      <c r="U34" s="324"/>
      <c r="V34" s="324"/>
      <c r="W34" s="324"/>
      <c r="X34" s="324"/>
      <c r="Y34" s="324"/>
      <c r="Z34" s="324"/>
      <c r="AA34" s="324"/>
      <c r="AB34" s="324"/>
      <c r="AC34" s="324"/>
      <c r="AD34" s="324">
        <f t="shared" si="2"/>
        <v>0</v>
      </c>
      <c r="AE34" s="319"/>
      <c r="AF34" s="325"/>
      <c r="AG34" s="325"/>
      <c r="AH34" s="325"/>
      <c r="AI34" s="325"/>
      <c r="AJ34" s="325"/>
      <c r="AK34" s="325"/>
      <c r="AL34" s="325"/>
      <c r="AM34" s="325"/>
      <c r="AN34" s="325"/>
      <c r="AO34" s="325"/>
      <c r="AP34" s="325"/>
      <c r="AQ34" s="325"/>
      <c r="AR34" s="325">
        <f t="shared" si="5"/>
        <v>0</v>
      </c>
      <c r="AS34" s="325">
        <f t="shared" si="3"/>
        <v>0</v>
      </c>
      <c r="AT34" s="325">
        <f t="shared" si="4"/>
        <v>0</v>
      </c>
    </row>
    <row r="35" spans="1:46" x14ac:dyDescent="0.35">
      <c r="A35" s="321" t="s">
        <v>1282</v>
      </c>
      <c r="B35" s="321" t="s">
        <v>1283</v>
      </c>
      <c r="C35" s="322" t="s">
        <v>417</v>
      </c>
      <c r="D35" s="323" t="s">
        <v>204</v>
      </c>
      <c r="E35" s="323" t="s">
        <v>1338</v>
      </c>
      <c r="F35" s="323" t="s">
        <v>1354</v>
      </c>
      <c r="G35" s="323" t="s">
        <v>500</v>
      </c>
      <c r="H35" s="323" t="s">
        <v>1355</v>
      </c>
      <c r="I35" s="322" t="s">
        <v>1357</v>
      </c>
      <c r="J35" s="323" t="s">
        <v>1358</v>
      </c>
      <c r="K35" s="323" t="s">
        <v>491</v>
      </c>
      <c r="L35" s="322" t="s">
        <v>1359</v>
      </c>
      <c r="M35" s="323" t="s">
        <v>1360</v>
      </c>
      <c r="N35" s="323"/>
      <c r="O35" s="322"/>
      <c r="P35" s="323"/>
      <c r="Q35" s="323"/>
      <c r="R35" s="324"/>
      <c r="S35" s="324"/>
      <c r="T35" s="324"/>
      <c r="U35" s="324"/>
      <c r="V35" s="324"/>
      <c r="W35" s="324"/>
      <c r="X35" s="324"/>
      <c r="Y35" s="324"/>
      <c r="Z35" s="324"/>
      <c r="AA35" s="324"/>
      <c r="AB35" s="324"/>
      <c r="AC35" s="324"/>
      <c r="AD35" s="324">
        <f t="shared" si="2"/>
        <v>0</v>
      </c>
      <c r="AE35" s="319"/>
      <c r="AF35" s="325"/>
      <c r="AG35" s="325"/>
      <c r="AH35" s="325"/>
      <c r="AI35" s="325"/>
      <c r="AJ35" s="325"/>
      <c r="AK35" s="325"/>
      <c r="AL35" s="325"/>
      <c r="AM35" s="325"/>
      <c r="AN35" s="325"/>
      <c r="AO35" s="325"/>
      <c r="AP35" s="325"/>
      <c r="AQ35" s="325"/>
      <c r="AR35" s="325">
        <f t="shared" si="5"/>
        <v>0</v>
      </c>
      <c r="AS35" s="325">
        <f t="shared" si="3"/>
        <v>0</v>
      </c>
      <c r="AT35" s="325">
        <f t="shared" si="4"/>
        <v>0</v>
      </c>
    </row>
    <row r="36" spans="1:46" x14ac:dyDescent="0.35">
      <c r="A36" s="321" t="s">
        <v>1282</v>
      </c>
      <c r="B36" s="321" t="s">
        <v>1283</v>
      </c>
      <c r="C36" s="322" t="s">
        <v>417</v>
      </c>
      <c r="D36" s="323" t="s">
        <v>204</v>
      </c>
      <c r="E36" s="323" t="s">
        <v>1338</v>
      </c>
      <c r="F36" s="323" t="s">
        <v>1354</v>
      </c>
      <c r="G36" s="323" t="s">
        <v>500</v>
      </c>
      <c r="H36" s="323" t="s">
        <v>1355</v>
      </c>
      <c r="I36" s="322" t="s">
        <v>1361</v>
      </c>
      <c r="J36" s="323" t="s">
        <v>1027</v>
      </c>
      <c r="K36" s="323" t="s">
        <v>1313</v>
      </c>
      <c r="L36" s="322" t="s">
        <v>1314</v>
      </c>
      <c r="M36" s="323" t="s">
        <v>1315</v>
      </c>
      <c r="N36" s="323"/>
      <c r="O36" s="322"/>
      <c r="P36" s="323"/>
      <c r="Q36" s="323"/>
      <c r="R36" s="324"/>
      <c r="S36" s="324"/>
      <c r="T36" s="324"/>
      <c r="U36" s="324"/>
      <c r="V36" s="324"/>
      <c r="W36" s="324"/>
      <c r="X36" s="324"/>
      <c r="Y36" s="324"/>
      <c r="Z36" s="324"/>
      <c r="AA36" s="324"/>
      <c r="AB36" s="324"/>
      <c r="AC36" s="324"/>
      <c r="AD36" s="324">
        <f t="shared" si="2"/>
        <v>0</v>
      </c>
      <c r="AE36" s="319"/>
      <c r="AF36" s="325"/>
      <c r="AG36" s="325"/>
      <c r="AH36" s="325"/>
      <c r="AI36" s="325"/>
      <c r="AJ36" s="325"/>
      <c r="AK36" s="325"/>
      <c r="AL36" s="325"/>
      <c r="AM36" s="325"/>
      <c r="AN36" s="325"/>
      <c r="AO36" s="325"/>
      <c r="AP36" s="325"/>
      <c r="AQ36" s="325"/>
      <c r="AR36" s="325">
        <f t="shared" si="5"/>
        <v>0</v>
      </c>
      <c r="AS36" s="325">
        <f t="shared" si="3"/>
        <v>0</v>
      </c>
      <c r="AT36" s="325">
        <f t="shared" si="4"/>
        <v>0</v>
      </c>
    </row>
    <row r="37" spans="1:46" x14ac:dyDescent="0.35">
      <c r="A37" s="321" t="s">
        <v>1282</v>
      </c>
      <c r="B37" s="321" t="s">
        <v>1283</v>
      </c>
      <c r="C37" s="322" t="s">
        <v>417</v>
      </c>
      <c r="D37" s="323" t="s">
        <v>204</v>
      </c>
      <c r="E37" s="323" t="s">
        <v>1338</v>
      </c>
      <c r="F37" s="323" t="s">
        <v>1362</v>
      </c>
      <c r="G37" s="323" t="s">
        <v>500</v>
      </c>
      <c r="H37" s="323" t="s">
        <v>1355</v>
      </c>
      <c r="I37" s="322" t="s">
        <v>892</v>
      </c>
      <c r="J37" s="323" t="s">
        <v>496</v>
      </c>
      <c r="K37" s="323" t="s">
        <v>493</v>
      </c>
      <c r="L37" s="322" t="s">
        <v>1363</v>
      </c>
      <c r="M37" s="323" t="s">
        <v>1364</v>
      </c>
      <c r="N37" s="323"/>
      <c r="O37" s="322"/>
      <c r="P37" s="323"/>
      <c r="Q37" s="323"/>
      <c r="R37" s="324"/>
      <c r="S37" s="324"/>
      <c r="T37" s="324"/>
      <c r="U37" s="324"/>
      <c r="V37" s="324"/>
      <c r="W37" s="324"/>
      <c r="X37" s="324"/>
      <c r="Y37" s="324"/>
      <c r="Z37" s="324"/>
      <c r="AA37" s="324"/>
      <c r="AB37" s="324"/>
      <c r="AC37" s="324"/>
      <c r="AD37" s="324">
        <f t="shared" si="2"/>
        <v>0</v>
      </c>
      <c r="AE37" s="319"/>
      <c r="AF37" s="325"/>
      <c r="AG37" s="325"/>
      <c r="AH37" s="325"/>
      <c r="AI37" s="325"/>
      <c r="AJ37" s="325"/>
      <c r="AK37" s="325"/>
      <c r="AL37" s="325"/>
      <c r="AM37" s="325"/>
      <c r="AN37" s="325"/>
      <c r="AO37" s="325"/>
      <c r="AP37" s="325"/>
      <c r="AQ37" s="325"/>
      <c r="AR37" s="325">
        <f t="shared" si="5"/>
        <v>0</v>
      </c>
      <c r="AS37" s="325">
        <f t="shared" si="3"/>
        <v>0</v>
      </c>
      <c r="AT37" s="325">
        <f t="shared" si="4"/>
        <v>0</v>
      </c>
    </row>
    <row r="38" spans="1:46" x14ac:dyDescent="0.35">
      <c r="A38" s="321" t="s">
        <v>1282</v>
      </c>
      <c r="B38" s="321" t="s">
        <v>1283</v>
      </c>
      <c r="C38" s="322" t="s">
        <v>417</v>
      </c>
      <c r="D38" s="323" t="s">
        <v>1319</v>
      </c>
      <c r="E38" s="323" t="s">
        <v>1320</v>
      </c>
      <c r="F38" s="323" t="s">
        <v>1365</v>
      </c>
      <c r="G38" s="323" t="s">
        <v>1322</v>
      </c>
      <c r="H38" s="323" t="s">
        <v>1366</v>
      </c>
      <c r="I38" s="322" t="s">
        <v>1367</v>
      </c>
      <c r="J38" s="323" t="s">
        <v>1368</v>
      </c>
      <c r="K38" s="323" t="s">
        <v>1010</v>
      </c>
      <c r="L38" s="322" t="s">
        <v>1369</v>
      </c>
      <c r="M38" s="323" t="s">
        <v>1370</v>
      </c>
      <c r="N38" s="323"/>
      <c r="O38" s="322"/>
      <c r="P38" s="323"/>
      <c r="Q38" s="323"/>
      <c r="R38" s="324"/>
      <c r="S38" s="324"/>
      <c r="T38" s="324"/>
      <c r="U38" s="324"/>
      <c r="V38" s="324"/>
      <c r="W38" s="324"/>
      <c r="X38" s="324"/>
      <c r="Y38" s="324"/>
      <c r="Z38" s="324"/>
      <c r="AA38" s="324"/>
      <c r="AB38" s="324"/>
      <c r="AC38" s="324"/>
      <c r="AD38" s="324">
        <f t="shared" si="2"/>
        <v>0</v>
      </c>
      <c r="AE38" s="319"/>
      <c r="AF38" s="325"/>
      <c r="AG38" s="325"/>
      <c r="AH38" s="325"/>
      <c r="AI38" s="325"/>
      <c r="AJ38" s="325"/>
      <c r="AK38" s="325"/>
      <c r="AL38" s="325"/>
      <c r="AM38" s="325"/>
      <c r="AN38" s="325"/>
      <c r="AO38" s="325"/>
      <c r="AP38" s="325"/>
      <c r="AQ38" s="325"/>
      <c r="AR38" s="325">
        <f t="shared" si="5"/>
        <v>0</v>
      </c>
      <c r="AS38" s="325">
        <f t="shared" si="3"/>
        <v>0</v>
      </c>
      <c r="AT38" s="325">
        <f t="shared" si="4"/>
        <v>0</v>
      </c>
    </row>
    <row r="39" spans="1:46" x14ac:dyDescent="0.35">
      <c r="A39" s="321" t="s">
        <v>1282</v>
      </c>
      <c r="B39" s="321" t="s">
        <v>1283</v>
      </c>
      <c r="C39" s="322" t="s">
        <v>417</v>
      </c>
      <c r="D39" s="323" t="s">
        <v>1319</v>
      </c>
      <c r="E39" s="323" t="s">
        <v>1320</v>
      </c>
      <c r="F39" s="323" t="s">
        <v>1321</v>
      </c>
      <c r="G39" s="323" t="s">
        <v>1322</v>
      </c>
      <c r="H39" s="323" t="s">
        <v>1371</v>
      </c>
      <c r="I39" s="322" t="s">
        <v>836</v>
      </c>
      <c r="J39" s="323" t="s">
        <v>702</v>
      </c>
      <c r="K39" s="323" t="s">
        <v>493</v>
      </c>
      <c r="L39" s="322" t="s">
        <v>1324</v>
      </c>
      <c r="M39" s="323" t="s">
        <v>1325</v>
      </c>
      <c r="N39" s="323"/>
      <c r="O39" s="322"/>
      <c r="P39" s="323"/>
      <c r="Q39" s="323"/>
      <c r="R39" s="324"/>
      <c r="S39" s="324"/>
      <c r="T39" s="324"/>
      <c r="U39" s="324"/>
      <c r="V39" s="324"/>
      <c r="W39" s="324"/>
      <c r="X39" s="324"/>
      <c r="Y39" s="324"/>
      <c r="Z39" s="324"/>
      <c r="AA39" s="324"/>
      <c r="AB39" s="324"/>
      <c r="AC39" s="324"/>
      <c r="AD39" s="326">
        <f t="shared" si="2"/>
        <v>0</v>
      </c>
      <c r="AF39" s="327"/>
      <c r="AG39" s="327"/>
      <c r="AH39" s="327"/>
      <c r="AI39" s="327"/>
      <c r="AJ39" s="327"/>
      <c r="AK39" s="327"/>
      <c r="AL39" s="327"/>
      <c r="AM39" s="327"/>
      <c r="AN39" s="327"/>
      <c r="AO39" s="327"/>
      <c r="AP39" s="327"/>
      <c r="AQ39" s="327"/>
      <c r="AR39" s="325">
        <f t="shared" si="5"/>
        <v>0</v>
      </c>
      <c r="AS39" s="327">
        <f t="shared" si="3"/>
        <v>0</v>
      </c>
      <c r="AT39" s="327">
        <f t="shared" si="4"/>
        <v>0</v>
      </c>
    </row>
    <row r="40" spans="1:46" x14ac:dyDescent="0.35">
      <c r="A40" s="321" t="s">
        <v>1282</v>
      </c>
      <c r="B40" s="321" t="s">
        <v>1283</v>
      </c>
      <c r="C40" s="322" t="s">
        <v>417</v>
      </c>
      <c r="D40" s="323" t="s">
        <v>1319</v>
      </c>
      <c r="E40" s="323" t="s">
        <v>1320</v>
      </c>
      <c r="F40" s="323" t="s">
        <v>1326</v>
      </c>
      <c r="G40" s="323" t="s">
        <v>1322</v>
      </c>
      <c r="H40" s="323" t="s">
        <v>1352</v>
      </c>
      <c r="I40" s="322" t="s">
        <v>1372</v>
      </c>
      <c r="J40" s="323" t="s">
        <v>495</v>
      </c>
      <c r="K40" s="323" t="s">
        <v>493</v>
      </c>
      <c r="L40" s="322" t="s">
        <v>1328</v>
      </c>
      <c r="M40" s="323" t="s">
        <v>1329</v>
      </c>
      <c r="N40" s="323"/>
      <c r="O40" s="322"/>
      <c r="P40" s="323"/>
      <c r="Q40" s="323"/>
      <c r="R40" s="324"/>
      <c r="S40" s="324"/>
      <c r="T40" s="324"/>
      <c r="U40" s="324"/>
      <c r="V40" s="324"/>
      <c r="W40" s="324"/>
      <c r="X40" s="324"/>
      <c r="Y40" s="324"/>
      <c r="Z40" s="324"/>
      <c r="AA40" s="324"/>
      <c r="AB40" s="324"/>
      <c r="AC40" s="324"/>
      <c r="AD40" s="324">
        <f>SUM(R40:AC40)</f>
        <v>0</v>
      </c>
      <c r="AE40" s="319"/>
      <c r="AF40" s="325"/>
      <c r="AG40" s="325"/>
      <c r="AH40" s="325"/>
      <c r="AI40" s="325"/>
      <c r="AJ40" s="325"/>
      <c r="AK40" s="325"/>
      <c r="AL40" s="325"/>
      <c r="AM40" s="325"/>
      <c r="AN40" s="325"/>
      <c r="AO40" s="325"/>
      <c r="AP40" s="325"/>
      <c r="AQ40" s="325"/>
      <c r="AR40" s="325">
        <f t="shared" si="5"/>
        <v>0</v>
      </c>
      <c r="AS40" s="325">
        <f t="shared" si="3"/>
        <v>0</v>
      </c>
      <c r="AT40" s="325">
        <f t="shared" si="4"/>
        <v>0</v>
      </c>
    </row>
    <row r="41" spans="1:46" x14ac:dyDescent="0.35">
      <c r="A41" s="314" t="s">
        <v>1282</v>
      </c>
      <c r="B41" s="314" t="s">
        <v>1283</v>
      </c>
      <c r="C41" s="315" t="s">
        <v>417</v>
      </c>
      <c r="D41" s="315"/>
      <c r="E41" s="315"/>
      <c r="F41" s="315"/>
      <c r="G41" s="315"/>
      <c r="H41" s="316" t="s">
        <v>1373</v>
      </c>
      <c r="I41" s="316" t="s">
        <v>1374</v>
      </c>
      <c r="J41" s="328"/>
      <c r="K41" s="315"/>
      <c r="L41" s="315"/>
      <c r="M41" s="315"/>
      <c r="N41" s="328"/>
      <c r="O41" s="316" t="s">
        <v>1374</v>
      </c>
      <c r="P41" s="328"/>
      <c r="Q41" s="328"/>
      <c r="R41" s="318">
        <f t="shared" ref="R41:AC41" si="11">SUM(R42:R110)</f>
        <v>0</v>
      </c>
      <c r="S41" s="318">
        <f t="shared" si="11"/>
        <v>0</v>
      </c>
      <c r="T41" s="318">
        <f t="shared" si="11"/>
        <v>0</v>
      </c>
      <c r="U41" s="318">
        <f t="shared" si="11"/>
        <v>0</v>
      </c>
      <c r="V41" s="318">
        <f t="shared" si="11"/>
        <v>0</v>
      </c>
      <c r="W41" s="318">
        <f t="shared" si="11"/>
        <v>0</v>
      </c>
      <c r="X41" s="318">
        <f t="shared" si="11"/>
        <v>0</v>
      </c>
      <c r="Y41" s="318">
        <f t="shared" si="11"/>
        <v>0</v>
      </c>
      <c r="Z41" s="318">
        <f t="shared" si="11"/>
        <v>0</v>
      </c>
      <c r="AA41" s="318">
        <f t="shared" si="11"/>
        <v>0</v>
      </c>
      <c r="AB41" s="318">
        <f t="shared" si="11"/>
        <v>0</v>
      </c>
      <c r="AC41" s="318">
        <f t="shared" si="11"/>
        <v>0</v>
      </c>
      <c r="AD41" s="318">
        <f t="shared" si="2"/>
        <v>0</v>
      </c>
      <c r="AE41" s="319"/>
      <c r="AF41" s="318">
        <f t="shared" ref="AF41:AR41" si="12">SUM(AF42:AF110)</f>
        <v>0</v>
      </c>
      <c r="AG41" s="318">
        <f t="shared" si="12"/>
        <v>0</v>
      </c>
      <c r="AH41" s="318">
        <f t="shared" si="12"/>
        <v>0</v>
      </c>
      <c r="AI41" s="318">
        <f t="shared" si="12"/>
        <v>0</v>
      </c>
      <c r="AJ41" s="318">
        <f t="shared" si="12"/>
        <v>0</v>
      </c>
      <c r="AK41" s="318">
        <f t="shared" si="12"/>
        <v>0</v>
      </c>
      <c r="AL41" s="318">
        <f t="shared" si="12"/>
        <v>0</v>
      </c>
      <c r="AM41" s="318">
        <f t="shared" si="12"/>
        <v>0</v>
      </c>
      <c r="AN41" s="318">
        <f t="shared" si="12"/>
        <v>0</v>
      </c>
      <c r="AO41" s="318">
        <f t="shared" si="12"/>
        <v>0</v>
      </c>
      <c r="AP41" s="318">
        <f t="shared" si="12"/>
        <v>0</v>
      </c>
      <c r="AQ41" s="318">
        <f t="shared" si="12"/>
        <v>0</v>
      </c>
      <c r="AR41" s="318">
        <f t="shared" si="12"/>
        <v>0</v>
      </c>
      <c r="AS41" s="318">
        <f t="shared" si="3"/>
        <v>0</v>
      </c>
      <c r="AT41" s="318">
        <f t="shared" si="4"/>
        <v>0</v>
      </c>
    </row>
    <row r="42" spans="1:46" x14ac:dyDescent="0.35">
      <c r="A42" s="321" t="s">
        <v>1282</v>
      </c>
      <c r="B42" s="321" t="s">
        <v>1283</v>
      </c>
      <c r="C42" s="322" t="s">
        <v>417</v>
      </c>
      <c r="D42" s="323" t="s">
        <v>1319</v>
      </c>
      <c r="E42" s="323" t="s">
        <v>1320</v>
      </c>
      <c r="F42" s="323" t="s">
        <v>1375</v>
      </c>
      <c r="G42" s="323" t="s">
        <v>1322</v>
      </c>
      <c r="H42" s="323" t="s">
        <v>1355</v>
      </c>
      <c r="I42" s="322" t="s">
        <v>1376</v>
      </c>
      <c r="J42" s="323" t="s">
        <v>1377</v>
      </c>
      <c r="K42" s="323" t="s">
        <v>493</v>
      </c>
      <c r="L42" s="322" t="s">
        <v>1378</v>
      </c>
      <c r="M42" s="323" t="s">
        <v>1379</v>
      </c>
      <c r="N42" s="330"/>
      <c r="O42" s="322"/>
      <c r="P42" s="323"/>
      <c r="Q42" s="323"/>
      <c r="R42" s="324"/>
      <c r="S42" s="324"/>
      <c r="T42" s="324"/>
      <c r="U42" s="324"/>
      <c r="V42" s="324"/>
      <c r="W42" s="324"/>
      <c r="X42" s="324"/>
      <c r="Y42" s="324"/>
      <c r="Z42" s="324"/>
      <c r="AA42" s="324"/>
      <c r="AB42" s="324"/>
      <c r="AC42" s="324"/>
      <c r="AD42" s="324">
        <f t="shared" si="2"/>
        <v>0</v>
      </c>
      <c r="AE42" s="319"/>
      <c r="AF42" s="325"/>
      <c r="AG42" s="325"/>
      <c r="AH42" s="325"/>
      <c r="AI42" s="325"/>
      <c r="AJ42" s="325"/>
      <c r="AK42" s="325"/>
      <c r="AL42" s="325"/>
      <c r="AM42" s="325"/>
      <c r="AN42" s="325"/>
      <c r="AO42" s="325"/>
      <c r="AP42" s="325"/>
      <c r="AQ42" s="325"/>
      <c r="AR42" s="325">
        <f>SUM(AF42:AQ42)</f>
        <v>0</v>
      </c>
      <c r="AS42" s="325">
        <f t="shared" si="3"/>
        <v>0</v>
      </c>
      <c r="AT42" s="325">
        <f t="shared" si="4"/>
        <v>0</v>
      </c>
    </row>
    <row r="43" spans="1:46" x14ac:dyDescent="0.35">
      <c r="A43" s="321" t="s">
        <v>1282</v>
      </c>
      <c r="B43" s="321" t="s">
        <v>1283</v>
      </c>
      <c r="C43" s="322" t="s">
        <v>417</v>
      </c>
      <c r="D43" s="323" t="s">
        <v>1319</v>
      </c>
      <c r="E43" s="323" t="s">
        <v>1320</v>
      </c>
      <c r="F43" s="323" t="s">
        <v>1375</v>
      </c>
      <c r="G43" s="323" t="s">
        <v>1322</v>
      </c>
      <c r="H43" s="323" t="s">
        <v>1355</v>
      </c>
      <c r="I43" s="322" t="s">
        <v>1380</v>
      </c>
      <c r="J43" s="323" t="s">
        <v>1381</v>
      </c>
      <c r="K43" s="323" t="s">
        <v>493</v>
      </c>
      <c r="L43" s="322" t="s">
        <v>1378</v>
      </c>
      <c r="M43" s="323" t="s">
        <v>1379</v>
      </c>
      <c r="N43" s="330"/>
      <c r="O43" s="322"/>
      <c r="P43" s="323"/>
      <c r="Q43" s="323"/>
      <c r="R43" s="324"/>
      <c r="S43" s="324"/>
      <c r="T43" s="324"/>
      <c r="U43" s="324"/>
      <c r="V43" s="324"/>
      <c r="W43" s="324"/>
      <c r="X43" s="324"/>
      <c r="Y43" s="324"/>
      <c r="Z43" s="324"/>
      <c r="AA43" s="324"/>
      <c r="AB43" s="324"/>
      <c r="AC43" s="324"/>
      <c r="AD43" s="324">
        <f t="shared" si="2"/>
        <v>0</v>
      </c>
      <c r="AE43" s="319"/>
      <c r="AF43" s="325"/>
      <c r="AG43" s="325"/>
      <c r="AH43" s="325"/>
      <c r="AI43" s="325"/>
      <c r="AJ43" s="325"/>
      <c r="AK43" s="325"/>
      <c r="AL43" s="325"/>
      <c r="AM43" s="325"/>
      <c r="AN43" s="325"/>
      <c r="AO43" s="325"/>
      <c r="AP43" s="325"/>
      <c r="AQ43" s="325"/>
      <c r="AR43" s="325">
        <f t="shared" ref="AR43:AR106" si="13">SUM(AF43:AQ43)</f>
        <v>0</v>
      </c>
      <c r="AS43" s="325">
        <f t="shared" si="3"/>
        <v>0</v>
      </c>
      <c r="AT43" s="325">
        <f t="shared" si="4"/>
        <v>0</v>
      </c>
    </row>
    <row r="44" spans="1:46" x14ac:dyDescent="0.35">
      <c r="A44" s="321" t="s">
        <v>1282</v>
      </c>
      <c r="B44" s="321" t="s">
        <v>1283</v>
      </c>
      <c r="C44" s="322" t="s">
        <v>417</v>
      </c>
      <c r="D44" s="323" t="s">
        <v>1331</v>
      </c>
      <c r="E44" s="323" t="s">
        <v>1320</v>
      </c>
      <c r="F44" s="323" t="s">
        <v>1382</v>
      </c>
      <c r="G44" s="323" t="s">
        <v>1322</v>
      </c>
      <c r="H44" s="323" t="s">
        <v>1383</v>
      </c>
      <c r="I44" s="322" t="s">
        <v>1384</v>
      </c>
      <c r="J44" s="331" t="s">
        <v>1385</v>
      </c>
      <c r="K44" s="323" t="s">
        <v>708</v>
      </c>
      <c r="L44" s="322" t="s">
        <v>1386</v>
      </c>
      <c r="M44" s="323" t="s">
        <v>1383</v>
      </c>
      <c r="N44" s="331"/>
      <c r="O44" s="322"/>
      <c r="P44" s="331"/>
      <c r="Q44" s="331"/>
      <c r="R44" s="324"/>
      <c r="S44" s="324"/>
      <c r="T44" s="324"/>
      <c r="U44" s="324"/>
      <c r="V44" s="324"/>
      <c r="W44" s="324"/>
      <c r="X44" s="324"/>
      <c r="Y44" s="324"/>
      <c r="Z44" s="324"/>
      <c r="AA44" s="324"/>
      <c r="AB44" s="324"/>
      <c r="AC44" s="324"/>
      <c r="AD44" s="326">
        <f t="shared" si="2"/>
        <v>0</v>
      </c>
      <c r="AE44" s="319"/>
      <c r="AF44" s="325"/>
      <c r="AG44" s="325"/>
      <c r="AH44" s="325"/>
      <c r="AI44" s="325"/>
      <c r="AJ44" s="325"/>
      <c r="AK44" s="325"/>
      <c r="AL44" s="325"/>
      <c r="AM44" s="325"/>
      <c r="AN44" s="325"/>
      <c r="AO44" s="325"/>
      <c r="AP44" s="325"/>
      <c r="AQ44" s="325"/>
      <c r="AR44" s="325">
        <f t="shared" si="13"/>
        <v>0</v>
      </c>
      <c r="AS44" s="325">
        <f t="shared" si="3"/>
        <v>0</v>
      </c>
      <c r="AT44" s="325">
        <f t="shared" si="4"/>
        <v>0</v>
      </c>
    </row>
    <row r="45" spans="1:46" x14ac:dyDescent="0.35">
      <c r="A45" s="321" t="s">
        <v>1282</v>
      </c>
      <c r="B45" s="321" t="s">
        <v>1283</v>
      </c>
      <c r="C45" s="322" t="s">
        <v>417</v>
      </c>
      <c r="D45" s="323" t="s">
        <v>1319</v>
      </c>
      <c r="E45" s="323" t="s">
        <v>1320</v>
      </c>
      <c r="F45" s="323" t="s">
        <v>1387</v>
      </c>
      <c r="G45" s="323" t="s">
        <v>1322</v>
      </c>
      <c r="H45" s="323" t="s">
        <v>1388</v>
      </c>
      <c r="I45" s="322" t="s">
        <v>1389</v>
      </c>
      <c r="J45" s="323" t="s">
        <v>1390</v>
      </c>
      <c r="K45" s="323" t="s">
        <v>725</v>
      </c>
      <c r="L45" s="322" t="s">
        <v>1391</v>
      </c>
      <c r="M45" s="332" t="s">
        <v>1392</v>
      </c>
      <c r="N45" s="323"/>
      <c r="O45" s="322"/>
      <c r="P45" s="323"/>
      <c r="Q45" s="323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4">
        <f t="shared" si="2"/>
        <v>0</v>
      </c>
      <c r="AE45" s="319"/>
      <c r="AF45" s="325"/>
      <c r="AG45" s="325"/>
      <c r="AH45" s="325"/>
      <c r="AI45" s="325"/>
      <c r="AJ45" s="325"/>
      <c r="AK45" s="325"/>
      <c r="AL45" s="325"/>
      <c r="AM45" s="325"/>
      <c r="AN45" s="325"/>
      <c r="AO45" s="325"/>
      <c r="AP45" s="325"/>
      <c r="AQ45" s="325"/>
      <c r="AR45" s="325">
        <f t="shared" si="13"/>
        <v>0</v>
      </c>
      <c r="AS45" s="325">
        <f t="shared" si="3"/>
        <v>0</v>
      </c>
      <c r="AT45" s="325">
        <f t="shared" si="4"/>
        <v>0</v>
      </c>
    </row>
    <row r="46" spans="1:46" x14ac:dyDescent="0.35">
      <c r="A46" s="321" t="s">
        <v>1282</v>
      </c>
      <c r="B46" s="321" t="s">
        <v>1283</v>
      </c>
      <c r="C46" s="322" t="s">
        <v>417</v>
      </c>
      <c r="D46" s="323" t="s">
        <v>1319</v>
      </c>
      <c r="E46" s="323" t="s">
        <v>1320</v>
      </c>
      <c r="F46" s="323" t="s">
        <v>1387</v>
      </c>
      <c r="G46" s="323" t="s">
        <v>1322</v>
      </c>
      <c r="H46" s="323" t="s">
        <v>1388</v>
      </c>
      <c r="I46" s="322" t="s">
        <v>868</v>
      </c>
      <c r="J46" s="323" t="s">
        <v>724</v>
      </c>
      <c r="K46" s="323" t="s">
        <v>725</v>
      </c>
      <c r="L46" s="322" t="s">
        <v>1393</v>
      </c>
      <c r="M46" s="323" t="s">
        <v>1394</v>
      </c>
      <c r="N46" s="330"/>
      <c r="O46" s="322"/>
      <c r="P46" s="323"/>
      <c r="Q46" s="323"/>
      <c r="R46" s="324"/>
      <c r="S46" s="324"/>
      <c r="T46" s="324"/>
      <c r="U46" s="324"/>
      <c r="V46" s="324"/>
      <c r="W46" s="324"/>
      <c r="X46" s="324"/>
      <c r="Y46" s="324"/>
      <c r="Z46" s="324"/>
      <c r="AA46" s="324"/>
      <c r="AB46" s="324"/>
      <c r="AC46" s="324"/>
      <c r="AD46" s="324">
        <f t="shared" si="2"/>
        <v>0</v>
      </c>
      <c r="AE46" s="319"/>
      <c r="AF46" s="325"/>
      <c r="AG46" s="325"/>
      <c r="AH46" s="325"/>
      <c r="AI46" s="325"/>
      <c r="AJ46" s="325"/>
      <c r="AK46" s="325"/>
      <c r="AL46" s="325"/>
      <c r="AM46" s="325"/>
      <c r="AN46" s="325"/>
      <c r="AO46" s="325"/>
      <c r="AP46" s="325"/>
      <c r="AQ46" s="325"/>
      <c r="AR46" s="325">
        <f t="shared" si="13"/>
        <v>0</v>
      </c>
      <c r="AS46" s="325">
        <f t="shared" si="3"/>
        <v>0</v>
      </c>
      <c r="AT46" s="325">
        <f t="shared" si="4"/>
        <v>0</v>
      </c>
    </row>
    <row r="47" spans="1:46" x14ac:dyDescent="0.35">
      <c r="A47" s="321" t="s">
        <v>1282</v>
      </c>
      <c r="B47" s="321" t="s">
        <v>1283</v>
      </c>
      <c r="C47" s="322" t="s">
        <v>417</v>
      </c>
      <c r="D47" s="323" t="s">
        <v>1331</v>
      </c>
      <c r="E47" s="323" t="s">
        <v>1320</v>
      </c>
      <c r="F47" s="323" t="s">
        <v>1387</v>
      </c>
      <c r="G47" s="323" t="s">
        <v>1322</v>
      </c>
      <c r="H47" s="323" t="s">
        <v>1388</v>
      </c>
      <c r="I47" s="322" t="s">
        <v>894</v>
      </c>
      <c r="J47" s="331" t="s">
        <v>710</v>
      </c>
      <c r="K47" s="323" t="s">
        <v>711</v>
      </c>
      <c r="L47" s="322" t="s">
        <v>1393</v>
      </c>
      <c r="M47" s="323" t="s">
        <v>1394</v>
      </c>
      <c r="N47" s="331"/>
      <c r="O47" s="322"/>
      <c r="P47" s="331"/>
      <c r="Q47" s="331"/>
      <c r="R47" s="324"/>
      <c r="S47" s="324"/>
      <c r="T47" s="324"/>
      <c r="U47" s="324"/>
      <c r="V47" s="324"/>
      <c r="W47" s="324"/>
      <c r="X47" s="324"/>
      <c r="Y47" s="324"/>
      <c r="Z47" s="324"/>
      <c r="AA47" s="324"/>
      <c r="AB47" s="324"/>
      <c r="AC47" s="324"/>
      <c r="AD47" s="326">
        <f t="shared" si="2"/>
        <v>0</v>
      </c>
      <c r="AE47" s="319"/>
      <c r="AF47" s="325"/>
      <c r="AG47" s="325"/>
      <c r="AH47" s="325"/>
      <c r="AI47" s="325"/>
      <c r="AJ47" s="325"/>
      <c r="AK47" s="325"/>
      <c r="AL47" s="325"/>
      <c r="AM47" s="325"/>
      <c r="AN47" s="325"/>
      <c r="AO47" s="325"/>
      <c r="AP47" s="325"/>
      <c r="AQ47" s="325"/>
      <c r="AR47" s="325">
        <f t="shared" si="13"/>
        <v>0</v>
      </c>
      <c r="AS47" s="325">
        <f t="shared" si="3"/>
        <v>0</v>
      </c>
      <c r="AT47" s="325">
        <f t="shared" si="4"/>
        <v>0</v>
      </c>
    </row>
    <row r="48" spans="1:46" x14ac:dyDescent="0.35">
      <c r="A48" s="321" t="s">
        <v>1282</v>
      </c>
      <c r="B48" s="321" t="s">
        <v>1283</v>
      </c>
      <c r="C48" s="322" t="s">
        <v>417</v>
      </c>
      <c r="D48" s="323" t="s">
        <v>1319</v>
      </c>
      <c r="E48" s="323" t="s">
        <v>1320</v>
      </c>
      <c r="F48" s="323" t="s">
        <v>1387</v>
      </c>
      <c r="G48" s="323" t="s">
        <v>1322</v>
      </c>
      <c r="H48" s="323" t="s">
        <v>1388</v>
      </c>
      <c r="I48" s="322" t="s">
        <v>1395</v>
      </c>
      <c r="J48" s="323" t="s">
        <v>1396</v>
      </c>
      <c r="K48" s="323" t="s">
        <v>725</v>
      </c>
      <c r="L48" s="322" t="s">
        <v>1397</v>
      </c>
      <c r="M48" s="323" t="s">
        <v>1398</v>
      </c>
      <c r="N48" s="323"/>
      <c r="O48" s="322"/>
      <c r="P48" s="323"/>
      <c r="Q48" s="323"/>
      <c r="R48" s="324"/>
      <c r="S48" s="324"/>
      <c r="T48" s="324"/>
      <c r="U48" s="324"/>
      <c r="V48" s="324"/>
      <c r="W48" s="324"/>
      <c r="X48" s="324"/>
      <c r="Y48" s="324"/>
      <c r="Z48" s="324"/>
      <c r="AA48" s="324"/>
      <c r="AB48" s="324"/>
      <c r="AC48" s="324"/>
      <c r="AD48" s="324">
        <f t="shared" si="2"/>
        <v>0</v>
      </c>
      <c r="AE48" s="319"/>
      <c r="AF48" s="325"/>
      <c r="AG48" s="325"/>
      <c r="AH48" s="325"/>
      <c r="AI48" s="325"/>
      <c r="AJ48" s="325"/>
      <c r="AK48" s="325"/>
      <c r="AL48" s="325"/>
      <c r="AM48" s="325"/>
      <c r="AN48" s="325"/>
      <c r="AO48" s="325"/>
      <c r="AP48" s="325"/>
      <c r="AQ48" s="325"/>
      <c r="AR48" s="325">
        <f t="shared" si="13"/>
        <v>0</v>
      </c>
      <c r="AS48" s="325">
        <f t="shared" si="3"/>
        <v>0</v>
      </c>
      <c r="AT48" s="325">
        <f t="shared" si="4"/>
        <v>0</v>
      </c>
    </row>
    <row r="49" spans="1:46" x14ac:dyDescent="0.35">
      <c r="A49" s="321" t="s">
        <v>1282</v>
      </c>
      <c r="B49" s="321" t="s">
        <v>1283</v>
      </c>
      <c r="C49" s="322" t="s">
        <v>417</v>
      </c>
      <c r="D49" s="323" t="s">
        <v>1319</v>
      </c>
      <c r="E49" s="323" t="s">
        <v>1320</v>
      </c>
      <c r="F49" s="323" t="s">
        <v>1387</v>
      </c>
      <c r="G49" s="323" t="s">
        <v>1322</v>
      </c>
      <c r="H49" s="323" t="s">
        <v>1388</v>
      </c>
      <c r="I49" s="322" t="s">
        <v>1399</v>
      </c>
      <c r="J49" s="323" t="s">
        <v>1400</v>
      </c>
      <c r="K49" s="323" t="s">
        <v>725</v>
      </c>
      <c r="L49" s="322" t="s">
        <v>1401</v>
      </c>
      <c r="M49" s="323" t="s">
        <v>1402</v>
      </c>
      <c r="N49" s="323"/>
      <c r="O49" s="322"/>
      <c r="P49" s="323"/>
      <c r="Q49" s="323"/>
      <c r="R49" s="324"/>
      <c r="S49" s="324"/>
      <c r="T49" s="324"/>
      <c r="U49" s="324"/>
      <c r="V49" s="324"/>
      <c r="W49" s="324"/>
      <c r="X49" s="324"/>
      <c r="Y49" s="324"/>
      <c r="Z49" s="324"/>
      <c r="AA49" s="324"/>
      <c r="AB49" s="324"/>
      <c r="AC49" s="324"/>
      <c r="AD49" s="324">
        <f t="shared" si="2"/>
        <v>0</v>
      </c>
      <c r="AE49" s="319"/>
      <c r="AF49" s="325"/>
      <c r="AG49" s="325"/>
      <c r="AH49" s="325"/>
      <c r="AI49" s="325"/>
      <c r="AJ49" s="325"/>
      <c r="AK49" s="325"/>
      <c r="AL49" s="325"/>
      <c r="AM49" s="325"/>
      <c r="AN49" s="325"/>
      <c r="AO49" s="325"/>
      <c r="AP49" s="325"/>
      <c r="AQ49" s="325"/>
      <c r="AR49" s="325">
        <f t="shared" si="13"/>
        <v>0</v>
      </c>
      <c r="AS49" s="325">
        <f t="shared" si="3"/>
        <v>0</v>
      </c>
      <c r="AT49" s="325">
        <f t="shared" si="4"/>
        <v>0</v>
      </c>
    </row>
    <row r="50" spans="1:46" x14ac:dyDescent="0.35">
      <c r="A50" s="321" t="s">
        <v>1282</v>
      </c>
      <c r="B50" s="321" t="s">
        <v>1283</v>
      </c>
      <c r="C50" s="322" t="s">
        <v>417</v>
      </c>
      <c r="D50" s="323" t="s">
        <v>1331</v>
      </c>
      <c r="E50" s="323" t="s">
        <v>1320</v>
      </c>
      <c r="F50" s="323" t="s">
        <v>1387</v>
      </c>
      <c r="G50" s="323" t="s">
        <v>1322</v>
      </c>
      <c r="H50" s="323" t="s">
        <v>1388</v>
      </c>
      <c r="I50" s="322" t="s">
        <v>831</v>
      </c>
      <c r="J50" s="331" t="s">
        <v>714</v>
      </c>
      <c r="K50" s="323" t="s">
        <v>711</v>
      </c>
      <c r="L50" s="322" t="s">
        <v>1403</v>
      </c>
      <c r="M50" s="332" t="s">
        <v>1394</v>
      </c>
      <c r="N50" s="331"/>
      <c r="O50" s="322"/>
      <c r="P50" s="331"/>
      <c r="Q50" s="331"/>
      <c r="R50" s="324"/>
      <c r="S50" s="324"/>
      <c r="T50" s="324"/>
      <c r="U50" s="324"/>
      <c r="V50" s="324"/>
      <c r="W50" s="324"/>
      <c r="X50" s="324"/>
      <c r="Y50" s="324"/>
      <c r="Z50" s="324"/>
      <c r="AA50" s="324"/>
      <c r="AB50" s="324"/>
      <c r="AC50" s="324"/>
      <c r="AD50" s="326">
        <f t="shared" si="2"/>
        <v>0</v>
      </c>
      <c r="AE50" s="319"/>
      <c r="AF50" s="325"/>
      <c r="AG50" s="325"/>
      <c r="AH50" s="325"/>
      <c r="AI50" s="325"/>
      <c r="AJ50" s="325"/>
      <c r="AK50" s="325"/>
      <c r="AL50" s="325"/>
      <c r="AM50" s="325"/>
      <c r="AN50" s="325"/>
      <c r="AO50" s="325"/>
      <c r="AP50" s="325"/>
      <c r="AQ50" s="325"/>
      <c r="AR50" s="325">
        <f t="shared" si="13"/>
        <v>0</v>
      </c>
      <c r="AS50" s="325">
        <f t="shared" si="3"/>
        <v>0</v>
      </c>
      <c r="AT50" s="325">
        <f t="shared" si="4"/>
        <v>0</v>
      </c>
    </row>
    <row r="51" spans="1:46" x14ac:dyDescent="0.35">
      <c r="A51" s="321" t="s">
        <v>1282</v>
      </c>
      <c r="B51" s="321" t="s">
        <v>1283</v>
      </c>
      <c r="C51" s="322" t="s">
        <v>417</v>
      </c>
      <c r="D51" s="323" t="s">
        <v>1331</v>
      </c>
      <c r="E51" s="323" t="s">
        <v>1320</v>
      </c>
      <c r="F51" s="323" t="s">
        <v>1387</v>
      </c>
      <c r="G51" s="323" t="s">
        <v>1322</v>
      </c>
      <c r="H51" s="323" t="s">
        <v>1388</v>
      </c>
      <c r="I51" s="322" t="s">
        <v>931</v>
      </c>
      <c r="J51" s="331" t="s">
        <v>714</v>
      </c>
      <c r="K51" s="323" t="s">
        <v>711</v>
      </c>
      <c r="L51" s="322" t="s">
        <v>1403</v>
      </c>
      <c r="M51" s="332" t="s">
        <v>1394</v>
      </c>
      <c r="N51" s="331"/>
      <c r="O51" s="322"/>
      <c r="P51" s="331"/>
      <c r="Q51" s="331"/>
      <c r="R51" s="324"/>
      <c r="S51" s="324"/>
      <c r="T51" s="324"/>
      <c r="U51" s="324"/>
      <c r="V51" s="324"/>
      <c r="W51" s="324"/>
      <c r="X51" s="324"/>
      <c r="Y51" s="324"/>
      <c r="Z51" s="324"/>
      <c r="AA51" s="324"/>
      <c r="AB51" s="324"/>
      <c r="AC51" s="324"/>
      <c r="AD51" s="326">
        <f t="shared" si="2"/>
        <v>0</v>
      </c>
      <c r="AE51" s="319"/>
      <c r="AF51" s="325"/>
      <c r="AG51" s="325"/>
      <c r="AH51" s="325"/>
      <c r="AI51" s="325"/>
      <c r="AJ51" s="325"/>
      <c r="AK51" s="325"/>
      <c r="AL51" s="325"/>
      <c r="AM51" s="325"/>
      <c r="AN51" s="325"/>
      <c r="AO51" s="325"/>
      <c r="AP51" s="325"/>
      <c r="AQ51" s="325"/>
      <c r="AR51" s="325">
        <f t="shared" si="13"/>
        <v>0</v>
      </c>
      <c r="AS51" s="325">
        <f t="shared" si="3"/>
        <v>0</v>
      </c>
      <c r="AT51" s="325">
        <f t="shared" si="4"/>
        <v>0</v>
      </c>
    </row>
    <row r="52" spans="1:46" x14ac:dyDescent="0.35">
      <c r="A52" s="321" t="s">
        <v>1282</v>
      </c>
      <c r="B52" s="321" t="s">
        <v>1283</v>
      </c>
      <c r="C52" s="322" t="s">
        <v>417</v>
      </c>
      <c r="D52" s="323" t="s">
        <v>1319</v>
      </c>
      <c r="E52" s="323" t="s">
        <v>1320</v>
      </c>
      <c r="F52" s="323" t="s">
        <v>1387</v>
      </c>
      <c r="G52" s="323" t="s">
        <v>1322</v>
      </c>
      <c r="H52" s="323" t="s">
        <v>1388</v>
      </c>
      <c r="I52" s="322" t="s">
        <v>1404</v>
      </c>
      <c r="J52" s="323" t="s">
        <v>1405</v>
      </c>
      <c r="K52" s="323" t="s">
        <v>725</v>
      </c>
      <c r="L52" s="322" t="s">
        <v>1406</v>
      </c>
      <c r="M52" s="323" t="s">
        <v>1407</v>
      </c>
      <c r="N52" s="323"/>
      <c r="O52" s="322"/>
      <c r="P52" s="323"/>
      <c r="Q52" s="323"/>
      <c r="R52" s="324"/>
      <c r="S52" s="324"/>
      <c r="T52" s="324"/>
      <c r="U52" s="324"/>
      <c r="V52" s="324"/>
      <c r="W52" s="324"/>
      <c r="X52" s="324"/>
      <c r="Y52" s="324"/>
      <c r="Z52" s="324"/>
      <c r="AA52" s="324"/>
      <c r="AB52" s="324"/>
      <c r="AC52" s="324"/>
      <c r="AD52" s="324">
        <f t="shared" si="2"/>
        <v>0</v>
      </c>
      <c r="AE52" s="319"/>
      <c r="AF52" s="325"/>
      <c r="AG52" s="325"/>
      <c r="AH52" s="325"/>
      <c r="AI52" s="325"/>
      <c r="AJ52" s="325"/>
      <c r="AK52" s="325"/>
      <c r="AL52" s="325"/>
      <c r="AM52" s="325"/>
      <c r="AN52" s="325"/>
      <c r="AO52" s="325"/>
      <c r="AP52" s="325"/>
      <c r="AQ52" s="325"/>
      <c r="AR52" s="325">
        <f t="shared" si="13"/>
        <v>0</v>
      </c>
      <c r="AS52" s="325">
        <f t="shared" si="3"/>
        <v>0</v>
      </c>
      <c r="AT52" s="325">
        <f t="shared" si="4"/>
        <v>0</v>
      </c>
    </row>
    <row r="53" spans="1:46" x14ac:dyDescent="0.35">
      <c r="A53" s="321" t="s">
        <v>1282</v>
      </c>
      <c r="B53" s="321" t="s">
        <v>1283</v>
      </c>
      <c r="C53" s="322" t="s">
        <v>417</v>
      </c>
      <c r="D53" s="323" t="s">
        <v>1331</v>
      </c>
      <c r="E53" s="323" t="s">
        <v>1320</v>
      </c>
      <c r="F53" s="323" t="s">
        <v>1387</v>
      </c>
      <c r="G53" s="323" t="s">
        <v>1322</v>
      </c>
      <c r="H53" s="323" t="s">
        <v>1388</v>
      </c>
      <c r="I53" s="322" t="s">
        <v>1408</v>
      </c>
      <c r="J53" s="323" t="s">
        <v>1409</v>
      </c>
      <c r="K53" s="323" t="s">
        <v>725</v>
      </c>
      <c r="L53" s="322" t="s">
        <v>1410</v>
      </c>
      <c r="M53" s="323" t="s">
        <v>1411</v>
      </c>
      <c r="N53" s="323"/>
      <c r="O53" s="322"/>
      <c r="P53" s="323"/>
      <c r="Q53" s="323"/>
      <c r="R53" s="324"/>
      <c r="S53" s="324"/>
      <c r="T53" s="324"/>
      <c r="U53" s="324"/>
      <c r="V53" s="324"/>
      <c r="W53" s="324"/>
      <c r="X53" s="324"/>
      <c r="Y53" s="324"/>
      <c r="Z53" s="324"/>
      <c r="AA53" s="324"/>
      <c r="AB53" s="324"/>
      <c r="AC53" s="324"/>
      <c r="AD53" s="324">
        <f t="shared" si="2"/>
        <v>0</v>
      </c>
      <c r="AE53" s="319"/>
      <c r="AF53" s="325"/>
      <c r="AG53" s="325"/>
      <c r="AH53" s="325"/>
      <c r="AI53" s="325"/>
      <c r="AJ53" s="325"/>
      <c r="AK53" s="325"/>
      <c r="AL53" s="325"/>
      <c r="AM53" s="325"/>
      <c r="AN53" s="325"/>
      <c r="AO53" s="325"/>
      <c r="AP53" s="325"/>
      <c r="AQ53" s="325"/>
      <c r="AR53" s="325">
        <f t="shared" si="13"/>
        <v>0</v>
      </c>
      <c r="AS53" s="325">
        <f t="shared" si="3"/>
        <v>0</v>
      </c>
      <c r="AT53" s="325">
        <f t="shared" si="4"/>
        <v>0</v>
      </c>
    </row>
    <row r="54" spans="1:46" x14ac:dyDescent="0.35">
      <c r="A54" s="321" t="s">
        <v>1282</v>
      </c>
      <c r="B54" s="321" t="s">
        <v>1283</v>
      </c>
      <c r="C54" s="322" t="s">
        <v>417</v>
      </c>
      <c r="D54" s="323" t="s">
        <v>1319</v>
      </c>
      <c r="E54" s="323" t="s">
        <v>1320</v>
      </c>
      <c r="F54" s="323" t="s">
        <v>1387</v>
      </c>
      <c r="G54" s="323" t="s">
        <v>1322</v>
      </c>
      <c r="H54" s="323" t="s">
        <v>1388</v>
      </c>
      <c r="I54" s="322" t="s">
        <v>947</v>
      </c>
      <c r="J54" s="323" t="s">
        <v>1412</v>
      </c>
      <c r="K54" s="323" t="s">
        <v>738</v>
      </c>
      <c r="L54" s="322" t="s">
        <v>1413</v>
      </c>
      <c r="M54" s="323" t="s">
        <v>1414</v>
      </c>
      <c r="N54" s="323"/>
      <c r="O54" s="322"/>
      <c r="P54" s="323"/>
      <c r="Q54" s="323"/>
      <c r="R54" s="324"/>
      <c r="S54" s="324"/>
      <c r="T54" s="324"/>
      <c r="U54" s="324"/>
      <c r="V54" s="324"/>
      <c r="W54" s="324"/>
      <c r="X54" s="324"/>
      <c r="Y54" s="324"/>
      <c r="Z54" s="324"/>
      <c r="AA54" s="324"/>
      <c r="AB54" s="324"/>
      <c r="AC54" s="324"/>
      <c r="AD54" s="324">
        <f t="shared" si="2"/>
        <v>0</v>
      </c>
      <c r="AE54" s="319"/>
      <c r="AF54" s="325"/>
      <c r="AG54" s="325"/>
      <c r="AH54" s="325"/>
      <c r="AI54" s="325"/>
      <c r="AJ54" s="325"/>
      <c r="AK54" s="325"/>
      <c r="AL54" s="325"/>
      <c r="AM54" s="325"/>
      <c r="AN54" s="325"/>
      <c r="AO54" s="325"/>
      <c r="AP54" s="325"/>
      <c r="AQ54" s="325"/>
      <c r="AR54" s="325">
        <f t="shared" si="13"/>
        <v>0</v>
      </c>
      <c r="AS54" s="325">
        <f t="shared" si="3"/>
        <v>0</v>
      </c>
      <c r="AT54" s="325">
        <f t="shared" si="4"/>
        <v>0</v>
      </c>
    </row>
    <row r="55" spans="1:46" x14ac:dyDescent="0.35">
      <c r="A55" s="321" t="s">
        <v>1282</v>
      </c>
      <c r="B55" s="321" t="s">
        <v>1283</v>
      </c>
      <c r="C55" s="322" t="s">
        <v>417</v>
      </c>
      <c r="D55" s="323" t="s">
        <v>1331</v>
      </c>
      <c r="E55" s="323" t="s">
        <v>1320</v>
      </c>
      <c r="F55" s="323" t="s">
        <v>1415</v>
      </c>
      <c r="G55" s="323" t="s">
        <v>1322</v>
      </c>
      <c r="H55" s="323" t="s">
        <v>1416</v>
      </c>
      <c r="I55" s="322" t="s">
        <v>1417</v>
      </c>
      <c r="J55" s="331" t="s">
        <v>1418</v>
      </c>
      <c r="K55" s="323" t="s">
        <v>1419</v>
      </c>
      <c r="L55" s="322" t="s">
        <v>1420</v>
      </c>
      <c r="M55" s="323" t="s">
        <v>1416</v>
      </c>
      <c r="N55" s="331"/>
      <c r="O55" s="322"/>
      <c r="P55" s="331"/>
      <c r="Q55" s="331"/>
      <c r="R55" s="324"/>
      <c r="S55" s="324"/>
      <c r="T55" s="324"/>
      <c r="U55" s="324"/>
      <c r="V55" s="324"/>
      <c r="W55" s="324"/>
      <c r="X55" s="324"/>
      <c r="Y55" s="324"/>
      <c r="Z55" s="324"/>
      <c r="AA55" s="324"/>
      <c r="AB55" s="324"/>
      <c r="AC55" s="324"/>
      <c r="AD55" s="326">
        <f t="shared" si="2"/>
        <v>0</v>
      </c>
      <c r="AE55" s="319"/>
      <c r="AF55" s="325"/>
      <c r="AG55" s="325"/>
      <c r="AH55" s="325"/>
      <c r="AI55" s="325"/>
      <c r="AJ55" s="325"/>
      <c r="AK55" s="325"/>
      <c r="AL55" s="325"/>
      <c r="AM55" s="325"/>
      <c r="AN55" s="325"/>
      <c r="AO55" s="325"/>
      <c r="AP55" s="325"/>
      <c r="AQ55" s="325"/>
      <c r="AR55" s="325">
        <f t="shared" si="13"/>
        <v>0</v>
      </c>
      <c r="AS55" s="325">
        <f t="shared" si="3"/>
        <v>0</v>
      </c>
      <c r="AT55" s="325">
        <f t="shared" si="4"/>
        <v>0</v>
      </c>
    </row>
    <row r="56" spans="1:46" x14ac:dyDescent="0.35">
      <c r="A56" s="321" t="s">
        <v>1282</v>
      </c>
      <c r="B56" s="321" t="s">
        <v>1283</v>
      </c>
      <c r="C56" s="322" t="s">
        <v>417</v>
      </c>
      <c r="D56" s="323" t="s">
        <v>1319</v>
      </c>
      <c r="E56" s="323" t="s">
        <v>1320</v>
      </c>
      <c r="F56" s="323" t="s">
        <v>1421</v>
      </c>
      <c r="G56" s="323" t="s">
        <v>1322</v>
      </c>
      <c r="H56" s="323" t="s">
        <v>1422</v>
      </c>
      <c r="I56" s="322" t="s">
        <v>841</v>
      </c>
      <c r="J56" s="323" t="s">
        <v>732</v>
      </c>
      <c r="K56" s="323" t="s">
        <v>733</v>
      </c>
      <c r="L56" s="322" t="s">
        <v>1423</v>
      </c>
      <c r="M56" s="323" t="s">
        <v>1422</v>
      </c>
      <c r="N56" s="323"/>
      <c r="O56" s="322"/>
      <c r="P56" s="323"/>
      <c r="Q56" s="323"/>
      <c r="R56" s="324"/>
      <c r="S56" s="324"/>
      <c r="T56" s="324"/>
      <c r="U56" s="324"/>
      <c r="V56" s="324"/>
      <c r="W56" s="324"/>
      <c r="X56" s="324"/>
      <c r="Y56" s="324"/>
      <c r="Z56" s="324"/>
      <c r="AA56" s="324"/>
      <c r="AB56" s="324"/>
      <c r="AC56" s="324"/>
      <c r="AD56" s="324">
        <f t="shared" si="2"/>
        <v>0</v>
      </c>
      <c r="AE56" s="319"/>
      <c r="AF56" s="325"/>
      <c r="AG56" s="325"/>
      <c r="AH56" s="325"/>
      <c r="AI56" s="325"/>
      <c r="AJ56" s="325"/>
      <c r="AK56" s="325"/>
      <c r="AL56" s="325"/>
      <c r="AM56" s="325"/>
      <c r="AN56" s="325"/>
      <c r="AO56" s="325"/>
      <c r="AP56" s="325"/>
      <c r="AQ56" s="325"/>
      <c r="AR56" s="325">
        <f t="shared" si="13"/>
        <v>0</v>
      </c>
      <c r="AS56" s="325">
        <f t="shared" si="3"/>
        <v>0</v>
      </c>
      <c r="AT56" s="325">
        <f t="shared" si="4"/>
        <v>0</v>
      </c>
    </row>
    <row r="57" spans="1:46" x14ac:dyDescent="0.35">
      <c r="A57" s="321" t="s">
        <v>1282</v>
      </c>
      <c r="B57" s="321" t="s">
        <v>1283</v>
      </c>
      <c r="C57" s="322" t="s">
        <v>417</v>
      </c>
      <c r="D57" s="323" t="s">
        <v>1331</v>
      </c>
      <c r="E57" s="323" t="s">
        <v>1320</v>
      </c>
      <c r="F57" s="323" t="s">
        <v>1424</v>
      </c>
      <c r="G57" s="323" t="s">
        <v>1322</v>
      </c>
      <c r="H57" s="323" t="s">
        <v>737</v>
      </c>
      <c r="I57" s="322" t="s">
        <v>1425</v>
      </c>
      <c r="J57" s="323" t="s">
        <v>1426</v>
      </c>
      <c r="K57" s="323" t="s">
        <v>738</v>
      </c>
      <c r="L57" s="322" t="s">
        <v>1427</v>
      </c>
      <c r="M57" s="323" t="s">
        <v>737</v>
      </c>
      <c r="N57" s="323"/>
      <c r="O57" s="322"/>
      <c r="P57" s="323"/>
      <c r="Q57" s="323"/>
      <c r="R57" s="324"/>
      <c r="S57" s="324"/>
      <c r="T57" s="324"/>
      <c r="U57" s="324"/>
      <c r="V57" s="324"/>
      <c r="W57" s="324"/>
      <c r="X57" s="324"/>
      <c r="Y57" s="324"/>
      <c r="Z57" s="324"/>
      <c r="AA57" s="324"/>
      <c r="AB57" s="324"/>
      <c r="AC57" s="324"/>
      <c r="AD57" s="324">
        <f t="shared" si="2"/>
        <v>0</v>
      </c>
      <c r="AE57" s="319"/>
      <c r="AF57" s="325"/>
      <c r="AG57" s="325"/>
      <c r="AH57" s="325"/>
      <c r="AI57" s="325"/>
      <c r="AJ57" s="325"/>
      <c r="AK57" s="325"/>
      <c r="AL57" s="325"/>
      <c r="AM57" s="325"/>
      <c r="AN57" s="325"/>
      <c r="AO57" s="325"/>
      <c r="AP57" s="325"/>
      <c r="AQ57" s="325"/>
      <c r="AR57" s="325">
        <f t="shared" si="13"/>
        <v>0</v>
      </c>
      <c r="AS57" s="325">
        <f t="shared" si="3"/>
        <v>0</v>
      </c>
      <c r="AT57" s="325">
        <f t="shared" si="4"/>
        <v>0</v>
      </c>
    </row>
    <row r="58" spans="1:46" x14ac:dyDescent="0.35">
      <c r="A58" s="321" t="s">
        <v>1282</v>
      </c>
      <c r="B58" s="321" t="s">
        <v>1283</v>
      </c>
      <c r="C58" s="322" t="s">
        <v>417</v>
      </c>
      <c r="D58" s="323" t="s">
        <v>1319</v>
      </c>
      <c r="E58" s="323" t="s">
        <v>1320</v>
      </c>
      <c r="F58" s="323" t="s">
        <v>1424</v>
      </c>
      <c r="G58" s="323" t="s">
        <v>1322</v>
      </c>
      <c r="H58" s="323" t="s">
        <v>737</v>
      </c>
      <c r="I58" s="322" t="s">
        <v>864</v>
      </c>
      <c r="J58" s="331" t="s">
        <v>739</v>
      </c>
      <c r="K58" s="323" t="s">
        <v>738</v>
      </c>
      <c r="L58" s="322" t="s">
        <v>1427</v>
      </c>
      <c r="M58" s="323" t="s">
        <v>737</v>
      </c>
      <c r="N58" s="331"/>
      <c r="O58" s="322"/>
      <c r="P58" s="331"/>
      <c r="Q58" s="331"/>
      <c r="R58" s="324"/>
      <c r="S58" s="324"/>
      <c r="T58" s="324"/>
      <c r="U58" s="324"/>
      <c r="V58" s="324"/>
      <c r="W58" s="324"/>
      <c r="X58" s="324"/>
      <c r="Y58" s="324"/>
      <c r="Z58" s="324"/>
      <c r="AA58" s="324"/>
      <c r="AB58" s="324"/>
      <c r="AC58" s="324"/>
      <c r="AD58" s="326">
        <f t="shared" si="2"/>
        <v>0</v>
      </c>
      <c r="AE58" s="319"/>
      <c r="AF58" s="325"/>
      <c r="AG58" s="325"/>
      <c r="AH58" s="325"/>
      <c r="AI58" s="325"/>
      <c r="AJ58" s="325"/>
      <c r="AK58" s="325"/>
      <c r="AL58" s="325"/>
      <c r="AM58" s="325"/>
      <c r="AN58" s="325"/>
      <c r="AO58" s="325"/>
      <c r="AP58" s="325"/>
      <c r="AQ58" s="325"/>
      <c r="AR58" s="325">
        <f t="shared" si="13"/>
        <v>0</v>
      </c>
      <c r="AS58" s="325">
        <f t="shared" si="3"/>
        <v>0</v>
      </c>
      <c r="AT58" s="325">
        <f t="shared" si="4"/>
        <v>0</v>
      </c>
    </row>
    <row r="59" spans="1:46" x14ac:dyDescent="0.35">
      <c r="A59" s="321" t="s">
        <v>1282</v>
      </c>
      <c r="B59" s="321" t="s">
        <v>1283</v>
      </c>
      <c r="C59" s="322" t="s">
        <v>417</v>
      </c>
      <c r="D59" s="323" t="s">
        <v>1319</v>
      </c>
      <c r="E59" s="323" t="s">
        <v>1320</v>
      </c>
      <c r="F59" s="323" t="s">
        <v>1424</v>
      </c>
      <c r="G59" s="323" t="s">
        <v>1322</v>
      </c>
      <c r="H59" s="323" t="s">
        <v>737</v>
      </c>
      <c r="I59" s="322" t="s">
        <v>869</v>
      </c>
      <c r="J59" s="331" t="s">
        <v>743</v>
      </c>
      <c r="K59" s="323" t="s">
        <v>738</v>
      </c>
      <c r="L59" s="322" t="s">
        <v>1427</v>
      </c>
      <c r="M59" s="323" t="s">
        <v>737</v>
      </c>
      <c r="N59" s="331"/>
      <c r="O59" s="322"/>
      <c r="P59" s="331"/>
      <c r="Q59" s="331"/>
      <c r="R59" s="324"/>
      <c r="S59" s="324"/>
      <c r="T59" s="324"/>
      <c r="U59" s="324"/>
      <c r="V59" s="324"/>
      <c r="W59" s="324"/>
      <c r="X59" s="324"/>
      <c r="Y59" s="324"/>
      <c r="Z59" s="324"/>
      <c r="AA59" s="324"/>
      <c r="AB59" s="324"/>
      <c r="AC59" s="324"/>
      <c r="AD59" s="324">
        <f t="shared" si="2"/>
        <v>0</v>
      </c>
      <c r="AE59" s="319"/>
      <c r="AF59" s="325"/>
      <c r="AG59" s="325"/>
      <c r="AH59" s="325"/>
      <c r="AI59" s="325"/>
      <c r="AJ59" s="325"/>
      <c r="AK59" s="325"/>
      <c r="AL59" s="325"/>
      <c r="AM59" s="325"/>
      <c r="AN59" s="325"/>
      <c r="AO59" s="325"/>
      <c r="AP59" s="325"/>
      <c r="AQ59" s="325"/>
      <c r="AR59" s="325">
        <f t="shared" si="13"/>
        <v>0</v>
      </c>
      <c r="AS59" s="325">
        <f t="shared" si="3"/>
        <v>0</v>
      </c>
      <c r="AT59" s="325">
        <f t="shared" si="4"/>
        <v>0</v>
      </c>
    </row>
    <row r="60" spans="1:46" x14ac:dyDescent="0.35">
      <c r="A60" s="321" t="s">
        <v>1282</v>
      </c>
      <c r="B60" s="321" t="s">
        <v>1283</v>
      </c>
      <c r="C60" s="322" t="s">
        <v>417</v>
      </c>
      <c r="D60" s="323" t="s">
        <v>1319</v>
      </c>
      <c r="E60" s="323" t="s">
        <v>1320</v>
      </c>
      <c r="F60" s="323" t="s">
        <v>1428</v>
      </c>
      <c r="G60" s="323" t="s">
        <v>1322</v>
      </c>
      <c r="H60" s="323" t="s">
        <v>1429</v>
      </c>
      <c r="I60" s="322" t="s">
        <v>1430</v>
      </c>
      <c r="J60" s="323" t="s">
        <v>1013</v>
      </c>
      <c r="K60" s="323" t="s">
        <v>1014</v>
      </c>
      <c r="L60" s="322" t="s">
        <v>1431</v>
      </c>
      <c r="M60" s="323" t="s">
        <v>1432</v>
      </c>
      <c r="N60" s="323"/>
      <c r="O60" s="322"/>
      <c r="P60" s="323"/>
      <c r="Q60" s="323"/>
      <c r="R60" s="324"/>
      <c r="S60" s="324"/>
      <c r="T60" s="324"/>
      <c r="U60" s="324"/>
      <c r="V60" s="324"/>
      <c r="W60" s="324"/>
      <c r="X60" s="324"/>
      <c r="Y60" s="324"/>
      <c r="Z60" s="324"/>
      <c r="AA60" s="324"/>
      <c r="AB60" s="324"/>
      <c r="AC60" s="324"/>
      <c r="AD60" s="324">
        <f t="shared" si="2"/>
        <v>0</v>
      </c>
      <c r="AE60" s="319"/>
      <c r="AF60" s="325"/>
      <c r="AG60" s="325"/>
      <c r="AH60" s="325"/>
      <c r="AI60" s="325"/>
      <c r="AJ60" s="325"/>
      <c r="AK60" s="325"/>
      <c r="AL60" s="325"/>
      <c r="AM60" s="325"/>
      <c r="AN60" s="325"/>
      <c r="AO60" s="325"/>
      <c r="AP60" s="325"/>
      <c r="AQ60" s="325"/>
      <c r="AR60" s="325">
        <f t="shared" si="13"/>
        <v>0</v>
      </c>
      <c r="AS60" s="325">
        <f t="shared" si="3"/>
        <v>0</v>
      </c>
      <c r="AT60" s="325">
        <f t="shared" si="4"/>
        <v>0</v>
      </c>
    </row>
    <row r="61" spans="1:46" x14ac:dyDescent="0.35">
      <c r="A61" s="321" t="s">
        <v>1282</v>
      </c>
      <c r="B61" s="321" t="s">
        <v>1283</v>
      </c>
      <c r="C61" s="322" t="s">
        <v>417</v>
      </c>
      <c r="D61" s="323" t="s">
        <v>1319</v>
      </c>
      <c r="E61" s="323" t="s">
        <v>1320</v>
      </c>
      <c r="F61" s="323" t="s">
        <v>1433</v>
      </c>
      <c r="G61" s="323" t="s">
        <v>1322</v>
      </c>
      <c r="H61" s="323" t="s">
        <v>1434</v>
      </c>
      <c r="I61" s="322" t="s">
        <v>1435</v>
      </c>
      <c r="J61" s="323" t="s">
        <v>1436</v>
      </c>
      <c r="K61" s="323" t="s">
        <v>725</v>
      </c>
      <c r="L61" s="322" t="s">
        <v>1437</v>
      </c>
      <c r="M61" s="323" t="s">
        <v>1438</v>
      </c>
      <c r="N61" s="323"/>
      <c r="O61" s="322"/>
      <c r="P61" s="323"/>
      <c r="Q61" s="323"/>
      <c r="R61" s="324"/>
      <c r="S61" s="324"/>
      <c r="T61" s="324"/>
      <c r="U61" s="324"/>
      <c r="V61" s="324"/>
      <c r="W61" s="324"/>
      <c r="X61" s="324"/>
      <c r="Y61" s="324"/>
      <c r="Z61" s="324"/>
      <c r="AA61" s="324"/>
      <c r="AB61" s="324"/>
      <c r="AC61" s="324"/>
      <c r="AD61" s="324">
        <f t="shared" si="2"/>
        <v>0</v>
      </c>
      <c r="AE61" s="319"/>
      <c r="AF61" s="325"/>
      <c r="AG61" s="325"/>
      <c r="AH61" s="325"/>
      <c r="AI61" s="325"/>
      <c r="AJ61" s="325"/>
      <c r="AK61" s="325"/>
      <c r="AL61" s="325"/>
      <c r="AM61" s="325"/>
      <c r="AN61" s="325"/>
      <c r="AO61" s="325"/>
      <c r="AP61" s="325"/>
      <c r="AQ61" s="325"/>
      <c r="AR61" s="325">
        <f t="shared" si="13"/>
        <v>0</v>
      </c>
      <c r="AS61" s="325">
        <f t="shared" si="3"/>
        <v>0</v>
      </c>
      <c r="AT61" s="325">
        <f t="shared" si="4"/>
        <v>0</v>
      </c>
    </row>
    <row r="62" spans="1:46" x14ac:dyDescent="0.35">
      <c r="A62" s="321" t="s">
        <v>1282</v>
      </c>
      <c r="B62" s="321" t="s">
        <v>1283</v>
      </c>
      <c r="C62" s="322" t="s">
        <v>417</v>
      </c>
      <c r="D62" s="323" t="s">
        <v>1319</v>
      </c>
      <c r="E62" s="323" t="s">
        <v>1320</v>
      </c>
      <c r="F62" s="323" t="s">
        <v>1433</v>
      </c>
      <c r="G62" s="323" t="s">
        <v>1322</v>
      </c>
      <c r="H62" s="323" t="s">
        <v>1434</v>
      </c>
      <c r="I62" s="322" t="s">
        <v>1439</v>
      </c>
      <c r="J62" s="323" t="s">
        <v>1436</v>
      </c>
      <c r="K62" s="323" t="s">
        <v>738</v>
      </c>
      <c r="L62" s="322" t="s">
        <v>1437</v>
      </c>
      <c r="M62" s="323" t="s">
        <v>1438</v>
      </c>
      <c r="N62" s="323"/>
      <c r="O62" s="322"/>
      <c r="P62" s="323"/>
      <c r="Q62" s="323"/>
      <c r="R62" s="324"/>
      <c r="S62" s="324"/>
      <c r="T62" s="324"/>
      <c r="U62" s="324"/>
      <c r="V62" s="324"/>
      <c r="W62" s="324"/>
      <c r="X62" s="324"/>
      <c r="Y62" s="324"/>
      <c r="Z62" s="324"/>
      <c r="AA62" s="324"/>
      <c r="AB62" s="324"/>
      <c r="AC62" s="324"/>
      <c r="AD62" s="324">
        <f t="shared" si="2"/>
        <v>0</v>
      </c>
      <c r="AE62" s="319"/>
      <c r="AF62" s="325"/>
      <c r="AG62" s="325"/>
      <c r="AH62" s="325"/>
      <c r="AI62" s="325"/>
      <c r="AJ62" s="325"/>
      <c r="AK62" s="325"/>
      <c r="AL62" s="325"/>
      <c r="AM62" s="325"/>
      <c r="AN62" s="325"/>
      <c r="AO62" s="325"/>
      <c r="AP62" s="325"/>
      <c r="AQ62" s="325"/>
      <c r="AR62" s="325">
        <f t="shared" si="13"/>
        <v>0</v>
      </c>
      <c r="AS62" s="325">
        <f t="shared" si="3"/>
        <v>0</v>
      </c>
      <c r="AT62" s="325">
        <f t="shared" si="4"/>
        <v>0</v>
      </c>
    </row>
    <row r="63" spans="1:46" x14ac:dyDescent="0.35">
      <c r="A63" s="321" t="s">
        <v>1282</v>
      </c>
      <c r="B63" s="321" t="s">
        <v>1283</v>
      </c>
      <c r="C63" s="322" t="s">
        <v>417</v>
      </c>
      <c r="D63" s="323" t="s">
        <v>1319</v>
      </c>
      <c r="E63" s="323" t="s">
        <v>1320</v>
      </c>
      <c r="F63" s="323" t="s">
        <v>1433</v>
      </c>
      <c r="G63" s="323" t="s">
        <v>1322</v>
      </c>
      <c r="H63" s="323" t="s">
        <v>1434</v>
      </c>
      <c r="I63" s="322" t="s">
        <v>1440</v>
      </c>
      <c r="J63" s="323" t="s">
        <v>1441</v>
      </c>
      <c r="K63" s="323" t="s">
        <v>725</v>
      </c>
      <c r="L63" s="322" t="s">
        <v>1442</v>
      </c>
      <c r="M63" s="323" t="s">
        <v>1443</v>
      </c>
      <c r="N63" s="323"/>
      <c r="O63" s="322"/>
      <c r="P63" s="323"/>
      <c r="Q63" s="323"/>
      <c r="R63" s="324"/>
      <c r="S63" s="324"/>
      <c r="T63" s="324"/>
      <c r="U63" s="324"/>
      <c r="V63" s="324"/>
      <c r="W63" s="324"/>
      <c r="X63" s="324"/>
      <c r="Y63" s="324"/>
      <c r="Z63" s="324"/>
      <c r="AA63" s="324"/>
      <c r="AB63" s="324"/>
      <c r="AC63" s="324"/>
      <c r="AD63" s="324">
        <f t="shared" si="2"/>
        <v>0</v>
      </c>
      <c r="AE63" s="319"/>
      <c r="AF63" s="325"/>
      <c r="AG63" s="325"/>
      <c r="AH63" s="325"/>
      <c r="AI63" s="325"/>
      <c r="AJ63" s="325"/>
      <c r="AK63" s="325"/>
      <c r="AL63" s="325"/>
      <c r="AM63" s="325"/>
      <c r="AN63" s="325"/>
      <c r="AO63" s="325"/>
      <c r="AP63" s="325"/>
      <c r="AQ63" s="325"/>
      <c r="AR63" s="325">
        <f t="shared" si="13"/>
        <v>0</v>
      </c>
      <c r="AS63" s="325">
        <f t="shared" si="3"/>
        <v>0</v>
      </c>
      <c r="AT63" s="325">
        <f t="shared" si="4"/>
        <v>0</v>
      </c>
    </row>
    <row r="64" spans="1:46" x14ac:dyDescent="0.35">
      <c r="A64" s="321" t="s">
        <v>1282</v>
      </c>
      <c r="B64" s="321" t="s">
        <v>1283</v>
      </c>
      <c r="C64" s="322" t="s">
        <v>417</v>
      </c>
      <c r="D64" s="323" t="s">
        <v>1319</v>
      </c>
      <c r="E64" s="323" t="s">
        <v>1320</v>
      </c>
      <c r="F64" s="323" t="s">
        <v>1433</v>
      </c>
      <c r="G64" s="323" t="s">
        <v>1322</v>
      </c>
      <c r="H64" s="323" t="s">
        <v>1434</v>
      </c>
      <c r="I64" s="322" t="s">
        <v>1444</v>
      </c>
      <c r="J64" s="331" t="s">
        <v>1445</v>
      </c>
      <c r="K64" s="323" t="s">
        <v>738</v>
      </c>
      <c r="L64" s="322" t="s">
        <v>1446</v>
      </c>
      <c r="M64" s="323" t="s">
        <v>1447</v>
      </c>
      <c r="N64" s="331"/>
      <c r="O64" s="322"/>
      <c r="P64" s="331"/>
      <c r="Q64" s="331"/>
      <c r="R64" s="324"/>
      <c r="S64" s="324"/>
      <c r="T64" s="324"/>
      <c r="U64" s="324"/>
      <c r="V64" s="324"/>
      <c r="W64" s="324"/>
      <c r="X64" s="324"/>
      <c r="Y64" s="324"/>
      <c r="Z64" s="324"/>
      <c r="AA64" s="324"/>
      <c r="AB64" s="324"/>
      <c r="AC64" s="324"/>
      <c r="AD64" s="326">
        <f t="shared" si="2"/>
        <v>0</v>
      </c>
      <c r="AE64" s="319"/>
      <c r="AF64" s="325"/>
      <c r="AG64" s="325"/>
      <c r="AH64" s="325"/>
      <c r="AI64" s="325"/>
      <c r="AJ64" s="325"/>
      <c r="AK64" s="325"/>
      <c r="AL64" s="325"/>
      <c r="AM64" s="325"/>
      <c r="AN64" s="325"/>
      <c r="AO64" s="325"/>
      <c r="AP64" s="325"/>
      <c r="AQ64" s="325"/>
      <c r="AR64" s="325">
        <f t="shared" si="13"/>
        <v>0</v>
      </c>
      <c r="AS64" s="325">
        <f t="shared" si="3"/>
        <v>0</v>
      </c>
      <c r="AT64" s="325">
        <f t="shared" si="4"/>
        <v>0</v>
      </c>
    </row>
    <row r="65" spans="1:46" x14ac:dyDescent="0.35">
      <c r="A65" s="321" t="s">
        <v>1282</v>
      </c>
      <c r="B65" s="321" t="s">
        <v>1283</v>
      </c>
      <c r="C65" s="322" t="s">
        <v>417</v>
      </c>
      <c r="D65" s="323" t="s">
        <v>1319</v>
      </c>
      <c r="E65" s="323" t="s">
        <v>1320</v>
      </c>
      <c r="F65" s="323" t="s">
        <v>1433</v>
      </c>
      <c r="G65" s="323" t="s">
        <v>1322</v>
      </c>
      <c r="H65" s="323" t="s">
        <v>1434</v>
      </c>
      <c r="I65" s="322" t="s">
        <v>1448</v>
      </c>
      <c r="J65" s="323" t="s">
        <v>1449</v>
      </c>
      <c r="K65" s="323" t="s">
        <v>738</v>
      </c>
      <c r="L65" s="322" t="s">
        <v>1446</v>
      </c>
      <c r="M65" s="323" t="s">
        <v>1447</v>
      </c>
      <c r="N65" s="323"/>
      <c r="O65" s="322"/>
      <c r="P65" s="323"/>
      <c r="Q65" s="323"/>
      <c r="R65" s="324"/>
      <c r="S65" s="324"/>
      <c r="T65" s="324"/>
      <c r="U65" s="324"/>
      <c r="V65" s="324"/>
      <c r="W65" s="324"/>
      <c r="X65" s="324"/>
      <c r="Y65" s="324"/>
      <c r="Z65" s="324"/>
      <c r="AA65" s="324"/>
      <c r="AB65" s="324"/>
      <c r="AC65" s="324"/>
      <c r="AD65" s="324">
        <f t="shared" si="2"/>
        <v>0</v>
      </c>
      <c r="AE65" s="319"/>
      <c r="AF65" s="325"/>
      <c r="AG65" s="325"/>
      <c r="AH65" s="325"/>
      <c r="AI65" s="325"/>
      <c r="AJ65" s="325"/>
      <c r="AK65" s="325"/>
      <c r="AL65" s="325"/>
      <c r="AM65" s="325"/>
      <c r="AN65" s="325"/>
      <c r="AO65" s="325"/>
      <c r="AP65" s="325"/>
      <c r="AQ65" s="325"/>
      <c r="AR65" s="325">
        <f t="shared" si="13"/>
        <v>0</v>
      </c>
      <c r="AS65" s="325">
        <f t="shared" si="3"/>
        <v>0</v>
      </c>
      <c r="AT65" s="325">
        <f t="shared" si="4"/>
        <v>0</v>
      </c>
    </row>
    <row r="66" spans="1:46" x14ac:dyDescent="0.35">
      <c r="A66" s="321" t="s">
        <v>1282</v>
      </c>
      <c r="B66" s="321" t="s">
        <v>1283</v>
      </c>
      <c r="C66" s="322" t="s">
        <v>417</v>
      </c>
      <c r="D66" s="323" t="s">
        <v>1319</v>
      </c>
      <c r="E66" s="323" t="s">
        <v>1320</v>
      </c>
      <c r="F66" s="323" t="s">
        <v>1433</v>
      </c>
      <c r="G66" s="323" t="s">
        <v>1322</v>
      </c>
      <c r="H66" s="323" t="s">
        <v>1434</v>
      </c>
      <c r="I66" s="322" t="s">
        <v>1450</v>
      </c>
      <c r="J66" s="323" t="s">
        <v>1451</v>
      </c>
      <c r="K66" s="323" t="s">
        <v>738</v>
      </c>
      <c r="L66" s="322" t="s">
        <v>1452</v>
      </c>
      <c r="M66" s="323" t="s">
        <v>1453</v>
      </c>
      <c r="N66" s="323"/>
      <c r="O66" s="322"/>
      <c r="P66" s="323"/>
      <c r="Q66" s="323"/>
      <c r="R66" s="324"/>
      <c r="S66" s="324"/>
      <c r="T66" s="324"/>
      <c r="U66" s="324"/>
      <c r="V66" s="324"/>
      <c r="W66" s="324"/>
      <c r="X66" s="324"/>
      <c r="Y66" s="324"/>
      <c r="Z66" s="324"/>
      <c r="AA66" s="324"/>
      <c r="AB66" s="324"/>
      <c r="AC66" s="324"/>
      <c r="AD66" s="324">
        <f t="shared" si="2"/>
        <v>0</v>
      </c>
      <c r="AE66" s="319"/>
      <c r="AF66" s="325"/>
      <c r="AG66" s="325"/>
      <c r="AH66" s="325"/>
      <c r="AI66" s="325"/>
      <c r="AJ66" s="325"/>
      <c r="AK66" s="325"/>
      <c r="AL66" s="325"/>
      <c r="AM66" s="325"/>
      <c r="AN66" s="325"/>
      <c r="AO66" s="325"/>
      <c r="AP66" s="325"/>
      <c r="AQ66" s="325"/>
      <c r="AR66" s="325">
        <f t="shared" si="13"/>
        <v>0</v>
      </c>
      <c r="AS66" s="325">
        <f t="shared" si="3"/>
        <v>0</v>
      </c>
      <c r="AT66" s="325">
        <f t="shared" si="4"/>
        <v>0</v>
      </c>
    </row>
    <row r="67" spans="1:46" x14ac:dyDescent="0.35">
      <c r="A67" s="321" t="s">
        <v>1282</v>
      </c>
      <c r="B67" s="321" t="s">
        <v>1283</v>
      </c>
      <c r="C67" s="322" t="s">
        <v>417</v>
      </c>
      <c r="D67" s="323" t="s">
        <v>1319</v>
      </c>
      <c r="E67" s="323" t="s">
        <v>1320</v>
      </c>
      <c r="F67" s="323" t="s">
        <v>1433</v>
      </c>
      <c r="G67" s="323" t="s">
        <v>1322</v>
      </c>
      <c r="H67" s="323" t="s">
        <v>1434</v>
      </c>
      <c r="I67" s="322" t="s">
        <v>1454</v>
      </c>
      <c r="J67" s="323" t="s">
        <v>1455</v>
      </c>
      <c r="K67" s="323" t="s">
        <v>725</v>
      </c>
      <c r="L67" s="322" t="s">
        <v>1456</v>
      </c>
      <c r="M67" s="323" t="s">
        <v>1457</v>
      </c>
      <c r="N67" s="323"/>
      <c r="O67" s="322"/>
      <c r="P67" s="323"/>
      <c r="Q67" s="323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4"/>
      <c r="AD67" s="324">
        <f t="shared" si="2"/>
        <v>0</v>
      </c>
      <c r="AE67" s="319"/>
      <c r="AF67" s="325"/>
      <c r="AG67" s="325"/>
      <c r="AH67" s="325"/>
      <c r="AI67" s="325"/>
      <c r="AJ67" s="325"/>
      <c r="AK67" s="325"/>
      <c r="AL67" s="325"/>
      <c r="AM67" s="325"/>
      <c r="AN67" s="325"/>
      <c r="AO67" s="325"/>
      <c r="AP67" s="325"/>
      <c r="AQ67" s="325"/>
      <c r="AR67" s="325">
        <f t="shared" si="13"/>
        <v>0</v>
      </c>
      <c r="AS67" s="325">
        <f t="shared" si="3"/>
        <v>0</v>
      </c>
      <c r="AT67" s="325">
        <f t="shared" si="4"/>
        <v>0</v>
      </c>
    </row>
    <row r="68" spans="1:46" x14ac:dyDescent="0.35">
      <c r="A68" s="321" t="s">
        <v>1282</v>
      </c>
      <c r="B68" s="321" t="s">
        <v>1283</v>
      </c>
      <c r="C68" s="322" t="s">
        <v>417</v>
      </c>
      <c r="D68" s="323" t="s">
        <v>1319</v>
      </c>
      <c r="E68" s="323" t="s">
        <v>1320</v>
      </c>
      <c r="F68" s="323" t="s">
        <v>1458</v>
      </c>
      <c r="G68" s="323" t="s">
        <v>1322</v>
      </c>
      <c r="H68" s="323" t="s">
        <v>1459</v>
      </c>
      <c r="I68" s="322" t="s">
        <v>865</v>
      </c>
      <c r="J68" s="331" t="s">
        <v>751</v>
      </c>
      <c r="K68" s="323" t="s">
        <v>725</v>
      </c>
      <c r="L68" s="322" t="s">
        <v>1460</v>
      </c>
      <c r="M68" s="323" t="s">
        <v>1461</v>
      </c>
      <c r="N68" s="333"/>
      <c r="O68" s="322"/>
      <c r="P68" s="323"/>
      <c r="Q68" s="323"/>
      <c r="R68" s="324"/>
      <c r="S68" s="324"/>
      <c r="T68" s="324"/>
      <c r="U68" s="324"/>
      <c r="V68" s="324"/>
      <c r="W68" s="324"/>
      <c r="X68" s="324"/>
      <c r="Y68" s="324"/>
      <c r="Z68" s="324"/>
      <c r="AA68" s="324"/>
      <c r="AB68" s="324"/>
      <c r="AC68" s="324"/>
      <c r="AD68" s="326">
        <f t="shared" si="2"/>
        <v>0</v>
      </c>
      <c r="AE68" s="319"/>
      <c r="AF68" s="325"/>
      <c r="AG68" s="325"/>
      <c r="AH68" s="325"/>
      <c r="AI68" s="325"/>
      <c r="AJ68" s="325"/>
      <c r="AK68" s="325"/>
      <c r="AL68" s="325"/>
      <c r="AM68" s="325"/>
      <c r="AN68" s="325"/>
      <c r="AO68" s="325"/>
      <c r="AP68" s="325"/>
      <c r="AQ68" s="325"/>
      <c r="AR68" s="325">
        <f t="shared" si="13"/>
        <v>0</v>
      </c>
      <c r="AS68" s="325">
        <f t="shared" si="3"/>
        <v>0</v>
      </c>
      <c r="AT68" s="325">
        <f t="shared" si="4"/>
        <v>0</v>
      </c>
    </row>
    <row r="69" spans="1:46" x14ac:dyDescent="0.35">
      <c r="A69" s="321" t="s">
        <v>1282</v>
      </c>
      <c r="B69" s="321" t="s">
        <v>1283</v>
      </c>
      <c r="C69" s="322" t="s">
        <v>417</v>
      </c>
      <c r="D69" s="323" t="s">
        <v>1319</v>
      </c>
      <c r="E69" s="323" t="s">
        <v>1320</v>
      </c>
      <c r="F69" s="323" t="s">
        <v>1458</v>
      </c>
      <c r="G69" s="323" t="s">
        <v>1322</v>
      </c>
      <c r="H69" s="323" t="s">
        <v>1459</v>
      </c>
      <c r="I69" s="322">
        <v>6273002401</v>
      </c>
      <c r="J69" s="331" t="s">
        <v>1462</v>
      </c>
      <c r="K69" s="323" t="s">
        <v>725</v>
      </c>
      <c r="L69" s="322" t="s">
        <v>1463</v>
      </c>
      <c r="M69" s="323" t="s">
        <v>1464</v>
      </c>
      <c r="N69" s="333"/>
      <c r="O69" s="322"/>
      <c r="P69" s="323"/>
      <c r="Q69" s="323"/>
      <c r="R69" s="324"/>
      <c r="S69" s="324"/>
      <c r="T69" s="324"/>
      <c r="U69" s="324"/>
      <c r="V69" s="324"/>
      <c r="W69" s="324"/>
      <c r="X69" s="324"/>
      <c r="Y69" s="324"/>
      <c r="Z69" s="324"/>
      <c r="AA69" s="324"/>
      <c r="AB69" s="324"/>
      <c r="AC69" s="324"/>
      <c r="AD69" s="326">
        <f t="shared" si="2"/>
        <v>0</v>
      </c>
      <c r="AE69" s="319"/>
      <c r="AF69" s="325"/>
      <c r="AG69" s="325"/>
      <c r="AH69" s="325"/>
      <c r="AI69" s="325"/>
      <c r="AJ69" s="325"/>
      <c r="AK69" s="325"/>
      <c r="AL69" s="325"/>
      <c r="AM69" s="325"/>
      <c r="AN69" s="325"/>
      <c r="AO69" s="325"/>
      <c r="AP69" s="325"/>
      <c r="AQ69" s="325"/>
      <c r="AR69" s="325">
        <f t="shared" si="13"/>
        <v>0</v>
      </c>
      <c r="AS69" s="325">
        <f t="shared" si="3"/>
        <v>0</v>
      </c>
      <c r="AT69" s="325">
        <f t="shared" si="4"/>
        <v>0</v>
      </c>
    </row>
    <row r="70" spans="1:46" x14ac:dyDescent="0.35">
      <c r="A70" s="321" t="s">
        <v>1282</v>
      </c>
      <c r="B70" s="321" t="s">
        <v>1283</v>
      </c>
      <c r="C70" s="322" t="s">
        <v>417</v>
      </c>
      <c r="D70" s="323" t="s">
        <v>1319</v>
      </c>
      <c r="E70" s="323" t="s">
        <v>1320</v>
      </c>
      <c r="F70" s="323" t="s">
        <v>1458</v>
      </c>
      <c r="G70" s="323" t="s">
        <v>1322</v>
      </c>
      <c r="H70" s="323" t="s">
        <v>1459</v>
      </c>
      <c r="I70" s="322" t="s">
        <v>753</v>
      </c>
      <c r="J70" s="323" t="s">
        <v>978</v>
      </c>
      <c r="K70" s="323" t="s">
        <v>725</v>
      </c>
      <c r="L70" s="322" t="s">
        <v>1465</v>
      </c>
      <c r="M70" s="323" t="s">
        <v>1466</v>
      </c>
      <c r="N70" s="323"/>
      <c r="O70" s="322"/>
      <c r="P70" s="323"/>
      <c r="Q70" s="323"/>
      <c r="R70" s="324"/>
      <c r="S70" s="324"/>
      <c r="T70" s="324"/>
      <c r="U70" s="324"/>
      <c r="V70" s="324"/>
      <c r="W70" s="324"/>
      <c r="X70" s="324"/>
      <c r="Y70" s="324"/>
      <c r="Z70" s="324"/>
      <c r="AA70" s="324"/>
      <c r="AB70" s="324"/>
      <c r="AC70" s="324"/>
      <c r="AD70" s="324">
        <f t="shared" si="2"/>
        <v>0</v>
      </c>
      <c r="AE70" s="319"/>
      <c r="AF70" s="325"/>
      <c r="AG70" s="325"/>
      <c r="AH70" s="325"/>
      <c r="AI70" s="325"/>
      <c r="AJ70" s="325"/>
      <c r="AK70" s="325"/>
      <c r="AL70" s="325"/>
      <c r="AM70" s="325"/>
      <c r="AN70" s="325"/>
      <c r="AO70" s="325"/>
      <c r="AP70" s="325"/>
      <c r="AQ70" s="325"/>
      <c r="AR70" s="325">
        <f t="shared" si="13"/>
        <v>0</v>
      </c>
      <c r="AS70" s="325">
        <f t="shared" si="3"/>
        <v>0</v>
      </c>
      <c r="AT70" s="325">
        <f t="shared" si="4"/>
        <v>0</v>
      </c>
    </row>
    <row r="71" spans="1:46" x14ac:dyDescent="0.35">
      <c r="A71" s="321" t="s">
        <v>1282</v>
      </c>
      <c r="B71" s="321" t="s">
        <v>1283</v>
      </c>
      <c r="C71" s="322" t="s">
        <v>417</v>
      </c>
      <c r="D71" s="323" t="s">
        <v>1319</v>
      </c>
      <c r="E71" s="323" t="s">
        <v>1320</v>
      </c>
      <c r="F71" s="323" t="s">
        <v>1458</v>
      </c>
      <c r="G71" s="323" t="s">
        <v>1322</v>
      </c>
      <c r="H71" s="323" t="s">
        <v>1459</v>
      </c>
      <c r="I71" s="322" t="s">
        <v>1467</v>
      </c>
      <c r="J71" s="323" t="s">
        <v>978</v>
      </c>
      <c r="K71" s="323" t="s">
        <v>725</v>
      </c>
      <c r="L71" s="322" t="s">
        <v>1465</v>
      </c>
      <c r="M71" s="323" t="s">
        <v>1466</v>
      </c>
      <c r="N71" s="323"/>
      <c r="O71" s="322"/>
      <c r="P71" s="323"/>
      <c r="Q71" s="323"/>
      <c r="R71" s="324"/>
      <c r="S71" s="324"/>
      <c r="T71" s="324"/>
      <c r="U71" s="324"/>
      <c r="V71" s="324"/>
      <c r="W71" s="324"/>
      <c r="X71" s="324"/>
      <c r="Y71" s="324"/>
      <c r="Z71" s="324"/>
      <c r="AA71" s="324"/>
      <c r="AB71" s="324"/>
      <c r="AC71" s="324"/>
      <c r="AD71" s="324">
        <f t="shared" si="2"/>
        <v>0</v>
      </c>
      <c r="AE71" s="319"/>
      <c r="AF71" s="325"/>
      <c r="AG71" s="325"/>
      <c r="AH71" s="325"/>
      <c r="AI71" s="325"/>
      <c r="AJ71" s="325"/>
      <c r="AK71" s="325"/>
      <c r="AL71" s="325"/>
      <c r="AM71" s="325"/>
      <c r="AN71" s="325"/>
      <c r="AO71" s="325"/>
      <c r="AP71" s="325"/>
      <c r="AQ71" s="325"/>
      <c r="AR71" s="325">
        <f t="shared" si="13"/>
        <v>0</v>
      </c>
      <c r="AS71" s="325">
        <f t="shared" si="3"/>
        <v>0</v>
      </c>
      <c r="AT71" s="325">
        <f t="shared" si="4"/>
        <v>0</v>
      </c>
    </row>
    <row r="72" spans="1:46" x14ac:dyDescent="0.35">
      <c r="A72" s="321" t="s">
        <v>1282</v>
      </c>
      <c r="B72" s="321" t="s">
        <v>1283</v>
      </c>
      <c r="C72" s="322" t="s">
        <v>417</v>
      </c>
      <c r="D72" s="323" t="s">
        <v>1319</v>
      </c>
      <c r="E72" s="323" t="s">
        <v>1320</v>
      </c>
      <c r="F72" s="323" t="s">
        <v>1468</v>
      </c>
      <c r="G72" s="323" t="s">
        <v>1322</v>
      </c>
      <c r="H72" s="323" t="s">
        <v>1469</v>
      </c>
      <c r="I72" s="322" t="s">
        <v>1470</v>
      </c>
      <c r="J72" s="323" t="s">
        <v>1009</v>
      </c>
      <c r="K72" s="323" t="s">
        <v>493</v>
      </c>
      <c r="L72" s="322" t="s">
        <v>1471</v>
      </c>
      <c r="M72" s="323" t="s">
        <v>1472</v>
      </c>
      <c r="N72" s="330"/>
      <c r="O72" s="322"/>
      <c r="P72" s="323"/>
      <c r="Q72" s="323"/>
      <c r="R72" s="324"/>
      <c r="S72" s="324"/>
      <c r="T72" s="324"/>
      <c r="U72" s="324"/>
      <c r="V72" s="324"/>
      <c r="W72" s="324"/>
      <c r="X72" s="324"/>
      <c r="Y72" s="324"/>
      <c r="Z72" s="324"/>
      <c r="AA72" s="324"/>
      <c r="AB72" s="324"/>
      <c r="AC72" s="324"/>
      <c r="AD72" s="324">
        <f t="shared" si="2"/>
        <v>0</v>
      </c>
      <c r="AE72" s="319"/>
      <c r="AF72" s="325"/>
      <c r="AG72" s="325"/>
      <c r="AH72" s="325"/>
      <c r="AI72" s="325"/>
      <c r="AJ72" s="325"/>
      <c r="AK72" s="325"/>
      <c r="AL72" s="325"/>
      <c r="AM72" s="325"/>
      <c r="AN72" s="325"/>
      <c r="AO72" s="325"/>
      <c r="AP72" s="325"/>
      <c r="AQ72" s="325"/>
      <c r="AR72" s="325">
        <f t="shared" si="13"/>
        <v>0</v>
      </c>
      <c r="AS72" s="325">
        <f t="shared" si="3"/>
        <v>0</v>
      </c>
      <c r="AT72" s="325">
        <f t="shared" si="4"/>
        <v>0</v>
      </c>
    </row>
    <row r="73" spans="1:46" x14ac:dyDescent="0.35">
      <c r="A73" s="321" t="s">
        <v>1282</v>
      </c>
      <c r="B73" s="321" t="s">
        <v>1283</v>
      </c>
      <c r="C73" s="322" t="s">
        <v>417</v>
      </c>
      <c r="D73" s="323" t="s">
        <v>1319</v>
      </c>
      <c r="E73" s="323" t="s">
        <v>1320</v>
      </c>
      <c r="F73" s="323" t="s">
        <v>1473</v>
      </c>
      <c r="G73" s="323" t="s">
        <v>1322</v>
      </c>
      <c r="H73" s="323" t="s">
        <v>747</v>
      </c>
      <c r="I73" s="322" t="s">
        <v>932</v>
      </c>
      <c r="J73" s="331" t="s">
        <v>940</v>
      </c>
      <c r="K73" s="323" t="s">
        <v>738</v>
      </c>
      <c r="L73" s="322" t="s">
        <v>1474</v>
      </c>
      <c r="M73" s="323" t="s">
        <v>1475</v>
      </c>
      <c r="N73" s="333"/>
      <c r="O73" s="322"/>
      <c r="P73" s="323"/>
      <c r="Q73" s="323"/>
      <c r="R73" s="324"/>
      <c r="S73" s="324"/>
      <c r="T73" s="324"/>
      <c r="U73" s="324"/>
      <c r="V73" s="324"/>
      <c r="W73" s="324"/>
      <c r="X73" s="324"/>
      <c r="Y73" s="324"/>
      <c r="Z73" s="324"/>
      <c r="AA73" s="324"/>
      <c r="AB73" s="324"/>
      <c r="AC73" s="324"/>
      <c r="AD73" s="326">
        <f t="shared" si="2"/>
        <v>0</v>
      </c>
      <c r="AE73" s="319"/>
      <c r="AF73" s="325"/>
      <c r="AG73" s="325"/>
      <c r="AH73" s="325"/>
      <c r="AI73" s="325"/>
      <c r="AJ73" s="325"/>
      <c r="AK73" s="325"/>
      <c r="AL73" s="325"/>
      <c r="AM73" s="325"/>
      <c r="AN73" s="325"/>
      <c r="AO73" s="325"/>
      <c r="AP73" s="325"/>
      <c r="AQ73" s="325"/>
      <c r="AR73" s="325">
        <f t="shared" si="13"/>
        <v>0</v>
      </c>
      <c r="AS73" s="325">
        <f t="shared" si="3"/>
        <v>0</v>
      </c>
      <c r="AT73" s="325">
        <f t="shared" si="4"/>
        <v>0</v>
      </c>
    </row>
    <row r="74" spans="1:46" x14ac:dyDescent="0.35">
      <c r="A74" s="321" t="s">
        <v>1282</v>
      </c>
      <c r="B74" s="321" t="s">
        <v>1283</v>
      </c>
      <c r="C74" s="322" t="s">
        <v>417</v>
      </c>
      <c r="D74" s="323" t="s">
        <v>1319</v>
      </c>
      <c r="E74" s="323" t="s">
        <v>1320</v>
      </c>
      <c r="F74" s="323" t="s">
        <v>1473</v>
      </c>
      <c r="G74" s="323" t="s">
        <v>1322</v>
      </c>
      <c r="H74" s="323" t="s">
        <v>747</v>
      </c>
      <c r="I74" s="322" t="s">
        <v>1476</v>
      </c>
      <c r="J74" s="323" t="s">
        <v>1477</v>
      </c>
      <c r="K74" s="323" t="s">
        <v>738</v>
      </c>
      <c r="L74" s="322" t="s">
        <v>1474</v>
      </c>
      <c r="M74" s="323" t="s">
        <v>1475</v>
      </c>
      <c r="N74" s="330"/>
      <c r="O74" s="322"/>
      <c r="P74" s="323"/>
      <c r="Q74" s="323"/>
      <c r="R74" s="324"/>
      <c r="S74" s="324"/>
      <c r="T74" s="324"/>
      <c r="U74" s="324"/>
      <c r="V74" s="324"/>
      <c r="W74" s="324"/>
      <c r="X74" s="324"/>
      <c r="Y74" s="324"/>
      <c r="Z74" s="324"/>
      <c r="AA74" s="324"/>
      <c r="AB74" s="324"/>
      <c r="AC74" s="324"/>
      <c r="AD74" s="324">
        <f t="shared" si="2"/>
        <v>0</v>
      </c>
      <c r="AE74" s="319"/>
      <c r="AF74" s="325"/>
      <c r="AG74" s="325"/>
      <c r="AH74" s="325"/>
      <c r="AI74" s="325"/>
      <c r="AJ74" s="325"/>
      <c r="AK74" s="325"/>
      <c r="AL74" s="325"/>
      <c r="AM74" s="325"/>
      <c r="AN74" s="325"/>
      <c r="AO74" s="325"/>
      <c r="AP74" s="325"/>
      <c r="AQ74" s="325"/>
      <c r="AR74" s="325">
        <f t="shared" si="13"/>
        <v>0</v>
      </c>
      <c r="AS74" s="325">
        <f t="shared" si="3"/>
        <v>0</v>
      </c>
      <c r="AT74" s="325">
        <f t="shared" si="4"/>
        <v>0</v>
      </c>
    </row>
    <row r="75" spans="1:46" x14ac:dyDescent="0.35">
      <c r="A75" s="321" t="s">
        <v>1282</v>
      </c>
      <c r="B75" s="321" t="s">
        <v>1283</v>
      </c>
      <c r="C75" s="322" t="s">
        <v>417</v>
      </c>
      <c r="D75" s="323" t="s">
        <v>1319</v>
      </c>
      <c r="E75" s="323" t="s">
        <v>1320</v>
      </c>
      <c r="F75" s="323" t="s">
        <v>1473</v>
      </c>
      <c r="G75" s="323" t="s">
        <v>1322</v>
      </c>
      <c r="H75" s="323" t="s">
        <v>747</v>
      </c>
      <c r="I75" s="322" t="s">
        <v>863</v>
      </c>
      <c r="J75" s="323" t="s">
        <v>748</v>
      </c>
      <c r="K75" s="323" t="s">
        <v>738</v>
      </c>
      <c r="L75" s="322" t="s">
        <v>1478</v>
      </c>
      <c r="M75" s="323" t="s">
        <v>1479</v>
      </c>
      <c r="N75" s="330"/>
      <c r="O75" s="322"/>
      <c r="P75" s="323"/>
      <c r="Q75" s="323"/>
      <c r="R75" s="324"/>
      <c r="S75" s="324"/>
      <c r="T75" s="324"/>
      <c r="U75" s="324"/>
      <c r="V75" s="324"/>
      <c r="W75" s="324"/>
      <c r="X75" s="324"/>
      <c r="Y75" s="324"/>
      <c r="Z75" s="324"/>
      <c r="AA75" s="324"/>
      <c r="AB75" s="324"/>
      <c r="AC75" s="324"/>
      <c r="AD75" s="324">
        <f t="shared" si="2"/>
        <v>0</v>
      </c>
      <c r="AE75" s="319"/>
      <c r="AF75" s="325"/>
      <c r="AG75" s="325"/>
      <c r="AH75" s="325"/>
      <c r="AI75" s="325"/>
      <c r="AJ75" s="325"/>
      <c r="AK75" s="325"/>
      <c r="AL75" s="325"/>
      <c r="AM75" s="325"/>
      <c r="AN75" s="325"/>
      <c r="AO75" s="325"/>
      <c r="AP75" s="325"/>
      <c r="AQ75" s="325"/>
      <c r="AR75" s="325">
        <f t="shared" si="13"/>
        <v>0</v>
      </c>
      <c r="AS75" s="325">
        <f t="shared" si="3"/>
        <v>0</v>
      </c>
      <c r="AT75" s="325">
        <f t="shared" si="4"/>
        <v>0</v>
      </c>
    </row>
    <row r="76" spans="1:46" x14ac:dyDescent="0.35">
      <c r="A76" s="321" t="s">
        <v>1282</v>
      </c>
      <c r="B76" s="321" t="s">
        <v>1283</v>
      </c>
      <c r="C76" s="322" t="s">
        <v>417</v>
      </c>
      <c r="D76" s="323" t="s">
        <v>1319</v>
      </c>
      <c r="E76" s="323" t="s">
        <v>1320</v>
      </c>
      <c r="F76" s="323" t="s">
        <v>1365</v>
      </c>
      <c r="G76" s="323" t="s">
        <v>1322</v>
      </c>
      <c r="H76" s="323" t="s">
        <v>1366</v>
      </c>
      <c r="I76" s="322" t="s">
        <v>1480</v>
      </c>
      <c r="J76" s="323" t="s">
        <v>941</v>
      </c>
      <c r="K76" s="323" t="s">
        <v>1010</v>
      </c>
      <c r="L76" s="322" t="s">
        <v>1481</v>
      </c>
      <c r="M76" s="323" t="s">
        <v>1482</v>
      </c>
      <c r="N76" s="323"/>
      <c r="O76" s="322"/>
      <c r="P76" s="323"/>
      <c r="Q76" s="323"/>
      <c r="R76" s="324"/>
      <c r="S76" s="324"/>
      <c r="T76" s="324"/>
      <c r="U76" s="324"/>
      <c r="V76" s="324"/>
      <c r="W76" s="324"/>
      <c r="X76" s="324"/>
      <c r="Y76" s="324"/>
      <c r="Z76" s="324"/>
      <c r="AA76" s="324"/>
      <c r="AB76" s="324"/>
      <c r="AC76" s="324"/>
      <c r="AD76" s="324">
        <f t="shared" si="2"/>
        <v>0</v>
      </c>
      <c r="AE76" s="319"/>
      <c r="AF76" s="325"/>
      <c r="AG76" s="325"/>
      <c r="AH76" s="325"/>
      <c r="AI76" s="325"/>
      <c r="AJ76" s="325"/>
      <c r="AK76" s="325"/>
      <c r="AL76" s="325"/>
      <c r="AM76" s="325"/>
      <c r="AN76" s="325"/>
      <c r="AO76" s="325"/>
      <c r="AP76" s="325"/>
      <c r="AQ76" s="325"/>
      <c r="AR76" s="325">
        <f t="shared" si="13"/>
        <v>0</v>
      </c>
      <c r="AS76" s="325">
        <f t="shared" si="3"/>
        <v>0</v>
      </c>
      <c r="AT76" s="325">
        <f t="shared" si="4"/>
        <v>0</v>
      </c>
    </row>
    <row r="77" spans="1:46" x14ac:dyDescent="0.35">
      <c r="A77" s="321" t="s">
        <v>1282</v>
      </c>
      <c r="B77" s="321" t="s">
        <v>1283</v>
      </c>
      <c r="C77" s="322" t="s">
        <v>417</v>
      </c>
      <c r="D77" s="323" t="s">
        <v>1319</v>
      </c>
      <c r="E77" s="323" t="s">
        <v>1320</v>
      </c>
      <c r="F77" s="323" t="s">
        <v>1365</v>
      </c>
      <c r="G77" s="323" t="s">
        <v>1322</v>
      </c>
      <c r="H77" s="323" t="s">
        <v>1366</v>
      </c>
      <c r="I77" s="322" t="s">
        <v>1483</v>
      </c>
      <c r="J77" s="323" t="s">
        <v>945</v>
      </c>
      <c r="K77" s="323" t="s">
        <v>1011</v>
      </c>
      <c r="L77" s="322" t="s">
        <v>1484</v>
      </c>
      <c r="M77" s="323" t="s">
        <v>1485</v>
      </c>
      <c r="N77" s="323"/>
      <c r="O77" s="322"/>
      <c r="P77" s="323"/>
      <c r="Q77" s="323"/>
      <c r="R77" s="324"/>
      <c r="S77" s="324"/>
      <c r="T77" s="324"/>
      <c r="U77" s="324"/>
      <c r="V77" s="324"/>
      <c r="W77" s="324"/>
      <c r="X77" s="324"/>
      <c r="Y77" s="324"/>
      <c r="Z77" s="324"/>
      <c r="AA77" s="324"/>
      <c r="AB77" s="324"/>
      <c r="AC77" s="324"/>
      <c r="AD77" s="324">
        <f t="shared" si="2"/>
        <v>0</v>
      </c>
      <c r="AE77" s="319"/>
      <c r="AF77" s="325"/>
      <c r="AG77" s="325"/>
      <c r="AH77" s="325"/>
      <c r="AI77" s="325"/>
      <c r="AJ77" s="325"/>
      <c r="AK77" s="325"/>
      <c r="AL77" s="325"/>
      <c r="AM77" s="325"/>
      <c r="AN77" s="325"/>
      <c r="AO77" s="325"/>
      <c r="AP77" s="325"/>
      <c r="AQ77" s="325"/>
      <c r="AR77" s="325">
        <f t="shared" si="13"/>
        <v>0</v>
      </c>
      <c r="AS77" s="325">
        <f t="shared" si="3"/>
        <v>0</v>
      </c>
      <c r="AT77" s="325">
        <f t="shared" si="4"/>
        <v>0</v>
      </c>
    </row>
    <row r="78" spans="1:46" x14ac:dyDescent="0.35">
      <c r="A78" s="321" t="s">
        <v>1282</v>
      </c>
      <c r="B78" s="321" t="s">
        <v>1283</v>
      </c>
      <c r="C78" s="322" t="s">
        <v>417</v>
      </c>
      <c r="D78" s="323" t="s">
        <v>1319</v>
      </c>
      <c r="E78" s="323" t="s">
        <v>1320</v>
      </c>
      <c r="F78" s="323" t="s">
        <v>1365</v>
      </c>
      <c r="G78" s="323" t="s">
        <v>1322</v>
      </c>
      <c r="H78" s="323" t="s">
        <v>1366</v>
      </c>
      <c r="I78" s="322" t="s">
        <v>1486</v>
      </c>
      <c r="J78" s="323" t="s">
        <v>1026</v>
      </c>
      <c r="K78" s="323" t="s">
        <v>1010</v>
      </c>
      <c r="L78" s="322" t="s">
        <v>1487</v>
      </c>
      <c r="M78" s="323" t="s">
        <v>1488</v>
      </c>
      <c r="N78" s="323"/>
      <c r="O78" s="322"/>
      <c r="P78" s="323"/>
      <c r="Q78" s="323"/>
      <c r="R78" s="324"/>
      <c r="S78" s="324"/>
      <c r="T78" s="324"/>
      <c r="U78" s="324"/>
      <c r="V78" s="324"/>
      <c r="W78" s="324"/>
      <c r="X78" s="324"/>
      <c r="Y78" s="324"/>
      <c r="Z78" s="324"/>
      <c r="AA78" s="324"/>
      <c r="AB78" s="324"/>
      <c r="AC78" s="324"/>
      <c r="AD78" s="324">
        <f t="shared" si="2"/>
        <v>0</v>
      </c>
      <c r="AE78" s="319"/>
      <c r="AF78" s="325"/>
      <c r="AG78" s="325"/>
      <c r="AH78" s="325"/>
      <c r="AI78" s="325"/>
      <c r="AJ78" s="325"/>
      <c r="AK78" s="325"/>
      <c r="AL78" s="325"/>
      <c r="AM78" s="325"/>
      <c r="AN78" s="325"/>
      <c r="AO78" s="325"/>
      <c r="AP78" s="325"/>
      <c r="AQ78" s="325"/>
      <c r="AR78" s="325">
        <f t="shared" si="13"/>
        <v>0</v>
      </c>
      <c r="AS78" s="325">
        <f t="shared" ref="AS78:AS141" si="14">AD78-AR78</f>
        <v>0</v>
      </c>
      <c r="AT78" s="325">
        <f t="shared" ref="AT78:AT141" si="15">IFERROR(AS78/AR78,0)</f>
        <v>0</v>
      </c>
    </row>
    <row r="79" spans="1:46" x14ac:dyDescent="0.35">
      <c r="A79" s="321" t="s">
        <v>1282</v>
      </c>
      <c r="B79" s="321" t="s">
        <v>1283</v>
      </c>
      <c r="C79" s="322" t="s">
        <v>417</v>
      </c>
      <c r="D79" s="323" t="s">
        <v>1319</v>
      </c>
      <c r="E79" s="323" t="s">
        <v>1320</v>
      </c>
      <c r="F79" s="323" t="s">
        <v>1489</v>
      </c>
      <c r="G79" s="323" t="s">
        <v>1322</v>
      </c>
      <c r="H79" s="323" t="s">
        <v>1490</v>
      </c>
      <c r="I79" s="322" t="s">
        <v>1491</v>
      </c>
      <c r="J79" s="323" t="s">
        <v>1007</v>
      </c>
      <c r="K79" s="323" t="s">
        <v>1008</v>
      </c>
      <c r="L79" s="322" t="s">
        <v>1492</v>
      </c>
      <c r="M79" s="323" t="s">
        <v>1490</v>
      </c>
      <c r="N79" s="323"/>
      <c r="O79" s="322"/>
      <c r="P79" s="323"/>
      <c r="Q79" s="323"/>
      <c r="R79" s="324"/>
      <c r="S79" s="324"/>
      <c r="T79" s="324"/>
      <c r="U79" s="324"/>
      <c r="V79" s="324"/>
      <c r="W79" s="324"/>
      <c r="X79" s="324"/>
      <c r="Y79" s="324"/>
      <c r="Z79" s="324"/>
      <c r="AA79" s="324"/>
      <c r="AB79" s="324"/>
      <c r="AC79" s="324"/>
      <c r="AD79" s="324">
        <f t="shared" ref="AD79:AD143" si="16">SUM(R79:AC79)</f>
        <v>0</v>
      </c>
      <c r="AE79" s="319"/>
      <c r="AF79" s="325"/>
      <c r="AG79" s="325"/>
      <c r="AH79" s="325"/>
      <c r="AI79" s="325"/>
      <c r="AJ79" s="325"/>
      <c r="AK79" s="325"/>
      <c r="AL79" s="325"/>
      <c r="AM79" s="325"/>
      <c r="AN79" s="325"/>
      <c r="AO79" s="325"/>
      <c r="AP79" s="325"/>
      <c r="AQ79" s="325"/>
      <c r="AR79" s="325">
        <f t="shared" si="13"/>
        <v>0</v>
      </c>
      <c r="AS79" s="325">
        <f t="shared" si="14"/>
        <v>0</v>
      </c>
      <c r="AT79" s="325">
        <f t="shared" si="15"/>
        <v>0</v>
      </c>
    </row>
    <row r="80" spans="1:46" x14ac:dyDescent="0.35">
      <c r="A80" s="321" t="s">
        <v>1282</v>
      </c>
      <c r="B80" s="321" t="s">
        <v>1283</v>
      </c>
      <c r="C80" s="322" t="s">
        <v>417</v>
      </c>
      <c r="D80" s="323" t="s">
        <v>1319</v>
      </c>
      <c r="E80" s="323" t="s">
        <v>1320</v>
      </c>
      <c r="F80" s="323" t="s">
        <v>1468</v>
      </c>
      <c r="G80" s="323" t="s">
        <v>1322</v>
      </c>
      <c r="H80" s="323" t="s">
        <v>1493</v>
      </c>
      <c r="I80" s="322" t="s">
        <v>763</v>
      </c>
      <c r="J80" s="323" t="s">
        <v>705</v>
      </c>
      <c r="K80" s="323" t="s">
        <v>493</v>
      </c>
      <c r="L80" s="322" t="s">
        <v>1494</v>
      </c>
      <c r="M80" s="323" t="s">
        <v>1495</v>
      </c>
      <c r="N80" s="323"/>
      <c r="O80" s="322"/>
      <c r="P80" s="323"/>
      <c r="Q80" s="323"/>
      <c r="R80" s="324"/>
      <c r="S80" s="324"/>
      <c r="T80" s="324"/>
      <c r="U80" s="324"/>
      <c r="V80" s="324"/>
      <c r="W80" s="324"/>
      <c r="X80" s="324"/>
      <c r="Y80" s="324"/>
      <c r="Z80" s="324"/>
      <c r="AA80" s="324"/>
      <c r="AB80" s="324"/>
      <c r="AC80" s="324"/>
      <c r="AD80" s="324">
        <f t="shared" si="16"/>
        <v>0</v>
      </c>
      <c r="AE80" s="319"/>
      <c r="AF80" s="325"/>
      <c r="AG80" s="325"/>
      <c r="AH80" s="325"/>
      <c r="AI80" s="325"/>
      <c r="AJ80" s="325"/>
      <c r="AK80" s="325"/>
      <c r="AL80" s="325"/>
      <c r="AM80" s="325"/>
      <c r="AN80" s="325"/>
      <c r="AO80" s="325"/>
      <c r="AP80" s="325"/>
      <c r="AQ80" s="325"/>
      <c r="AR80" s="325">
        <f t="shared" si="13"/>
        <v>0</v>
      </c>
      <c r="AS80" s="325">
        <f t="shared" si="14"/>
        <v>0</v>
      </c>
      <c r="AT80" s="325">
        <f t="shared" si="15"/>
        <v>0</v>
      </c>
    </row>
    <row r="81" spans="1:46" x14ac:dyDescent="0.35">
      <c r="A81" s="321" t="s">
        <v>1282</v>
      </c>
      <c r="B81" s="321" t="s">
        <v>1283</v>
      </c>
      <c r="C81" s="322" t="s">
        <v>417</v>
      </c>
      <c r="D81" s="323" t="s">
        <v>1319</v>
      </c>
      <c r="E81" s="323" t="s">
        <v>1320</v>
      </c>
      <c r="F81" s="323" t="s">
        <v>1496</v>
      </c>
      <c r="G81" s="323" t="s">
        <v>1322</v>
      </c>
      <c r="H81" s="323" t="s">
        <v>1497</v>
      </c>
      <c r="I81" s="322" t="s">
        <v>1498</v>
      </c>
      <c r="J81" s="331" t="s">
        <v>1003</v>
      </c>
      <c r="K81" s="323" t="s">
        <v>1002</v>
      </c>
      <c r="L81" s="322" t="s">
        <v>1499</v>
      </c>
      <c r="M81" s="323" t="s">
        <v>1500</v>
      </c>
      <c r="N81" s="331"/>
      <c r="O81" s="322"/>
      <c r="P81" s="331"/>
      <c r="Q81" s="331"/>
      <c r="R81" s="324"/>
      <c r="S81" s="324"/>
      <c r="T81" s="324"/>
      <c r="U81" s="324"/>
      <c r="V81" s="324"/>
      <c r="W81" s="324"/>
      <c r="X81" s="324"/>
      <c r="Y81" s="324"/>
      <c r="Z81" s="324"/>
      <c r="AA81" s="324"/>
      <c r="AB81" s="324"/>
      <c r="AC81" s="324"/>
      <c r="AD81" s="326">
        <f t="shared" si="16"/>
        <v>0</v>
      </c>
      <c r="AE81" s="319"/>
      <c r="AF81" s="325"/>
      <c r="AG81" s="325"/>
      <c r="AH81" s="325"/>
      <c r="AI81" s="325"/>
      <c r="AJ81" s="325"/>
      <c r="AK81" s="325"/>
      <c r="AL81" s="325"/>
      <c r="AM81" s="325"/>
      <c r="AN81" s="325"/>
      <c r="AO81" s="325"/>
      <c r="AP81" s="325"/>
      <c r="AQ81" s="325"/>
      <c r="AR81" s="325">
        <f t="shared" si="13"/>
        <v>0</v>
      </c>
      <c r="AS81" s="325">
        <f t="shared" si="14"/>
        <v>0</v>
      </c>
      <c r="AT81" s="325">
        <f t="shared" si="15"/>
        <v>0</v>
      </c>
    </row>
    <row r="82" spans="1:46" x14ac:dyDescent="0.35">
      <c r="A82" s="321" t="s">
        <v>1282</v>
      </c>
      <c r="B82" s="321" t="s">
        <v>1283</v>
      </c>
      <c r="C82" s="322" t="s">
        <v>417</v>
      </c>
      <c r="D82" s="323" t="s">
        <v>1319</v>
      </c>
      <c r="E82" s="323" t="s">
        <v>1320</v>
      </c>
      <c r="F82" s="323" t="s">
        <v>1496</v>
      </c>
      <c r="G82" s="323" t="s">
        <v>1322</v>
      </c>
      <c r="H82" s="323" t="s">
        <v>1497</v>
      </c>
      <c r="I82" s="322" t="s">
        <v>735</v>
      </c>
      <c r="J82" s="331" t="s">
        <v>1004</v>
      </c>
      <c r="K82" s="323" t="s">
        <v>493</v>
      </c>
      <c r="L82" s="322" t="s">
        <v>1501</v>
      </c>
      <c r="M82" s="323" t="s">
        <v>1502</v>
      </c>
      <c r="N82" s="331"/>
      <c r="O82" s="322"/>
      <c r="P82" s="331"/>
      <c r="Q82" s="331"/>
      <c r="R82" s="324"/>
      <c r="S82" s="324"/>
      <c r="T82" s="324"/>
      <c r="U82" s="324"/>
      <c r="V82" s="324"/>
      <c r="W82" s="324"/>
      <c r="X82" s="324"/>
      <c r="Y82" s="324"/>
      <c r="Z82" s="324"/>
      <c r="AA82" s="324"/>
      <c r="AB82" s="324"/>
      <c r="AC82" s="324"/>
      <c r="AD82" s="326">
        <f t="shared" si="16"/>
        <v>0</v>
      </c>
      <c r="AE82" s="319"/>
      <c r="AF82" s="325"/>
      <c r="AG82" s="325"/>
      <c r="AH82" s="325"/>
      <c r="AI82" s="325"/>
      <c r="AJ82" s="325"/>
      <c r="AK82" s="325"/>
      <c r="AL82" s="325"/>
      <c r="AM82" s="325"/>
      <c r="AN82" s="325"/>
      <c r="AO82" s="325"/>
      <c r="AP82" s="325"/>
      <c r="AQ82" s="325"/>
      <c r="AR82" s="325">
        <f t="shared" si="13"/>
        <v>0</v>
      </c>
      <c r="AS82" s="325">
        <f t="shared" si="14"/>
        <v>0</v>
      </c>
      <c r="AT82" s="325">
        <f t="shared" si="15"/>
        <v>0</v>
      </c>
    </row>
    <row r="83" spans="1:46" x14ac:dyDescent="0.35">
      <c r="A83" s="321" t="s">
        <v>1282</v>
      </c>
      <c r="B83" s="321" t="s">
        <v>1283</v>
      </c>
      <c r="C83" s="322" t="s">
        <v>417</v>
      </c>
      <c r="D83" s="323" t="s">
        <v>1319</v>
      </c>
      <c r="E83" s="323" t="s">
        <v>1320</v>
      </c>
      <c r="F83" s="323" t="s">
        <v>1496</v>
      </c>
      <c r="G83" s="323" t="s">
        <v>1322</v>
      </c>
      <c r="H83" s="323" t="s">
        <v>1497</v>
      </c>
      <c r="I83" s="322" t="s">
        <v>1503</v>
      </c>
      <c r="J83" s="331" t="s">
        <v>880</v>
      </c>
      <c r="K83" s="323" t="s">
        <v>1002</v>
      </c>
      <c r="L83" s="322" t="s">
        <v>1504</v>
      </c>
      <c r="M83" s="323" t="s">
        <v>880</v>
      </c>
      <c r="N83" s="331"/>
      <c r="O83" s="322"/>
      <c r="P83" s="331"/>
      <c r="Q83" s="331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6">
        <f t="shared" si="16"/>
        <v>0</v>
      </c>
      <c r="AE83" s="319"/>
      <c r="AF83" s="325"/>
      <c r="AG83" s="325"/>
      <c r="AH83" s="325"/>
      <c r="AI83" s="325"/>
      <c r="AJ83" s="325"/>
      <c r="AK83" s="325"/>
      <c r="AL83" s="325"/>
      <c r="AM83" s="325"/>
      <c r="AN83" s="325"/>
      <c r="AO83" s="325"/>
      <c r="AP83" s="325"/>
      <c r="AQ83" s="325"/>
      <c r="AR83" s="325">
        <f t="shared" si="13"/>
        <v>0</v>
      </c>
      <c r="AS83" s="325">
        <f t="shared" si="14"/>
        <v>0</v>
      </c>
      <c r="AT83" s="325">
        <f t="shared" si="15"/>
        <v>0</v>
      </c>
    </row>
    <row r="84" spans="1:46" x14ac:dyDescent="0.35">
      <c r="A84" s="321" t="s">
        <v>1282</v>
      </c>
      <c r="B84" s="321" t="s">
        <v>1283</v>
      </c>
      <c r="C84" s="322" t="s">
        <v>417</v>
      </c>
      <c r="D84" s="323" t="s">
        <v>1319</v>
      </c>
      <c r="E84" s="323" t="s">
        <v>1320</v>
      </c>
      <c r="F84" s="323" t="s">
        <v>1496</v>
      </c>
      <c r="G84" s="323" t="s">
        <v>1322</v>
      </c>
      <c r="H84" s="323" t="s">
        <v>1497</v>
      </c>
      <c r="I84" s="322" t="s">
        <v>740</v>
      </c>
      <c r="J84" s="323" t="s">
        <v>741</v>
      </c>
      <c r="K84" s="323" t="s">
        <v>742</v>
      </c>
      <c r="L84" s="322" t="s">
        <v>1505</v>
      </c>
      <c r="M84" s="323" t="s">
        <v>1506</v>
      </c>
      <c r="N84" s="323"/>
      <c r="O84" s="322"/>
      <c r="P84" s="323"/>
      <c r="Q84" s="323"/>
      <c r="R84" s="324"/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  <c r="AD84" s="324">
        <f t="shared" si="16"/>
        <v>0</v>
      </c>
      <c r="AE84" s="319"/>
      <c r="AF84" s="325"/>
      <c r="AG84" s="325"/>
      <c r="AH84" s="325"/>
      <c r="AI84" s="325"/>
      <c r="AJ84" s="325"/>
      <c r="AK84" s="325"/>
      <c r="AL84" s="325"/>
      <c r="AM84" s="325"/>
      <c r="AN84" s="325"/>
      <c r="AO84" s="325"/>
      <c r="AP84" s="325"/>
      <c r="AQ84" s="325"/>
      <c r="AR84" s="325">
        <f t="shared" si="13"/>
        <v>0</v>
      </c>
      <c r="AS84" s="325">
        <f t="shared" si="14"/>
        <v>0</v>
      </c>
      <c r="AT84" s="325">
        <f t="shared" si="15"/>
        <v>0</v>
      </c>
    </row>
    <row r="85" spans="1:46" x14ac:dyDescent="0.35">
      <c r="A85" s="321" t="s">
        <v>1282</v>
      </c>
      <c r="B85" s="321" t="s">
        <v>1283</v>
      </c>
      <c r="C85" s="322" t="s">
        <v>417</v>
      </c>
      <c r="D85" s="323" t="s">
        <v>1319</v>
      </c>
      <c r="E85" s="323" t="s">
        <v>1320</v>
      </c>
      <c r="F85" s="323" t="s">
        <v>1507</v>
      </c>
      <c r="G85" s="323" t="s">
        <v>1322</v>
      </c>
      <c r="H85" s="323" t="s">
        <v>1508</v>
      </c>
      <c r="I85" s="322" t="s">
        <v>898</v>
      </c>
      <c r="J85" s="331" t="s">
        <v>899</v>
      </c>
      <c r="K85" s="323" t="s">
        <v>711</v>
      </c>
      <c r="L85" s="322" t="s">
        <v>1509</v>
      </c>
      <c r="M85" s="323" t="s">
        <v>1510</v>
      </c>
      <c r="N85" s="331"/>
      <c r="O85" s="322"/>
      <c r="P85" s="331"/>
      <c r="Q85" s="331"/>
      <c r="R85" s="324"/>
      <c r="S85" s="324"/>
      <c r="T85" s="324"/>
      <c r="U85" s="324"/>
      <c r="V85" s="324"/>
      <c r="W85" s="324"/>
      <c r="X85" s="324"/>
      <c r="Y85" s="324"/>
      <c r="Z85" s="324"/>
      <c r="AA85" s="324"/>
      <c r="AB85" s="324"/>
      <c r="AC85" s="324"/>
      <c r="AD85" s="326">
        <f t="shared" si="16"/>
        <v>0</v>
      </c>
      <c r="AE85" s="319"/>
      <c r="AF85" s="325"/>
      <c r="AG85" s="325"/>
      <c r="AH85" s="325"/>
      <c r="AI85" s="325"/>
      <c r="AJ85" s="325"/>
      <c r="AK85" s="325"/>
      <c r="AL85" s="325"/>
      <c r="AM85" s="325"/>
      <c r="AN85" s="325"/>
      <c r="AO85" s="325"/>
      <c r="AP85" s="325"/>
      <c r="AQ85" s="325"/>
      <c r="AR85" s="325">
        <f t="shared" si="13"/>
        <v>0</v>
      </c>
      <c r="AS85" s="325">
        <f t="shared" si="14"/>
        <v>0</v>
      </c>
      <c r="AT85" s="325">
        <f t="shared" si="15"/>
        <v>0</v>
      </c>
    </row>
    <row r="86" spans="1:46" x14ac:dyDescent="0.35">
      <c r="A86" s="321" t="s">
        <v>1282</v>
      </c>
      <c r="B86" s="321" t="s">
        <v>1283</v>
      </c>
      <c r="C86" s="322" t="s">
        <v>417</v>
      </c>
      <c r="D86" s="323" t="s">
        <v>1319</v>
      </c>
      <c r="E86" s="323" t="s">
        <v>1320</v>
      </c>
      <c r="F86" s="323" t="s">
        <v>1507</v>
      </c>
      <c r="G86" s="323" t="s">
        <v>1322</v>
      </c>
      <c r="H86" s="323" t="s">
        <v>1508</v>
      </c>
      <c r="I86" s="322" t="s">
        <v>950</v>
      </c>
      <c r="J86" s="323" t="s">
        <v>899</v>
      </c>
      <c r="K86" s="323" t="s">
        <v>711</v>
      </c>
      <c r="L86" s="322" t="s">
        <v>1509</v>
      </c>
      <c r="M86" s="323" t="s">
        <v>1510</v>
      </c>
      <c r="N86" s="323"/>
      <c r="O86" s="322"/>
      <c r="P86" s="323"/>
      <c r="Q86" s="323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  <c r="AD86" s="324">
        <f t="shared" si="16"/>
        <v>0</v>
      </c>
      <c r="AE86" s="319"/>
      <c r="AF86" s="325"/>
      <c r="AG86" s="325"/>
      <c r="AH86" s="325"/>
      <c r="AI86" s="325"/>
      <c r="AJ86" s="325"/>
      <c r="AK86" s="325"/>
      <c r="AL86" s="325"/>
      <c r="AM86" s="325"/>
      <c r="AN86" s="325"/>
      <c r="AO86" s="325"/>
      <c r="AP86" s="325"/>
      <c r="AQ86" s="325"/>
      <c r="AR86" s="325">
        <f t="shared" si="13"/>
        <v>0</v>
      </c>
      <c r="AS86" s="325">
        <f t="shared" si="14"/>
        <v>0</v>
      </c>
      <c r="AT86" s="325">
        <f t="shared" si="15"/>
        <v>0</v>
      </c>
    </row>
    <row r="87" spans="1:46" x14ac:dyDescent="0.35">
      <c r="A87" s="321" t="s">
        <v>1282</v>
      </c>
      <c r="B87" s="321" t="s">
        <v>1283</v>
      </c>
      <c r="C87" s="322" t="s">
        <v>417</v>
      </c>
      <c r="D87" s="323" t="s">
        <v>1319</v>
      </c>
      <c r="E87" s="323" t="s">
        <v>1320</v>
      </c>
      <c r="F87" s="323" t="s">
        <v>1507</v>
      </c>
      <c r="G87" s="323" t="s">
        <v>1322</v>
      </c>
      <c r="H87" s="323" t="s">
        <v>1508</v>
      </c>
      <c r="I87" s="322" t="s">
        <v>948</v>
      </c>
      <c r="J87" s="323" t="s">
        <v>928</v>
      </c>
      <c r="K87" s="323" t="s">
        <v>711</v>
      </c>
      <c r="L87" s="322" t="s">
        <v>1511</v>
      </c>
      <c r="M87" s="323" t="s">
        <v>1512</v>
      </c>
      <c r="N87" s="323"/>
      <c r="O87" s="322"/>
      <c r="P87" s="323"/>
      <c r="Q87" s="323"/>
      <c r="R87" s="324"/>
      <c r="S87" s="324"/>
      <c r="T87" s="324"/>
      <c r="U87" s="324"/>
      <c r="V87" s="324"/>
      <c r="W87" s="324"/>
      <c r="X87" s="324"/>
      <c r="Y87" s="324"/>
      <c r="Z87" s="324"/>
      <c r="AA87" s="324"/>
      <c r="AB87" s="324"/>
      <c r="AC87" s="324"/>
      <c r="AD87" s="324">
        <f t="shared" si="16"/>
        <v>0</v>
      </c>
      <c r="AE87" s="319"/>
      <c r="AF87" s="325"/>
      <c r="AG87" s="325"/>
      <c r="AH87" s="325"/>
      <c r="AI87" s="325"/>
      <c r="AJ87" s="325"/>
      <c r="AK87" s="325"/>
      <c r="AL87" s="325"/>
      <c r="AM87" s="325"/>
      <c r="AN87" s="325"/>
      <c r="AO87" s="325"/>
      <c r="AP87" s="325"/>
      <c r="AQ87" s="325"/>
      <c r="AR87" s="325">
        <f t="shared" si="13"/>
        <v>0</v>
      </c>
      <c r="AS87" s="325">
        <f t="shared" si="14"/>
        <v>0</v>
      </c>
      <c r="AT87" s="325">
        <f t="shared" si="15"/>
        <v>0</v>
      </c>
    </row>
    <row r="88" spans="1:46" x14ac:dyDescent="0.35">
      <c r="A88" s="321" t="s">
        <v>1282</v>
      </c>
      <c r="B88" s="321" t="s">
        <v>1283</v>
      </c>
      <c r="C88" s="322" t="s">
        <v>417</v>
      </c>
      <c r="D88" s="323" t="s">
        <v>1319</v>
      </c>
      <c r="E88" s="323" t="s">
        <v>1320</v>
      </c>
      <c r="F88" s="323" t="s">
        <v>1513</v>
      </c>
      <c r="G88" s="323" t="s">
        <v>1322</v>
      </c>
      <c r="H88" s="323" t="s">
        <v>1514</v>
      </c>
      <c r="I88" s="322" t="s">
        <v>1515</v>
      </c>
      <c r="J88" s="323" t="s">
        <v>877</v>
      </c>
      <c r="K88" s="323" t="s">
        <v>987</v>
      </c>
      <c r="L88" s="322" t="s">
        <v>1516</v>
      </c>
      <c r="M88" s="323" t="s">
        <v>1517</v>
      </c>
      <c r="N88" s="323"/>
      <c r="O88" s="322"/>
      <c r="P88" s="323"/>
      <c r="Q88" s="323"/>
      <c r="R88" s="324"/>
      <c r="S88" s="324"/>
      <c r="T88" s="324"/>
      <c r="U88" s="324"/>
      <c r="V88" s="324"/>
      <c r="W88" s="324"/>
      <c r="X88" s="324"/>
      <c r="Y88" s="324"/>
      <c r="Z88" s="324"/>
      <c r="AA88" s="324"/>
      <c r="AB88" s="324"/>
      <c r="AC88" s="324"/>
      <c r="AD88" s="324">
        <f t="shared" si="16"/>
        <v>0</v>
      </c>
      <c r="AE88" s="319"/>
      <c r="AF88" s="325"/>
      <c r="AG88" s="325"/>
      <c r="AH88" s="325"/>
      <c r="AI88" s="325"/>
      <c r="AJ88" s="325"/>
      <c r="AK88" s="325"/>
      <c r="AL88" s="325"/>
      <c r="AM88" s="325"/>
      <c r="AN88" s="325"/>
      <c r="AO88" s="325"/>
      <c r="AP88" s="325"/>
      <c r="AQ88" s="325"/>
      <c r="AR88" s="325">
        <f t="shared" si="13"/>
        <v>0</v>
      </c>
      <c r="AS88" s="325">
        <f t="shared" si="14"/>
        <v>0</v>
      </c>
      <c r="AT88" s="325">
        <f t="shared" si="15"/>
        <v>0</v>
      </c>
    </row>
    <row r="89" spans="1:46" x14ac:dyDescent="0.35">
      <c r="A89" s="321" t="s">
        <v>1282</v>
      </c>
      <c r="B89" s="321" t="s">
        <v>1283</v>
      </c>
      <c r="C89" s="322" t="s">
        <v>417</v>
      </c>
      <c r="D89" s="323" t="s">
        <v>1319</v>
      </c>
      <c r="E89" s="323" t="s">
        <v>1320</v>
      </c>
      <c r="F89" s="323" t="s">
        <v>1518</v>
      </c>
      <c r="G89" s="323" t="s">
        <v>1322</v>
      </c>
      <c r="H89" s="323" t="s">
        <v>1519</v>
      </c>
      <c r="I89" s="322" t="s">
        <v>744</v>
      </c>
      <c r="J89" s="323" t="s">
        <v>879</v>
      </c>
      <c r="K89" s="323" t="s">
        <v>738</v>
      </c>
      <c r="L89" s="322" t="s">
        <v>1520</v>
      </c>
      <c r="M89" s="323" t="s">
        <v>1521</v>
      </c>
      <c r="N89" s="323"/>
      <c r="O89" s="322"/>
      <c r="P89" s="323"/>
      <c r="Q89" s="323"/>
      <c r="R89" s="324"/>
      <c r="S89" s="324"/>
      <c r="T89" s="324"/>
      <c r="U89" s="324"/>
      <c r="V89" s="324"/>
      <c r="W89" s="324"/>
      <c r="X89" s="324"/>
      <c r="Y89" s="324"/>
      <c r="Z89" s="324"/>
      <c r="AA89" s="324"/>
      <c r="AB89" s="324"/>
      <c r="AC89" s="324"/>
      <c r="AD89" s="324">
        <f t="shared" si="16"/>
        <v>0</v>
      </c>
      <c r="AE89" s="319"/>
      <c r="AF89" s="325"/>
      <c r="AG89" s="325"/>
      <c r="AH89" s="325"/>
      <c r="AI89" s="325"/>
      <c r="AJ89" s="325"/>
      <c r="AK89" s="325"/>
      <c r="AL89" s="325"/>
      <c r="AM89" s="325"/>
      <c r="AN89" s="325"/>
      <c r="AO89" s="325"/>
      <c r="AP89" s="325"/>
      <c r="AQ89" s="325"/>
      <c r="AR89" s="325">
        <f t="shared" si="13"/>
        <v>0</v>
      </c>
      <c r="AS89" s="325">
        <f t="shared" si="14"/>
        <v>0</v>
      </c>
      <c r="AT89" s="325">
        <f t="shared" si="15"/>
        <v>0</v>
      </c>
    </row>
    <row r="90" spans="1:46" x14ac:dyDescent="0.35">
      <c r="A90" s="321" t="s">
        <v>1282</v>
      </c>
      <c r="B90" s="321" t="s">
        <v>1283</v>
      </c>
      <c r="C90" s="322" t="s">
        <v>417</v>
      </c>
      <c r="D90" s="323" t="s">
        <v>1319</v>
      </c>
      <c r="E90" s="323" t="s">
        <v>1320</v>
      </c>
      <c r="F90" s="323" t="s">
        <v>1518</v>
      </c>
      <c r="G90" s="323" t="s">
        <v>1322</v>
      </c>
      <c r="H90" s="323" t="s">
        <v>1519</v>
      </c>
      <c r="I90" s="322" t="s">
        <v>1522</v>
      </c>
      <c r="J90" s="323" t="s">
        <v>879</v>
      </c>
      <c r="K90" s="323" t="s">
        <v>738</v>
      </c>
      <c r="L90" s="322" t="s">
        <v>1520</v>
      </c>
      <c r="M90" s="323" t="s">
        <v>1521</v>
      </c>
      <c r="N90" s="323"/>
      <c r="O90" s="322"/>
      <c r="P90" s="323"/>
      <c r="Q90" s="323"/>
      <c r="R90" s="324"/>
      <c r="S90" s="324"/>
      <c r="T90" s="324"/>
      <c r="U90" s="324"/>
      <c r="V90" s="324"/>
      <c r="W90" s="324"/>
      <c r="X90" s="324"/>
      <c r="Y90" s="324"/>
      <c r="Z90" s="324"/>
      <c r="AA90" s="324"/>
      <c r="AB90" s="324"/>
      <c r="AC90" s="324"/>
      <c r="AD90" s="324">
        <f t="shared" si="16"/>
        <v>0</v>
      </c>
      <c r="AE90" s="319"/>
      <c r="AF90" s="325"/>
      <c r="AG90" s="325"/>
      <c r="AH90" s="325"/>
      <c r="AI90" s="325"/>
      <c r="AJ90" s="325"/>
      <c r="AK90" s="325"/>
      <c r="AL90" s="325"/>
      <c r="AM90" s="325"/>
      <c r="AN90" s="325"/>
      <c r="AO90" s="325"/>
      <c r="AP90" s="325"/>
      <c r="AQ90" s="325"/>
      <c r="AR90" s="325">
        <f t="shared" si="13"/>
        <v>0</v>
      </c>
      <c r="AS90" s="325">
        <f t="shared" si="14"/>
        <v>0</v>
      </c>
      <c r="AT90" s="325">
        <f t="shared" si="15"/>
        <v>0</v>
      </c>
    </row>
    <row r="91" spans="1:46" x14ac:dyDescent="0.35">
      <c r="A91" s="321" t="s">
        <v>1282</v>
      </c>
      <c r="B91" s="321" t="s">
        <v>1283</v>
      </c>
      <c r="C91" s="322" t="s">
        <v>417</v>
      </c>
      <c r="D91" s="323" t="s">
        <v>1319</v>
      </c>
      <c r="E91" s="323" t="s">
        <v>1320</v>
      </c>
      <c r="F91" s="323" t="s">
        <v>1523</v>
      </c>
      <c r="G91" s="323" t="s">
        <v>1322</v>
      </c>
      <c r="H91" s="323" t="s">
        <v>745</v>
      </c>
      <c r="I91" s="322" t="s">
        <v>867</v>
      </c>
      <c r="J91" s="323" t="s">
        <v>746</v>
      </c>
      <c r="K91" s="323" t="s">
        <v>738</v>
      </c>
      <c r="L91" s="322" t="s">
        <v>1524</v>
      </c>
      <c r="M91" s="323" t="s">
        <v>1525</v>
      </c>
      <c r="N91" s="330"/>
      <c r="O91" s="334"/>
      <c r="P91" s="329"/>
      <c r="Q91" s="329"/>
      <c r="R91" s="324"/>
      <c r="S91" s="324"/>
      <c r="T91" s="324"/>
      <c r="U91" s="324"/>
      <c r="V91" s="324"/>
      <c r="W91" s="324"/>
      <c r="X91" s="324"/>
      <c r="Y91" s="324"/>
      <c r="Z91" s="324"/>
      <c r="AA91" s="324"/>
      <c r="AB91" s="324"/>
      <c r="AC91" s="324"/>
      <c r="AD91" s="324">
        <f t="shared" si="16"/>
        <v>0</v>
      </c>
      <c r="AE91" s="319"/>
      <c r="AF91" s="325"/>
      <c r="AG91" s="325"/>
      <c r="AH91" s="325"/>
      <c r="AI91" s="325"/>
      <c r="AJ91" s="325"/>
      <c r="AK91" s="325"/>
      <c r="AL91" s="325"/>
      <c r="AM91" s="325"/>
      <c r="AN91" s="325"/>
      <c r="AO91" s="325"/>
      <c r="AP91" s="325"/>
      <c r="AQ91" s="325"/>
      <c r="AR91" s="325">
        <f t="shared" si="13"/>
        <v>0</v>
      </c>
      <c r="AS91" s="325">
        <f t="shared" si="14"/>
        <v>0</v>
      </c>
      <c r="AT91" s="325">
        <f t="shared" si="15"/>
        <v>0</v>
      </c>
    </row>
    <row r="92" spans="1:46" x14ac:dyDescent="0.35">
      <c r="A92" s="321" t="s">
        <v>1282</v>
      </c>
      <c r="B92" s="321" t="s">
        <v>1283</v>
      </c>
      <c r="C92" s="322" t="s">
        <v>417</v>
      </c>
      <c r="D92" s="323" t="s">
        <v>1319</v>
      </c>
      <c r="E92" s="323" t="s">
        <v>1320</v>
      </c>
      <c r="F92" s="323" t="s">
        <v>1523</v>
      </c>
      <c r="G92" s="323" t="s">
        <v>1322</v>
      </c>
      <c r="H92" s="323" t="s">
        <v>745</v>
      </c>
      <c r="I92" s="322">
        <v>6277002001</v>
      </c>
      <c r="J92" s="331" t="s">
        <v>746</v>
      </c>
      <c r="K92" s="323" t="s">
        <v>738</v>
      </c>
      <c r="L92" s="322" t="s">
        <v>1524</v>
      </c>
      <c r="M92" s="323" t="s">
        <v>1525</v>
      </c>
      <c r="N92" s="333"/>
      <c r="O92" s="322"/>
      <c r="P92" s="323"/>
      <c r="Q92" s="323"/>
      <c r="R92" s="324"/>
      <c r="S92" s="324"/>
      <c r="T92" s="324"/>
      <c r="U92" s="324"/>
      <c r="V92" s="324"/>
      <c r="W92" s="324"/>
      <c r="X92" s="324"/>
      <c r="Y92" s="324"/>
      <c r="Z92" s="324"/>
      <c r="AA92" s="324"/>
      <c r="AB92" s="324"/>
      <c r="AC92" s="324"/>
      <c r="AD92" s="326">
        <f t="shared" si="16"/>
        <v>0</v>
      </c>
      <c r="AE92" s="319"/>
      <c r="AF92" s="325"/>
      <c r="AG92" s="325"/>
      <c r="AH92" s="325"/>
      <c r="AI92" s="325"/>
      <c r="AJ92" s="325"/>
      <c r="AK92" s="325"/>
      <c r="AL92" s="325"/>
      <c r="AM92" s="325"/>
      <c r="AN92" s="325"/>
      <c r="AO92" s="325"/>
      <c r="AP92" s="325"/>
      <c r="AQ92" s="325"/>
      <c r="AR92" s="325">
        <f t="shared" si="13"/>
        <v>0</v>
      </c>
      <c r="AS92" s="325">
        <f t="shared" si="14"/>
        <v>0</v>
      </c>
      <c r="AT92" s="325">
        <f t="shared" si="15"/>
        <v>0</v>
      </c>
    </row>
    <row r="93" spans="1:46" x14ac:dyDescent="0.35">
      <c r="A93" s="321" t="s">
        <v>1282</v>
      </c>
      <c r="B93" s="321" t="s">
        <v>1283</v>
      </c>
      <c r="C93" s="322" t="s">
        <v>417</v>
      </c>
      <c r="D93" s="323" t="s">
        <v>1319</v>
      </c>
      <c r="E93" s="323" t="s">
        <v>1320</v>
      </c>
      <c r="F93" s="323" t="s">
        <v>1526</v>
      </c>
      <c r="G93" s="323" t="s">
        <v>1322</v>
      </c>
      <c r="H93" s="323" t="s">
        <v>1527</v>
      </c>
      <c r="I93" s="322" t="s">
        <v>1528</v>
      </c>
      <c r="J93" s="323" t="s">
        <v>1025</v>
      </c>
      <c r="K93" s="323" t="s">
        <v>755</v>
      </c>
      <c r="L93" s="322" t="s">
        <v>1529</v>
      </c>
      <c r="M93" s="323" t="s">
        <v>1530</v>
      </c>
      <c r="N93" s="323"/>
      <c r="O93" s="322"/>
      <c r="P93" s="323"/>
      <c r="Q93" s="323"/>
      <c r="R93" s="324"/>
      <c r="S93" s="324"/>
      <c r="T93" s="324"/>
      <c r="U93" s="324"/>
      <c r="V93" s="324"/>
      <c r="W93" s="324"/>
      <c r="X93" s="324"/>
      <c r="Y93" s="324"/>
      <c r="Z93" s="324"/>
      <c r="AA93" s="324"/>
      <c r="AB93" s="324"/>
      <c r="AC93" s="324"/>
      <c r="AD93" s="324">
        <f t="shared" si="16"/>
        <v>0</v>
      </c>
      <c r="AE93" s="319"/>
      <c r="AF93" s="325"/>
      <c r="AG93" s="325"/>
      <c r="AH93" s="325"/>
      <c r="AI93" s="325"/>
      <c r="AJ93" s="325"/>
      <c r="AK93" s="325"/>
      <c r="AL93" s="325"/>
      <c r="AM93" s="325"/>
      <c r="AN93" s="325"/>
      <c r="AO93" s="325"/>
      <c r="AP93" s="325"/>
      <c r="AQ93" s="325"/>
      <c r="AR93" s="325">
        <f t="shared" si="13"/>
        <v>0</v>
      </c>
      <c r="AS93" s="325">
        <f t="shared" si="14"/>
        <v>0</v>
      </c>
      <c r="AT93" s="325">
        <f t="shared" si="15"/>
        <v>0</v>
      </c>
    </row>
    <row r="94" spans="1:46" x14ac:dyDescent="0.35">
      <c r="A94" s="321" t="s">
        <v>1282</v>
      </c>
      <c r="B94" s="321" t="s">
        <v>1283</v>
      </c>
      <c r="C94" s="322" t="s">
        <v>417</v>
      </c>
      <c r="D94" s="323" t="s">
        <v>1319</v>
      </c>
      <c r="E94" s="323" t="s">
        <v>1320</v>
      </c>
      <c r="F94" s="323" t="s">
        <v>1526</v>
      </c>
      <c r="G94" s="323" t="s">
        <v>1322</v>
      </c>
      <c r="H94" s="323" t="s">
        <v>1527</v>
      </c>
      <c r="I94" s="322" t="s">
        <v>1531</v>
      </c>
      <c r="J94" s="323" t="s">
        <v>1532</v>
      </c>
      <c r="K94" s="323" t="s">
        <v>755</v>
      </c>
      <c r="L94" s="322" t="s">
        <v>1533</v>
      </c>
      <c r="M94" s="323" t="s">
        <v>1534</v>
      </c>
      <c r="N94" s="323"/>
      <c r="O94" s="322"/>
      <c r="P94" s="323"/>
      <c r="Q94" s="323"/>
      <c r="R94" s="324"/>
      <c r="S94" s="324"/>
      <c r="T94" s="324"/>
      <c r="U94" s="324"/>
      <c r="V94" s="324"/>
      <c r="W94" s="324"/>
      <c r="X94" s="324"/>
      <c r="Y94" s="324"/>
      <c r="Z94" s="324"/>
      <c r="AA94" s="324"/>
      <c r="AB94" s="324"/>
      <c r="AC94" s="324"/>
      <c r="AD94" s="324">
        <f t="shared" si="16"/>
        <v>0</v>
      </c>
      <c r="AE94" s="319"/>
      <c r="AF94" s="325"/>
      <c r="AG94" s="325"/>
      <c r="AH94" s="325"/>
      <c r="AI94" s="325"/>
      <c r="AJ94" s="325"/>
      <c r="AK94" s="325"/>
      <c r="AL94" s="325"/>
      <c r="AM94" s="325"/>
      <c r="AN94" s="325"/>
      <c r="AO94" s="325"/>
      <c r="AP94" s="325"/>
      <c r="AQ94" s="325"/>
      <c r="AR94" s="325">
        <f t="shared" si="13"/>
        <v>0</v>
      </c>
      <c r="AS94" s="325">
        <f t="shared" si="14"/>
        <v>0</v>
      </c>
      <c r="AT94" s="325">
        <f t="shared" si="15"/>
        <v>0</v>
      </c>
    </row>
    <row r="95" spans="1:46" x14ac:dyDescent="0.35">
      <c r="A95" s="321" t="s">
        <v>1282</v>
      </c>
      <c r="B95" s="321" t="s">
        <v>1283</v>
      </c>
      <c r="C95" s="322" t="s">
        <v>417</v>
      </c>
      <c r="D95" s="323" t="s">
        <v>1319</v>
      </c>
      <c r="E95" s="323" t="s">
        <v>1320</v>
      </c>
      <c r="F95" s="323" t="s">
        <v>1526</v>
      </c>
      <c r="G95" s="323" t="s">
        <v>1322</v>
      </c>
      <c r="H95" s="323" t="s">
        <v>1527</v>
      </c>
      <c r="I95" s="322" t="s">
        <v>1535</v>
      </c>
      <c r="J95" s="323" t="s">
        <v>1532</v>
      </c>
      <c r="K95" s="323" t="s">
        <v>755</v>
      </c>
      <c r="L95" s="322" t="s">
        <v>1533</v>
      </c>
      <c r="M95" s="323" t="s">
        <v>1534</v>
      </c>
      <c r="N95" s="323"/>
      <c r="O95" s="322"/>
      <c r="P95" s="323"/>
      <c r="Q95" s="323"/>
      <c r="R95" s="324"/>
      <c r="S95" s="324"/>
      <c r="T95" s="324"/>
      <c r="U95" s="324"/>
      <c r="V95" s="324"/>
      <c r="W95" s="324"/>
      <c r="X95" s="324"/>
      <c r="Y95" s="324"/>
      <c r="Z95" s="324"/>
      <c r="AA95" s="324"/>
      <c r="AB95" s="324"/>
      <c r="AC95" s="324"/>
      <c r="AD95" s="324">
        <f t="shared" si="16"/>
        <v>0</v>
      </c>
      <c r="AE95" s="319"/>
      <c r="AF95" s="325"/>
      <c r="AG95" s="325"/>
      <c r="AH95" s="325"/>
      <c r="AI95" s="325"/>
      <c r="AJ95" s="325"/>
      <c r="AK95" s="325"/>
      <c r="AL95" s="325"/>
      <c r="AM95" s="325"/>
      <c r="AN95" s="325"/>
      <c r="AO95" s="325"/>
      <c r="AP95" s="325"/>
      <c r="AQ95" s="325"/>
      <c r="AR95" s="325">
        <f t="shared" si="13"/>
        <v>0</v>
      </c>
      <c r="AS95" s="325">
        <f t="shared" si="14"/>
        <v>0</v>
      </c>
      <c r="AT95" s="325">
        <f t="shared" si="15"/>
        <v>0</v>
      </c>
    </row>
    <row r="96" spans="1:46" x14ac:dyDescent="0.35">
      <c r="A96" s="321" t="s">
        <v>1282</v>
      </c>
      <c r="B96" s="321" t="s">
        <v>1283</v>
      </c>
      <c r="C96" s="322" t="s">
        <v>417</v>
      </c>
      <c r="D96" s="323" t="s">
        <v>1319</v>
      </c>
      <c r="E96" s="323" t="s">
        <v>1320</v>
      </c>
      <c r="F96" s="323" t="s">
        <v>1526</v>
      </c>
      <c r="G96" s="323" t="s">
        <v>1322</v>
      </c>
      <c r="H96" s="323" t="s">
        <v>1527</v>
      </c>
      <c r="I96" s="322" t="s">
        <v>1536</v>
      </c>
      <c r="J96" s="323" t="s">
        <v>1537</v>
      </c>
      <c r="K96" s="323" t="s">
        <v>755</v>
      </c>
      <c r="L96" s="322" t="s">
        <v>1538</v>
      </c>
      <c r="M96" s="323" t="s">
        <v>1539</v>
      </c>
      <c r="N96" s="323"/>
      <c r="O96" s="322"/>
      <c r="P96" s="323"/>
      <c r="Q96" s="323"/>
      <c r="R96" s="324"/>
      <c r="S96" s="324"/>
      <c r="T96" s="324"/>
      <c r="U96" s="324"/>
      <c r="V96" s="324"/>
      <c r="W96" s="324"/>
      <c r="X96" s="324"/>
      <c r="Y96" s="324"/>
      <c r="Z96" s="324"/>
      <c r="AA96" s="324"/>
      <c r="AB96" s="324"/>
      <c r="AC96" s="324"/>
      <c r="AD96" s="324">
        <f t="shared" si="16"/>
        <v>0</v>
      </c>
      <c r="AE96" s="319"/>
      <c r="AF96" s="325"/>
      <c r="AG96" s="325"/>
      <c r="AH96" s="325"/>
      <c r="AI96" s="325"/>
      <c r="AJ96" s="325"/>
      <c r="AK96" s="325"/>
      <c r="AL96" s="325"/>
      <c r="AM96" s="325"/>
      <c r="AN96" s="325"/>
      <c r="AO96" s="325"/>
      <c r="AP96" s="325"/>
      <c r="AQ96" s="325"/>
      <c r="AR96" s="325">
        <f t="shared" si="13"/>
        <v>0</v>
      </c>
      <c r="AS96" s="325">
        <f t="shared" si="14"/>
        <v>0</v>
      </c>
      <c r="AT96" s="325">
        <f t="shared" si="15"/>
        <v>0</v>
      </c>
    </row>
    <row r="97" spans="1:46" x14ac:dyDescent="0.35">
      <c r="A97" s="321" t="s">
        <v>1282</v>
      </c>
      <c r="B97" s="321" t="s">
        <v>1283</v>
      </c>
      <c r="C97" s="322" t="s">
        <v>417</v>
      </c>
      <c r="D97" s="323" t="s">
        <v>1319</v>
      </c>
      <c r="E97" s="323" t="s">
        <v>1320</v>
      </c>
      <c r="F97" s="323" t="s">
        <v>1526</v>
      </c>
      <c r="G97" s="323" t="s">
        <v>1322</v>
      </c>
      <c r="H97" s="323" t="s">
        <v>1527</v>
      </c>
      <c r="I97" s="322" t="s">
        <v>926</v>
      </c>
      <c r="J97" s="323" t="s">
        <v>1537</v>
      </c>
      <c r="K97" s="323" t="s">
        <v>755</v>
      </c>
      <c r="L97" s="322" t="s">
        <v>1538</v>
      </c>
      <c r="M97" s="323" t="s">
        <v>1539</v>
      </c>
      <c r="N97" s="323"/>
      <c r="O97" s="322"/>
      <c r="P97" s="323"/>
      <c r="Q97" s="323"/>
      <c r="R97" s="324"/>
      <c r="S97" s="324"/>
      <c r="T97" s="324"/>
      <c r="U97" s="324"/>
      <c r="V97" s="324"/>
      <c r="W97" s="324"/>
      <c r="X97" s="324"/>
      <c r="Y97" s="324"/>
      <c r="Z97" s="324"/>
      <c r="AA97" s="324"/>
      <c r="AB97" s="324"/>
      <c r="AC97" s="324"/>
      <c r="AD97" s="324">
        <f t="shared" si="16"/>
        <v>0</v>
      </c>
      <c r="AE97" s="319"/>
      <c r="AF97" s="325"/>
      <c r="AG97" s="325"/>
      <c r="AH97" s="325"/>
      <c r="AI97" s="325"/>
      <c r="AJ97" s="325"/>
      <c r="AK97" s="325"/>
      <c r="AL97" s="325"/>
      <c r="AM97" s="325"/>
      <c r="AN97" s="325"/>
      <c r="AO97" s="325"/>
      <c r="AP97" s="325"/>
      <c r="AQ97" s="325"/>
      <c r="AR97" s="325">
        <f t="shared" si="13"/>
        <v>0</v>
      </c>
      <c r="AS97" s="325">
        <f t="shared" si="14"/>
        <v>0</v>
      </c>
      <c r="AT97" s="325">
        <f t="shared" si="15"/>
        <v>0</v>
      </c>
    </row>
    <row r="98" spans="1:46" x14ac:dyDescent="0.35">
      <c r="A98" s="321" t="s">
        <v>1282</v>
      </c>
      <c r="B98" s="321" t="s">
        <v>1283</v>
      </c>
      <c r="C98" s="322" t="s">
        <v>417</v>
      </c>
      <c r="D98" s="323" t="s">
        <v>1319</v>
      </c>
      <c r="E98" s="323" t="s">
        <v>1320</v>
      </c>
      <c r="F98" s="323" t="s">
        <v>1526</v>
      </c>
      <c r="G98" s="323" t="s">
        <v>1322</v>
      </c>
      <c r="H98" s="323" t="s">
        <v>1527</v>
      </c>
      <c r="I98" s="322" t="s">
        <v>1540</v>
      </c>
      <c r="J98" s="323" t="s">
        <v>1541</v>
      </c>
      <c r="K98" s="323" t="s">
        <v>1542</v>
      </c>
      <c r="L98" s="322" t="s">
        <v>1543</v>
      </c>
      <c r="M98" s="323" t="s">
        <v>1544</v>
      </c>
      <c r="N98" s="323"/>
      <c r="O98" s="322"/>
      <c r="P98" s="323"/>
      <c r="Q98" s="323"/>
      <c r="R98" s="324"/>
      <c r="S98" s="324"/>
      <c r="T98" s="324"/>
      <c r="U98" s="324"/>
      <c r="V98" s="324"/>
      <c r="W98" s="324"/>
      <c r="X98" s="324"/>
      <c r="Y98" s="324"/>
      <c r="Z98" s="324"/>
      <c r="AA98" s="324"/>
      <c r="AB98" s="324"/>
      <c r="AC98" s="324"/>
      <c r="AD98" s="324">
        <f t="shared" si="16"/>
        <v>0</v>
      </c>
      <c r="AE98" s="319"/>
      <c r="AF98" s="325"/>
      <c r="AG98" s="325"/>
      <c r="AH98" s="325"/>
      <c r="AI98" s="325"/>
      <c r="AJ98" s="325"/>
      <c r="AK98" s="325"/>
      <c r="AL98" s="325"/>
      <c r="AM98" s="325"/>
      <c r="AN98" s="325"/>
      <c r="AO98" s="325"/>
      <c r="AP98" s="325"/>
      <c r="AQ98" s="325"/>
      <c r="AR98" s="325">
        <f t="shared" si="13"/>
        <v>0</v>
      </c>
      <c r="AS98" s="325">
        <f t="shared" si="14"/>
        <v>0</v>
      </c>
      <c r="AT98" s="325">
        <f t="shared" si="15"/>
        <v>0</v>
      </c>
    </row>
    <row r="99" spans="1:46" x14ac:dyDescent="0.35">
      <c r="A99" s="321" t="s">
        <v>1282</v>
      </c>
      <c r="B99" s="321" t="s">
        <v>1283</v>
      </c>
      <c r="C99" s="322" t="s">
        <v>417</v>
      </c>
      <c r="D99" s="323" t="s">
        <v>1319</v>
      </c>
      <c r="E99" s="323" t="s">
        <v>1320</v>
      </c>
      <c r="F99" s="323" t="s">
        <v>1545</v>
      </c>
      <c r="G99" s="323" t="s">
        <v>1322</v>
      </c>
      <c r="H99" s="323" t="s">
        <v>1546</v>
      </c>
      <c r="I99" s="322" t="s">
        <v>832</v>
      </c>
      <c r="J99" s="331" t="s">
        <v>754</v>
      </c>
      <c r="K99" s="323" t="s">
        <v>755</v>
      </c>
      <c r="L99" s="322" t="s">
        <v>1547</v>
      </c>
      <c r="M99" s="323" t="s">
        <v>1548</v>
      </c>
      <c r="N99" s="331"/>
      <c r="O99" s="322"/>
      <c r="P99" s="331"/>
      <c r="Q99" s="331"/>
      <c r="R99" s="324"/>
      <c r="S99" s="324"/>
      <c r="T99" s="324"/>
      <c r="U99" s="324"/>
      <c r="V99" s="324"/>
      <c r="W99" s="324"/>
      <c r="X99" s="324"/>
      <c r="Y99" s="324"/>
      <c r="Z99" s="324"/>
      <c r="AA99" s="324"/>
      <c r="AB99" s="324"/>
      <c r="AC99" s="324"/>
      <c r="AD99" s="326">
        <f t="shared" si="16"/>
        <v>0</v>
      </c>
      <c r="AE99" s="319"/>
      <c r="AF99" s="325"/>
      <c r="AG99" s="325"/>
      <c r="AH99" s="325"/>
      <c r="AI99" s="325"/>
      <c r="AJ99" s="325"/>
      <c r="AK99" s="325"/>
      <c r="AL99" s="325"/>
      <c r="AM99" s="325"/>
      <c r="AN99" s="325"/>
      <c r="AO99" s="325"/>
      <c r="AP99" s="325"/>
      <c r="AQ99" s="325"/>
      <c r="AR99" s="325">
        <f t="shared" si="13"/>
        <v>0</v>
      </c>
      <c r="AS99" s="325">
        <f t="shared" si="14"/>
        <v>0</v>
      </c>
      <c r="AT99" s="325">
        <f t="shared" si="15"/>
        <v>0</v>
      </c>
    </row>
    <row r="100" spans="1:46" x14ac:dyDescent="0.35">
      <c r="A100" s="321" t="s">
        <v>1282</v>
      </c>
      <c r="B100" s="321" t="s">
        <v>1283</v>
      </c>
      <c r="C100" s="322" t="s">
        <v>417</v>
      </c>
      <c r="D100" s="323" t="s">
        <v>1319</v>
      </c>
      <c r="E100" s="323" t="s">
        <v>1320</v>
      </c>
      <c r="F100" s="323" t="s">
        <v>1549</v>
      </c>
      <c r="G100" s="323" t="s">
        <v>1322</v>
      </c>
      <c r="H100" s="323" t="s">
        <v>1550</v>
      </c>
      <c r="I100" s="322" t="s">
        <v>848</v>
      </c>
      <c r="J100" s="331" t="s">
        <v>730</v>
      </c>
      <c r="K100" s="323" t="s">
        <v>731</v>
      </c>
      <c r="L100" s="322" t="s">
        <v>1551</v>
      </c>
      <c r="M100" s="323" t="s">
        <v>1552</v>
      </c>
      <c r="N100" s="333"/>
      <c r="O100" s="334"/>
      <c r="P100" s="329"/>
      <c r="Q100" s="329"/>
      <c r="R100" s="324"/>
      <c r="S100" s="324"/>
      <c r="T100" s="324"/>
      <c r="U100" s="324"/>
      <c r="V100" s="324"/>
      <c r="W100" s="324"/>
      <c r="X100" s="324"/>
      <c r="Y100" s="324"/>
      <c r="Z100" s="324"/>
      <c r="AA100" s="324"/>
      <c r="AB100" s="324"/>
      <c r="AC100" s="324"/>
      <c r="AD100" s="326">
        <f t="shared" si="16"/>
        <v>0</v>
      </c>
      <c r="AE100" s="319"/>
      <c r="AF100" s="325"/>
      <c r="AG100" s="325"/>
      <c r="AH100" s="325"/>
      <c r="AI100" s="325"/>
      <c r="AJ100" s="325"/>
      <c r="AK100" s="325"/>
      <c r="AL100" s="325"/>
      <c r="AM100" s="325"/>
      <c r="AN100" s="325"/>
      <c r="AO100" s="325"/>
      <c r="AP100" s="325"/>
      <c r="AQ100" s="325"/>
      <c r="AR100" s="325">
        <f t="shared" si="13"/>
        <v>0</v>
      </c>
      <c r="AS100" s="325">
        <f t="shared" si="14"/>
        <v>0</v>
      </c>
      <c r="AT100" s="325">
        <f t="shared" si="15"/>
        <v>0</v>
      </c>
    </row>
    <row r="101" spans="1:46" x14ac:dyDescent="0.35">
      <c r="A101" s="321" t="s">
        <v>1282</v>
      </c>
      <c r="B101" s="321" t="s">
        <v>1283</v>
      </c>
      <c r="C101" s="322" t="s">
        <v>417</v>
      </c>
      <c r="D101" s="323" t="s">
        <v>1319</v>
      </c>
      <c r="E101" s="323" t="s">
        <v>1320</v>
      </c>
      <c r="F101" s="323" t="s">
        <v>1321</v>
      </c>
      <c r="G101" s="323" t="s">
        <v>1322</v>
      </c>
      <c r="H101" s="323" t="s">
        <v>1323</v>
      </c>
      <c r="I101" s="322" t="s">
        <v>871</v>
      </c>
      <c r="J101" s="331" t="s">
        <v>872</v>
      </c>
      <c r="K101" s="323" t="s">
        <v>725</v>
      </c>
      <c r="L101" s="322" t="s">
        <v>1553</v>
      </c>
      <c r="M101" s="323" t="s">
        <v>1554</v>
      </c>
      <c r="N101" s="331"/>
      <c r="O101" s="322"/>
      <c r="P101" s="331"/>
      <c r="Q101" s="331"/>
      <c r="R101" s="324"/>
      <c r="S101" s="324"/>
      <c r="T101" s="324"/>
      <c r="U101" s="324"/>
      <c r="V101" s="324"/>
      <c r="W101" s="324"/>
      <c r="X101" s="324"/>
      <c r="Y101" s="324"/>
      <c r="Z101" s="324"/>
      <c r="AA101" s="324"/>
      <c r="AB101" s="324"/>
      <c r="AC101" s="324"/>
      <c r="AD101" s="326">
        <f t="shared" si="16"/>
        <v>0</v>
      </c>
      <c r="AE101" s="319"/>
      <c r="AF101" s="325"/>
      <c r="AG101" s="325"/>
      <c r="AH101" s="325"/>
      <c r="AI101" s="325"/>
      <c r="AJ101" s="325"/>
      <c r="AK101" s="325"/>
      <c r="AL101" s="325"/>
      <c r="AM101" s="325"/>
      <c r="AN101" s="325"/>
      <c r="AO101" s="325"/>
      <c r="AP101" s="325"/>
      <c r="AQ101" s="325"/>
      <c r="AR101" s="325">
        <f t="shared" si="13"/>
        <v>0</v>
      </c>
      <c r="AS101" s="325">
        <f t="shared" si="14"/>
        <v>0</v>
      </c>
      <c r="AT101" s="325">
        <f t="shared" si="15"/>
        <v>0</v>
      </c>
    </row>
    <row r="102" spans="1:46" x14ac:dyDescent="0.35">
      <c r="A102" s="321" t="s">
        <v>1282</v>
      </c>
      <c r="B102" s="321" t="s">
        <v>1283</v>
      </c>
      <c r="C102" s="322" t="s">
        <v>417</v>
      </c>
      <c r="D102" s="323" t="s">
        <v>1319</v>
      </c>
      <c r="E102" s="323" t="s">
        <v>1320</v>
      </c>
      <c r="F102" s="323" t="s">
        <v>1555</v>
      </c>
      <c r="G102" s="323" t="s">
        <v>1322</v>
      </c>
      <c r="H102" s="323" t="s">
        <v>1556</v>
      </c>
      <c r="I102" s="322" t="s">
        <v>897</v>
      </c>
      <c r="J102" s="331" t="s">
        <v>715</v>
      </c>
      <c r="K102" s="323" t="s">
        <v>716</v>
      </c>
      <c r="L102" s="322" t="s">
        <v>1557</v>
      </c>
      <c r="M102" s="323" t="s">
        <v>1556</v>
      </c>
      <c r="N102" s="331"/>
      <c r="O102" s="322"/>
      <c r="P102" s="331"/>
      <c r="Q102" s="331"/>
      <c r="R102" s="324"/>
      <c r="S102" s="324"/>
      <c r="T102" s="324"/>
      <c r="U102" s="324"/>
      <c r="V102" s="324"/>
      <c r="W102" s="324"/>
      <c r="X102" s="324"/>
      <c r="Y102" s="324"/>
      <c r="Z102" s="324"/>
      <c r="AA102" s="324"/>
      <c r="AB102" s="324"/>
      <c r="AC102" s="324"/>
      <c r="AD102" s="326">
        <f t="shared" si="16"/>
        <v>0</v>
      </c>
      <c r="AE102" s="319"/>
      <c r="AF102" s="325"/>
      <c r="AG102" s="325"/>
      <c r="AH102" s="325"/>
      <c r="AI102" s="325"/>
      <c r="AJ102" s="325"/>
      <c r="AK102" s="325"/>
      <c r="AL102" s="325"/>
      <c r="AM102" s="325"/>
      <c r="AN102" s="325"/>
      <c r="AO102" s="325"/>
      <c r="AP102" s="325"/>
      <c r="AQ102" s="325"/>
      <c r="AR102" s="325">
        <f t="shared" si="13"/>
        <v>0</v>
      </c>
      <c r="AS102" s="325">
        <f t="shared" si="14"/>
        <v>0</v>
      </c>
      <c r="AT102" s="325">
        <f t="shared" si="15"/>
        <v>0</v>
      </c>
    </row>
    <row r="103" spans="1:46" x14ac:dyDescent="0.35">
      <c r="A103" s="321" t="s">
        <v>1282</v>
      </c>
      <c r="B103" s="321" t="s">
        <v>1283</v>
      </c>
      <c r="C103" s="322" t="s">
        <v>417</v>
      </c>
      <c r="D103" s="323" t="s">
        <v>1319</v>
      </c>
      <c r="E103" s="323" t="s">
        <v>1320</v>
      </c>
      <c r="F103" s="323" t="s">
        <v>1558</v>
      </c>
      <c r="G103" s="323" t="s">
        <v>1322</v>
      </c>
      <c r="H103" s="323" t="s">
        <v>1559</v>
      </c>
      <c r="I103" s="322" t="s">
        <v>736</v>
      </c>
      <c r="J103" s="323" t="s">
        <v>1560</v>
      </c>
      <c r="K103" s="323" t="s">
        <v>1561</v>
      </c>
      <c r="L103" s="322" t="s">
        <v>1562</v>
      </c>
      <c r="M103" s="323" t="s">
        <v>1563</v>
      </c>
      <c r="N103" s="323"/>
      <c r="O103" s="322"/>
      <c r="P103" s="323"/>
      <c r="Q103" s="323"/>
      <c r="R103" s="324"/>
      <c r="S103" s="324"/>
      <c r="T103" s="324"/>
      <c r="U103" s="324"/>
      <c r="V103" s="324"/>
      <c r="W103" s="324"/>
      <c r="X103" s="324"/>
      <c r="Y103" s="324"/>
      <c r="Z103" s="324"/>
      <c r="AA103" s="324"/>
      <c r="AB103" s="324"/>
      <c r="AC103" s="324"/>
      <c r="AD103" s="324">
        <f t="shared" si="16"/>
        <v>0</v>
      </c>
      <c r="AE103" s="319"/>
      <c r="AF103" s="325"/>
      <c r="AG103" s="325"/>
      <c r="AH103" s="325"/>
      <c r="AI103" s="325"/>
      <c r="AJ103" s="325"/>
      <c r="AK103" s="325"/>
      <c r="AL103" s="325"/>
      <c r="AM103" s="325"/>
      <c r="AN103" s="325"/>
      <c r="AO103" s="325"/>
      <c r="AP103" s="325"/>
      <c r="AQ103" s="325"/>
      <c r="AR103" s="325">
        <f t="shared" si="13"/>
        <v>0</v>
      </c>
      <c r="AS103" s="325">
        <f t="shared" si="14"/>
        <v>0</v>
      </c>
      <c r="AT103" s="325">
        <f t="shared" si="15"/>
        <v>0</v>
      </c>
    </row>
    <row r="104" spans="1:46" x14ac:dyDescent="0.35">
      <c r="A104" s="321" t="s">
        <v>1282</v>
      </c>
      <c r="B104" s="321" t="s">
        <v>1283</v>
      </c>
      <c r="C104" s="322" t="s">
        <v>417</v>
      </c>
      <c r="D104" s="323" t="s">
        <v>1319</v>
      </c>
      <c r="E104" s="323" t="s">
        <v>1320</v>
      </c>
      <c r="F104" s="323" t="s">
        <v>1375</v>
      </c>
      <c r="G104" s="323" t="s">
        <v>1322</v>
      </c>
      <c r="H104" s="323" t="s">
        <v>1564</v>
      </c>
      <c r="I104" s="322" t="s">
        <v>838</v>
      </c>
      <c r="J104" s="323" t="s">
        <v>728</v>
      </c>
      <c r="K104" s="323" t="s">
        <v>729</v>
      </c>
      <c r="L104" s="322" t="s">
        <v>1565</v>
      </c>
      <c r="M104" s="323" t="s">
        <v>1566</v>
      </c>
      <c r="N104" s="323"/>
      <c r="O104" s="322"/>
      <c r="P104" s="323"/>
      <c r="Q104" s="323"/>
      <c r="R104" s="324"/>
      <c r="S104" s="324"/>
      <c r="T104" s="324"/>
      <c r="U104" s="324"/>
      <c r="V104" s="324"/>
      <c r="W104" s="324"/>
      <c r="X104" s="324"/>
      <c r="Y104" s="324"/>
      <c r="Z104" s="324"/>
      <c r="AA104" s="324"/>
      <c r="AB104" s="324"/>
      <c r="AC104" s="324"/>
      <c r="AD104" s="324">
        <f t="shared" si="16"/>
        <v>0</v>
      </c>
      <c r="AE104" s="319"/>
      <c r="AF104" s="325"/>
      <c r="AG104" s="325"/>
      <c r="AH104" s="325"/>
      <c r="AI104" s="325"/>
      <c r="AJ104" s="325"/>
      <c r="AK104" s="325"/>
      <c r="AL104" s="325"/>
      <c r="AM104" s="325"/>
      <c r="AN104" s="325"/>
      <c r="AO104" s="325"/>
      <c r="AP104" s="325"/>
      <c r="AQ104" s="325"/>
      <c r="AR104" s="325">
        <f t="shared" si="13"/>
        <v>0</v>
      </c>
      <c r="AS104" s="325">
        <f t="shared" si="14"/>
        <v>0</v>
      </c>
      <c r="AT104" s="325">
        <f t="shared" si="15"/>
        <v>0</v>
      </c>
    </row>
    <row r="105" spans="1:46" x14ac:dyDescent="0.35">
      <c r="A105" s="321" t="s">
        <v>1282</v>
      </c>
      <c r="B105" s="321" t="s">
        <v>1283</v>
      </c>
      <c r="C105" s="322" t="s">
        <v>417</v>
      </c>
      <c r="D105" s="323" t="s">
        <v>1319</v>
      </c>
      <c r="E105" s="323" t="s">
        <v>1320</v>
      </c>
      <c r="F105" s="323" t="s">
        <v>1375</v>
      </c>
      <c r="G105" s="323" t="s">
        <v>1322</v>
      </c>
      <c r="H105" s="323" t="s">
        <v>1564</v>
      </c>
      <c r="I105" s="322" t="s">
        <v>1567</v>
      </c>
      <c r="J105" s="323" t="s">
        <v>1568</v>
      </c>
      <c r="K105" s="323" t="s">
        <v>729</v>
      </c>
      <c r="L105" s="322" t="s">
        <v>1569</v>
      </c>
      <c r="M105" s="323" t="s">
        <v>1570</v>
      </c>
      <c r="N105" s="323"/>
      <c r="O105" s="322"/>
      <c r="P105" s="323"/>
      <c r="Q105" s="323"/>
      <c r="R105" s="324"/>
      <c r="S105" s="324"/>
      <c r="T105" s="324"/>
      <c r="U105" s="324"/>
      <c r="V105" s="324"/>
      <c r="W105" s="324"/>
      <c r="X105" s="324"/>
      <c r="Y105" s="324"/>
      <c r="Z105" s="324"/>
      <c r="AA105" s="324"/>
      <c r="AB105" s="324"/>
      <c r="AC105" s="324"/>
      <c r="AD105" s="324">
        <f t="shared" si="16"/>
        <v>0</v>
      </c>
      <c r="AE105" s="319"/>
      <c r="AF105" s="325"/>
      <c r="AG105" s="325"/>
      <c r="AH105" s="325"/>
      <c r="AI105" s="325"/>
      <c r="AJ105" s="325"/>
      <c r="AK105" s="325"/>
      <c r="AL105" s="325"/>
      <c r="AM105" s="325"/>
      <c r="AN105" s="325"/>
      <c r="AO105" s="325"/>
      <c r="AP105" s="325"/>
      <c r="AQ105" s="325"/>
      <c r="AR105" s="325">
        <f t="shared" si="13"/>
        <v>0</v>
      </c>
      <c r="AS105" s="325">
        <f t="shared" si="14"/>
        <v>0</v>
      </c>
      <c r="AT105" s="325">
        <f t="shared" si="15"/>
        <v>0</v>
      </c>
    </row>
    <row r="106" spans="1:46" x14ac:dyDescent="0.35">
      <c r="A106" s="321" t="s">
        <v>1282</v>
      </c>
      <c r="B106" s="321" t="s">
        <v>1283</v>
      </c>
      <c r="C106" s="322" t="s">
        <v>417</v>
      </c>
      <c r="D106" s="323" t="s">
        <v>1319</v>
      </c>
      <c r="E106" s="323" t="s">
        <v>1320</v>
      </c>
      <c r="F106" s="323" t="s">
        <v>1526</v>
      </c>
      <c r="G106" s="323" t="s">
        <v>1322</v>
      </c>
      <c r="H106" s="323" t="s">
        <v>1571</v>
      </c>
      <c r="I106" s="322" t="s">
        <v>1572</v>
      </c>
      <c r="J106" s="323" t="s">
        <v>1573</v>
      </c>
      <c r="K106" s="323" t="s">
        <v>755</v>
      </c>
      <c r="L106" s="322" t="s">
        <v>1574</v>
      </c>
      <c r="M106" s="323" t="s">
        <v>1575</v>
      </c>
      <c r="N106" s="323"/>
      <c r="O106" s="322"/>
      <c r="P106" s="323"/>
      <c r="Q106" s="323"/>
      <c r="R106" s="324"/>
      <c r="S106" s="324"/>
      <c r="T106" s="324"/>
      <c r="U106" s="324"/>
      <c r="V106" s="324"/>
      <c r="W106" s="324"/>
      <c r="X106" s="324"/>
      <c r="Y106" s="324"/>
      <c r="Z106" s="324"/>
      <c r="AA106" s="324"/>
      <c r="AB106" s="324"/>
      <c r="AC106" s="324"/>
      <c r="AD106" s="324">
        <f t="shared" si="16"/>
        <v>0</v>
      </c>
      <c r="AE106" s="319"/>
      <c r="AF106" s="325"/>
      <c r="AG106" s="325"/>
      <c r="AH106" s="325"/>
      <c r="AI106" s="325"/>
      <c r="AJ106" s="325"/>
      <c r="AK106" s="325"/>
      <c r="AL106" s="325"/>
      <c r="AM106" s="325"/>
      <c r="AN106" s="325"/>
      <c r="AO106" s="325"/>
      <c r="AP106" s="325"/>
      <c r="AQ106" s="325"/>
      <c r="AR106" s="325">
        <f t="shared" si="13"/>
        <v>0</v>
      </c>
      <c r="AS106" s="325">
        <f t="shared" si="14"/>
        <v>0</v>
      </c>
      <c r="AT106" s="325">
        <f t="shared" si="15"/>
        <v>0</v>
      </c>
    </row>
    <row r="107" spans="1:46" x14ac:dyDescent="0.35">
      <c r="A107" s="321" t="s">
        <v>1282</v>
      </c>
      <c r="B107" s="321" t="s">
        <v>1283</v>
      </c>
      <c r="C107" s="322" t="s">
        <v>417</v>
      </c>
      <c r="D107" s="323" t="s">
        <v>1319</v>
      </c>
      <c r="E107" s="323" t="s">
        <v>1320</v>
      </c>
      <c r="F107" s="323" t="s">
        <v>1576</v>
      </c>
      <c r="G107" s="323" t="s">
        <v>1322</v>
      </c>
      <c r="H107" s="323" t="s">
        <v>1577</v>
      </c>
      <c r="I107" s="322" t="s">
        <v>1578</v>
      </c>
      <c r="J107" s="323" t="s">
        <v>1022</v>
      </c>
      <c r="K107" s="323" t="s">
        <v>729</v>
      </c>
      <c r="L107" s="322" t="s">
        <v>1579</v>
      </c>
      <c r="M107" s="323" t="s">
        <v>1580</v>
      </c>
      <c r="N107" s="323"/>
      <c r="O107" s="322"/>
      <c r="P107" s="323"/>
      <c r="Q107" s="323"/>
      <c r="R107" s="324"/>
      <c r="S107" s="324"/>
      <c r="T107" s="324"/>
      <c r="U107" s="324"/>
      <c r="V107" s="324"/>
      <c r="W107" s="324"/>
      <c r="X107" s="324"/>
      <c r="Y107" s="324"/>
      <c r="Z107" s="324"/>
      <c r="AA107" s="324"/>
      <c r="AB107" s="324"/>
      <c r="AC107" s="324"/>
      <c r="AD107" s="324">
        <f t="shared" si="16"/>
        <v>0</v>
      </c>
      <c r="AE107" s="319"/>
      <c r="AF107" s="325"/>
      <c r="AG107" s="325"/>
      <c r="AH107" s="325"/>
      <c r="AI107" s="325"/>
      <c r="AJ107" s="325"/>
      <c r="AK107" s="325"/>
      <c r="AL107" s="325"/>
      <c r="AM107" s="325"/>
      <c r="AN107" s="325"/>
      <c r="AO107" s="325"/>
      <c r="AP107" s="325"/>
      <c r="AQ107" s="325"/>
      <c r="AR107" s="325">
        <f t="shared" ref="AR107:AR170" si="17">SUM(AF107:AQ107)</f>
        <v>0</v>
      </c>
      <c r="AS107" s="325">
        <f t="shared" si="14"/>
        <v>0</v>
      </c>
      <c r="AT107" s="325">
        <f t="shared" si="15"/>
        <v>0</v>
      </c>
    </row>
    <row r="108" spans="1:46" x14ac:dyDescent="0.35">
      <c r="A108" s="321" t="s">
        <v>1282</v>
      </c>
      <c r="B108" s="321" t="s">
        <v>1283</v>
      </c>
      <c r="C108" s="322" t="s">
        <v>417</v>
      </c>
      <c r="D108" s="323" t="s">
        <v>1319</v>
      </c>
      <c r="E108" s="323" t="s">
        <v>1320</v>
      </c>
      <c r="F108" s="323" t="s">
        <v>1581</v>
      </c>
      <c r="G108" s="323" t="s">
        <v>1322</v>
      </c>
      <c r="H108" s="323" t="s">
        <v>1582</v>
      </c>
      <c r="I108" s="322" t="s">
        <v>1583</v>
      </c>
      <c r="J108" s="323" t="s">
        <v>985</v>
      </c>
      <c r="K108" s="323" t="s">
        <v>716</v>
      </c>
      <c r="L108" s="322" t="s">
        <v>1584</v>
      </c>
      <c r="M108" s="323" t="s">
        <v>1585</v>
      </c>
      <c r="N108" s="323"/>
      <c r="O108" s="322"/>
      <c r="P108" s="323"/>
      <c r="Q108" s="323"/>
      <c r="R108" s="324"/>
      <c r="S108" s="324"/>
      <c r="T108" s="324"/>
      <c r="U108" s="324"/>
      <c r="V108" s="324"/>
      <c r="W108" s="324"/>
      <c r="X108" s="324"/>
      <c r="Y108" s="324"/>
      <c r="Z108" s="324"/>
      <c r="AA108" s="324"/>
      <c r="AB108" s="324"/>
      <c r="AC108" s="324"/>
      <c r="AD108" s="324">
        <f t="shared" si="16"/>
        <v>0</v>
      </c>
      <c r="AE108" s="319"/>
      <c r="AF108" s="325"/>
      <c r="AG108" s="325"/>
      <c r="AH108" s="325"/>
      <c r="AI108" s="325"/>
      <c r="AJ108" s="325"/>
      <c r="AK108" s="325"/>
      <c r="AL108" s="325"/>
      <c r="AM108" s="325"/>
      <c r="AN108" s="325"/>
      <c r="AO108" s="325"/>
      <c r="AP108" s="325"/>
      <c r="AQ108" s="325"/>
      <c r="AR108" s="325">
        <f t="shared" si="17"/>
        <v>0</v>
      </c>
      <c r="AS108" s="325">
        <f t="shared" si="14"/>
        <v>0</v>
      </c>
      <c r="AT108" s="325">
        <f t="shared" si="15"/>
        <v>0</v>
      </c>
    </row>
    <row r="109" spans="1:46" x14ac:dyDescent="0.35">
      <c r="A109" s="321" t="s">
        <v>1282</v>
      </c>
      <c r="B109" s="321" t="s">
        <v>1283</v>
      </c>
      <c r="C109" s="322" t="s">
        <v>417</v>
      </c>
      <c r="D109" s="323" t="s">
        <v>1319</v>
      </c>
      <c r="E109" s="323" t="s">
        <v>1320</v>
      </c>
      <c r="F109" s="323" t="s">
        <v>1581</v>
      </c>
      <c r="G109" s="323" t="s">
        <v>1322</v>
      </c>
      <c r="H109" s="323" t="s">
        <v>1582</v>
      </c>
      <c r="I109" s="322" t="s">
        <v>908</v>
      </c>
      <c r="J109" s="331" t="s">
        <v>727</v>
      </c>
      <c r="K109" s="323" t="s">
        <v>716</v>
      </c>
      <c r="L109" s="322" t="s">
        <v>1586</v>
      </c>
      <c r="M109" s="323" t="s">
        <v>1587</v>
      </c>
      <c r="N109" s="333"/>
      <c r="O109" s="334"/>
      <c r="P109" s="329"/>
      <c r="Q109" s="329"/>
      <c r="R109" s="324"/>
      <c r="S109" s="324"/>
      <c r="T109" s="324"/>
      <c r="U109" s="324"/>
      <c r="V109" s="324"/>
      <c r="W109" s="324"/>
      <c r="X109" s="324"/>
      <c r="Y109" s="324"/>
      <c r="Z109" s="324"/>
      <c r="AA109" s="324"/>
      <c r="AB109" s="324"/>
      <c r="AC109" s="324"/>
      <c r="AD109" s="326">
        <f t="shared" si="16"/>
        <v>0</v>
      </c>
      <c r="AF109" s="327"/>
      <c r="AG109" s="327"/>
      <c r="AH109" s="327"/>
      <c r="AI109" s="327"/>
      <c r="AJ109" s="327"/>
      <c r="AK109" s="327"/>
      <c r="AL109" s="327"/>
      <c r="AM109" s="327"/>
      <c r="AN109" s="327"/>
      <c r="AO109" s="327"/>
      <c r="AP109" s="327"/>
      <c r="AQ109" s="327"/>
      <c r="AR109" s="325">
        <f t="shared" si="17"/>
        <v>0</v>
      </c>
      <c r="AS109" s="327">
        <f t="shared" si="14"/>
        <v>0</v>
      </c>
      <c r="AT109" s="327">
        <f t="shared" si="15"/>
        <v>0</v>
      </c>
    </row>
    <row r="110" spans="1:46" x14ac:dyDescent="0.35">
      <c r="A110" s="321" t="s">
        <v>1282</v>
      </c>
      <c r="B110" s="321" t="s">
        <v>1283</v>
      </c>
      <c r="C110" s="322" t="s">
        <v>417</v>
      </c>
      <c r="D110" s="323" t="s">
        <v>1319</v>
      </c>
      <c r="E110" s="323" t="s">
        <v>1320</v>
      </c>
      <c r="F110" s="323" t="s">
        <v>1581</v>
      </c>
      <c r="G110" s="323" t="s">
        <v>1322</v>
      </c>
      <c r="H110" s="323" t="s">
        <v>1582</v>
      </c>
      <c r="I110" s="322" t="s">
        <v>866</v>
      </c>
      <c r="J110" s="323" t="s">
        <v>734</v>
      </c>
      <c r="K110" s="323" t="s">
        <v>729</v>
      </c>
      <c r="L110" s="322" t="s">
        <v>1588</v>
      </c>
      <c r="M110" s="323" t="s">
        <v>1589</v>
      </c>
      <c r="N110" s="323"/>
      <c r="O110" s="322"/>
      <c r="P110" s="323"/>
      <c r="Q110" s="323"/>
      <c r="R110" s="324"/>
      <c r="S110" s="324"/>
      <c r="T110" s="324"/>
      <c r="U110" s="324"/>
      <c r="V110" s="324"/>
      <c r="W110" s="324"/>
      <c r="X110" s="324"/>
      <c r="Y110" s="324"/>
      <c r="Z110" s="324"/>
      <c r="AA110" s="324"/>
      <c r="AB110" s="324"/>
      <c r="AC110" s="324"/>
      <c r="AD110" s="324">
        <f t="shared" si="16"/>
        <v>0</v>
      </c>
      <c r="AF110" s="327"/>
      <c r="AG110" s="327"/>
      <c r="AH110" s="327"/>
      <c r="AI110" s="327"/>
      <c r="AJ110" s="327"/>
      <c r="AK110" s="327"/>
      <c r="AL110" s="327"/>
      <c r="AM110" s="327"/>
      <c r="AN110" s="327"/>
      <c r="AO110" s="327"/>
      <c r="AP110" s="327"/>
      <c r="AQ110" s="327"/>
      <c r="AR110" s="325">
        <f t="shared" si="17"/>
        <v>0</v>
      </c>
      <c r="AS110" s="327">
        <f t="shared" si="14"/>
        <v>0</v>
      </c>
      <c r="AT110" s="327">
        <f t="shared" si="15"/>
        <v>0</v>
      </c>
    </row>
    <row r="111" spans="1:46" x14ac:dyDescent="0.35">
      <c r="A111" s="314" t="s">
        <v>1282</v>
      </c>
      <c r="B111" s="314" t="s">
        <v>1283</v>
      </c>
      <c r="C111" s="315" t="s">
        <v>417</v>
      </c>
      <c r="D111" s="315"/>
      <c r="E111" s="315"/>
      <c r="F111" s="315"/>
      <c r="G111" s="315"/>
      <c r="H111" s="316" t="s">
        <v>1590</v>
      </c>
      <c r="I111" s="316" t="s">
        <v>1591</v>
      </c>
      <c r="J111" s="328"/>
      <c r="K111" s="315"/>
      <c r="L111" s="315"/>
      <c r="M111" s="315"/>
      <c r="N111" s="328"/>
      <c r="O111" s="316" t="s">
        <v>1591</v>
      </c>
      <c r="P111" s="328"/>
      <c r="Q111" s="328"/>
      <c r="R111" s="318">
        <f t="shared" ref="R111:AC111" si="18">SUM(R112:R121)</f>
        <v>0</v>
      </c>
      <c r="S111" s="318">
        <f t="shared" si="18"/>
        <v>0</v>
      </c>
      <c r="T111" s="318">
        <f t="shared" si="18"/>
        <v>0</v>
      </c>
      <c r="U111" s="318">
        <f t="shared" si="18"/>
        <v>0</v>
      </c>
      <c r="V111" s="318">
        <f t="shared" si="18"/>
        <v>0</v>
      </c>
      <c r="W111" s="318">
        <f t="shared" si="18"/>
        <v>0</v>
      </c>
      <c r="X111" s="318">
        <f t="shared" si="18"/>
        <v>0</v>
      </c>
      <c r="Y111" s="318">
        <f t="shared" si="18"/>
        <v>0</v>
      </c>
      <c r="Z111" s="318">
        <f t="shared" si="18"/>
        <v>0</v>
      </c>
      <c r="AA111" s="318">
        <f t="shared" si="18"/>
        <v>0</v>
      </c>
      <c r="AB111" s="318">
        <f t="shared" si="18"/>
        <v>0</v>
      </c>
      <c r="AC111" s="318">
        <f t="shared" si="18"/>
        <v>0</v>
      </c>
      <c r="AD111" s="318">
        <f t="shared" si="16"/>
        <v>0</v>
      </c>
      <c r="AF111" s="318">
        <f t="shared" ref="AF111:AR111" si="19">SUM(AF112:AF121)</f>
        <v>0</v>
      </c>
      <c r="AG111" s="318">
        <f t="shared" si="19"/>
        <v>0</v>
      </c>
      <c r="AH111" s="318">
        <f t="shared" si="19"/>
        <v>0</v>
      </c>
      <c r="AI111" s="318">
        <f t="shared" si="19"/>
        <v>0</v>
      </c>
      <c r="AJ111" s="318">
        <f t="shared" si="19"/>
        <v>0</v>
      </c>
      <c r="AK111" s="318">
        <f t="shared" si="19"/>
        <v>0</v>
      </c>
      <c r="AL111" s="318">
        <f t="shared" si="19"/>
        <v>0</v>
      </c>
      <c r="AM111" s="318">
        <f t="shared" si="19"/>
        <v>0</v>
      </c>
      <c r="AN111" s="318">
        <f t="shared" si="19"/>
        <v>0</v>
      </c>
      <c r="AO111" s="318">
        <f t="shared" si="19"/>
        <v>0</v>
      </c>
      <c r="AP111" s="318">
        <f t="shared" si="19"/>
        <v>0</v>
      </c>
      <c r="AQ111" s="318">
        <f t="shared" si="19"/>
        <v>0</v>
      </c>
      <c r="AR111" s="318">
        <f t="shared" si="19"/>
        <v>0</v>
      </c>
      <c r="AS111" s="318">
        <f t="shared" si="14"/>
        <v>0</v>
      </c>
      <c r="AT111" s="318">
        <f t="shared" si="15"/>
        <v>0</v>
      </c>
    </row>
    <row r="112" spans="1:46" x14ac:dyDescent="0.35">
      <c r="A112" s="321" t="s">
        <v>1282</v>
      </c>
      <c r="B112" s="321" t="s">
        <v>1283</v>
      </c>
      <c r="C112" s="322" t="s">
        <v>417</v>
      </c>
      <c r="D112" s="323" t="s">
        <v>854</v>
      </c>
      <c r="E112" s="323" t="s">
        <v>1592</v>
      </c>
      <c r="F112" s="323" t="s">
        <v>1593</v>
      </c>
      <c r="G112" s="323" t="s">
        <v>854</v>
      </c>
      <c r="H112" s="323" t="s">
        <v>1592</v>
      </c>
      <c r="I112" s="322">
        <v>6274001901</v>
      </c>
      <c r="J112" s="323" t="s">
        <v>1095</v>
      </c>
      <c r="K112" s="323" t="s">
        <v>1096</v>
      </c>
      <c r="L112" s="322" t="s">
        <v>1594</v>
      </c>
      <c r="M112" s="323" t="s">
        <v>1595</v>
      </c>
      <c r="N112" s="323"/>
      <c r="O112" s="322"/>
      <c r="P112" s="323"/>
      <c r="Q112" s="323"/>
      <c r="R112" s="324"/>
      <c r="S112" s="324"/>
      <c r="T112" s="324"/>
      <c r="U112" s="324"/>
      <c r="V112" s="324"/>
      <c r="W112" s="324"/>
      <c r="X112" s="324"/>
      <c r="Y112" s="324"/>
      <c r="Z112" s="324"/>
      <c r="AA112" s="324"/>
      <c r="AB112" s="324"/>
      <c r="AC112" s="324"/>
      <c r="AD112" s="324">
        <f t="shared" si="16"/>
        <v>0</v>
      </c>
      <c r="AF112" s="327"/>
      <c r="AG112" s="327"/>
      <c r="AH112" s="327"/>
      <c r="AI112" s="327"/>
      <c r="AJ112" s="327"/>
      <c r="AK112" s="327"/>
      <c r="AL112" s="327"/>
      <c r="AM112" s="327"/>
      <c r="AN112" s="327"/>
      <c r="AO112" s="327"/>
      <c r="AP112" s="327"/>
      <c r="AQ112" s="327"/>
      <c r="AR112" s="325">
        <f t="shared" si="17"/>
        <v>0</v>
      </c>
      <c r="AS112" s="327">
        <f t="shared" si="14"/>
        <v>0</v>
      </c>
      <c r="AT112" s="327">
        <f t="shared" si="15"/>
        <v>0</v>
      </c>
    </row>
    <row r="113" spans="1:46" x14ac:dyDescent="0.35">
      <c r="A113" s="321" t="s">
        <v>1282</v>
      </c>
      <c r="B113" s="321" t="s">
        <v>1283</v>
      </c>
      <c r="C113" s="322" t="s">
        <v>417</v>
      </c>
      <c r="D113" s="323" t="s">
        <v>854</v>
      </c>
      <c r="E113" s="323" t="s">
        <v>1592</v>
      </c>
      <c r="F113" s="323" t="s">
        <v>1593</v>
      </c>
      <c r="G113" s="323" t="s">
        <v>854</v>
      </c>
      <c r="H113" s="323" t="s">
        <v>1592</v>
      </c>
      <c r="I113" s="322" t="s">
        <v>1596</v>
      </c>
      <c r="J113" s="323" t="s">
        <v>1597</v>
      </c>
      <c r="K113" s="323" t="s">
        <v>1038</v>
      </c>
      <c r="L113" s="322" t="s">
        <v>1598</v>
      </c>
      <c r="M113" s="323" t="s">
        <v>1599</v>
      </c>
      <c r="N113" s="323"/>
      <c r="O113" s="322"/>
      <c r="P113" s="323"/>
      <c r="Q113" s="323"/>
      <c r="R113" s="324"/>
      <c r="S113" s="324"/>
      <c r="T113" s="324"/>
      <c r="U113" s="324"/>
      <c r="V113" s="324"/>
      <c r="W113" s="324"/>
      <c r="X113" s="324"/>
      <c r="Y113" s="324"/>
      <c r="Z113" s="324"/>
      <c r="AA113" s="324"/>
      <c r="AB113" s="324"/>
      <c r="AC113" s="324"/>
      <c r="AD113" s="324">
        <f t="shared" si="16"/>
        <v>0</v>
      </c>
      <c r="AF113" s="327"/>
      <c r="AG113" s="327"/>
      <c r="AH113" s="327"/>
      <c r="AI113" s="327"/>
      <c r="AJ113" s="327"/>
      <c r="AK113" s="327"/>
      <c r="AL113" s="327"/>
      <c r="AM113" s="327"/>
      <c r="AN113" s="327"/>
      <c r="AO113" s="327"/>
      <c r="AP113" s="327"/>
      <c r="AQ113" s="327"/>
      <c r="AR113" s="325">
        <f t="shared" si="17"/>
        <v>0</v>
      </c>
      <c r="AS113" s="327">
        <f t="shared" si="14"/>
        <v>0</v>
      </c>
      <c r="AT113" s="327">
        <f t="shared" si="15"/>
        <v>0</v>
      </c>
    </row>
    <row r="114" spans="1:46" x14ac:dyDescent="0.35">
      <c r="A114" s="321" t="s">
        <v>1282</v>
      </c>
      <c r="B114" s="321" t="s">
        <v>1283</v>
      </c>
      <c r="C114" s="322" t="s">
        <v>417</v>
      </c>
      <c r="D114" s="323" t="s">
        <v>854</v>
      </c>
      <c r="E114" s="323" t="s">
        <v>1592</v>
      </c>
      <c r="F114" s="323" t="s">
        <v>1593</v>
      </c>
      <c r="G114" s="323" t="s">
        <v>854</v>
      </c>
      <c r="H114" s="323" t="s">
        <v>1592</v>
      </c>
      <c r="I114" s="322" t="s">
        <v>895</v>
      </c>
      <c r="J114" s="323" t="s">
        <v>896</v>
      </c>
      <c r="K114" s="323" t="s">
        <v>1038</v>
      </c>
      <c r="L114" s="322" t="s">
        <v>1600</v>
      </c>
      <c r="M114" s="323" t="s">
        <v>1601</v>
      </c>
      <c r="N114" s="323"/>
      <c r="O114" s="322"/>
      <c r="P114" s="323"/>
      <c r="Q114" s="323"/>
      <c r="R114" s="324"/>
      <c r="S114" s="324"/>
      <c r="T114" s="324"/>
      <c r="U114" s="324"/>
      <c r="V114" s="324"/>
      <c r="W114" s="324"/>
      <c r="X114" s="324"/>
      <c r="Y114" s="324"/>
      <c r="Z114" s="324"/>
      <c r="AA114" s="324"/>
      <c r="AB114" s="324"/>
      <c r="AC114" s="324"/>
      <c r="AD114" s="324">
        <f t="shared" si="16"/>
        <v>0</v>
      </c>
      <c r="AF114" s="327"/>
      <c r="AG114" s="327"/>
      <c r="AH114" s="327"/>
      <c r="AI114" s="327"/>
      <c r="AJ114" s="327"/>
      <c r="AK114" s="327"/>
      <c r="AL114" s="327"/>
      <c r="AM114" s="327"/>
      <c r="AN114" s="327"/>
      <c r="AO114" s="327"/>
      <c r="AP114" s="327"/>
      <c r="AQ114" s="327"/>
      <c r="AR114" s="325">
        <f t="shared" si="17"/>
        <v>0</v>
      </c>
      <c r="AS114" s="327">
        <f t="shared" si="14"/>
        <v>0</v>
      </c>
      <c r="AT114" s="327">
        <f t="shared" si="15"/>
        <v>0</v>
      </c>
    </row>
    <row r="115" spans="1:46" x14ac:dyDescent="0.35">
      <c r="A115" s="321" t="s">
        <v>1282</v>
      </c>
      <c r="B115" s="321" t="s">
        <v>1283</v>
      </c>
      <c r="C115" s="322" t="s">
        <v>417</v>
      </c>
      <c r="D115" s="323" t="s">
        <v>854</v>
      </c>
      <c r="E115" s="323" t="s">
        <v>1592</v>
      </c>
      <c r="F115" s="323" t="s">
        <v>1593</v>
      </c>
      <c r="G115" s="323" t="s">
        <v>854</v>
      </c>
      <c r="H115" s="323" t="s">
        <v>1592</v>
      </c>
      <c r="I115" s="322" t="s">
        <v>903</v>
      </c>
      <c r="J115" s="323" t="s">
        <v>1092</v>
      </c>
      <c r="K115" s="323" t="s">
        <v>1602</v>
      </c>
      <c r="L115" s="322" t="s">
        <v>1603</v>
      </c>
      <c r="M115" s="323" t="s">
        <v>1604</v>
      </c>
      <c r="N115" s="323"/>
      <c r="O115" s="322"/>
      <c r="P115" s="323"/>
      <c r="Q115" s="323"/>
      <c r="R115" s="324"/>
      <c r="S115" s="324"/>
      <c r="T115" s="324"/>
      <c r="U115" s="324"/>
      <c r="V115" s="324"/>
      <c r="W115" s="324"/>
      <c r="X115" s="324"/>
      <c r="Y115" s="324"/>
      <c r="Z115" s="324"/>
      <c r="AA115" s="324"/>
      <c r="AB115" s="324"/>
      <c r="AC115" s="324"/>
      <c r="AD115" s="324">
        <f t="shared" si="16"/>
        <v>0</v>
      </c>
      <c r="AF115" s="327"/>
      <c r="AG115" s="327"/>
      <c r="AH115" s="327"/>
      <c r="AI115" s="327"/>
      <c r="AJ115" s="327"/>
      <c r="AK115" s="327"/>
      <c r="AL115" s="327"/>
      <c r="AM115" s="327"/>
      <c r="AN115" s="327"/>
      <c r="AO115" s="327"/>
      <c r="AP115" s="327"/>
      <c r="AQ115" s="327"/>
      <c r="AR115" s="325">
        <f t="shared" si="17"/>
        <v>0</v>
      </c>
      <c r="AS115" s="327">
        <f t="shared" si="14"/>
        <v>0</v>
      </c>
      <c r="AT115" s="327">
        <f t="shared" si="15"/>
        <v>0</v>
      </c>
    </row>
    <row r="116" spans="1:46" x14ac:dyDescent="0.35">
      <c r="A116" s="321" t="s">
        <v>1282</v>
      </c>
      <c r="B116" s="321" t="s">
        <v>1283</v>
      </c>
      <c r="C116" s="322" t="s">
        <v>417</v>
      </c>
      <c r="D116" s="323" t="s">
        <v>854</v>
      </c>
      <c r="E116" s="323" t="s">
        <v>1592</v>
      </c>
      <c r="F116" s="323" t="s">
        <v>1593</v>
      </c>
      <c r="G116" s="323" t="s">
        <v>854</v>
      </c>
      <c r="H116" s="323" t="s">
        <v>1592</v>
      </c>
      <c r="I116" s="322" t="s">
        <v>904</v>
      </c>
      <c r="J116" s="323" t="s">
        <v>1106</v>
      </c>
      <c r="K116" s="323" t="s">
        <v>1107</v>
      </c>
      <c r="L116" s="322" t="s">
        <v>1605</v>
      </c>
      <c r="M116" s="323" t="s">
        <v>1606</v>
      </c>
      <c r="N116" s="323"/>
      <c r="O116" s="322"/>
      <c r="P116" s="323"/>
      <c r="Q116" s="323"/>
      <c r="R116" s="324"/>
      <c r="S116" s="324"/>
      <c r="T116" s="324"/>
      <c r="U116" s="324"/>
      <c r="V116" s="324"/>
      <c r="W116" s="324"/>
      <c r="X116" s="324"/>
      <c r="Y116" s="324"/>
      <c r="Z116" s="324"/>
      <c r="AA116" s="324"/>
      <c r="AB116" s="324"/>
      <c r="AC116" s="324"/>
      <c r="AD116" s="324">
        <f t="shared" si="16"/>
        <v>0</v>
      </c>
      <c r="AF116" s="327"/>
      <c r="AG116" s="327"/>
      <c r="AH116" s="327"/>
      <c r="AI116" s="327"/>
      <c r="AJ116" s="327"/>
      <c r="AK116" s="327"/>
      <c r="AL116" s="327"/>
      <c r="AM116" s="327"/>
      <c r="AN116" s="327"/>
      <c r="AO116" s="327"/>
      <c r="AP116" s="327"/>
      <c r="AQ116" s="327"/>
      <c r="AR116" s="325">
        <f t="shared" si="17"/>
        <v>0</v>
      </c>
      <c r="AS116" s="327">
        <f t="shared" si="14"/>
        <v>0</v>
      </c>
      <c r="AT116" s="327">
        <f t="shared" si="15"/>
        <v>0</v>
      </c>
    </row>
    <row r="117" spans="1:46" x14ac:dyDescent="0.35">
      <c r="A117" s="321" t="s">
        <v>1282</v>
      </c>
      <c r="B117" s="321" t="s">
        <v>1283</v>
      </c>
      <c r="C117" s="322" t="s">
        <v>417</v>
      </c>
      <c r="D117" s="323" t="s">
        <v>854</v>
      </c>
      <c r="E117" s="323" t="s">
        <v>1592</v>
      </c>
      <c r="F117" s="323" t="s">
        <v>1593</v>
      </c>
      <c r="G117" s="323" t="s">
        <v>854</v>
      </c>
      <c r="H117" s="323" t="s">
        <v>1592</v>
      </c>
      <c r="I117" s="322" t="s">
        <v>905</v>
      </c>
      <c r="J117" s="323" t="s">
        <v>1071</v>
      </c>
      <c r="K117" s="323" t="s">
        <v>1038</v>
      </c>
      <c r="L117" s="322" t="s">
        <v>1607</v>
      </c>
      <c r="M117" s="323" t="s">
        <v>1608</v>
      </c>
      <c r="N117" s="323"/>
      <c r="O117" s="322"/>
      <c r="P117" s="323"/>
      <c r="Q117" s="323"/>
      <c r="R117" s="324"/>
      <c r="S117" s="324"/>
      <c r="T117" s="324"/>
      <c r="U117" s="324"/>
      <c r="V117" s="324"/>
      <c r="W117" s="324"/>
      <c r="X117" s="324"/>
      <c r="Y117" s="324"/>
      <c r="Z117" s="324"/>
      <c r="AA117" s="324"/>
      <c r="AB117" s="324"/>
      <c r="AC117" s="324"/>
      <c r="AD117" s="324">
        <f t="shared" si="16"/>
        <v>0</v>
      </c>
      <c r="AF117" s="327"/>
      <c r="AG117" s="327"/>
      <c r="AH117" s="327"/>
      <c r="AI117" s="327"/>
      <c r="AJ117" s="327"/>
      <c r="AK117" s="327"/>
      <c r="AL117" s="327"/>
      <c r="AM117" s="327"/>
      <c r="AN117" s="327"/>
      <c r="AO117" s="327"/>
      <c r="AP117" s="327"/>
      <c r="AQ117" s="327"/>
      <c r="AR117" s="325">
        <f t="shared" si="17"/>
        <v>0</v>
      </c>
      <c r="AS117" s="327">
        <f t="shared" si="14"/>
        <v>0</v>
      </c>
      <c r="AT117" s="327">
        <f t="shared" si="15"/>
        <v>0</v>
      </c>
    </row>
    <row r="118" spans="1:46" x14ac:dyDescent="0.35">
      <c r="A118" s="321" t="s">
        <v>1282</v>
      </c>
      <c r="B118" s="321" t="s">
        <v>1283</v>
      </c>
      <c r="C118" s="322" t="s">
        <v>417</v>
      </c>
      <c r="D118" s="323" t="s">
        <v>854</v>
      </c>
      <c r="E118" s="323" t="s">
        <v>1592</v>
      </c>
      <c r="F118" s="323" t="s">
        <v>1593</v>
      </c>
      <c r="G118" s="323" t="s">
        <v>854</v>
      </c>
      <c r="H118" s="323" t="s">
        <v>1592</v>
      </c>
      <c r="I118" s="322" t="s">
        <v>1609</v>
      </c>
      <c r="J118" s="323" t="s">
        <v>1610</v>
      </c>
      <c r="K118" s="323" t="s">
        <v>1131</v>
      </c>
      <c r="L118" s="322" t="s">
        <v>1611</v>
      </c>
      <c r="M118" s="323" t="s">
        <v>1612</v>
      </c>
      <c r="N118" s="323"/>
      <c r="O118" s="322"/>
      <c r="P118" s="323"/>
      <c r="Q118" s="323"/>
      <c r="R118" s="324"/>
      <c r="S118" s="324"/>
      <c r="T118" s="324"/>
      <c r="U118" s="324"/>
      <c r="V118" s="324"/>
      <c r="W118" s="324"/>
      <c r="X118" s="324"/>
      <c r="Y118" s="324"/>
      <c r="Z118" s="324"/>
      <c r="AA118" s="324"/>
      <c r="AB118" s="324"/>
      <c r="AC118" s="324"/>
      <c r="AD118" s="324">
        <f t="shared" si="16"/>
        <v>0</v>
      </c>
      <c r="AF118" s="327"/>
      <c r="AG118" s="327"/>
      <c r="AH118" s="327"/>
      <c r="AI118" s="327"/>
      <c r="AJ118" s="327"/>
      <c r="AK118" s="327"/>
      <c r="AL118" s="327"/>
      <c r="AM118" s="327"/>
      <c r="AN118" s="327"/>
      <c r="AO118" s="327"/>
      <c r="AP118" s="327"/>
      <c r="AQ118" s="327"/>
      <c r="AR118" s="325">
        <f t="shared" si="17"/>
        <v>0</v>
      </c>
      <c r="AS118" s="327">
        <f t="shared" si="14"/>
        <v>0</v>
      </c>
      <c r="AT118" s="327">
        <f t="shared" si="15"/>
        <v>0</v>
      </c>
    </row>
    <row r="119" spans="1:46" x14ac:dyDescent="0.35">
      <c r="A119" s="321" t="s">
        <v>1282</v>
      </c>
      <c r="B119" s="321" t="s">
        <v>1283</v>
      </c>
      <c r="C119" s="322" t="s">
        <v>417</v>
      </c>
      <c r="D119" s="323" t="s">
        <v>854</v>
      </c>
      <c r="E119" s="323" t="s">
        <v>1592</v>
      </c>
      <c r="F119" s="323" t="s">
        <v>1593</v>
      </c>
      <c r="G119" s="323" t="s">
        <v>854</v>
      </c>
      <c r="H119" s="323" t="s">
        <v>1592</v>
      </c>
      <c r="I119" s="322" t="s">
        <v>906</v>
      </c>
      <c r="J119" s="323" t="s">
        <v>1083</v>
      </c>
      <c r="K119" s="323" t="s">
        <v>1613</v>
      </c>
      <c r="L119" s="322" t="s">
        <v>1614</v>
      </c>
      <c r="M119" s="323" t="s">
        <v>1615</v>
      </c>
      <c r="N119" s="323"/>
      <c r="O119" s="322"/>
      <c r="P119" s="323"/>
      <c r="Q119" s="323"/>
      <c r="R119" s="324"/>
      <c r="S119" s="324"/>
      <c r="T119" s="324"/>
      <c r="U119" s="324"/>
      <c r="V119" s="324"/>
      <c r="W119" s="324"/>
      <c r="X119" s="324"/>
      <c r="Y119" s="324"/>
      <c r="Z119" s="324"/>
      <c r="AA119" s="324"/>
      <c r="AB119" s="324"/>
      <c r="AC119" s="324"/>
      <c r="AD119" s="324">
        <f t="shared" si="16"/>
        <v>0</v>
      </c>
      <c r="AF119" s="327"/>
      <c r="AG119" s="327"/>
      <c r="AH119" s="327"/>
      <c r="AI119" s="327"/>
      <c r="AJ119" s="327"/>
      <c r="AK119" s="327"/>
      <c r="AL119" s="327"/>
      <c r="AM119" s="327"/>
      <c r="AN119" s="327"/>
      <c r="AO119" s="327"/>
      <c r="AP119" s="327"/>
      <c r="AQ119" s="327"/>
      <c r="AR119" s="325">
        <f t="shared" si="17"/>
        <v>0</v>
      </c>
      <c r="AS119" s="327">
        <f t="shared" si="14"/>
        <v>0</v>
      </c>
      <c r="AT119" s="327">
        <f t="shared" si="15"/>
        <v>0</v>
      </c>
    </row>
    <row r="120" spans="1:46" x14ac:dyDescent="0.35">
      <c r="A120" s="321" t="s">
        <v>1282</v>
      </c>
      <c r="B120" s="321" t="s">
        <v>1283</v>
      </c>
      <c r="C120" s="322" t="s">
        <v>417</v>
      </c>
      <c r="D120" s="323" t="s">
        <v>854</v>
      </c>
      <c r="E120" s="323" t="s">
        <v>1592</v>
      </c>
      <c r="F120" s="323" t="s">
        <v>1593</v>
      </c>
      <c r="G120" s="323" t="s">
        <v>854</v>
      </c>
      <c r="H120" s="323" t="s">
        <v>1592</v>
      </c>
      <c r="I120" s="322" t="s">
        <v>1616</v>
      </c>
      <c r="J120" s="323" t="s">
        <v>1617</v>
      </c>
      <c r="K120" s="323" t="s">
        <v>1618</v>
      </c>
      <c r="L120" s="322" t="s">
        <v>1619</v>
      </c>
      <c r="M120" s="323" t="s">
        <v>1620</v>
      </c>
      <c r="N120" s="323"/>
      <c r="O120" s="322"/>
      <c r="P120" s="323"/>
      <c r="Q120" s="323"/>
      <c r="R120" s="324"/>
      <c r="S120" s="324"/>
      <c r="T120" s="324"/>
      <c r="U120" s="324"/>
      <c r="V120" s="324"/>
      <c r="W120" s="324"/>
      <c r="X120" s="324"/>
      <c r="Y120" s="324"/>
      <c r="Z120" s="324"/>
      <c r="AA120" s="324"/>
      <c r="AB120" s="324"/>
      <c r="AC120" s="324"/>
      <c r="AD120" s="324">
        <f t="shared" si="16"/>
        <v>0</v>
      </c>
      <c r="AF120" s="327"/>
      <c r="AG120" s="327"/>
      <c r="AH120" s="327"/>
      <c r="AI120" s="327"/>
      <c r="AJ120" s="327"/>
      <c r="AK120" s="327"/>
      <c r="AL120" s="327"/>
      <c r="AM120" s="327"/>
      <c r="AN120" s="327"/>
      <c r="AO120" s="327"/>
      <c r="AP120" s="327"/>
      <c r="AQ120" s="327"/>
      <c r="AR120" s="325">
        <f t="shared" si="17"/>
        <v>0</v>
      </c>
      <c r="AS120" s="327">
        <f t="shared" si="14"/>
        <v>0</v>
      </c>
      <c r="AT120" s="327">
        <f t="shared" si="15"/>
        <v>0</v>
      </c>
    </row>
    <row r="121" spans="1:46" x14ac:dyDescent="0.35">
      <c r="A121" s="321" t="s">
        <v>1282</v>
      </c>
      <c r="B121" s="321" t="s">
        <v>1283</v>
      </c>
      <c r="C121" s="322" t="s">
        <v>417</v>
      </c>
      <c r="D121" s="323" t="s">
        <v>854</v>
      </c>
      <c r="E121" s="323" t="s">
        <v>1592</v>
      </c>
      <c r="F121" s="323" t="s">
        <v>1593</v>
      </c>
      <c r="G121" s="323" t="s">
        <v>854</v>
      </c>
      <c r="H121" s="323" t="s">
        <v>1592</v>
      </c>
      <c r="I121" s="322" t="s">
        <v>1621</v>
      </c>
      <c r="J121" s="323" t="s">
        <v>1622</v>
      </c>
      <c r="K121" s="323" t="s">
        <v>1623</v>
      </c>
      <c r="L121" s="322" t="s">
        <v>1624</v>
      </c>
      <c r="M121" s="323" t="s">
        <v>1625</v>
      </c>
      <c r="N121" s="323"/>
      <c r="O121" s="322"/>
      <c r="P121" s="323"/>
      <c r="Q121" s="323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4"/>
      <c r="AB121" s="324"/>
      <c r="AC121" s="324"/>
      <c r="AD121" s="324">
        <f t="shared" si="16"/>
        <v>0</v>
      </c>
      <c r="AF121" s="327"/>
      <c r="AG121" s="327"/>
      <c r="AH121" s="327"/>
      <c r="AI121" s="327"/>
      <c r="AJ121" s="327"/>
      <c r="AK121" s="327"/>
      <c r="AL121" s="327"/>
      <c r="AM121" s="327"/>
      <c r="AN121" s="327"/>
      <c r="AO121" s="327"/>
      <c r="AP121" s="327"/>
      <c r="AQ121" s="327"/>
      <c r="AR121" s="325">
        <f t="shared" si="17"/>
        <v>0</v>
      </c>
      <c r="AS121" s="327">
        <f t="shared" si="14"/>
        <v>0</v>
      </c>
      <c r="AT121" s="327">
        <f t="shared" si="15"/>
        <v>0</v>
      </c>
    </row>
    <row r="122" spans="1:46" x14ac:dyDescent="0.35">
      <c r="A122" s="314" t="s">
        <v>1282</v>
      </c>
      <c r="B122" s="314" t="s">
        <v>1283</v>
      </c>
      <c r="C122" s="315" t="s">
        <v>1626</v>
      </c>
      <c r="D122" s="315"/>
      <c r="E122" s="315"/>
      <c r="F122" s="315"/>
      <c r="G122" s="315"/>
      <c r="H122" s="316" t="s">
        <v>1627</v>
      </c>
      <c r="I122" s="316" t="s">
        <v>1628</v>
      </c>
      <c r="J122" s="328"/>
      <c r="K122" s="315"/>
      <c r="L122" s="315"/>
      <c r="M122" s="315"/>
      <c r="N122" s="328"/>
      <c r="O122" s="316" t="s">
        <v>1628</v>
      </c>
      <c r="P122" s="328"/>
      <c r="Q122" s="328"/>
      <c r="R122" s="318">
        <f t="shared" ref="R122:AC122" si="20">SUM(R123:R135)</f>
        <v>0</v>
      </c>
      <c r="S122" s="318">
        <f t="shared" si="20"/>
        <v>0</v>
      </c>
      <c r="T122" s="318">
        <f t="shared" si="20"/>
        <v>0</v>
      </c>
      <c r="U122" s="318">
        <f t="shared" si="20"/>
        <v>0</v>
      </c>
      <c r="V122" s="318">
        <f t="shared" si="20"/>
        <v>0</v>
      </c>
      <c r="W122" s="318">
        <f t="shared" si="20"/>
        <v>0</v>
      </c>
      <c r="X122" s="318">
        <f t="shared" si="20"/>
        <v>0</v>
      </c>
      <c r="Y122" s="318">
        <f t="shared" si="20"/>
        <v>0</v>
      </c>
      <c r="Z122" s="318">
        <f t="shared" si="20"/>
        <v>0</v>
      </c>
      <c r="AA122" s="318">
        <f t="shared" si="20"/>
        <v>0</v>
      </c>
      <c r="AB122" s="318">
        <f t="shared" si="20"/>
        <v>0</v>
      </c>
      <c r="AC122" s="318">
        <f t="shared" si="20"/>
        <v>0</v>
      </c>
      <c r="AD122" s="318">
        <f t="shared" si="16"/>
        <v>0</v>
      </c>
      <c r="AF122" s="318">
        <f t="shared" ref="AF122:AR122" si="21">SUM(AF123:AF135)</f>
        <v>0</v>
      </c>
      <c r="AG122" s="318">
        <f t="shared" si="21"/>
        <v>0</v>
      </c>
      <c r="AH122" s="318">
        <f t="shared" si="21"/>
        <v>0</v>
      </c>
      <c r="AI122" s="318">
        <f t="shared" si="21"/>
        <v>0</v>
      </c>
      <c r="AJ122" s="318">
        <f t="shared" si="21"/>
        <v>0</v>
      </c>
      <c r="AK122" s="318">
        <f t="shared" si="21"/>
        <v>0</v>
      </c>
      <c r="AL122" s="318">
        <f t="shared" si="21"/>
        <v>0</v>
      </c>
      <c r="AM122" s="318">
        <f t="shared" si="21"/>
        <v>0</v>
      </c>
      <c r="AN122" s="318">
        <f t="shared" si="21"/>
        <v>0</v>
      </c>
      <c r="AO122" s="318">
        <f t="shared" si="21"/>
        <v>0</v>
      </c>
      <c r="AP122" s="318">
        <f t="shared" si="21"/>
        <v>0</v>
      </c>
      <c r="AQ122" s="318">
        <f t="shared" si="21"/>
        <v>0</v>
      </c>
      <c r="AR122" s="318">
        <f t="shared" si="21"/>
        <v>0</v>
      </c>
      <c r="AS122" s="318">
        <f t="shared" si="14"/>
        <v>0</v>
      </c>
      <c r="AT122" s="318">
        <f t="shared" si="15"/>
        <v>0</v>
      </c>
    </row>
    <row r="123" spans="1:46" x14ac:dyDescent="0.35">
      <c r="A123" s="321" t="s">
        <v>1282</v>
      </c>
      <c r="B123" s="321" t="s">
        <v>1283</v>
      </c>
      <c r="C123" s="322" t="s">
        <v>1626</v>
      </c>
      <c r="D123" s="323" t="s">
        <v>204</v>
      </c>
      <c r="E123" s="323" t="s">
        <v>1338</v>
      </c>
      <c r="F123" s="323" t="s">
        <v>1339</v>
      </c>
      <c r="G123" s="323" t="s">
        <v>1629</v>
      </c>
      <c r="H123" s="323" t="s">
        <v>1630</v>
      </c>
      <c r="I123" s="322" t="s">
        <v>1631</v>
      </c>
      <c r="J123" s="323" t="s">
        <v>488</v>
      </c>
      <c r="K123" s="323" t="s">
        <v>489</v>
      </c>
      <c r="L123" s="322" t="s">
        <v>1341</v>
      </c>
      <c r="M123" s="323" t="s">
        <v>1342</v>
      </c>
      <c r="N123" s="323"/>
      <c r="O123" s="322"/>
      <c r="P123" s="323"/>
      <c r="Q123" s="323"/>
      <c r="R123" s="324"/>
      <c r="S123" s="324"/>
      <c r="T123" s="324"/>
      <c r="U123" s="324"/>
      <c r="V123" s="324"/>
      <c r="W123" s="324"/>
      <c r="X123" s="324"/>
      <c r="Y123" s="324"/>
      <c r="Z123" s="324"/>
      <c r="AA123" s="324"/>
      <c r="AB123" s="324"/>
      <c r="AC123" s="324"/>
      <c r="AD123" s="324">
        <f t="shared" si="16"/>
        <v>0</v>
      </c>
      <c r="AF123" s="327"/>
      <c r="AG123" s="327"/>
      <c r="AH123" s="327"/>
      <c r="AI123" s="327"/>
      <c r="AJ123" s="327"/>
      <c r="AK123" s="327"/>
      <c r="AL123" s="327"/>
      <c r="AM123" s="327"/>
      <c r="AN123" s="327"/>
      <c r="AO123" s="327"/>
      <c r="AP123" s="327"/>
      <c r="AQ123" s="327"/>
      <c r="AR123" s="325">
        <f t="shared" si="17"/>
        <v>0</v>
      </c>
      <c r="AS123" s="327">
        <f t="shared" si="14"/>
        <v>0</v>
      </c>
      <c r="AT123" s="327">
        <f t="shared" si="15"/>
        <v>0</v>
      </c>
    </row>
    <row r="124" spans="1:46" x14ac:dyDescent="0.35">
      <c r="A124" s="321" t="s">
        <v>1282</v>
      </c>
      <c r="B124" s="321" t="s">
        <v>1283</v>
      </c>
      <c r="C124" s="322" t="s">
        <v>1626</v>
      </c>
      <c r="D124" s="323" t="s">
        <v>204</v>
      </c>
      <c r="E124" s="323" t="s">
        <v>1338</v>
      </c>
      <c r="F124" s="323" t="s">
        <v>1339</v>
      </c>
      <c r="G124" s="323" t="s">
        <v>1629</v>
      </c>
      <c r="H124" s="323" t="s">
        <v>1630</v>
      </c>
      <c r="I124" s="322" t="s">
        <v>1632</v>
      </c>
      <c r="J124" s="323" t="s">
        <v>490</v>
      </c>
      <c r="K124" s="323" t="s">
        <v>491</v>
      </c>
      <c r="L124" s="322" t="s">
        <v>1343</v>
      </c>
      <c r="M124" s="323" t="s">
        <v>1344</v>
      </c>
      <c r="N124" s="323"/>
      <c r="O124" s="322"/>
      <c r="P124" s="323"/>
      <c r="Q124" s="323"/>
      <c r="R124" s="324"/>
      <c r="S124" s="324"/>
      <c r="T124" s="324"/>
      <c r="U124" s="324"/>
      <c r="V124" s="324"/>
      <c r="W124" s="324"/>
      <c r="X124" s="324"/>
      <c r="Y124" s="324"/>
      <c r="Z124" s="324"/>
      <c r="AA124" s="324"/>
      <c r="AB124" s="324"/>
      <c r="AC124" s="324"/>
      <c r="AD124" s="324">
        <f t="shared" si="16"/>
        <v>0</v>
      </c>
      <c r="AF124" s="327"/>
      <c r="AG124" s="327"/>
      <c r="AH124" s="327"/>
      <c r="AI124" s="327"/>
      <c r="AJ124" s="327"/>
      <c r="AK124" s="327"/>
      <c r="AL124" s="327"/>
      <c r="AM124" s="327"/>
      <c r="AN124" s="327"/>
      <c r="AO124" s="327"/>
      <c r="AP124" s="327"/>
      <c r="AQ124" s="327"/>
      <c r="AR124" s="325">
        <f t="shared" si="17"/>
        <v>0</v>
      </c>
      <c r="AS124" s="327">
        <f t="shared" si="14"/>
        <v>0</v>
      </c>
      <c r="AT124" s="327">
        <f t="shared" si="15"/>
        <v>0</v>
      </c>
    </row>
    <row r="125" spans="1:46" x14ac:dyDescent="0.35">
      <c r="A125" s="321" t="s">
        <v>1282</v>
      </c>
      <c r="B125" s="321" t="s">
        <v>1283</v>
      </c>
      <c r="C125" s="322" t="s">
        <v>1626</v>
      </c>
      <c r="D125" s="323" t="s">
        <v>204</v>
      </c>
      <c r="E125" s="323" t="s">
        <v>1338</v>
      </c>
      <c r="F125" s="323" t="s">
        <v>1345</v>
      </c>
      <c r="G125" s="323" t="s">
        <v>1629</v>
      </c>
      <c r="H125" s="323" t="s">
        <v>1630</v>
      </c>
      <c r="I125" s="322" t="s">
        <v>1633</v>
      </c>
      <c r="J125" s="323" t="s">
        <v>498</v>
      </c>
      <c r="K125" s="323" t="s">
        <v>493</v>
      </c>
      <c r="L125" s="322" t="s">
        <v>1294</v>
      </c>
      <c r="M125" s="323" t="s">
        <v>946</v>
      </c>
      <c r="N125" s="323"/>
      <c r="O125" s="322"/>
      <c r="P125" s="323"/>
      <c r="Q125" s="323"/>
      <c r="R125" s="324"/>
      <c r="S125" s="324"/>
      <c r="T125" s="324"/>
      <c r="U125" s="324"/>
      <c r="V125" s="324"/>
      <c r="W125" s="324"/>
      <c r="X125" s="324"/>
      <c r="Y125" s="324"/>
      <c r="Z125" s="324"/>
      <c r="AA125" s="324"/>
      <c r="AB125" s="324"/>
      <c r="AC125" s="324"/>
      <c r="AD125" s="324">
        <f t="shared" si="16"/>
        <v>0</v>
      </c>
      <c r="AF125" s="327"/>
      <c r="AG125" s="327"/>
      <c r="AH125" s="327"/>
      <c r="AI125" s="327"/>
      <c r="AJ125" s="327"/>
      <c r="AK125" s="327"/>
      <c r="AL125" s="327"/>
      <c r="AM125" s="327"/>
      <c r="AN125" s="327"/>
      <c r="AO125" s="327"/>
      <c r="AP125" s="327"/>
      <c r="AQ125" s="327"/>
      <c r="AR125" s="325">
        <f t="shared" si="17"/>
        <v>0</v>
      </c>
      <c r="AS125" s="327">
        <f t="shared" si="14"/>
        <v>0</v>
      </c>
      <c r="AT125" s="327">
        <f t="shared" si="15"/>
        <v>0</v>
      </c>
    </row>
    <row r="126" spans="1:46" x14ac:dyDescent="0.35">
      <c r="A126" s="321" t="s">
        <v>1282</v>
      </c>
      <c r="B126" s="321" t="s">
        <v>1283</v>
      </c>
      <c r="C126" s="322" t="s">
        <v>1626</v>
      </c>
      <c r="D126" s="323" t="s">
        <v>204</v>
      </c>
      <c r="E126" s="323" t="s">
        <v>1338</v>
      </c>
      <c r="F126" s="323" t="s">
        <v>1346</v>
      </c>
      <c r="G126" s="323" t="s">
        <v>1629</v>
      </c>
      <c r="H126" s="323" t="s">
        <v>1347</v>
      </c>
      <c r="I126" s="322" t="s">
        <v>1634</v>
      </c>
      <c r="J126" s="323" t="s">
        <v>1635</v>
      </c>
      <c r="K126" s="323" t="s">
        <v>491</v>
      </c>
      <c r="L126" s="322" t="s">
        <v>1349</v>
      </c>
      <c r="M126" s="323" t="s">
        <v>1350</v>
      </c>
      <c r="N126" s="323"/>
      <c r="O126" s="322"/>
      <c r="P126" s="323"/>
      <c r="Q126" s="323"/>
      <c r="R126" s="324"/>
      <c r="S126" s="324"/>
      <c r="T126" s="324"/>
      <c r="U126" s="324"/>
      <c r="V126" s="324"/>
      <c r="W126" s="324"/>
      <c r="X126" s="324"/>
      <c r="Y126" s="324"/>
      <c r="Z126" s="324"/>
      <c r="AA126" s="324"/>
      <c r="AB126" s="324"/>
      <c r="AC126" s="324"/>
      <c r="AD126" s="324">
        <f t="shared" si="16"/>
        <v>0</v>
      </c>
      <c r="AF126" s="327"/>
      <c r="AG126" s="327"/>
      <c r="AH126" s="327"/>
      <c r="AI126" s="327"/>
      <c r="AJ126" s="327"/>
      <c r="AK126" s="327"/>
      <c r="AL126" s="327"/>
      <c r="AM126" s="327"/>
      <c r="AN126" s="327"/>
      <c r="AO126" s="327"/>
      <c r="AP126" s="327"/>
      <c r="AQ126" s="327"/>
      <c r="AR126" s="325">
        <f t="shared" si="17"/>
        <v>0</v>
      </c>
      <c r="AS126" s="327">
        <f t="shared" si="14"/>
        <v>0</v>
      </c>
      <c r="AT126" s="327">
        <f t="shared" si="15"/>
        <v>0</v>
      </c>
    </row>
    <row r="127" spans="1:46" x14ac:dyDescent="0.35">
      <c r="A127" s="321" t="s">
        <v>1282</v>
      </c>
      <c r="B127" s="321" t="s">
        <v>1283</v>
      </c>
      <c r="C127" s="322" t="s">
        <v>1626</v>
      </c>
      <c r="D127" s="323" t="s">
        <v>204</v>
      </c>
      <c r="E127" s="323" t="s">
        <v>1338</v>
      </c>
      <c r="F127" s="323" t="s">
        <v>1351</v>
      </c>
      <c r="G127" s="323" t="s">
        <v>1629</v>
      </c>
      <c r="H127" s="323" t="s">
        <v>1352</v>
      </c>
      <c r="I127" s="322" t="s">
        <v>1636</v>
      </c>
      <c r="J127" s="323" t="s">
        <v>492</v>
      </c>
      <c r="K127" s="323" t="s">
        <v>493</v>
      </c>
      <c r="L127" s="322" t="s">
        <v>1303</v>
      </c>
      <c r="M127" s="323" t="s">
        <v>1304</v>
      </c>
      <c r="N127" s="323"/>
      <c r="O127" s="322"/>
      <c r="P127" s="323"/>
      <c r="Q127" s="323"/>
      <c r="R127" s="324"/>
      <c r="S127" s="324"/>
      <c r="T127" s="324"/>
      <c r="U127" s="324"/>
      <c r="V127" s="324"/>
      <c r="W127" s="324"/>
      <c r="X127" s="324"/>
      <c r="Y127" s="324"/>
      <c r="Z127" s="324"/>
      <c r="AA127" s="324"/>
      <c r="AB127" s="324"/>
      <c r="AC127" s="324"/>
      <c r="AD127" s="324">
        <f t="shared" si="16"/>
        <v>0</v>
      </c>
      <c r="AF127" s="327"/>
      <c r="AG127" s="327"/>
      <c r="AH127" s="327"/>
      <c r="AI127" s="327"/>
      <c r="AJ127" s="327"/>
      <c r="AK127" s="327"/>
      <c r="AL127" s="327"/>
      <c r="AM127" s="327"/>
      <c r="AN127" s="327"/>
      <c r="AO127" s="327"/>
      <c r="AP127" s="327"/>
      <c r="AQ127" s="327"/>
      <c r="AR127" s="325">
        <f t="shared" si="17"/>
        <v>0</v>
      </c>
      <c r="AS127" s="327">
        <f t="shared" si="14"/>
        <v>0</v>
      </c>
      <c r="AT127" s="327">
        <f t="shared" si="15"/>
        <v>0</v>
      </c>
    </row>
    <row r="128" spans="1:46" x14ac:dyDescent="0.35">
      <c r="A128" s="321" t="s">
        <v>1282</v>
      </c>
      <c r="B128" s="321" t="s">
        <v>1283</v>
      </c>
      <c r="C128" s="322" t="s">
        <v>1626</v>
      </c>
      <c r="D128" s="323" t="s">
        <v>204</v>
      </c>
      <c r="E128" s="323" t="s">
        <v>1338</v>
      </c>
      <c r="F128" s="323" t="s">
        <v>1351</v>
      </c>
      <c r="G128" s="323" t="s">
        <v>1629</v>
      </c>
      <c r="H128" s="323" t="s">
        <v>1352</v>
      </c>
      <c r="I128" s="322" t="s">
        <v>1637</v>
      </c>
      <c r="J128" s="323" t="s">
        <v>494</v>
      </c>
      <c r="K128" s="323" t="s">
        <v>491</v>
      </c>
      <c r="L128" s="322" t="s">
        <v>1305</v>
      </c>
      <c r="M128" s="323"/>
      <c r="N128" s="323"/>
      <c r="O128" s="322"/>
      <c r="P128" s="323"/>
      <c r="Q128" s="323"/>
      <c r="R128" s="324"/>
      <c r="S128" s="324"/>
      <c r="T128" s="324"/>
      <c r="U128" s="324"/>
      <c r="V128" s="324"/>
      <c r="W128" s="324"/>
      <c r="X128" s="324"/>
      <c r="Y128" s="324"/>
      <c r="Z128" s="324"/>
      <c r="AA128" s="324"/>
      <c r="AB128" s="324"/>
      <c r="AC128" s="324"/>
      <c r="AD128" s="324"/>
      <c r="AF128" s="327"/>
      <c r="AG128" s="327"/>
      <c r="AH128" s="327"/>
      <c r="AI128" s="327"/>
      <c r="AJ128" s="327"/>
      <c r="AK128" s="327"/>
      <c r="AL128" s="327"/>
      <c r="AM128" s="327"/>
      <c r="AN128" s="327"/>
      <c r="AO128" s="327"/>
      <c r="AP128" s="327"/>
      <c r="AQ128" s="327"/>
      <c r="AR128" s="325">
        <f t="shared" si="17"/>
        <v>0</v>
      </c>
      <c r="AS128" s="327">
        <f t="shared" si="14"/>
        <v>0</v>
      </c>
      <c r="AT128" s="327">
        <f t="shared" si="15"/>
        <v>0</v>
      </c>
    </row>
    <row r="129" spans="1:46" x14ac:dyDescent="0.35">
      <c r="A129" s="321" t="s">
        <v>1282</v>
      </c>
      <c r="B129" s="321" t="s">
        <v>1283</v>
      </c>
      <c r="C129" s="322" t="s">
        <v>1626</v>
      </c>
      <c r="D129" s="323" t="s">
        <v>204</v>
      </c>
      <c r="E129" s="323" t="s">
        <v>1338</v>
      </c>
      <c r="F129" s="323" t="s">
        <v>1354</v>
      </c>
      <c r="G129" s="323" t="s">
        <v>1629</v>
      </c>
      <c r="H129" s="323" t="s">
        <v>1355</v>
      </c>
      <c r="I129" s="322" t="s">
        <v>1638</v>
      </c>
      <c r="J129" s="323" t="s">
        <v>497</v>
      </c>
      <c r="K129" s="323" t="s">
        <v>491</v>
      </c>
      <c r="L129" s="322" t="s">
        <v>1309</v>
      </c>
      <c r="M129" s="323" t="s">
        <v>1310</v>
      </c>
      <c r="N129" s="323"/>
      <c r="O129" s="322"/>
      <c r="P129" s="323"/>
      <c r="Q129" s="323"/>
      <c r="R129" s="324"/>
      <c r="S129" s="324"/>
      <c r="T129" s="324"/>
      <c r="U129" s="324"/>
      <c r="V129" s="324"/>
      <c r="W129" s="324"/>
      <c r="X129" s="324"/>
      <c r="Y129" s="324"/>
      <c r="Z129" s="324"/>
      <c r="AA129" s="324"/>
      <c r="AB129" s="324"/>
      <c r="AC129" s="324"/>
      <c r="AD129" s="324">
        <f t="shared" si="16"/>
        <v>0</v>
      </c>
      <c r="AF129" s="327"/>
      <c r="AG129" s="327"/>
      <c r="AH129" s="327"/>
      <c r="AI129" s="327"/>
      <c r="AJ129" s="327"/>
      <c r="AK129" s="327"/>
      <c r="AL129" s="327"/>
      <c r="AM129" s="327"/>
      <c r="AN129" s="327"/>
      <c r="AO129" s="327"/>
      <c r="AP129" s="327"/>
      <c r="AQ129" s="327"/>
      <c r="AR129" s="325">
        <f t="shared" si="17"/>
        <v>0</v>
      </c>
      <c r="AS129" s="327">
        <f t="shared" si="14"/>
        <v>0</v>
      </c>
      <c r="AT129" s="327">
        <f t="shared" si="15"/>
        <v>0</v>
      </c>
    </row>
    <row r="130" spans="1:46" x14ac:dyDescent="0.35">
      <c r="A130" s="321" t="s">
        <v>1282</v>
      </c>
      <c r="B130" s="321" t="s">
        <v>1283</v>
      </c>
      <c r="C130" s="322" t="s">
        <v>1626</v>
      </c>
      <c r="D130" s="323" t="s">
        <v>204</v>
      </c>
      <c r="E130" s="323" t="s">
        <v>1338</v>
      </c>
      <c r="F130" s="323" t="s">
        <v>1354</v>
      </c>
      <c r="G130" s="323" t="s">
        <v>1629</v>
      </c>
      <c r="H130" s="323" t="s">
        <v>1355</v>
      </c>
      <c r="I130" s="322" t="s">
        <v>1639</v>
      </c>
      <c r="J130" s="323" t="s">
        <v>1358</v>
      </c>
      <c r="K130" s="323" t="s">
        <v>491</v>
      </c>
      <c r="L130" s="322" t="s">
        <v>1359</v>
      </c>
      <c r="M130" s="323" t="s">
        <v>1360</v>
      </c>
      <c r="N130" s="323"/>
      <c r="O130" s="322"/>
      <c r="P130" s="323"/>
      <c r="Q130" s="323"/>
      <c r="R130" s="324"/>
      <c r="S130" s="324"/>
      <c r="T130" s="324"/>
      <c r="U130" s="324"/>
      <c r="V130" s="324"/>
      <c r="W130" s="324"/>
      <c r="X130" s="324"/>
      <c r="Y130" s="324"/>
      <c r="Z130" s="324"/>
      <c r="AA130" s="324"/>
      <c r="AB130" s="324"/>
      <c r="AC130" s="324"/>
      <c r="AD130" s="324">
        <f t="shared" si="16"/>
        <v>0</v>
      </c>
      <c r="AF130" s="327"/>
      <c r="AG130" s="327"/>
      <c r="AH130" s="327"/>
      <c r="AI130" s="327"/>
      <c r="AJ130" s="327"/>
      <c r="AK130" s="327"/>
      <c r="AL130" s="327"/>
      <c r="AM130" s="327"/>
      <c r="AN130" s="327"/>
      <c r="AO130" s="327"/>
      <c r="AP130" s="327"/>
      <c r="AQ130" s="327"/>
      <c r="AR130" s="325">
        <f t="shared" si="17"/>
        <v>0</v>
      </c>
      <c r="AS130" s="327">
        <f t="shared" si="14"/>
        <v>0</v>
      </c>
      <c r="AT130" s="327">
        <f t="shared" si="15"/>
        <v>0</v>
      </c>
    </row>
    <row r="131" spans="1:46" x14ac:dyDescent="0.35">
      <c r="A131" s="321" t="s">
        <v>1282</v>
      </c>
      <c r="B131" s="321" t="s">
        <v>1283</v>
      </c>
      <c r="C131" s="322" t="s">
        <v>1626</v>
      </c>
      <c r="D131" s="323" t="s">
        <v>204</v>
      </c>
      <c r="E131" s="323" t="s">
        <v>1338</v>
      </c>
      <c r="F131" s="323" t="s">
        <v>1354</v>
      </c>
      <c r="G131" s="323" t="s">
        <v>1629</v>
      </c>
      <c r="H131" s="323" t="s">
        <v>1355</v>
      </c>
      <c r="I131" s="322" t="s">
        <v>1640</v>
      </c>
      <c r="J131" s="323" t="s">
        <v>1027</v>
      </c>
      <c r="K131" s="323" t="s">
        <v>1313</v>
      </c>
      <c r="L131" s="322" t="s">
        <v>1314</v>
      </c>
      <c r="M131" s="323" t="s">
        <v>1315</v>
      </c>
      <c r="N131" s="323"/>
      <c r="O131" s="322"/>
      <c r="P131" s="323"/>
      <c r="Q131" s="323"/>
      <c r="R131" s="324"/>
      <c r="S131" s="324"/>
      <c r="T131" s="324"/>
      <c r="U131" s="324"/>
      <c r="V131" s="324"/>
      <c r="W131" s="324"/>
      <c r="X131" s="324"/>
      <c r="Y131" s="324"/>
      <c r="Z131" s="324"/>
      <c r="AA131" s="324"/>
      <c r="AB131" s="324"/>
      <c r="AC131" s="324"/>
      <c r="AD131" s="324">
        <f t="shared" si="16"/>
        <v>0</v>
      </c>
      <c r="AF131" s="327"/>
      <c r="AG131" s="327"/>
      <c r="AH131" s="327"/>
      <c r="AI131" s="327"/>
      <c r="AJ131" s="327"/>
      <c r="AK131" s="327"/>
      <c r="AL131" s="327"/>
      <c r="AM131" s="327"/>
      <c r="AN131" s="327"/>
      <c r="AO131" s="327"/>
      <c r="AP131" s="327"/>
      <c r="AQ131" s="327"/>
      <c r="AR131" s="325">
        <f t="shared" si="17"/>
        <v>0</v>
      </c>
      <c r="AS131" s="327">
        <f t="shared" si="14"/>
        <v>0</v>
      </c>
      <c r="AT131" s="327">
        <f t="shared" si="15"/>
        <v>0</v>
      </c>
    </row>
    <row r="132" spans="1:46" x14ac:dyDescent="0.35">
      <c r="A132" s="321" t="s">
        <v>1282</v>
      </c>
      <c r="B132" s="321" t="s">
        <v>1283</v>
      </c>
      <c r="C132" s="322" t="s">
        <v>1626</v>
      </c>
      <c r="D132" s="323" t="s">
        <v>204</v>
      </c>
      <c r="E132" s="323" t="s">
        <v>1338</v>
      </c>
      <c r="F132" s="323" t="s">
        <v>1362</v>
      </c>
      <c r="G132" s="323" t="s">
        <v>1629</v>
      </c>
      <c r="H132" s="323" t="s">
        <v>1641</v>
      </c>
      <c r="I132" s="322" t="s">
        <v>1642</v>
      </c>
      <c r="J132" s="323" t="s">
        <v>496</v>
      </c>
      <c r="K132" s="323" t="s">
        <v>493</v>
      </c>
      <c r="L132" s="322" t="s">
        <v>1363</v>
      </c>
      <c r="M132" s="323" t="s">
        <v>1364</v>
      </c>
      <c r="N132" s="323"/>
      <c r="O132" s="322"/>
      <c r="P132" s="323"/>
      <c r="Q132" s="323"/>
      <c r="R132" s="324"/>
      <c r="S132" s="324"/>
      <c r="T132" s="324"/>
      <c r="U132" s="324"/>
      <c r="V132" s="324"/>
      <c r="W132" s="324"/>
      <c r="X132" s="324"/>
      <c r="Y132" s="324"/>
      <c r="Z132" s="324"/>
      <c r="AA132" s="324"/>
      <c r="AB132" s="324"/>
      <c r="AC132" s="324"/>
      <c r="AD132" s="324">
        <f t="shared" si="16"/>
        <v>0</v>
      </c>
      <c r="AF132" s="327"/>
      <c r="AG132" s="327"/>
      <c r="AH132" s="327"/>
      <c r="AI132" s="327"/>
      <c r="AJ132" s="327"/>
      <c r="AK132" s="327"/>
      <c r="AL132" s="327"/>
      <c r="AM132" s="327"/>
      <c r="AN132" s="327"/>
      <c r="AO132" s="327"/>
      <c r="AP132" s="327"/>
      <c r="AQ132" s="327"/>
      <c r="AR132" s="325">
        <f t="shared" si="17"/>
        <v>0</v>
      </c>
      <c r="AS132" s="327">
        <f t="shared" si="14"/>
        <v>0</v>
      </c>
      <c r="AT132" s="327">
        <f t="shared" si="15"/>
        <v>0</v>
      </c>
    </row>
    <row r="133" spans="1:46" x14ac:dyDescent="0.35">
      <c r="A133" s="321" t="s">
        <v>1282</v>
      </c>
      <c r="B133" s="321" t="s">
        <v>1283</v>
      </c>
      <c r="C133" s="322" t="s">
        <v>1626</v>
      </c>
      <c r="D133" s="323" t="s">
        <v>1319</v>
      </c>
      <c r="E133" s="323" t="s">
        <v>1320</v>
      </c>
      <c r="F133" s="323" t="s">
        <v>1365</v>
      </c>
      <c r="G133" s="323" t="s">
        <v>1643</v>
      </c>
      <c r="H133" s="323" t="s">
        <v>1366</v>
      </c>
      <c r="I133" s="322" t="s">
        <v>1644</v>
      </c>
      <c r="J133" s="323" t="s">
        <v>1368</v>
      </c>
      <c r="K133" s="323" t="s">
        <v>1010</v>
      </c>
      <c r="L133" s="322" t="s">
        <v>1369</v>
      </c>
      <c r="M133" s="323" t="s">
        <v>1370</v>
      </c>
      <c r="N133" s="323"/>
      <c r="O133" s="322"/>
      <c r="P133" s="323"/>
      <c r="Q133" s="323"/>
      <c r="R133" s="324"/>
      <c r="S133" s="324"/>
      <c r="T133" s="324"/>
      <c r="U133" s="324"/>
      <c r="V133" s="324"/>
      <c r="W133" s="324"/>
      <c r="X133" s="324"/>
      <c r="Y133" s="324"/>
      <c r="Z133" s="324"/>
      <c r="AA133" s="324"/>
      <c r="AB133" s="324"/>
      <c r="AC133" s="324"/>
      <c r="AD133" s="324">
        <f t="shared" si="16"/>
        <v>0</v>
      </c>
      <c r="AF133" s="327"/>
      <c r="AG133" s="327"/>
      <c r="AH133" s="327"/>
      <c r="AI133" s="327"/>
      <c r="AJ133" s="327"/>
      <c r="AK133" s="327"/>
      <c r="AL133" s="327"/>
      <c r="AM133" s="327"/>
      <c r="AN133" s="327"/>
      <c r="AO133" s="327"/>
      <c r="AP133" s="327"/>
      <c r="AQ133" s="327"/>
      <c r="AR133" s="325">
        <f t="shared" si="17"/>
        <v>0</v>
      </c>
      <c r="AS133" s="327">
        <f t="shared" si="14"/>
        <v>0</v>
      </c>
      <c r="AT133" s="327">
        <f t="shared" si="15"/>
        <v>0</v>
      </c>
    </row>
    <row r="134" spans="1:46" x14ac:dyDescent="0.35">
      <c r="A134" s="321" t="s">
        <v>1282</v>
      </c>
      <c r="B134" s="321" t="s">
        <v>1283</v>
      </c>
      <c r="C134" s="322" t="s">
        <v>1626</v>
      </c>
      <c r="D134" s="323" t="s">
        <v>1319</v>
      </c>
      <c r="E134" s="323" t="s">
        <v>1320</v>
      </c>
      <c r="F134" s="323" t="s">
        <v>1321</v>
      </c>
      <c r="G134" s="323" t="s">
        <v>1643</v>
      </c>
      <c r="H134" s="323" t="s">
        <v>1323</v>
      </c>
      <c r="I134" s="322" t="s">
        <v>1645</v>
      </c>
      <c r="J134" s="323" t="s">
        <v>702</v>
      </c>
      <c r="K134" s="323" t="s">
        <v>493</v>
      </c>
      <c r="L134" s="322" t="s">
        <v>1324</v>
      </c>
      <c r="M134" s="323" t="s">
        <v>1325</v>
      </c>
      <c r="N134" s="323"/>
      <c r="O134" s="322"/>
      <c r="P134" s="323"/>
      <c r="Q134" s="323"/>
      <c r="R134" s="324"/>
      <c r="S134" s="324"/>
      <c r="T134" s="324"/>
      <c r="U134" s="324"/>
      <c r="V134" s="324"/>
      <c r="W134" s="324"/>
      <c r="X134" s="324"/>
      <c r="Y134" s="324"/>
      <c r="Z134" s="324"/>
      <c r="AA134" s="324"/>
      <c r="AB134" s="324"/>
      <c r="AC134" s="324"/>
      <c r="AD134" s="324">
        <f t="shared" si="16"/>
        <v>0</v>
      </c>
      <c r="AF134" s="327"/>
      <c r="AG134" s="327"/>
      <c r="AH134" s="327"/>
      <c r="AI134" s="327"/>
      <c r="AJ134" s="327"/>
      <c r="AK134" s="327"/>
      <c r="AL134" s="327"/>
      <c r="AM134" s="327"/>
      <c r="AN134" s="327"/>
      <c r="AO134" s="327"/>
      <c r="AP134" s="327"/>
      <c r="AQ134" s="327"/>
      <c r="AR134" s="325">
        <f t="shared" si="17"/>
        <v>0</v>
      </c>
      <c r="AS134" s="327">
        <f t="shared" si="14"/>
        <v>0</v>
      </c>
      <c r="AT134" s="327">
        <f t="shared" si="15"/>
        <v>0</v>
      </c>
    </row>
    <row r="135" spans="1:46" x14ac:dyDescent="0.35">
      <c r="A135" s="321" t="s">
        <v>1282</v>
      </c>
      <c r="B135" s="321" t="s">
        <v>1283</v>
      </c>
      <c r="C135" s="322" t="s">
        <v>1626</v>
      </c>
      <c r="D135" s="323" t="s">
        <v>1319</v>
      </c>
      <c r="E135" s="323" t="s">
        <v>1320</v>
      </c>
      <c r="F135" s="323" t="s">
        <v>1326</v>
      </c>
      <c r="G135" s="323" t="s">
        <v>1643</v>
      </c>
      <c r="H135" s="323" t="s">
        <v>1352</v>
      </c>
      <c r="I135" s="322" t="s">
        <v>1646</v>
      </c>
      <c r="J135" s="323" t="s">
        <v>495</v>
      </c>
      <c r="K135" s="323" t="s">
        <v>493</v>
      </c>
      <c r="L135" s="322" t="s">
        <v>1328</v>
      </c>
      <c r="M135" s="323" t="s">
        <v>1329</v>
      </c>
      <c r="N135" s="323"/>
      <c r="O135" s="322"/>
      <c r="P135" s="323"/>
      <c r="Q135" s="323"/>
      <c r="R135" s="324"/>
      <c r="S135" s="324"/>
      <c r="T135" s="324"/>
      <c r="U135" s="324"/>
      <c r="V135" s="324"/>
      <c r="W135" s="324"/>
      <c r="X135" s="324"/>
      <c r="Y135" s="324"/>
      <c r="Z135" s="324"/>
      <c r="AA135" s="324"/>
      <c r="AB135" s="324"/>
      <c r="AC135" s="324"/>
      <c r="AD135" s="324">
        <f t="shared" si="16"/>
        <v>0</v>
      </c>
      <c r="AF135" s="327"/>
      <c r="AG135" s="327"/>
      <c r="AH135" s="327"/>
      <c r="AI135" s="327"/>
      <c r="AJ135" s="327"/>
      <c r="AK135" s="327"/>
      <c r="AL135" s="327"/>
      <c r="AM135" s="327"/>
      <c r="AN135" s="327"/>
      <c r="AO135" s="327"/>
      <c r="AP135" s="327"/>
      <c r="AQ135" s="327"/>
      <c r="AR135" s="325">
        <f t="shared" si="17"/>
        <v>0</v>
      </c>
      <c r="AS135" s="327">
        <f t="shared" si="14"/>
        <v>0</v>
      </c>
      <c r="AT135" s="327">
        <f t="shared" si="15"/>
        <v>0</v>
      </c>
    </row>
    <row r="136" spans="1:46" x14ac:dyDescent="0.35">
      <c r="A136" s="335" t="s">
        <v>1282</v>
      </c>
      <c r="B136" s="335" t="s">
        <v>1283</v>
      </c>
      <c r="C136" s="336" t="s">
        <v>1626</v>
      </c>
      <c r="D136" s="337"/>
      <c r="E136" s="337"/>
      <c r="F136" s="337"/>
      <c r="G136" s="337"/>
      <c r="H136" s="316" t="s">
        <v>1647</v>
      </c>
      <c r="I136" s="316" t="s">
        <v>1648</v>
      </c>
      <c r="J136" s="338"/>
      <c r="K136" s="337"/>
      <c r="L136" s="337"/>
      <c r="M136" s="337"/>
      <c r="N136" s="338"/>
      <c r="O136" s="316" t="s">
        <v>1648</v>
      </c>
      <c r="P136" s="338"/>
      <c r="Q136" s="338"/>
      <c r="R136" s="318">
        <f t="shared" ref="R136:AC136" si="22">SUM(R137:R153)</f>
        <v>0</v>
      </c>
      <c r="S136" s="318">
        <f t="shared" si="22"/>
        <v>0</v>
      </c>
      <c r="T136" s="318">
        <f t="shared" si="22"/>
        <v>0</v>
      </c>
      <c r="U136" s="318">
        <f t="shared" si="22"/>
        <v>0</v>
      </c>
      <c r="V136" s="318">
        <f t="shared" si="22"/>
        <v>0</v>
      </c>
      <c r="W136" s="318">
        <f t="shared" si="22"/>
        <v>0</v>
      </c>
      <c r="X136" s="318">
        <f t="shared" si="22"/>
        <v>0</v>
      </c>
      <c r="Y136" s="318">
        <f t="shared" si="22"/>
        <v>0</v>
      </c>
      <c r="Z136" s="318">
        <f t="shared" si="22"/>
        <v>0</v>
      </c>
      <c r="AA136" s="318">
        <f t="shared" si="22"/>
        <v>0</v>
      </c>
      <c r="AB136" s="318">
        <f t="shared" si="22"/>
        <v>0</v>
      </c>
      <c r="AC136" s="318">
        <f t="shared" si="22"/>
        <v>0</v>
      </c>
      <c r="AD136" s="318">
        <f t="shared" si="16"/>
        <v>0</v>
      </c>
      <c r="AF136" s="318">
        <f t="shared" ref="AF136:AQ136" si="23">SUM(AF137:AF153)</f>
        <v>0</v>
      </c>
      <c r="AG136" s="318">
        <f t="shared" si="23"/>
        <v>0</v>
      </c>
      <c r="AH136" s="318">
        <f t="shared" si="23"/>
        <v>0</v>
      </c>
      <c r="AI136" s="318">
        <f t="shared" si="23"/>
        <v>0</v>
      </c>
      <c r="AJ136" s="318">
        <f t="shared" si="23"/>
        <v>0</v>
      </c>
      <c r="AK136" s="318">
        <f t="shared" si="23"/>
        <v>0</v>
      </c>
      <c r="AL136" s="318">
        <f t="shared" si="23"/>
        <v>0</v>
      </c>
      <c r="AM136" s="318">
        <f t="shared" si="23"/>
        <v>0</v>
      </c>
      <c r="AN136" s="318">
        <f t="shared" si="23"/>
        <v>0</v>
      </c>
      <c r="AO136" s="318">
        <f t="shared" si="23"/>
        <v>0</v>
      </c>
      <c r="AP136" s="318">
        <f t="shared" si="23"/>
        <v>0</v>
      </c>
      <c r="AQ136" s="318">
        <f t="shared" si="23"/>
        <v>0</v>
      </c>
      <c r="AR136" s="318">
        <f>SUM(AR137:AR153)</f>
        <v>0</v>
      </c>
      <c r="AS136" s="318">
        <f t="shared" si="14"/>
        <v>0</v>
      </c>
      <c r="AT136" s="318">
        <f t="shared" si="15"/>
        <v>0</v>
      </c>
    </row>
    <row r="137" spans="1:46" x14ac:dyDescent="0.35">
      <c r="A137" s="321" t="s">
        <v>1282</v>
      </c>
      <c r="B137" s="321" t="s">
        <v>1283</v>
      </c>
      <c r="C137" s="322" t="s">
        <v>1626</v>
      </c>
      <c r="D137" s="323" t="s">
        <v>1331</v>
      </c>
      <c r="E137" s="323" t="s">
        <v>1320</v>
      </c>
      <c r="F137" s="323" t="s">
        <v>1649</v>
      </c>
      <c r="G137" s="323" t="s">
        <v>1643</v>
      </c>
      <c r="H137" s="323" t="s">
        <v>1650</v>
      </c>
      <c r="I137" s="322" t="s">
        <v>1651</v>
      </c>
      <c r="J137" s="323" t="s">
        <v>1652</v>
      </c>
      <c r="K137" s="323" t="s">
        <v>970</v>
      </c>
      <c r="L137" s="322" t="s">
        <v>1653</v>
      </c>
      <c r="M137" s="323" t="s">
        <v>1654</v>
      </c>
      <c r="N137" s="323"/>
      <c r="O137" s="322"/>
      <c r="P137" s="323"/>
      <c r="Q137" s="323"/>
      <c r="R137" s="324"/>
      <c r="S137" s="324"/>
      <c r="T137" s="324"/>
      <c r="U137" s="324"/>
      <c r="V137" s="324"/>
      <c r="W137" s="324"/>
      <c r="X137" s="324"/>
      <c r="Y137" s="324"/>
      <c r="Z137" s="324"/>
      <c r="AA137" s="324"/>
      <c r="AB137" s="324"/>
      <c r="AC137" s="324"/>
      <c r="AD137" s="324">
        <f t="shared" si="16"/>
        <v>0</v>
      </c>
      <c r="AF137" s="327"/>
      <c r="AG137" s="327"/>
      <c r="AH137" s="327"/>
      <c r="AI137" s="327"/>
      <c r="AJ137" s="327"/>
      <c r="AK137" s="327"/>
      <c r="AL137" s="327"/>
      <c r="AM137" s="327"/>
      <c r="AN137" s="327"/>
      <c r="AO137" s="327"/>
      <c r="AP137" s="327"/>
      <c r="AQ137" s="327"/>
      <c r="AR137" s="325">
        <f t="shared" si="17"/>
        <v>0</v>
      </c>
      <c r="AS137" s="327">
        <f t="shared" si="14"/>
        <v>0</v>
      </c>
      <c r="AT137" s="327">
        <f t="shared" si="15"/>
        <v>0</v>
      </c>
    </row>
    <row r="138" spans="1:46" x14ac:dyDescent="0.35">
      <c r="A138" s="321" t="s">
        <v>1282</v>
      </c>
      <c r="B138" s="321" t="s">
        <v>1283</v>
      </c>
      <c r="C138" s="322" t="s">
        <v>1626</v>
      </c>
      <c r="D138" s="323" t="s">
        <v>1331</v>
      </c>
      <c r="E138" s="323" t="s">
        <v>1320</v>
      </c>
      <c r="F138" s="323" t="s">
        <v>1649</v>
      </c>
      <c r="G138" s="323" t="s">
        <v>1643</v>
      </c>
      <c r="H138" s="323" t="s">
        <v>1650</v>
      </c>
      <c r="I138" s="322" t="s">
        <v>910</v>
      </c>
      <c r="J138" s="323" t="s">
        <v>951</v>
      </c>
      <c r="K138" s="323" t="s">
        <v>970</v>
      </c>
      <c r="L138" s="322" t="s">
        <v>1655</v>
      </c>
      <c r="M138" s="323" t="s">
        <v>1656</v>
      </c>
      <c r="N138" s="323"/>
      <c r="O138" s="322"/>
      <c r="P138" s="323"/>
      <c r="Q138" s="323"/>
      <c r="R138" s="324"/>
      <c r="S138" s="324"/>
      <c r="T138" s="324"/>
      <c r="U138" s="324"/>
      <c r="V138" s="324"/>
      <c r="W138" s="324"/>
      <c r="X138" s="324"/>
      <c r="Y138" s="324"/>
      <c r="Z138" s="324"/>
      <c r="AA138" s="324"/>
      <c r="AB138" s="324"/>
      <c r="AC138" s="324"/>
      <c r="AD138" s="324">
        <f t="shared" si="16"/>
        <v>0</v>
      </c>
      <c r="AF138" s="327"/>
      <c r="AG138" s="327"/>
      <c r="AH138" s="327"/>
      <c r="AI138" s="327"/>
      <c r="AJ138" s="327"/>
      <c r="AK138" s="327"/>
      <c r="AL138" s="327"/>
      <c r="AM138" s="327"/>
      <c r="AN138" s="327"/>
      <c r="AO138" s="327"/>
      <c r="AP138" s="327"/>
      <c r="AQ138" s="327"/>
      <c r="AR138" s="325">
        <f t="shared" si="17"/>
        <v>0</v>
      </c>
      <c r="AS138" s="327">
        <f t="shared" si="14"/>
        <v>0</v>
      </c>
      <c r="AT138" s="327">
        <f t="shared" si="15"/>
        <v>0</v>
      </c>
    </row>
    <row r="139" spans="1:46" x14ac:dyDescent="0.35">
      <c r="A139" s="321" t="s">
        <v>1282</v>
      </c>
      <c r="B139" s="321" t="s">
        <v>1283</v>
      </c>
      <c r="C139" s="322" t="s">
        <v>1626</v>
      </c>
      <c r="D139" s="323" t="s">
        <v>1331</v>
      </c>
      <c r="E139" s="323" t="s">
        <v>1320</v>
      </c>
      <c r="F139" s="323" t="s">
        <v>1657</v>
      </c>
      <c r="G139" s="323" t="s">
        <v>1643</v>
      </c>
      <c r="H139" s="323" t="s">
        <v>1658</v>
      </c>
      <c r="I139" s="322" t="s">
        <v>1659</v>
      </c>
      <c r="J139" s="323" t="s">
        <v>1660</v>
      </c>
      <c r="K139" s="323" t="s">
        <v>1661</v>
      </c>
      <c r="L139" s="322" t="s">
        <v>1662</v>
      </c>
      <c r="M139" s="323" t="s">
        <v>1658</v>
      </c>
      <c r="N139" s="323"/>
      <c r="O139" s="322"/>
      <c r="P139" s="323"/>
      <c r="Q139" s="323"/>
      <c r="R139" s="324"/>
      <c r="S139" s="324"/>
      <c r="T139" s="324"/>
      <c r="U139" s="324"/>
      <c r="V139" s="324"/>
      <c r="W139" s="324"/>
      <c r="X139" s="324"/>
      <c r="Y139" s="324"/>
      <c r="Z139" s="324"/>
      <c r="AA139" s="324"/>
      <c r="AB139" s="324"/>
      <c r="AC139" s="324"/>
      <c r="AD139" s="324">
        <f t="shared" si="16"/>
        <v>0</v>
      </c>
      <c r="AF139" s="327"/>
      <c r="AG139" s="327"/>
      <c r="AH139" s="327"/>
      <c r="AI139" s="327"/>
      <c r="AJ139" s="327"/>
      <c r="AK139" s="327"/>
      <c r="AL139" s="327"/>
      <c r="AM139" s="327"/>
      <c r="AN139" s="327"/>
      <c r="AO139" s="327"/>
      <c r="AP139" s="327"/>
      <c r="AQ139" s="327"/>
      <c r="AR139" s="325">
        <f t="shared" si="17"/>
        <v>0</v>
      </c>
      <c r="AS139" s="327">
        <f t="shared" si="14"/>
        <v>0</v>
      </c>
      <c r="AT139" s="327">
        <f t="shared" si="15"/>
        <v>0</v>
      </c>
    </row>
    <row r="140" spans="1:46" x14ac:dyDescent="0.35">
      <c r="A140" s="321" t="s">
        <v>1282</v>
      </c>
      <c r="B140" s="321" t="s">
        <v>1283</v>
      </c>
      <c r="C140" s="322" t="s">
        <v>1626</v>
      </c>
      <c r="D140" s="323" t="s">
        <v>1331</v>
      </c>
      <c r="E140" s="323" t="s">
        <v>1320</v>
      </c>
      <c r="F140" s="323" t="s">
        <v>1657</v>
      </c>
      <c r="G140" s="323" t="s">
        <v>1643</v>
      </c>
      <c r="H140" s="323" t="s">
        <v>1658</v>
      </c>
      <c r="I140" s="322" t="s">
        <v>1663</v>
      </c>
      <c r="J140" s="323" t="s">
        <v>1660</v>
      </c>
      <c r="K140" s="323" t="s">
        <v>1661</v>
      </c>
      <c r="L140" s="322" t="s">
        <v>1662</v>
      </c>
      <c r="M140" s="323" t="s">
        <v>1658</v>
      </c>
      <c r="N140" s="323"/>
      <c r="O140" s="322"/>
      <c r="P140" s="323"/>
      <c r="Q140" s="323"/>
      <c r="R140" s="324"/>
      <c r="S140" s="324"/>
      <c r="T140" s="324"/>
      <c r="U140" s="324"/>
      <c r="V140" s="324"/>
      <c r="W140" s="324"/>
      <c r="X140" s="324"/>
      <c r="Y140" s="324"/>
      <c r="Z140" s="324"/>
      <c r="AA140" s="324"/>
      <c r="AB140" s="324"/>
      <c r="AC140" s="324"/>
      <c r="AD140" s="324">
        <f t="shared" si="16"/>
        <v>0</v>
      </c>
      <c r="AF140" s="327"/>
      <c r="AG140" s="327"/>
      <c r="AH140" s="327"/>
      <c r="AI140" s="327"/>
      <c r="AJ140" s="327"/>
      <c r="AK140" s="327"/>
      <c r="AL140" s="327"/>
      <c r="AM140" s="327"/>
      <c r="AN140" s="327"/>
      <c r="AO140" s="327"/>
      <c r="AP140" s="327"/>
      <c r="AQ140" s="327"/>
      <c r="AR140" s="325">
        <f t="shared" si="17"/>
        <v>0</v>
      </c>
      <c r="AS140" s="327">
        <f t="shared" si="14"/>
        <v>0</v>
      </c>
      <c r="AT140" s="327">
        <f t="shared" si="15"/>
        <v>0</v>
      </c>
    </row>
    <row r="141" spans="1:46" x14ac:dyDescent="0.35">
      <c r="A141" s="321" t="s">
        <v>1282</v>
      </c>
      <c r="B141" s="321" t="s">
        <v>1283</v>
      </c>
      <c r="C141" s="322" t="s">
        <v>1626</v>
      </c>
      <c r="D141" s="323" t="s">
        <v>1331</v>
      </c>
      <c r="E141" s="323" t="s">
        <v>1320</v>
      </c>
      <c r="F141" s="323" t="s">
        <v>1664</v>
      </c>
      <c r="G141" s="323" t="s">
        <v>1643</v>
      </c>
      <c r="H141" s="323" t="s">
        <v>1665</v>
      </c>
      <c r="I141" s="322" t="s">
        <v>935</v>
      </c>
      <c r="J141" s="323" t="s">
        <v>1666</v>
      </c>
      <c r="K141" s="323" t="s">
        <v>1667</v>
      </c>
      <c r="L141" s="322" t="s">
        <v>1668</v>
      </c>
      <c r="M141" s="323" t="s">
        <v>1669</v>
      </c>
      <c r="N141" s="323"/>
      <c r="O141" s="322"/>
      <c r="P141" s="323"/>
      <c r="Q141" s="323"/>
      <c r="R141" s="324"/>
      <c r="S141" s="324"/>
      <c r="T141" s="324"/>
      <c r="U141" s="324"/>
      <c r="V141" s="324"/>
      <c r="W141" s="324"/>
      <c r="X141" s="324"/>
      <c r="Y141" s="324"/>
      <c r="Z141" s="324"/>
      <c r="AA141" s="324"/>
      <c r="AB141" s="324"/>
      <c r="AC141" s="324"/>
      <c r="AD141" s="324">
        <f t="shared" si="16"/>
        <v>0</v>
      </c>
      <c r="AF141" s="327"/>
      <c r="AG141" s="327"/>
      <c r="AH141" s="327"/>
      <c r="AI141" s="327"/>
      <c r="AJ141" s="327"/>
      <c r="AK141" s="327"/>
      <c r="AL141" s="327"/>
      <c r="AM141" s="327"/>
      <c r="AN141" s="327"/>
      <c r="AO141" s="327"/>
      <c r="AP141" s="327"/>
      <c r="AQ141" s="327"/>
      <c r="AR141" s="325">
        <f t="shared" si="17"/>
        <v>0</v>
      </c>
      <c r="AS141" s="327">
        <f t="shared" si="14"/>
        <v>0</v>
      </c>
      <c r="AT141" s="327">
        <f t="shared" si="15"/>
        <v>0</v>
      </c>
    </row>
    <row r="142" spans="1:46" x14ac:dyDescent="0.35">
      <c r="A142" s="321" t="s">
        <v>1282</v>
      </c>
      <c r="B142" s="321" t="s">
        <v>1283</v>
      </c>
      <c r="C142" s="322" t="s">
        <v>1626</v>
      </c>
      <c r="D142" s="323" t="s">
        <v>1331</v>
      </c>
      <c r="E142" s="323" t="s">
        <v>1320</v>
      </c>
      <c r="F142" s="323" t="s">
        <v>1664</v>
      </c>
      <c r="G142" s="323" t="s">
        <v>1643</v>
      </c>
      <c r="H142" s="323" t="s">
        <v>1665</v>
      </c>
      <c r="I142" s="322" t="s">
        <v>1670</v>
      </c>
      <c r="J142" s="323" t="s">
        <v>1671</v>
      </c>
      <c r="K142" s="323" t="s">
        <v>1672</v>
      </c>
      <c r="L142" s="322" t="s">
        <v>1673</v>
      </c>
      <c r="M142" s="323" t="s">
        <v>1674</v>
      </c>
      <c r="N142" s="323"/>
      <c r="O142" s="322"/>
      <c r="P142" s="323"/>
      <c r="Q142" s="323"/>
      <c r="R142" s="324"/>
      <c r="S142" s="324"/>
      <c r="T142" s="324"/>
      <c r="U142" s="324"/>
      <c r="V142" s="324"/>
      <c r="W142" s="324"/>
      <c r="X142" s="324"/>
      <c r="Y142" s="324"/>
      <c r="Z142" s="324"/>
      <c r="AA142" s="324"/>
      <c r="AB142" s="324"/>
      <c r="AC142" s="324"/>
      <c r="AD142" s="324">
        <f t="shared" si="16"/>
        <v>0</v>
      </c>
      <c r="AF142" s="327"/>
      <c r="AG142" s="327"/>
      <c r="AH142" s="327"/>
      <c r="AI142" s="327"/>
      <c r="AJ142" s="327"/>
      <c r="AK142" s="327"/>
      <c r="AL142" s="327"/>
      <c r="AM142" s="327"/>
      <c r="AN142" s="327"/>
      <c r="AO142" s="327"/>
      <c r="AP142" s="327"/>
      <c r="AQ142" s="327"/>
      <c r="AR142" s="325">
        <f t="shared" si="17"/>
        <v>0</v>
      </c>
      <c r="AS142" s="327">
        <f t="shared" ref="AS142:AS205" si="24">AD142-AR142</f>
        <v>0</v>
      </c>
      <c r="AT142" s="327">
        <f t="shared" ref="AT142:AT205" si="25">IFERROR(AS142/AR142,0)</f>
        <v>0</v>
      </c>
    </row>
    <row r="143" spans="1:46" x14ac:dyDescent="0.35">
      <c r="A143" s="321" t="s">
        <v>1282</v>
      </c>
      <c r="B143" s="321" t="s">
        <v>1283</v>
      </c>
      <c r="C143" s="322" t="s">
        <v>1626</v>
      </c>
      <c r="D143" s="323" t="s">
        <v>1331</v>
      </c>
      <c r="E143" s="323" t="s">
        <v>1320</v>
      </c>
      <c r="F143" s="323" t="s">
        <v>1664</v>
      </c>
      <c r="G143" s="323" t="s">
        <v>1643</v>
      </c>
      <c r="H143" s="323" t="s">
        <v>1665</v>
      </c>
      <c r="I143" s="322" t="s">
        <v>1675</v>
      </c>
      <c r="J143" s="323" t="s">
        <v>1676</v>
      </c>
      <c r="K143" s="323" t="s">
        <v>1672</v>
      </c>
      <c r="L143" s="322" t="s">
        <v>1677</v>
      </c>
      <c r="M143" s="323" t="s">
        <v>1678</v>
      </c>
      <c r="N143" s="323"/>
      <c r="O143" s="322"/>
      <c r="P143" s="323"/>
      <c r="Q143" s="323"/>
      <c r="R143" s="324"/>
      <c r="S143" s="324"/>
      <c r="T143" s="324"/>
      <c r="U143" s="324"/>
      <c r="V143" s="324"/>
      <c r="W143" s="324"/>
      <c r="X143" s="324"/>
      <c r="Y143" s="324"/>
      <c r="Z143" s="324"/>
      <c r="AA143" s="324"/>
      <c r="AB143" s="324"/>
      <c r="AC143" s="324"/>
      <c r="AD143" s="324">
        <f t="shared" si="16"/>
        <v>0</v>
      </c>
      <c r="AF143" s="327"/>
      <c r="AG143" s="327"/>
      <c r="AH143" s="327"/>
      <c r="AI143" s="327"/>
      <c r="AJ143" s="327"/>
      <c r="AK143" s="327"/>
      <c r="AL143" s="327"/>
      <c r="AM143" s="327"/>
      <c r="AN143" s="327"/>
      <c r="AO143" s="327"/>
      <c r="AP143" s="327"/>
      <c r="AQ143" s="327"/>
      <c r="AR143" s="325">
        <f t="shared" si="17"/>
        <v>0</v>
      </c>
      <c r="AS143" s="327">
        <f t="shared" si="24"/>
        <v>0</v>
      </c>
      <c r="AT143" s="327">
        <f t="shared" si="25"/>
        <v>0</v>
      </c>
    </row>
    <row r="144" spans="1:46" x14ac:dyDescent="0.35">
      <c r="A144" s="321" t="s">
        <v>1282</v>
      </c>
      <c r="B144" s="321" t="s">
        <v>1283</v>
      </c>
      <c r="C144" s="322" t="s">
        <v>1626</v>
      </c>
      <c r="D144" s="323" t="s">
        <v>1331</v>
      </c>
      <c r="E144" s="323" t="s">
        <v>1320</v>
      </c>
      <c r="F144" s="323" t="s">
        <v>1664</v>
      </c>
      <c r="G144" s="323" t="s">
        <v>1643</v>
      </c>
      <c r="H144" s="323" t="s">
        <v>1665</v>
      </c>
      <c r="I144" s="322" t="s">
        <v>1679</v>
      </c>
      <c r="J144" s="323" t="s">
        <v>1676</v>
      </c>
      <c r="K144" s="323" t="s">
        <v>1672</v>
      </c>
      <c r="L144" s="322" t="s">
        <v>1677</v>
      </c>
      <c r="M144" s="323" t="s">
        <v>1678</v>
      </c>
      <c r="N144" s="323"/>
      <c r="O144" s="322"/>
      <c r="P144" s="323"/>
      <c r="Q144" s="323"/>
      <c r="R144" s="324"/>
      <c r="S144" s="324"/>
      <c r="T144" s="324"/>
      <c r="U144" s="324"/>
      <c r="V144" s="324"/>
      <c r="W144" s="324"/>
      <c r="X144" s="324"/>
      <c r="Y144" s="324"/>
      <c r="Z144" s="324"/>
      <c r="AA144" s="324"/>
      <c r="AB144" s="324"/>
      <c r="AC144" s="324"/>
      <c r="AD144" s="324">
        <f t="shared" ref="AD144:AD207" si="26">SUM(R144:AC144)</f>
        <v>0</v>
      </c>
      <c r="AF144" s="327"/>
      <c r="AG144" s="327"/>
      <c r="AH144" s="327"/>
      <c r="AI144" s="327"/>
      <c r="AJ144" s="327"/>
      <c r="AK144" s="327"/>
      <c r="AL144" s="327"/>
      <c r="AM144" s="327"/>
      <c r="AN144" s="327"/>
      <c r="AO144" s="327"/>
      <c r="AP144" s="327"/>
      <c r="AQ144" s="327"/>
      <c r="AR144" s="325">
        <f t="shared" si="17"/>
        <v>0</v>
      </c>
      <c r="AS144" s="327">
        <f t="shared" si="24"/>
        <v>0</v>
      </c>
      <c r="AT144" s="327">
        <f t="shared" si="25"/>
        <v>0</v>
      </c>
    </row>
    <row r="145" spans="1:46" x14ac:dyDescent="0.35">
      <c r="A145" s="321" t="s">
        <v>1282</v>
      </c>
      <c r="B145" s="321" t="s">
        <v>1283</v>
      </c>
      <c r="C145" s="322" t="s">
        <v>1626</v>
      </c>
      <c r="D145" s="323" t="s">
        <v>1331</v>
      </c>
      <c r="E145" s="323" t="s">
        <v>1320</v>
      </c>
      <c r="F145" s="323" t="s">
        <v>1664</v>
      </c>
      <c r="G145" s="323" t="s">
        <v>1643</v>
      </c>
      <c r="H145" s="323" t="s">
        <v>1665</v>
      </c>
      <c r="I145" s="322" t="s">
        <v>1680</v>
      </c>
      <c r="J145" s="323" t="s">
        <v>1681</v>
      </c>
      <c r="K145" s="323" t="s">
        <v>1672</v>
      </c>
      <c r="L145" s="322" t="s">
        <v>1682</v>
      </c>
      <c r="M145" s="323" t="s">
        <v>1683</v>
      </c>
      <c r="N145" s="323"/>
      <c r="O145" s="322"/>
      <c r="P145" s="323"/>
      <c r="Q145" s="323"/>
      <c r="R145" s="324"/>
      <c r="S145" s="324"/>
      <c r="T145" s="324"/>
      <c r="U145" s="324"/>
      <c r="V145" s="324"/>
      <c r="W145" s="324"/>
      <c r="X145" s="324"/>
      <c r="Y145" s="324"/>
      <c r="Z145" s="324"/>
      <c r="AA145" s="324"/>
      <c r="AB145" s="324"/>
      <c r="AC145" s="324"/>
      <c r="AD145" s="324">
        <f t="shared" si="26"/>
        <v>0</v>
      </c>
      <c r="AF145" s="327"/>
      <c r="AG145" s="327"/>
      <c r="AH145" s="327"/>
      <c r="AI145" s="327"/>
      <c r="AJ145" s="327"/>
      <c r="AK145" s="327"/>
      <c r="AL145" s="327"/>
      <c r="AM145" s="327"/>
      <c r="AN145" s="327"/>
      <c r="AO145" s="327"/>
      <c r="AP145" s="327"/>
      <c r="AQ145" s="327"/>
      <c r="AR145" s="325">
        <f t="shared" si="17"/>
        <v>0</v>
      </c>
      <c r="AS145" s="327">
        <f t="shared" si="24"/>
        <v>0</v>
      </c>
      <c r="AT145" s="327">
        <f t="shared" si="25"/>
        <v>0</v>
      </c>
    </row>
    <row r="146" spans="1:46" x14ac:dyDescent="0.35">
      <c r="A146" s="321" t="s">
        <v>1282</v>
      </c>
      <c r="B146" s="321" t="s">
        <v>1283</v>
      </c>
      <c r="C146" s="322" t="s">
        <v>1626</v>
      </c>
      <c r="D146" s="323" t="s">
        <v>1331</v>
      </c>
      <c r="E146" s="323" t="s">
        <v>1320</v>
      </c>
      <c r="F146" s="323" t="s">
        <v>1664</v>
      </c>
      <c r="G146" s="323" t="s">
        <v>1643</v>
      </c>
      <c r="H146" s="323" t="s">
        <v>1665</v>
      </c>
      <c r="I146" s="322" t="s">
        <v>1684</v>
      </c>
      <c r="J146" s="323" t="s">
        <v>1685</v>
      </c>
      <c r="K146" s="323" t="s">
        <v>1672</v>
      </c>
      <c r="L146" s="322" t="s">
        <v>1686</v>
      </c>
      <c r="M146" s="323" t="s">
        <v>1687</v>
      </c>
      <c r="N146" s="323"/>
      <c r="O146" s="322"/>
      <c r="P146" s="323"/>
      <c r="Q146" s="323"/>
      <c r="R146" s="324"/>
      <c r="S146" s="324"/>
      <c r="T146" s="324"/>
      <c r="U146" s="324"/>
      <c r="V146" s="324"/>
      <c r="W146" s="324"/>
      <c r="X146" s="324"/>
      <c r="Y146" s="324"/>
      <c r="Z146" s="324"/>
      <c r="AA146" s="324"/>
      <c r="AB146" s="324"/>
      <c r="AC146" s="324"/>
      <c r="AD146" s="324">
        <f t="shared" si="26"/>
        <v>0</v>
      </c>
      <c r="AF146" s="327"/>
      <c r="AG146" s="327"/>
      <c r="AH146" s="327"/>
      <c r="AI146" s="327"/>
      <c r="AJ146" s="327"/>
      <c r="AK146" s="327"/>
      <c r="AL146" s="327"/>
      <c r="AM146" s="327"/>
      <c r="AN146" s="327"/>
      <c r="AO146" s="327"/>
      <c r="AP146" s="327"/>
      <c r="AQ146" s="327"/>
      <c r="AR146" s="325">
        <f t="shared" si="17"/>
        <v>0</v>
      </c>
      <c r="AS146" s="327">
        <f t="shared" si="24"/>
        <v>0</v>
      </c>
      <c r="AT146" s="327">
        <f t="shared" si="25"/>
        <v>0</v>
      </c>
    </row>
    <row r="147" spans="1:46" x14ac:dyDescent="0.35">
      <c r="A147" s="321" t="s">
        <v>1282</v>
      </c>
      <c r="B147" s="321" t="s">
        <v>1283</v>
      </c>
      <c r="C147" s="322" t="s">
        <v>1626</v>
      </c>
      <c r="D147" s="323" t="s">
        <v>1331</v>
      </c>
      <c r="E147" s="323" t="s">
        <v>1320</v>
      </c>
      <c r="F147" s="323" t="s">
        <v>1664</v>
      </c>
      <c r="G147" s="323" t="s">
        <v>1643</v>
      </c>
      <c r="H147" s="323" t="s">
        <v>1665</v>
      </c>
      <c r="I147" s="322" t="s">
        <v>933</v>
      </c>
      <c r="J147" s="323" t="s">
        <v>1685</v>
      </c>
      <c r="K147" s="323" t="s">
        <v>1672</v>
      </c>
      <c r="L147" s="322" t="s">
        <v>1686</v>
      </c>
      <c r="M147" s="323" t="s">
        <v>1687</v>
      </c>
      <c r="N147" s="323"/>
      <c r="O147" s="322"/>
      <c r="P147" s="323"/>
      <c r="Q147" s="323"/>
      <c r="R147" s="324"/>
      <c r="S147" s="324"/>
      <c r="T147" s="324"/>
      <c r="U147" s="324"/>
      <c r="V147" s="324"/>
      <c r="W147" s="324"/>
      <c r="X147" s="324"/>
      <c r="Y147" s="324"/>
      <c r="Z147" s="324"/>
      <c r="AA147" s="324"/>
      <c r="AB147" s="324"/>
      <c r="AC147" s="324"/>
      <c r="AD147" s="324">
        <f t="shared" si="26"/>
        <v>0</v>
      </c>
      <c r="AF147" s="327"/>
      <c r="AG147" s="327"/>
      <c r="AH147" s="327"/>
      <c r="AI147" s="327"/>
      <c r="AJ147" s="327"/>
      <c r="AK147" s="327"/>
      <c r="AL147" s="327"/>
      <c r="AM147" s="327"/>
      <c r="AN147" s="327"/>
      <c r="AO147" s="327"/>
      <c r="AP147" s="327"/>
      <c r="AQ147" s="327"/>
      <c r="AR147" s="325">
        <f t="shared" si="17"/>
        <v>0</v>
      </c>
      <c r="AS147" s="327">
        <f t="shared" si="24"/>
        <v>0</v>
      </c>
      <c r="AT147" s="327">
        <f t="shared" si="25"/>
        <v>0</v>
      </c>
    </row>
    <row r="148" spans="1:46" x14ac:dyDescent="0.35">
      <c r="A148" s="321" t="s">
        <v>1282</v>
      </c>
      <c r="B148" s="321" t="s">
        <v>1283</v>
      </c>
      <c r="C148" s="322" t="s">
        <v>1626</v>
      </c>
      <c r="D148" s="323" t="s">
        <v>1331</v>
      </c>
      <c r="E148" s="323" t="s">
        <v>1320</v>
      </c>
      <c r="F148" s="323" t="s">
        <v>1688</v>
      </c>
      <c r="G148" s="323" t="s">
        <v>1643</v>
      </c>
      <c r="H148" s="323" t="s">
        <v>1689</v>
      </c>
      <c r="I148" s="322" t="s">
        <v>1690</v>
      </c>
      <c r="J148" s="323" t="s">
        <v>1691</v>
      </c>
      <c r="K148" s="323" t="s">
        <v>970</v>
      </c>
      <c r="L148" s="322" t="s">
        <v>1692</v>
      </c>
      <c r="M148" s="323" t="s">
        <v>1689</v>
      </c>
      <c r="N148" s="323"/>
      <c r="O148" s="322"/>
      <c r="P148" s="323"/>
      <c r="Q148" s="323"/>
      <c r="R148" s="324"/>
      <c r="S148" s="324"/>
      <c r="T148" s="324"/>
      <c r="U148" s="324"/>
      <c r="V148" s="324"/>
      <c r="W148" s="324"/>
      <c r="X148" s="324"/>
      <c r="Y148" s="324"/>
      <c r="Z148" s="324"/>
      <c r="AA148" s="324"/>
      <c r="AB148" s="324"/>
      <c r="AC148" s="324"/>
      <c r="AD148" s="324">
        <f t="shared" si="26"/>
        <v>0</v>
      </c>
      <c r="AF148" s="327"/>
      <c r="AG148" s="327"/>
      <c r="AH148" s="327"/>
      <c r="AI148" s="327"/>
      <c r="AJ148" s="327"/>
      <c r="AK148" s="327"/>
      <c r="AL148" s="327"/>
      <c r="AM148" s="327"/>
      <c r="AN148" s="327"/>
      <c r="AO148" s="327"/>
      <c r="AP148" s="327"/>
      <c r="AQ148" s="327"/>
      <c r="AR148" s="325">
        <f t="shared" si="17"/>
        <v>0</v>
      </c>
      <c r="AS148" s="327">
        <f t="shared" si="24"/>
        <v>0</v>
      </c>
      <c r="AT148" s="327">
        <f t="shared" si="25"/>
        <v>0</v>
      </c>
    </row>
    <row r="149" spans="1:46" x14ac:dyDescent="0.35">
      <c r="A149" s="321" t="s">
        <v>1282</v>
      </c>
      <c r="B149" s="321" t="s">
        <v>1283</v>
      </c>
      <c r="C149" s="322" t="s">
        <v>1626</v>
      </c>
      <c r="D149" s="323" t="s">
        <v>1331</v>
      </c>
      <c r="E149" s="323" t="s">
        <v>1320</v>
      </c>
      <c r="F149" s="323" t="s">
        <v>1693</v>
      </c>
      <c r="G149" s="323" t="s">
        <v>1643</v>
      </c>
      <c r="H149" s="323" t="s">
        <v>1694</v>
      </c>
      <c r="I149" s="322" t="s">
        <v>1695</v>
      </c>
      <c r="J149" s="323" t="s">
        <v>1696</v>
      </c>
      <c r="K149" s="323" t="s">
        <v>970</v>
      </c>
      <c r="L149" s="322" t="s">
        <v>1697</v>
      </c>
      <c r="M149" s="323" t="s">
        <v>1694</v>
      </c>
      <c r="N149" s="323"/>
      <c r="O149" s="322"/>
      <c r="P149" s="323"/>
      <c r="Q149" s="323"/>
      <c r="R149" s="324"/>
      <c r="S149" s="324"/>
      <c r="T149" s="324"/>
      <c r="U149" s="324"/>
      <c r="V149" s="324"/>
      <c r="W149" s="324"/>
      <c r="X149" s="324"/>
      <c r="Y149" s="324"/>
      <c r="Z149" s="324"/>
      <c r="AA149" s="324"/>
      <c r="AB149" s="324"/>
      <c r="AC149" s="324"/>
      <c r="AD149" s="324">
        <f t="shared" si="26"/>
        <v>0</v>
      </c>
      <c r="AF149" s="327"/>
      <c r="AG149" s="327"/>
      <c r="AH149" s="327"/>
      <c r="AI149" s="327"/>
      <c r="AJ149" s="327"/>
      <c r="AK149" s="327"/>
      <c r="AL149" s="327"/>
      <c r="AM149" s="327"/>
      <c r="AN149" s="327"/>
      <c r="AO149" s="327"/>
      <c r="AP149" s="327"/>
      <c r="AQ149" s="327"/>
      <c r="AR149" s="325">
        <f t="shared" si="17"/>
        <v>0</v>
      </c>
      <c r="AS149" s="327">
        <f t="shared" si="24"/>
        <v>0</v>
      </c>
      <c r="AT149" s="327">
        <f t="shared" si="25"/>
        <v>0</v>
      </c>
    </row>
    <row r="150" spans="1:46" x14ac:dyDescent="0.35">
      <c r="A150" s="321" t="s">
        <v>1282</v>
      </c>
      <c r="B150" s="321" t="s">
        <v>1283</v>
      </c>
      <c r="C150" s="322" t="s">
        <v>1626</v>
      </c>
      <c r="D150" s="323" t="s">
        <v>1331</v>
      </c>
      <c r="E150" s="323" t="s">
        <v>1320</v>
      </c>
      <c r="F150" s="323" t="s">
        <v>1698</v>
      </c>
      <c r="G150" s="323" t="s">
        <v>1643</v>
      </c>
      <c r="H150" s="323" t="s">
        <v>1699</v>
      </c>
      <c r="I150" s="322" t="s">
        <v>1700</v>
      </c>
      <c r="J150" s="323" t="s">
        <v>1701</v>
      </c>
      <c r="K150" s="323" t="s">
        <v>1419</v>
      </c>
      <c r="L150" s="322" t="s">
        <v>1702</v>
      </c>
      <c r="M150" s="323" t="s">
        <v>1703</v>
      </c>
      <c r="N150" s="323"/>
      <c r="O150" s="322"/>
      <c r="P150" s="323"/>
      <c r="Q150" s="323"/>
      <c r="R150" s="324"/>
      <c r="S150" s="324"/>
      <c r="T150" s="324"/>
      <c r="U150" s="324"/>
      <c r="V150" s="324"/>
      <c r="W150" s="324"/>
      <c r="X150" s="324"/>
      <c r="Y150" s="324"/>
      <c r="Z150" s="324"/>
      <c r="AA150" s="324"/>
      <c r="AB150" s="324"/>
      <c r="AC150" s="324"/>
      <c r="AD150" s="324">
        <f t="shared" si="26"/>
        <v>0</v>
      </c>
      <c r="AF150" s="327"/>
      <c r="AG150" s="327"/>
      <c r="AH150" s="327"/>
      <c r="AI150" s="327"/>
      <c r="AJ150" s="327"/>
      <c r="AK150" s="327"/>
      <c r="AL150" s="327"/>
      <c r="AM150" s="327"/>
      <c r="AN150" s="327"/>
      <c r="AO150" s="327"/>
      <c r="AP150" s="327"/>
      <c r="AQ150" s="327"/>
      <c r="AR150" s="325">
        <f t="shared" si="17"/>
        <v>0</v>
      </c>
      <c r="AS150" s="327">
        <f t="shared" si="24"/>
        <v>0</v>
      </c>
      <c r="AT150" s="327">
        <f t="shared" si="25"/>
        <v>0</v>
      </c>
    </row>
    <row r="151" spans="1:46" x14ac:dyDescent="0.35">
      <c r="A151" s="321" t="s">
        <v>1282</v>
      </c>
      <c r="B151" s="321" t="s">
        <v>1283</v>
      </c>
      <c r="C151" s="322" t="s">
        <v>1626</v>
      </c>
      <c r="D151" s="323" t="s">
        <v>1331</v>
      </c>
      <c r="E151" s="323" t="s">
        <v>1320</v>
      </c>
      <c r="F151" s="323" t="s">
        <v>1698</v>
      </c>
      <c r="G151" s="323" t="s">
        <v>1643</v>
      </c>
      <c r="H151" s="323" t="s">
        <v>1699</v>
      </c>
      <c r="I151" s="322" t="s">
        <v>1704</v>
      </c>
      <c r="J151" s="323" t="s">
        <v>1705</v>
      </c>
      <c r="K151" s="323" t="s">
        <v>1419</v>
      </c>
      <c r="L151" s="322" t="s">
        <v>1706</v>
      </c>
      <c r="M151" s="323" t="s">
        <v>1699</v>
      </c>
      <c r="N151" s="323"/>
      <c r="O151" s="322"/>
      <c r="P151" s="323"/>
      <c r="Q151" s="323"/>
      <c r="R151" s="324"/>
      <c r="S151" s="324"/>
      <c r="T151" s="324"/>
      <c r="U151" s="324"/>
      <c r="V151" s="324"/>
      <c r="W151" s="324"/>
      <c r="X151" s="324"/>
      <c r="Y151" s="324"/>
      <c r="Z151" s="324"/>
      <c r="AA151" s="324"/>
      <c r="AB151" s="324"/>
      <c r="AC151" s="324"/>
      <c r="AD151" s="324">
        <f t="shared" si="26"/>
        <v>0</v>
      </c>
      <c r="AF151" s="327"/>
      <c r="AG151" s="327"/>
      <c r="AH151" s="327"/>
      <c r="AI151" s="327"/>
      <c r="AJ151" s="327"/>
      <c r="AK151" s="327"/>
      <c r="AL151" s="327"/>
      <c r="AM151" s="327"/>
      <c r="AN151" s="327"/>
      <c r="AO151" s="327"/>
      <c r="AP151" s="327"/>
      <c r="AQ151" s="327"/>
      <c r="AR151" s="325">
        <f t="shared" si="17"/>
        <v>0</v>
      </c>
      <c r="AS151" s="327">
        <f t="shared" si="24"/>
        <v>0</v>
      </c>
      <c r="AT151" s="327">
        <f t="shared" si="25"/>
        <v>0</v>
      </c>
    </row>
    <row r="152" spans="1:46" x14ac:dyDescent="0.35">
      <c r="A152" s="321" t="s">
        <v>1282</v>
      </c>
      <c r="B152" s="321" t="s">
        <v>1283</v>
      </c>
      <c r="C152" s="322" t="s">
        <v>1626</v>
      </c>
      <c r="D152" s="323" t="s">
        <v>1331</v>
      </c>
      <c r="E152" s="323" t="s">
        <v>1320</v>
      </c>
      <c r="F152" s="323" t="s">
        <v>1698</v>
      </c>
      <c r="G152" s="323" t="s">
        <v>1643</v>
      </c>
      <c r="H152" s="323" t="s">
        <v>1699</v>
      </c>
      <c r="I152" s="322" t="s">
        <v>1707</v>
      </c>
      <c r="J152" s="323" t="s">
        <v>1705</v>
      </c>
      <c r="K152" s="323" t="s">
        <v>1419</v>
      </c>
      <c r="L152" s="322" t="s">
        <v>1706</v>
      </c>
      <c r="M152" s="323" t="s">
        <v>1699</v>
      </c>
      <c r="N152" s="323"/>
      <c r="O152" s="322"/>
      <c r="P152" s="323"/>
      <c r="Q152" s="323"/>
      <c r="R152" s="324"/>
      <c r="S152" s="324"/>
      <c r="T152" s="324"/>
      <c r="U152" s="324"/>
      <c r="V152" s="324"/>
      <c r="W152" s="324"/>
      <c r="X152" s="324"/>
      <c r="Y152" s="324"/>
      <c r="Z152" s="324"/>
      <c r="AA152" s="324"/>
      <c r="AB152" s="324"/>
      <c r="AC152" s="324"/>
      <c r="AD152" s="324">
        <f t="shared" si="26"/>
        <v>0</v>
      </c>
      <c r="AF152" s="327"/>
      <c r="AG152" s="327"/>
      <c r="AH152" s="327"/>
      <c r="AI152" s="327"/>
      <c r="AJ152" s="327"/>
      <c r="AK152" s="327"/>
      <c r="AL152" s="327"/>
      <c r="AM152" s="327"/>
      <c r="AN152" s="327"/>
      <c r="AO152" s="327"/>
      <c r="AP152" s="327"/>
      <c r="AQ152" s="327"/>
      <c r="AR152" s="325">
        <f t="shared" si="17"/>
        <v>0</v>
      </c>
      <c r="AS152" s="327">
        <f t="shared" si="24"/>
        <v>0</v>
      </c>
      <c r="AT152" s="327">
        <f t="shared" si="25"/>
        <v>0</v>
      </c>
    </row>
    <row r="153" spans="1:46" x14ac:dyDescent="0.35">
      <c r="A153" s="321" t="s">
        <v>1282</v>
      </c>
      <c r="B153" s="321" t="s">
        <v>1283</v>
      </c>
      <c r="C153" s="322" t="s">
        <v>1626</v>
      </c>
      <c r="D153" s="323" t="s">
        <v>1331</v>
      </c>
      <c r="E153" s="323" t="s">
        <v>1320</v>
      </c>
      <c r="F153" s="323" t="s">
        <v>1698</v>
      </c>
      <c r="G153" s="323" t="s">
        <v>1643</v>
      </c>
      <c r="H153" s="323" t="s">
        <v>1699</v>
      </c>
      <c r="I153" s="322" t="s">
        <v>1708</v>
      </c>
      <c r="J153" s="323" t="s">
        <v>1705</v>
      </c>
      <c r="K153" s="323" t="s">
        <v>1419</v>
      </c>
      <c r="L153" s="322" t="s">
        <v>1706</v>
      </c>
      <c r="M153" s="323" t="s">
        <v>1699</v>
      </c>
      <c r="N153" s="323"/>
      <c r="O153" s="322"/>
      <c r="P153" s="323"/>
      <c r="Q153" s="323"/>
      <c r="R153" s="324"/>
      <c r="S153" s="324"/>
      <c r="T153" s="324"/>
      <c r="U153" s="324"/>
      <c r="V153" s="324"/>
      <c r="W153" s="324"/>
      <c r="X153" s="324"/>
      <c r="Y153" s="324"/>
      <c r="Z153" s="324"/>
      <c r="AA153" s="324"/>
      <c r="AB153" s="324"/>
      <c r="AC153" s="324"/>
      <c r="AD153" s="324">
        <f t="shared" si="26"/>
        <v>0</v>
      </c>
      <c r="AF153" s="327"/>
      <c r="AG153" s="327"/>
      <c r="AH153" s="327"/>
      <c r="AI153" s="327"/>
      <c r="AJ153" s="327"/>
      <c r="AK153" s="327"/>
      <c r="AL153" s="327"/>
      <c r="AM153" s="327"/>
      <c r="AN153" s="327"/>
      <c r="AO153" s="327"/>
      <c r="AP153" s="327"/>
      <c r="AQ153" s="327"/>
      <c r="AR153" s="325">
        <f t="shared" si="17"/>
        <v>0</v>
      </c>
      <c r="AS153" s="327">
        <f t="shared" si="24"/>
        <v>0</v>
      </c>
      <c r="AT153" s="327">
        <f t="shared" si="25"/>
        <v>0</v>
      </c>
    </row>
    <row r="154" spans="1:46" x14ac:dyDescent="0.35">
      <c r="A154" s="314" t="s">
        <v>1282</v>
      </c>
      <c r="B154" s="314" t="s">
        <v>1283</v>
      </c>
      <c r="C154" s="315" t="s">
        <v>1626</v>
      </c>
      <c r="D154" s="315"/>
      <c r="E154" s="315"/>
      <c r="F154" s="315"/>
      <c r="G154" s="315"/>
      <c r="H154" s="316" t="s">
        <v>1709</v>
      </c>
      <c r="I154" s="316" t="s">
        <v>1710</v>
      </c>
      <c r="J154" s="328"/>
      <c r="K154" s="315"/>
      <c r="L154" s="315"/>
      <c r="M154" s="315"/>
      <c r="N154" s="328"/>
      <c r="O154" s="316" t="s">
        <v>1710</v>
      </c>
      <c r="P154" s="328"/>
      <c r="Q154" s="328"/>
      <c r="R154" s="318">
        <f t="shared" ref="R154:AC154" si="27">SUM(R155:R231)</f>
        <v>0</v>
      </c>
      <c r="S154" s="318">
        <f t="shared" si="27"/>
        <v>0</v>
      </c>
      <c r="T154" s="318">
        <f t="shared" si="27"/>
        <v>0</v>
      </c>
      <c r="U154" s="318">
        <f t="shared" si="27"/>
        <v>0</v>
      </c>
      <c r="V154" s="318">
        <f t="shared" si="27"/>
        <v>0</v>
      </c>
      <c r="W154" s="318">
        <f t="shared" si="27"/>
        <v>0</v>
      </c>
      <c r="X154" s="318">
        <f t="shared" si="27"/>
        <v>0</v>
      </c>
      <c r="Y154" s="318">
        <f t="shared" si="27"/>
        <v>0</v>
      </c>
      <c r="Z154" s="318">
        <f t="shared" si="27"/>
        <v>0</v>
      </c>
      <c r="AA154" s="318">
        <f t="shared" si="27"/>
        <v>0</v>
      </c>
      <c r="AB154" s="318">
        <f t="shared" si="27"/>
        <v>0</v>
      </c>
      <c r="AC154" s="318">
        <f t="shared" si="27"/>
        <v>0</v>
      </c>
      <c r="AD154" s="318">
        <f t="shared" si="26"/>
        <v>0</v>
      </c>
      <c r="AF154" s="318">
        <f t="shared" ref="AF154:AR154" si="28">SUM(AF155:AF231)</f>
        <v>0</v>
      </c>
      <c r="AG154" s="318">
        <f t="shared" si="28"/>
        <v>0</v>
      </c>
      <c r="AH154" s="318">
        <f t="shared" si="28"/>
        <v>0</v>
      </c>
      <c r="AI154" s="318">
        <f t="shared" si="28"/>
        <v>0</v>
      </c>
      <c r="AJ154" s="318">
        <f t="shared" si="28"/>
        <v>0</v>
      </c>
      <c r="AK154" s="318">
        <f t="shared" si="28"/>
        <v>0</v>
      </c>
      <c r="AL154" s="318">
        <f t="shared" si="28"/>
        <v>0</v>
      </c>
      <c r="AM154" s="318">
        <f t="shared" si="28"/>
        <v>0</v>
      </c>
      <c r="AN154" s="318">
        <f t="shared" si="28"/>
        <v>0</v>
      </c>
      <c r="AO154" s="318">
        <f t="shared" si="28"/>
        <v>0</v>
      </c>
      <c r="AP154" s="318">
        <f t="shared" si="28"/>
        <v>0</v>
      </c>
      <c r="AQ154" s="318">
        <f t="shared" si="28"/>
        <v>0</v>
      </c>
      <c r="AR154" s="318">
        <f t="shared" si="28"/>
        <v>0</v>
      </c>
      <c r="AS154" s="318">
        <f t="shared" si="24"/>
        <v>0</v>
      </c>
      <c r="AT154" s="318">
        <f t="shared" si="25"/>
        <v>0</v>
      </c>
    </row>
    <row r="155" spans="1:46" x14ac:dyDescent="0.35">
      <c r="A155" s="321" t="s">
        <v>1282</v>
      </c>
      <c r="B155" s="321" t="s">
        <v>1283</v>
      </c>
      <c r="C155" s="322" t="s">
        <v>1626</v>
      </c>
      <c r="D155" s="323" t="s">
        <v>1319</v>
      </c>
      <c r="E155" s="323" t="s">
        <v>1320</v>
      </c>
      <c r="F155" s="323" t="s">
        <v>1375</v>
      </c>
      <c r="G155" s="323" t="s">
        <v>1643</v>
      </c>
      <c r="H155" s="323" t="s">
        <v>1355</v>
      </c>
      <c r="I155" s="322" t="s">
        <v>1711</v>
      </c>
      <c r="J155" s="323" t="s">
        <v>1381</v>
      </c>
      <c r="K155" s="323" t="s">
        <v>493</v>
      </c>
      <c r="L155" s="322" t="s">
        <v>1378</v>
      </c>
      <c r="M155" s="323" t="s">
        <v>1379</v>
      </c>
      <c r="N155" s="323"/>
      <c r="O155" s="322"/>
      <c r="P155" s="323"/>
      <c r="Q155" s="323"/>
      <c r="R155" s="324"/>
      <c r="S155" s="324"/>
      <c r="T155" s="324"/>
      <c r="U155" s="324"/>
      <c r="V155" s="324"/>
      <c r="W155" s="324"/>
      <c r="X155" s="324"/>
      <c r="Y155" s="324"/>
      <c r="Z155" s="324"/>
      <c r="AA155" s="324"/>
      <c r="AB155" s="324"/>
      <c r="AC155" s="324"/>
      <c r="AD155" s="324">
        <f t="shared" si="26"/>
        <v>0</v>
      </c>
      <c r="AF155" s="327"/>
      <c r="AG155" s="327"/>
      <c r="AH155" s="327"/>
      <c r="AI155" s="327"/>
      <c r="AJ155" s="327"/>
      <c r="AK155" s="327"/>
      <c r="AL155" s="327"/>
      <c r="AM155" s="327"/>
      <c r="AN155" s="327"/>
      <c r="AO155" s="327"/>
      <c r="AP155" s="327"/>
      <c r="AQ155" s="327"/>
      <c r="AR155" s="325">
        <f t="shared" si="17"/>
        <v>0</v>
      </c>
      <c r="AS155" s="327">
        <f t="shared" si="24"/>
        <v>0</v>
      </c>
      <c r="AT155" s="327">
        <f t="shared" si="25"/>
        <v>0</v>
      </c>
    </row>
    <row r="156" spans="1:46" x14ac:dyDescent="0.35">
      <c r="A156" s="321" t="s">
        <v>1282</v>
      </c>
      <c r="B156" s="321" t="s">
        <v>1283</v>
      </c>
      <c r="C156" s="322" t="s">
        <v>1626</v>
      </c>
      <c r="D156" s="323" t="s">
        <v>1319</v>
      </c>
      <c r="E156" s="323" t="s">
        <v>1320</v>
      </c>
      <c r="F156" s="323" t="s">
        <v>1421</v>
      </c>
      <c r="G156" s="323" t="s">
        <v>1643</v>
      </c>
      <c r="H156" s="323" t="s">
        <v>1422</v>
      </c>
      <c r="I156" s="322" t="s">
        <v>934</v>
      </c>
      <c r="J156" s="323" t="s">
        <v>732</v>
      </c>
      <c r="K156" s="323" t="s">
        <v>733</v>
      </c>
      <c r="L156" s="322" t="s">
        <v>1423</v>
      </c>
      <c r="M156" s="323" t="s">
        <v>1422</v>
      </c>
      <c r="N156" s="323"/>
      <c r="O156" s="322"/>
      <c r="P156" s="323"/>
      <c r="Q156" s="323"/>
      <c r="R156" s="324"/>
      <c r="S156" s="324"/>
      <c r="T156" s="324"/>
      <c r="U156" s="324"/>
      <c r="V156" s="324"/>
      <c r="W156" s="324"/>
      <c r="X156" s="324"/>
      <c r="Y156" s="324"/>
      <c r="Z156" s="324"/>
      <c r="AA156" s="324"/>
      <c r="AB156" s="324"/>
      <c r="AC156" s="324"/>
      <c r="AD156" s="324">
        <f t="shared" si="26"/>
        <v>0</v>
      </c>
      <c r="AF156" s="327"/>
      <c r="AG156" s="327"/>
      <c r="AH156" s="327"/>
      <c r="AI156" s="327"/>
      <c r="AJ156" s="327"/>
      <c r="AK156" s="327"/>
      <c r="AL156" s="327"/>
      <c r="AM156" s="327"/>
      <c r="AN156" s="327"/>
      <c r="AO156" s="327"/>
      <c r="AP156" s="327"/>
      <c r="AQ156" s="327"/>
      <c r="AR156" s="325">
        <f t="shared" si="17"/>
        <v>0</v>
      </c>
      <c r="AS156" s="327">
        <f t="shared" si="24"/>
        <v>0</v>
      </c>
      <c r="AT156" s="327">
        <f t="shared" si="25"/>
        <v>0</v>
      </c>
    </row>
    <row r="157" spans="1:46" x14ac:dyDescent="0.35">
      <c r="A157" s="321" t="s">
        <v>1282</v>
      </c>
      <c r="B157" s="321" t="s">
        <v>1283</v>
      </c>
      <c r="C157" s="322" t="s">
        <v>1626</v>
      </c>
      <c r="D157" s="323" t="s">
        <v>1319</v>
      </c>
      <c r="E157" s="323" t="s">
        <v>1320</v>
      </c>
      <c r="F157" s="323" t="s">
        <v>1424</v>
      </c>
      <c r="G157" s="323" t="s">
        <v>1643</v>
      </c>
      <c r="H157" s="323" t="s">
        <v>737</v>
      </c>
      <c r="I157" s="322" t="s">
        <v>1712</v>
      </c>
      <c r="J157" s="323" t="s">
        <v>979</v>
      </c>
      <c r="K157" s="323" t="s">
        <v>738</v>
      </c>
      <c r="L157" s="322" t="s">
        <v>1427</v>
      </c>
      <c r="M157" s="323" t="s">
        <v>737</v>
      </c>
      <c r="N157" s="323"/>
      <c r="O157" s="322"/>
      <c r="P157" s="323"/>
      <c r="Q157" s="323"/>
      <c r="R157" s="324"/>
      <c r="S157" s="324"/>
      <c r="T157" s="324"/>
      <c r="U157" s="324"/>
      <c r="V157" s="324"/>
      <c r="W157" s="324"/>
      <c r="X157" s="324"/>
      <c r="Y157" s="324"/>
      <c r="Z157" s="324"/>
      <c r="AA157" s="324"/>
      <c r="AB157" s="324"/>
      <c r="AC157" s="324"/>
      <c r="AD157" s="324">
        <f t="shared" si="26"/>
        <v>0</v>
      </c>
      <c r="AF157" s="327"/>
      <c r="AG157" s="327"/>
      <c r="AH157" s="327"/>
      <c r="AI157" s="327"/>
      <c r="AJ157" s="327"/>
      <c r="AK157" s="327"/>
      <c r="AL157" s="327"/>
      <c r="AM157" s="327"/>
      <c r="AN157" s="327"/>
      <c r="AO157" s="327"/>
      <c r="AP157" s="327"/>
      <c r="AQ157" s="327"/>
      <c r="AR157" s="325">
        <f t="shared" si="17"/>
        <v>0</v>
      </c>
      <c r="AS157" s="327">
        <f t="shared" si="24"/>
        <v>0</v>
      </c>
      <c r="AT157" s="327">
        <f t="shared" si="25"/>
        <v>0</v>
      </c>
    </row>
    <row r="158" spans="1:46" x14ac:dyDescent="0.35">
      <c r="A158" s="321" t="s">
        <v>1282</v>
      </c>
      <c r="B158" s="321" t="s">
        <v>1283</v>
      </c>
      <c r="C158" s="322" t="s">
        <v>1626</v>
      </c>
      <c r="D158" s="323" t="s">
        <v>1319</v>
      </c>
      <c r="E158" s="323" t="s">
        <v>1320</v>
      </c>
      <c r="F158" s="323" t="s">
        <v>1424</v>
      </c>
      <c r="G158" s="323" t="s">
        <v>1643</v>
      </c>
      <c r="H158" s="323" t="s">
        <v>737</v>
      </c>
      <c r="I158" s="322" t="s">
        <v>1713</v>
      </c>
      <c r="J158" s="323" t="s">
        <v>979</v>
      </c>
      <c r="K158" s="323" t="s">
        <v>738</v>
      </c>
      <c r="L158" s="322" t="s">
        <v>1427</v>
      </c>
      <c r="M158" s="323" t="s">
        <v>737</v>
      </c>
      <c r="N158" s="323"/>
      <c r="O158" s="322"/>
      <c r="P158" s="323"/>
      <c r="Q158" s="323"/>
      <c r="R158" s="324"/>
      <c r="S158" s="324"/>
      <c r="T158" s="324"/>
      <c r="U158" s="324"/>
      <c r="V158" s="324"/>
      <c r="W158" s="324"/>
      <c r="X158" s="324"/>
      <c r="Y158" s="324"/>
      <c r="Z158" s="324"/>
      <c r="AA158" s="324"/>
      <c r="AB158" s="324"/>
      <c r="AC158" s="324"/>
      <c r="AD158" s="324">
        <f t="shared" si="26"/>
        <v>0</v>
      </c>
      <c r="AF158" s="327"/>
      <c r="AG158" s="327"/>
      <c r="AH158" s="327"/>
      <c r="AI158" s="327"/>
      <c r="AJ158" s="327"/>
      <c r="AK158" s="327"/>
      <c r="AL158" s="327"/>
      <c r="AM158" s="327"/>
      <c r="AN158" s="327"/>
      <c r="AO158" s="327"/>
      <c r="AP158" s="327"/>
      <c r="AQ158" s="327"/>
      <c r="AR158" s="325">
        <f t="shared" si="17"/>
        <v>0</v>
      </c>
      <c r="AS158" s="327">
        <f t="shared" si="24"/>
        <v>0</v>
      </c>
      <c r="AT158" s="327">
        <f t="shared" si="25"/>
        <v>0</v>
      </c>
    </row>
    <row r="159" spans="1:46" x14ac:dyDescent="0.35">
      <c r="A159" s="321" t="s">
        <v>1282</v>
      </c>
      <c r="B159" s="321" t="s">
        <v>1283</v>
      </c>
      <c r="C159" s="322" t="s">
        <v>1626</v>
      </c>
      <c r="D159" s="323" t="s">
        <v>1319</v>
      </c>
      <c r="E159" s="323" t="s">
        <v>1320</v>
      </c>
      <c r="F159" s="323" t="s">
        <v>1714</v>
      </c>
      <c r="G159" s="323" t="s">
        <v>1643</v>
      </c>
      <c r="H159" s="323" t="s">
        <v>1715</v>
      </c>
      <c r="I159" s="322" t="s">
        <v>1716</v>
      </c>
      <c r="J159" s="323" t="s">
        <v>1717</v>
      </c>
      <c r="K159" s="323" t="s">
        <v>729</v>
      </c>
      <c r="L159" s="322" t="s">
        <v>1718</v>
      </c>
      <c r="M159" s="323" t="s">
        <v>1719</v>
      </c>
      <c r="N159" s="323"/>
      <c r="O159" s="322"/>
      <c r="P159" s="323"/>
      <c r="Q159" s="323"/>
      <c r="R159" s="324"/>
      <c r="S159" s="324"/>
      <c r="T159" s="324"/>
      <c r="U159" s="324"/>
      <c r="V159" s="324"/>
      <c r="W159" s="324"/>
      <c r="X159" s="324"/>
      <c r="Y159" s="324"/>
      <c r="Z159" s="324"/>
      <c r="AA159" s="324"/>
      <c r="AB159" s="324"/>
      <c r="AC159" s="324"/>
      <c r="AD159" s="324">
        <f t="shared" si="26"/>
        <v>0</v>
      </c>
      <c r="AF159" s="327"/>
      <c r="AG159" s="327"/>
      <c r="AH159" s="327"/>
      <c r="AI159" s="327"/>
      <c r="AJ159" s="327"/>
      <c r="AK159" s="327"/>
      <c r="AL159" s="327"/>
      <c r="AM159" s="327"/>
      <c r="AN159" s="327"/>
      <c r="AO159" s="327"/>
      <c r="AP159" s="327"/>
      <c r="AQ159" s="327"/>
      <c r="AR159" s="325">
        <f t="shared" si="17"/>
        <v>0</v>
      </c>
      <c r="AS159" s="327">
        <f t="shared" si="24"/>
        <v>0</v>
      </c>
      <c r="AT159" s="327">
        <f t="shared" si="25"/>
        <v>0</v>
      </c>
    </row>
    <row r="160" spans="1:46" x14ac:dyDescent="0.35">
      <c r="A160" s="321" t="s">
        <v>1282</v>
      </c>
      <c r="B160" s="321" t="s">
        <v>1283</v>
      </c>
      <c r="C160" s="322" t="s">
        <v>1626</v>
      </c>
      <c r="D160" s="323" t="s">
        <v>1319</v>
      </c>
      <c r="E160" s="323" t="s">
        <v>1320</v>
      </c>
      <c r="F160" s="323" t="s">
        <v>1714</v>
      </c>
      <c r="G160" s="323" t="s">
        <v>1643</v>
      </c>
      <c r="H160" s="323" t="s">
        <v>1715</v>
      </c>
      <c r="I160" s="322" t="s">
        <v>1720</v>
      </c>
      <c r="J160" s="323" t="s">
        <v>961</v>
      </c>
      <c r="K160" s="323" t="s">
        <v>1006</v>
      </c>
      <c r="L160" s="322" t="s">
        <v>1721</v>
      </c>
      <c r="M160" s="323" t="s">
        <v>1722</v>
      </c>
      <c r="N160" s="323"/>
      <c r="O160" s="322"/>
      <c r="P160" s="323"/>
      <c r="Q160" s="323"/>
      <c r="R160" s="324"/>
      <c r="S160" s="324"/>
      <c r="T160" s="324"/>
      <c r="U160" s="324"/>
      <c r="V160" s="324"/>
      <c r="W160" s="324"/>
      <c r="X160" s="324"/>
      <c r="Y160" s="324"/>
      <c r="Z160" s="324"/>
      <c r="AA160" s="324"/>
      <c r="AB160" s="324"/>
      <c r="AC160" s="324"/>
      <c r="AD160" s="324">
        <f t="shared" si="26"/>
        <v>0</v>
      </c>
      <c r="AF160" s="327"/>
      <c r="AG160" s="327"/>
      <c r="AH160" s="327"/>
      <c r="AI160" s="327"/>
      <c r="AJ160" s="327"/>
      <c r="AK160" s="327"/>
      <c r="AL160" s="327"/>
      <c r="AM160" s="327"/>
      <c r="AN160" s="327"/>
      <c r="AO160" s="327"/>
      <c r="AP160" s="327"/>
      <c r="AQ160" s="327"/>
      <c r="AR160" s="325">
        <f t="shared" si="17"/>
        <v>0</v>
      </c>
      <c r="AS160" s="327">
        <f t="shared" si="24"/>
        <v>0</v>
      </c>
      <c r="AT160" s="327">
        <f t="shared" si="25"/>
        <v>0</v>
      </c>
    </row>
    <row r="161" spans="1:46" x14ac:dyDescent="0.35">
      <c r="A161" s="321" t="s">
        <v>1282</v>
      </c>
      <c r="B161" s="321" t="s">
        <v>1283</v>
      </c>
      <c r="C161" s="322" t="s">
        <v>1626</v>
      </c>
      <c r="D161" s="323" t="s">
        <v>1319</v>
      </c>
      <c r="E161" s="323" t="s">
        <v>1320</v>
      </c>
      <c r="F161" s="323" t="s">
        <v>1428</v>
      </c>
      <c r="G161" s="323" t="s">
        <v>1643</v>
      </c>
      <c r="H161" s="323" t="s">
        <v>1723</v>
      </c>
      <c r="I161" s="322" t="s">
        <v>1724</v>
      </c>
      <c r="J161" s="323" t="s">
        <v>1001</v>
      </c>
      <c r="K161" s="323" t="s">
        <v>1002</v>
      </c>
      <c r="L161" s="322" t="s">
        <v>1725</v>
      </c>
      <c r="M161" s="323" t="s">
        <v>1726</v>
      </c>
      <c r="N161" s="323"/>
      <c r="O161" s="322"/>
      <c r="P161" s="323"/>
      <c r="Q161" s="323"/>
      <c r="R161" s="324"/>
      <c r="S161" s="324"/>
      <c r="T161" s="324"/>
      <c r="U161" s="324"/>
      <c r="V161" s="324"/>
      <c r="W161" s="324"/>
      <c r="X161" s="324"/>
      <c r="Y161" s="324"/>
      <c r="Z161" s="324"/>
      <c r="AA161" s="324"/>
      <c r="AB161" s="324"/>
      <c r="AC161" s="324"/>
      <c r="AD161" s="324">
        <f t="shared" si="26"/>
        <v>0</v>
      </c>
      <c r="AF161" s="327"/>
      <c r="AG161" s="327"/>
      <c r="AH161" s="327"/>
      <c r="AI161" s="327"/>
      <c r="AJ161" s="327"/>
      <c r="AK161" s="327"/>
      <c r="AL161" s="327"/>
      <c r="AM161" s="327"/>
      <c r="AN161" s="327"/>
      <c r="AO161" s="327"/>
      <c r="AP161" s="327"/>
      <c r="AQ161" s="327"/>
      <c r="AR161" s="325">
        <f t="shared" si="17"/>
        <v>0</v>
      </c>
      <c r="AS161" s="327">
        <f t="shared" si="24"/>
        <v>0</v>
      </c>
      <c r="AT161" s="327">
        <f t="shared" si="25"/>
        <v>0</v>
      </c>
    </row>
    <row r="162" spans="1:46" x14ac:dyDescent="0.35">
      <c r="A162" s="321" t="s">
        <v>1282</v>
      </c>
      <c r="B162" s="321" t="s">
        <v>1283</v>
      </c>
      <c r="C162" s="322" t="s">
        <v>1626</v>
      </c>
      <c r="D162" s="323" t="s">
        <v>1319</v>
      </c>
      <c r="E162" s="323" t="s">
        <v>1320</v>
      </c>
      <c r="F162" s="323" t="s">
        <v>1428</v>
      </c>
      <c r="G162" s="323" t="s">
        <v>1643</v>
      </c>
      <c r="H162" s="323" t="s">
        <v>1723</v>
      </c>
      <c r="I162" s="322" t="s">
        <v>1727</v>
      </c>
      <c r="J162" s="323" t="s">
        <v>1013</v>
      </c>
      <c r="K162" s="323" t="s">
        <v>1014</v>
      </c>
      <c r="L162" s="322" t="s">
        <v>1431</v>
      </c>
      <c r="M162" s="323" t="s">
        <v>1432</v>
      </c>
      <c r="N162" s="323"/>
      <c r="O162" s="322"/>
      <c r="P162" s="323"/>
      <c r="Q162" s="323"/>
      <c r="R162" s="324"/>
      <c r="S162" s="324"/>
      <c r="T162" s="324"/>
      <c r="U162" s="324"/>
      <c r="V162" s="324"/>
      <c r="W162" s="324"/>
      <c r="X162" s="324"/>
      <c r="Y162" s="324"/>
      <c r="Z162" s="324"/>
      <c r="AA162" s="324"/>
      <c r="AB162" s="324"/>
      <c r="AC162" s="324"/>
      <c r="AD162" s="324">
        <f t="shared" si="26"/>
        <v>0</v>
      </c>
      <c r="AF162" s="327"/>
      <c r="AG162" s="327"/>
      <c r="AH162" s="327"/>
      <c r="AI162" s="327"/>
      <c r="AJ162" s="327"/>
      <c r="AK162" s="327"/>
      <c r="AL162" s="327"/>
      <c r="AM162" s="327"/>
      <c r="AN162" s="327"/>
      <c r="AO162" s="327"/>
      <c r="AP162" s="327"/>
      <c r="AQ162" s="327"/>
      <c r="AR162" s="325">
        <f t="shared" si="17"/>
        <v>0</v>
      </c>
      <c r="AS162" s="327">
        <f t="shared" si="24"/>
        <v>0</v>
      </c>
      <c r="AT162" s="327">
        <f t="shared" si="25"/>
        <v>0</v>
      </c>
    </row>
    <row r="163" spans="1:46" x14ac:dyDescent="0.35">
      <c r="A163" s="321" t="s">
        <v>1282</v>
      </c>
      <c r="B163" s="321" t="s">
        <v>1283</v>
      </c>
      <c r="C163" s="322" t="s">
        <v>1626</v>
      </c>
      <c r="D163" s="323" t="s">
        <v>1319</v>
      </c>
      <c r="E163" s="323" t="s">
        <v>1320</v>
      </c>
      <c r="F163" s="323" t="s">
        <v>1428</v>
      </c>
      <c r="G163" s="323" t="s">
        <v>1643</v>
      </c>
      <c r="H163" s="323" t="s">
        <v>1723</v>
      </c>
      <c r="I163" s="322" t="s">
        <v>1728</v>
      </c>
      <c r="J163" s="323" t="s">
        <v>1018</v>
      </c>
      <c r="K163" s="323" t="s">
        <v>729</v>
      </c>
      <c r="L163" s="322" t="s">
        <v>1729</v>
      </c>
      <c r="M163" s="323" t="s">
        <v>1730</v>
      </c>
      <c r="N163" s="323"/>
      <c r="O163" s="322"/>
      <c r="P163" s="323"/>
      <c r="Q163" s="323"/>
      <c r="R163" s="324"/>
      <c r="S163" s="324"/>
      <c r="T163" s="324"/>
      <c r="U163" s="324"/>
      <c r="V163" s="324"/>
      <c r="W163" s="324"/>
      <c r="X163" s="324"/>
      <c r="Y163" s="324"/>
      <c r="Z163" s="324"/>
      <c r="AA163" s="324"/>
      <c r="AB163" s="324"/>
      <c r="AC163" s="324"/>
      <c r="AD163" s="324">
        <f t="shared" si="26"/>
        <v>0</v>
      </c>
      <c r="AF163" s="327"/>
      <c r="AG163" s="327"/>
      <c r="AH163" s="327"/>
      <c r="AI163" s="327"/>
      <c r="AJ163" s="327"/>
      <c r="AK163" s="327"/>
      <c r="AL163" s="327"/>
      <c r="AM163" s="327"/>
      <c r="AN163" s="327"/>
      <c r="AO163" s="327"/>
      <c r="AP163" s="327"/>
      <c r="AQ163" s="327"/>
      <c r="AR163" s="325">
        <f t="shared" si="17"/>
        <v>0</v>
      </c>
      <c r="AS163" s="327">
        <f t="shared" si="24"/>
        <v>0</v>
      </c>
      <c r="AT163" s="327">
        <f t="shared" si="25"/>
        <v>0</v>
      </c>
    </row>
    <row r="164" spans="1:46" x14ac:dyDescent="0.35">
      <c r="A164" s="321" t="s">
        <v>1282</v>
      </c>
      <c r="B164" s="321" t="s">
        <v>1283</v>
      </c>
      <c r="C164" s="322" t="s">
        <v>1626</v>
      </c>
      <c r="D164" s="323" t="s">
        <v>1319</v>
      </c>
      <c r="E164" s="323" t="s">
        <v>1320</v>
      </c>
      <c r="F164" s="323" t="s">
        <v>1731</v>
      </c>
      <c r="G164" s="323" t="s">
        <v>1643</v>
      </c>
      <c r="H164" s="323" t="s">
        <v>1732</v>
      </c>
      <c r="I164" s="322" t="s">
        <v>1733</v>
      </c>
      <c r="J164" s="323" t="s">
        <v>1734</v>
      </c>
      <c r="K164" s="323" t="s">
        <v>995</v>
      </c>
      <c r="L164" s="322" t="s">
        <v>1735</v>
      </c>
      <c r="M164" s="323" t="s">
        <v>1736</v>
      </c>
      <c r="N164" s="323"/>
      <c r="O164" s="322"/>
      <c r="P164" s="323"/>
      <c r="Q164" s="323"/>
      <c r="R164" s="324"/>
      <c r="S164" s="324"/>
      <c r="T164" s="324"/>
      <c r="U164" s="324"/>
      <c r="V164" s="324"/>
      <c r="W164" s="324"/>
      <c r="X164" s="324"/>
      <c r="Y164" s="324"/>
      <c r="Z164" s="324"/>
      <c r="AA164" s="324"/>
      <c r="AB164" s="324"/>
      <c r="AC164" s="324"/>
      <c r="AD164" s="324">
        <f t="shared" si="26"/>
        <v>0</v>
      </c>
      <c r="AF164" s="327"/>
      <c r="AG164" s="327"/>
      <c r="AH164" s="327"/>
      <c r="AI164" s="327"/>
      <c r="AJ164" s="327"/>
      <c r="AK164" s="327"/>
      <c r="AL164" s="327"/>
      <c r="AM164" s="327"/>
      <c r="AN164" s="327"/>
      <c r="AO164" s="327"/>
      <c r="AP164" s="327"/>
      <c r="AQ164" s="327"/>
      <c r="AR164" s="325">
        <f t="shared" si="17"/>
        <v>0</v>
      </c>
      <c r="AS164" s="327">
        <f t="shared" si="24"/>
        <v>0</v>
      </c>
      <c r="AT164" s="327">
        <f t="shared" si="25"/>
        <v>0</v>
      </c>
    </row>
    <row r="165" spans="1:46" x14ac:dyDescent="0.35">
      <c r="A165" s="321" t="s">
        <v>1282</v>
      </c>
      <c r="B165" s="321" t="s">
        <v>1283</v>
      </c>
      <c r="C165" s="322" t="s">
        <v>1626</v>
      </c>
      <c r="D165" s="323" t="s">
        <v>1319</v>
      </c>
      <c r="E165" s="323" t="s">
        <v>1320</v>
      </c>
      <c r="F165" s="323" t="s">
        <v>1731</v>
      </c>
      <c r="G165" s="323" t="s">
        <v>1643</v>
      </c>
      <c r="H165" s="323" t="s">
        <v>1732</v>
      </c>
      <c r="I165" s="322" t="s">
        <v>1737</v>
      </c>
      <c r="J165" s="323" t="s">
        <v>1738</v>
      </c>
      <c r="K165" s="323" t="s">
        <v>995</v>
      </c>
      <c r="L165" s="322" t="s">
        <v>1739</v>
      </c>
      <c r="M165" s="323" t="s">
        <v>1740</v>
      </c>
      <c r="N165" s="323"/>
      <c r="O165" s="322"/>
      <c r="P165" s="323"/>
      <c r="Q165" s="323"/>
      <c r="R165" s="324"/>
      <c r="S165" s="324"/>
      <c r="T165" s="324"/>
      <c r="U165" s="324"/>
      <c r="V165" s="324"/>
      <c r="W165" s="324"/>
      <c r="X165" s="324"/>
      <c r="Y165" s="324"/>
      <c r="Z165" s="324"/>
      <c r="AA165" s="324"/>
      <c r="AB165" s="324"/>
      <c r="AC165" s="324"/>
      <c r="AD165" s="324">
        <f t="shared" si="26"/>
        <v>0</v>
      </c>
      <c r="AF165" s="327"/>
      <c r="AG165" s="327"/>
      <c r="AH165" s="327"/>
      <c r="AI165" s="327"/>
      <c r="AJ165" s="327"/>
      <c r="AK165" s="327"/>
      <c r="AL165" s="327"/>
      <c r="AM165" s="327"/>
      <c r="AN165" s="327"/>
      <c r="AO165" s="327"/>
      <c r="AP165" s="327"/>
      <c r="AQ165" s="327"/>
      <c r="AR165" s="325">
        <f t="shared" si="17"/>
        <v>0</v>
      </c>
      <c r="AS165" s="327">
        <f t="shared" si="24"/>
        <v>0</v>
      </c>
      <c r="AT165" s="327">
        <f t="shared" si="25"/>
        <v>0</v>
      </c>
    </row>
    <row r="166" spans="1:46" x14ac:dyDescent="0.35">
      <c r="A166" s="321" t="s">
        <v>1282</v>
      </c>
      <c r="B166" s="321" t="s">
        <v>1283</v>
      </c>
      <c r="C166" s="322" t="s">
        <v>1626</v>
      </c>
      <c r="D166" s="323" t="s">
        <v>1319</v>
      </c>
      <c r="E166" s="323" t="s">
        <v>1320</v>
      </c>
      <c r="F166" s="323" t="s">
        <v>1731</v>
      </c>
      <c r="G166" s="323" t="s">
        <v>1643</v>
      </c>
      <c r="H166" s="323" t="s">
        <v>1732</v>
      </c>
      <c r="I166" s="322" t="s">
        <v>1741</v>
      </c>
      <c r="J166" s="323" t="s">
        <v>994</v>
      </c>
      <c r="K166" s="323" t="s">
        <v>995</v>
      </c>
      <c r="L166" s="322" t="s">
        <v>1742</v>
      </c>
      <c r="M166" s="323" t="s">
        <v>1743</v>
      </c>
      <c r="N166" s="323"/>
      <c r="O166" s="322"/>
      <c r="P166" s="323"/>
      <c r="Q166" s="323"/>
      <c r="R166" s="324"/>
      <c r="S166" s="324"/>
      <c r="T166" s="324"/>
      <c r="U166" s="324"/>
      <c r="V166" s="324"/>
      <c r="W166" s="324"/>
      <c r="X166" s="324"/>
      <c r="Y166" s="324"/>
      <c r="Z166" s="324"/>
      <c r="AA166" s="324"/>
      <c r="AB166" s="324"/>
      <c r="AC166" s="324"/>
      <c r="AD166" s="324">
        <f t="shared" si="26"/>
        <v>0</v>
      </c>
      <c r="AF166" s="327"/>
      <c r="AG166" s="327"/>
      <c r="AH166" s="327"/>
      <c r="AI166" s="327"/>
      <c r="AJ166" s="327"/>
      <c r="AK166" s="327"/>
      <c r="AL166" s="327"/>
      <c r="AM166" s="327"/>
      <c r="AN166" s="327"/>
      <c r="AO166" s="327"/>
      <c r="AP166" s="327"/>
      <c r="AQ166" s="327"/>
      <c r="AR166" s="325">
        <f t="shared" si="17"/>
        <v>0</v>
      </c>
      <c r="AS166" s="327">
        <f t="shared" si="24"/>
        <v>0</v>
      </c>
      <c r="AT166" s="327">
        <f t="shared" si="25"/>
        <v>0</v>
      </c>
    </row>
    <row r="167" spans="1:46" x14ac:dyDescent="0.35">
      <c r="A167" s="321" t="s">
        <v>1282</v>
      </c>
      <c r="B167" s="321" t="s">
        <v>1283</v>
      </c>
      <c r="C167" s="322" t="s">
        <v>1626</v>
      </c>
      <c r="D167" s="323" t="s">
        <v>1319</v>
      </c>
      <c r="E167" s="323" t="s">
        <v>1320</v>
      </c>
      <c r="F167" s="323" t="s">
        <v>1731</v>
      </c>
      <c r="G167" s="323" t="s">
        <v>1643</v>
      </c>
      <c r="H167" s="323" t="s">
        <v>1732</v>
      </c>
      <c r="I167" s="322" t="s">
        <v>1744</v>
      </c>
      <c r="J167" s="323" t="s">
        <v>994</v>
      </c>
      <c r="K167" s="323" t="s">
        <v>995</v>
      </c>
      <c r="L167" s="322" t="s">
        <v>1742</v>
      </c>
      <c r="M167" s="323" t="s">
        <v>1743</v>
      </c>
      <c r="N167" s="323"/>
      <c r="O167" s="322"/>
      <c r="P167" s="323"/>
      <c r="Q167" s="323"/>
      <c r="R167" s="324"/>
      <c r="S167" s="324"/>
      <c r="T167" s="324"/>
      <c r="U167" s="324"/>
      <c r="V167" s="324"/>
      <c r="W167" s="324"/>
      <c r="X167" s="324"/>
      <c r="Y167" s="324"/>
      <c r="Z167" s="324"/>
      <c r="AA167" s="324"/>
      <c r="AB167" s="324"/>
      <c r="AC167" s="324"/>
      <c r="AD167" s="324">
        <f t="shared" si="26"/>
        <v>0</v>
      </c>
      <c r="AF167" s="327"/>
      <c r="AG167" s="327"/>
      <c r="AH167" s="327"/>
      <c r="AI167" s="327"/>
      <c r="AJ167" s="327"/>
      <c r="AK167" s="327"/>
      <c r="AL167" s="327"/>
      <c r="AM167" s="327"/>
      <c r="AN167" s="327"/>
      <c r="AO167" s="327"/>
      <c r="AP167" s="327"/>
      <c r="AQ167" s="327"/>
      <c r="AR167" s="325">
        <f t="shared" si="17"/>
        <v>0</v>
      </c>
      <c r="AS167" s="327">
        <f t="shared" si="24"/>
        <v>0</v>
      </c>
      <c r="AT167" s="327">
        <f t="shared" si="25"/>
        <v>0</v>
      </c>
    </row>
    <row r="168" spans="1:46" x14ac:dyDescent="0.35">
      <c r="A168" s="321" t="s">
        <v>1282</v>
      </c>
      <c r="B168" s="321" t="s">
        <v>1283</v>
      </c>
      <c r="C168" s="322" t="s">
        <v>1626</v>
      </c>
      <c r="D168" s="323" t="s">
        <v>1319</v>
      </c>
      <c r="E168" s="323" t="s">
        <v>1320</v>
      </c>
      <c r="F168" s="323" t="s">
        <v>1731</v>
      </c>
      <c r="G168" s="323" t="s">
        <v>1643</v>
      </c>
      <c r="H168" s="323" t="s">
        <v>1732</v>
      </c>
      <c r="I168" s="322" t="s">
        <v>1745</v>
      </c>
      <c r="J168" s="323" t="s">
        <v>1746</v>
      </c>
      <c r="K168" s="323" t="s">
        <v>995</v>
      </c>
      <c r="L168" s="322" t="s">
        <v>1747</v>
      </c>
      <c r="M168" s="323" t="s">
        <v>1748</v>
      </c>
      <c r="N168" s="323"/>
      <c r="O168" s="322"/>
      <c r="P168" s="323"/>
      <c r="Q168" s="323"/>
      <c r="R168" s="324"/>
      <c r="S168" s="324"/>
      <c r="T168" s="324"/>
      <c r="U168" s="324"/>
      <c r="V168" s="324"/>
      <c r="W168" s="324"/>
      <c r="X168" s="324"/>
      <c r="Y168" s="324"/>
      <c r="Z168" s="324"/>
      <c r="AA168" s="324"/>
      <c r="AB168" s="324"/>
      <c r="AC168" s="324"/>
      <c r="AD168" s="324">
        <f t="shared" si="26"/>
        <v>0</v>
      </c>
      <c r="AF168" s="327"/>
      <c r="AG168" s="327"/>
      <c r="AH168" s="327"/>
      <c r="AI168" s="327"/>
      <c r="AJ168" s="327"/>
      <c r="AK168" s="327"/>
      <c r="AL168" s="327"/>
      <c r="AM168" s="327"/>
      <c r="AN168" s="327"/>
      <c r="AO168" s="327"/>
      <c r="AP168" s="327"/>
      <c r="AQ168" s="327"/>
      <c r="AR168" s="325">
        <f t="shared" si="17"/>
        <v>0</v>
      </c>
      <c r="AS168" s="327">
        <f t="shared" si="24"/>
        <v>0</v>
      </c>
      <c r="AT168" s="327">
        <f t="shared" si="25"/>
        <v>0</v>
      </c>
    </row>
    <row r="169" spans="1:46" x14ac:dyDescent="0.35">
      <c r="A169" s="321" t="s">
        <v>1282</v>
      </c>
      <c r="B169" s="321" t="s">
        <v>1283</v>
      </c>
      <c r="C169" s="322" t="s">
        <v>1626</v>
      </c>
      <c r="D169" s="323" t="s">
        <v>1319</v>
      </c>
      <c r="E169" s="323" t="s">
        <v>1320</v>
      </c>
      <c r="F169" s="323" t="s">
        <v>1731</v>
      </c>
      <c r="G169" s="323" t="s">
        <v>1643</v>
      </c>
      <c r="H169" s="323" t="s">
        <v>1732</v>
      </c>
      <c r="I169" s="322" t="s">
        <v>1749</v>
      </c>
      <c r="J169" s="323" t="s">
        <v>1750</v>
      </c>
      <c r="K169" s="323" t="s">
        <v>1751</v>
      </c>
      <c r="L169" s="322" t="s">
        <v>1752</v>
      </c>
      <c r="M169" s="323" t="s">
        <v>1753</v>
      </c>
      <c r="N169" s="323"/>
      <c r="O169" s="322"/>
      <c r="P169" s="323"/>
      <c r="Q169" s="323"/>
      <c r="R169" s="324"/>
      <c r="S169" s="324"/>
      <c r="T169" s="324"/>
      <c r="U169" s="324"/>
      <c r="V169" s="324"/>
      <c r="W169" s="324"/>
      <c r="X169" s="324"/>
      <c r="Y169" s="324"/>
      <c r="Z169" s="324"/>
      <c r="AA169" s="324"/>
      <c r="AB169" s="324"/>
      <c r="AC169" s="324"/>
      <c r="AD169" s="324">
        <f t="shared" si="26"/>
        <v>0</v>
      </c>
      <c r="AF169" s="327"/>
      <c r="AG169" s="327"/>
      <c r="AH169" s="327"/>
      <c r="AI169" s="327"/>
      <c r="AJ169" s="327"/>
      <c r="AK169" s="327"/>
      <c r="AL169" s="327"/>
      <c r="AM169" s="327"/>
      <c r="AN169" s="327"/>
      <c r="AO169" s="327"/>
      <c r="AP169" s="327"/>
      <c r="AQ169" s="327"/>
      <c r="AR169" s="325">
        <f t="shared" si="17"/>
        <v>0</v>
      </c>
      <c r="AS169" s="327">
        <f t="shared" si="24"/>
        <v>0</v>
      </c>
      <c r="AT169" s="327">
        <f t="shared" si="25"/>
        <v>0</v>
      </c>
    </row>
    <row r="170" spans="1:46" x14ac:dyDescent="0.35">
      <c r="A170" s="321" t="s">
        <v>1282</v>
      </c>
      <c r="B170" s="321" t="s">
        <v>1283</v>
      </c>
      <c r="C170" s="322" t="s">
        <v>1626</v>
      </c>
      <c r="D170" s="323" t="s">
        <v>1319</v>
      </c>
      <c r="E170" s="323" t="s">
        <v>1320</v>
      </c>
      <c r="F170" s="323" t="s">
        <v>1731</v>
      </c>
      <c r="G170" s="323" t="s">
        <v>1643</v>
      </c>
      <c r="H170" s="323" t="s">
        <v>1732</v>
      </c>
      <c r="I170" s="322" t="s">
        <v>1754</v>
      </c>
      <c r="J170" s="323" t="s">
        <v>1755</v>
      </c>
      <c r="K170" s="323" t="s">
        <v>995</v>
      </c>
      <c r="L170" s="322" t="s">
        <v>1756</v>
      </c>
      <c r="M170" s="323" t="s">
        <v>1757</v>
      </c>
      <c r="N170" s="323"/>
      <c r="O170" s="322"/>
      <c r="P170" s="323"/>
      <c r="Q170" s="323"/>
      <c r="R170" s="324"/>
      <c r="S170" s="324"/>
      <c r="T170" s="324"/>
      <c r="U170" s="324"/>
      <c r="V170" s="324"/>
      <c r="W170" s="324"/>
      <c r="X170" s="324"/>
      <c r="Y170" s="324"/>
      <c r="Z170" s="324"/>
      <c r="AA170" s="324"/>
      <c r="AB170" s="324"/>
      <c r="AC170" s="324"/>
      <c r="AD170" s="324">
        <f t="shared" si="26"/>
        <v>0</v>
      </c>
      <c r="AF170" s="327"/>
      <c r="AG170" s="327"/>
      <c r="AH170" s="327"/>
      <c r="AI170" s="327"/>
      <c r="AJ170" s="327"/>
      <c r="AK170" s="327"/>
      <c r="AL170" s="327"/>
      <c r="AM170" s="327"/>
      <c r="AN170" s="327"/>
      <c r="AO170" s="327"/>
      <c r="AP170" s="327"/>
      <c r="AQ170" s="327"/>
      <c r="AR170" s="325">
        <f t="shared" si="17"/>
        <v>0</v>
      </c>
      <c r="AS170" s="327">
        <f t="shared" si="24"/>
        <v>0</v>
      </c>
      <c r="AT170" s="327">
        <f t="shared" si="25"/>
        <v>0</v>
      </c>
    </row>
    <row r="171" spans="1:46" x14ac:dyDescent="0.35">
      <c r="A171" s="321" t="s">
        <v>1282</v>
      </c>
      <c r="B171" s="321" t="s">
        <v>1283</v>
      </c>
      <c r="C171" s="322" t="s">
        <v>1626</v>
      </c>
      <c r="D171" s="323" t="s">
        <v>1319</v>
      </c>
      <c r="E171" s="323" t="s">
        <v>1320</v>
      </c>
      <c r="F171" s="323" t="s">
        <v>1433</v>
      </c>
      <c r="G171" s="323" t="s">
        <v>1643</v>
      </c>
      <c r="H171" s="323" t="s">
        <v>1434</v>
      </c>
      <c r="I171" s="322" t="s">
        <v>1758</v>
      </c>
      <c r="J171" s="323" t="s">
        <v>1759</v>
      </c>
      <c r="K171" s="323" t="s">
        <v>738</v>
      </c>
      <c r="L171" s="322" t="s">
        <v>1446</v>
      </c>
      <c r="M171" s="323" t="s">
        <v>1447</v>
      </c>
      <c r="N171" s="323"/>
      <c r="O171" s="322"/>
      <c r="P171" s="323"/>
      <c r="Q171" s="323"/>
      <c r="R171" s="324"/>
      <c r="S171" s="324"/>
      <c r="T171" s="324"/>
      <c r="U171" s="324"/>
      <c r="V171" s="324"/>
      <c r="W171" s="324"/>
      <c r="X171" s="324"/>
      <c r="Y171" s="324"/>
      <c r="Z171" s="324"/>
      <c r="AA171" s="324"/>
      <c r="AB171" s="324"/>
      <c r="AC171" s="324"/>
      <c r="AD171" s="324">
        <f t="shared" si="26"/>
        <v>0</v>
      </c>
      <c r="AF171" s="327"/>
      <c r="AG171" s="327"/>
      <c r="AH171" s="327"/>
      <c r="AI171" s="327"/>
      <c r="AJ171" s="327"/>
      <c r="AK171" s="327"/>
      <c r="AL171" s="327"/>
      <c r="AM171" s="327"/>
      <c r="AN171" s="327"/>
      <c r="AO171" s="327"/>
      <c r="AP171" s="327"/>
      <c r="AQ171" s="327"/>
      <c r="AR171" s="325">
        <f t="shared" ref="AR171:AR234" si="29">SUM(AF171:AQ171)</f>
        <v>0</v>
      </c>
      <c r="AS171" s="327">
        <f t="shared" si="24"/>
        <v>0</v>
      </c>
      <c r="AT171" s="327">
        <f t="shared" si="25"/>
        <v>0</v>
      </c>
    </row>
    <row r="172" spans="1:46" x14ac:dyDescent="0.35">
      <c r="A172" s="321" t="s">
        <v>1282</v>
      </c>
      <c r="B172" s="321" t="s">
        <v>1283</v>
      </c>
      <c r="C172" s="322" t="s">
        <v>1626</v>
      </c>
      <c r="D172" s="323" t="s">
        <v>1319</v>
      </c>
      <c r="E172" s="323" t="s">
        <v>1320</v>
      </c>
      <c r="F172" s="323" t="s">
        <v>1433</v>
      </c>
      <c r="G172" s="323" t="s">
        <v>1643</v>
      </c>
      <c r="H172" s="323" t="s">
        <v>1434</v>
      </c>
      <c r="I172" s="322" t="s">
        <v>1760</v>
      </c>
      <c r="J172" s="323" t="s">
        <v>1759</v>
      </c>
      <c r="K172" s="323" t="s">
        <v>738</v>
      </c>
      <c r="L172" s="322" t="s">
        <v>1446</v>
      </c>
      <c r="M172" s="323" t="s">
        <v>1447</v>
      </c>
      <c r="N172" s="323"/>
      <c r="O172" s="322"/>
      <c r="P172" s="323"/>
      <c r="Q172" s="323"/>
      <c r="R172" s="324"/>
      <c r="S172" s="324"/>
      <c r="T172" s="324"/>
      <c r="U172" s="324"/>
      <c r="V172" s="324"/>
      <c r="W172" s="324"/>
      <c r="X172" s="324"/>
      <c r="Y172" s="324"/>
      <c r="Z172" s="324"/>
      <c r="AA172" s="324"/>
      <c r="AB172" s="324"/>
      <c r="AC172" s="324"/>
      <c r="AD172" s="324">
        <f t="shared" si="26"/>
        <v>0</v>
      </c>
      <c r="AF172" s="327"/>
      <c r="AG172" s="327"/>
      <c r="AH172" s="327"/>
      <c r="AI172" s="327"/>
      <c r="AJ172" s="327"/>
      <c r="AK172" s="327"/>
      <c r="AL172" s="327"/>
      <c r="AM172" s="327"/>
      <c r="AN172" s="327"/>
      <c r="AO172" s="327"/>
      <c r="AP172" s="327"/>
      <c r="AQ172" s="327"/>
      <c r="AR172" s="325">
        <f t="shared" si="29"/>
        <v>0</v>
      </c>
      <c r="AS172" s="327">
        <f t="shared" si="24"/>
        <v>0</v>
      </c>
      <c r="AT172" s="327">
        <f t="shared" si="25"/>
        <v>0</v>
      </c>
    </row>
    <row r="173" spans="1:46" x14ac:dyDescent="0.35">
      <c r="A173" s="321" t="s">
        <v>1282</v>
      </c>
      <c r="B173" s="321" t="s">
        <v>1283</v>
      </c>
      <c r="C173" s="322" t="s">
        <v>1626</v>
      </c>
      <c r="D173" s="323" t="s">
        <v>1319</v>
      </c>
      <c r="E173" s="323" t="s">
        <v>1320</v>
      </c>
      <c r="F173" s="323" t="s">
        <v>1458</v>
      </c>
      <c r="G173" s="323" t="s">
        <v>1643</v>
      </c>
      <c r="H173" s="323" t="s">
        <v>1459</v>
      </c>
      <c r="I173" s="322" t="s">
        <v>1761</v>
      </c>
      <c r="J173" s="323" t="s">
        <v>751</v>
      </c>
      <c r="K173" s="323" t="s">
        <v>725</v>
      </c>
      <c r="L173" s="322" t="s">
        <v>1460</v>
      </c>
      <c r="M173" s="323" t="s">
        <v>1461</v>
      </c>
      <c r="N173" s="323"/>
      <c r="O173" s="322"/>
      <c r="P173" s="323"/>
      <c r="Q173" s="323"/>
      <c r="R173" s="324"/>
      <c r="S173" s="324"/>
      <c r="T173" s="324"/>
      <c r="U173" s="324"/>
      <c r="V173" s="324"/>
      <c r="W173" s="324"/>
      <c r="X173" s="324"/>
      <c r="Y173" s="324"/>
      <c r="Z173" s="324"/>
      <c r="AA173" s="324"/>
      <c r="AB173" s="324"/>
      <c r="AC173" s="324"/>
      <c r="AD173" s="324">
        <f t="shared" si="26"/>
        <v>0</v>
      </c>
      <c r="AF173" s="327"/>
      <c r="AG173" s="327"/>
      <c r="AH173" s="327"/>
      <c r="AI173" s="327"/>
      <c r="AJ173" s="327"/>
      <c r="AK173" s="327"/>
      <c r="AL173" s="327"/>
      <c r="AM173" s="327"/>
      <c r="AN173" s="327"/>
      <c r="AO173" s="327"/>
      <c r="AP173" s="327"/>
      <c r="AQ173" s="327"/>
      <c r="AR173" s="325">
        <f t="shared" si="29"/>
        <v>0</v>
      </c>
      <c r="AS173" s="327">
        <f t="shared" si="24"/>
        <v>0</v>
      </c>
      <c r="AT173" s="327">
        <f t="shared" si="25"/>
        <v>0</v>
      </c>
    </row>
    <row r="174" spans="1:46" x14ac:dyDescent="0.35">
      <c r="A174" s="321" t="s">
        <v>1282</v>
      </c>
      <c r="B174" s="321" t="s">
        <v>1283</v>
      </c>
      <c r="C174" s="322" t="s">
        <v>1626</v>
      </c>
      <c r="D174" s="323" t="s">
        <v>1319</v>
      </c>
      <c r="E174" s="323" t="s">
        <v>1320</v>
      </c>
      <c r="F174" s="323" t="s">
        <v>1458</v>
      </c>
      <c r="G174" s="323" t="s">
        <v>1643</v>
      </c>
      <c r="H174" s="323" t="s">
        <v>1459</v>
      </c>
      <c r="I174" s="322" t="s">
        <v>1762</v>
      </c>
      <c r="J174" s="323" t="s">
        <v>978</v>
      </c>
      <c r="K174" s="323" t="s">
        <v>725</v>
      </c>
      <c r="L174" s="322" t="s">
        <v>1465</v>
      </c>
      <c r="M174" s="323" t="s">
        <v>1466</v>
      </c>
      <c r="N174" s="323"/>
      <c r="O174" s="322"/>
      <c r="P174" s="323"/>
      <c r="Q174" s="323"/>
      <c r="R174" s="324"/>
      <c r="S174" s="324"/>
      <c r="T174" s="324"/>
      <c r="U174" s="324"/>
      <c r="V174" s="324"/>
      <c r="W174" s="324"/>
      <c r="X174" s="324"/>
      <c r="Y174" s="324"/>
      <c r="Z174" s="324"/>
      <c r="AA174" s="324"/>
      <c r="AB174" s="324"/>
      <c r="AC174" s="324"/>
      <c r="AD174" s="324">
        <f t="shared" si="26"/>
        <v>0</v>
      </c>
      <c r="AF174" s="327"/>
      <c r="AG174" s="327"/>
      <c r="AH174" s="327"/>
      <c r="AI174" s="327"/>
      <c r="AJ174" s="327"/>
      <c r="AK174" s="327"/>
      <c r="AL174" s="327"/>
      <c r="AM174" s="327"/>
      <c r="AN174" s="327"/>
      <c r="AO174" s="327"/>
      <c r="AP174" s="327"/>
      <c r="AQ174" s="327"/>
      <c r="AR174" s="325">
        <f t="shared" si="29"/>
        <v>0</v>
      </c>
      <c r="AS174" s="327">
        <f t="shared" si="24"/>
        <v>0</v>
      </c>
      <c r="AT174" s="327">
        <f t="shared" si="25"/>
        <v>0</v>
      </c>
    </row>
    <row r="175" spans="1:46" x14ac:dyDescent="0.35">
      <c r="A175" s="321" t="s">
        <v>1282</v>
      </c>
      <c r="B175" s="321" t="s">
        <v>1283</v>
      </c>
      <c r="C175" s="322" t="s">
        <v>1626</v>
      </c>
      <c r="D175" s="323" t="s">
        <v>1319</v>
      </c>
      <c r="E175" s="323" t="s">
        <v>1320</v>
      </c>
      <c r="F175" s="323" t="s">
        <v>1458</v>
      </c>
      <c r="G175" s="323" t="s">
        <v>1643</v>
      </c>
      <c r="H175" s="323" t="s">
        <v>1459</v>
      </c>
      <c r="I175" s="322" t="s">
        <v>1763</v>
      </c>
      <c r="J175" s="323" t="s">
        <v>978</v>
      </c>
      <c r="K175" s="323" t="s">
        <v>725</v>
      </c>
      <c r="L175" s="322" t="s">
        <v>1465</v>
      </c>
      <c r="M175" s="323" t="s">
        <v>1466</v>
      </c>
      <c r="N175" s="323"/>
      <c r="O175" s="322"/>
      <c r="P175" s="323"/>
      <c r="Q175" s="323"/>
      <c r="R175" s="324"/>
      <c r="S175" s="324"/>
      <c r="T175" s="324"/>
      <c r="U175" s="324"/>
      <c r="V175" s="324"/>
      <c r="W175" s="324"/>
      <c r="X175" s="324"/>
      <c r="Y175" s="324"/>
      <c r="Z175" s="324"/>
      <c r="AA175" s="324"/>
      <c r="AB175" s="324"/>
      <c r="AC175" s="324"/>
      <c r="AD175" s="324">
        <f t="shared" si="26"/>
        <v>0</v>
      </c>
      <c r="AF175" s="327"/>
      <c r="AG175" s="327"/>
      <c r="AH175" s="327"/>
      <c r="AI175" s="327"/>
      <c r="AJ175" s="327"/>
      <c r="AK175" s="327"/>
      <c r="AL175" s="327"/>
      <c r="AM175" s="327"/>
      <c r="AN175" s="327"/>
      <c r="AO175" s="327"/>
      <c r="AP175" s="327"/>
      <c r="AQ175" s="327"/>
      <c r="AR175" s="325">
        <f t="shared" si="29"/>
        <v>0</v>
      </c>
      <c r="AS175" s="327">
        <f t="shared" si="24"/>
        <v>0</v>
      </c>
      <c r="AT175" s="327">
        <f t="shared" si="25"/>
        <v>0</v>
      </c>
    </row>
    <row r="176" spans="1:46" x14ac:dyDescent="0.35">
      <c r="A176" s="321" t="s">
        <v>1282</v>
      </c>
      <c r="B176" s="321" t="s">
        <v>1283</v>
      </c>
      <c r="C176" s="322" t="s">
        <v>1626</v>
      </c>
      <c r="D176" s="323" t="s">
        <v>1319</v>
      </c>
      <c r="E176" s="323" t="s">
        <v>1320</v>
      </c>
      <c r="F176" s="323" t="s">
        <v>1468</v>
      </c>
      <c r="G176" s="323" t="s">
        <v>1643</v>
      </c>
      <c r="H176" s="323" t="s">
        <v>1469</v>
      </c>
      <c r="I176" s="322" t="s">
        <v>1764</v>
      </c>
      <c r="J176" s="323" t="s">
        <v>1009</v>
      </c>
      <c r="K176" s="323" t="s">
        <v>493</v>
      </c>
      <c r="L176" s="322" t="s">
        <v>1471</v>
      </c>
      <c r="M176" s="323" t="s">
        <v>1472</v>
      </c>
      <c r="N176" s="323"/>
      <c r="O176" s="322"/>
      <c r="P176" s="323"/>
      <c r="Q176" s="323"/>
      <c r="R176" s="324"/>
      <c r="S176" s="324"/>
      <c r="T176" s="324"/>
      <c r="U176" s="324"/>
      <c r="V176" s="324"/>
      <c r="W176" s="324"/>
      <c r="X176" s="324"/>
      <c r="Y176" s="324"/>
      <c r="Z176" s="324"/>
      <c r="AA176" s="324"/>
      <c r="AB176" s="324"/>
      <c r="AC176" s="324"/>
      <c r="AD176" s="324">
        <f t="shared" si="26"/>
        <v>0</v>
      </c>
      <c r="AF176" s="327"/>
      <c r="AG176" s="327"/>
      <c r="AH176" s="327"/>
      <c r="AI176" s="327"/>
      <c r="AJ176" s="327"/>
      <c r="AK176" s="327"/>
      <c r="AL176" s="327"/>
      <c r="AM176" s="327"/>
      <c r="AN176" s="327"/>
      <c r="AO176" s="327"/>
      <c r="AP176" s="327"/>
      <c r="AQ176" s="327"/>
      <c r="AR176" s="325">
        <f t="shared" si="29"/>
        <v>0</v>
      </c>
      <c r="AS176" s="327">
        <f t="shared" si="24"/>
        <v>0</v>
      </c>
      <c r="AT176" s="327">
        <f t="shared" si="25"/>
        <v>0</v>
      </c>
    </row>
    <row r="177" spans="1:46" x14ac:dyDescent="0.35">
      <c r="A177" s="321" t="s">
        <v>1282</v>
      </c>
      <c r="B177" s="321" t="s">
        <v>1283</v>
      </c>
      <c r="C177" s="322" t="s">
        <v>1626</v>
      </c>
      <c r="D177" s="323" t="s">
        <v>1319</v>
      </c>
      <c r="E177" s="323" t="s">
        <v>1320</v>
      </c>
      <c r="F177" s="323" t="s">
        <v>1473</v>
      </c>
      <c r="G177" s="323" t="s">
        <v>1643</v>
      </c>
      <c r="H177" s="323" t="s">
        <v>747</v>
      </c>
      <c r="I177" s="322" t="s">
        <v>1765</v>
      </c>
      <c r="J177" s="323" t="s">
        <v>940</v>
      </c>
      <c r="K177" s="323" t="s">
        <v>738</v>
      </c>
      <c r="L177" s="322" t="s">
        <v>1474</v>
      </c>
      <c r="M177" s="323" t="s">
        <v>1475</v>
      </c>
      <c r="N177" s="323"/>
      <c r="O177" s="322"/>
      <c r="P177" s="323"/>
      <c r="Q177" s="323"/>
      <c r="R177" s="324"/>
      <c r="S177" s="324"/>
      <c r="T177" s="324"/>
      <c r="U177" s="324"/>
      <c r="V177" s="324"/>
      <c r="W177" s="324"/>
      <c r="X177" s="324"/>
      <c r="Y177" s="324"/>
      <c r="Z177" s="324"/>
      <c r="AA177" s="324"/>
      <c r="AB177" s="324"/>
      <c r="AC177" s="324"/>
      <c r="AD177" s="324">
        <f t="shared" si="26"/>
        <v>0</v>
      </c>
      <c r="AF177" s="327"/>
      <c r="AG177" s="327"/>
      <c r="AH177" s="327"/>
      <c r="AI177" s="327"/>
      <c r="AJ177" s="327"/>
      <c r="AK177" s="327"/>
      <c r="AL177" s="327"/>
      <c r="AM177" s="327"/>
      <c r="AN177" s="327"/>
      <c r="AO177" s="327"/>
      <c r="AP177" s="327"/>
      <c r="AQ177" s="327"/>
      <c r="AR177" s="325">
        <f t="shared" si="29"/>
        <v>0</v>
      </c>
      <c r="AS177" s="327">
        <f t="shared" si="24"/>
        <v>0</v>
      </c>
      <c r="AT177" s="327">
        <f t="shared" si="25"/>
        <v>0</v>
      </c>
    </row>
    <row r="178" spans="1:46" x14ac:dyDescent="0.35">
      <c r="A178" s="321" t="s">
        <v>1282</v>
      </c>
      <c r="B178" s="321" t="s">
        <v>1283</v>
      </c>
      <c r="C178" s="322" t="s">
        <v>1626</v>
      </c>
      <c r="D178" s="323" t="s">
        <v>1319</v>
      </c>
      <c r="E178" s="323" t="s">
        <v>1320</v>
      </c>
      <c r="F178" s="323" t="s">
        <v>1473</v>
      </c>
      <c r="G178" s="323" t="s">
        <v>1643</v>
      </c>
      <c r="H178" s="323" t="s">
        <v>747</v>
      </c>
      <c r="I178" s="322" t="s">
        <v>1766</v>
      </c>
      <c r="J178" s="323" t="s">
        <v>940</v>
      </c>
      <c r="K178" s="323" t="s">
        <v>738</v>
      </c>
      <c r="L178" s="322" t="s">
        <v>1474</v>
      </c>
      <c r="M178" s="323" t="s">
        <v>1475</v>
      </c>
      <c r="N178" s="323"/>
      <c r="O178" s="322"/>
      <c r="P178" s="323"/>
      <c r="Q178" s="323"/>
      <c r="R178" s="324"/>
      <c r="S178" s="324"/>
      <c r="T178" s="324"/>
      <c r="U178" s="324"/>
      <c r="V178" s="324"/>
      <c r="W178" s="324"/>
      <c r="X178" s="324"/>
      <c r="Y178" s="324"/>
      <c r="Z178" s="324"/>
      <c r="AA178" s="324"/>
      <c r="AB178" s="324"/>
      <c r="AC178" s="324"/>
      <c r="AD178" s="324">
        <f t="shared" si="26"/>
        <v>0</v>
      </c>
      <c r="AF178" s="327"/>
      <c r="AG178" s="327"/>
      <c r="AH178" s="327"/>
      <c r="AI178" s="327"/>
      <c r="AJ178" s="327"/>
      <c r="AK178" s="327"/>
      <c r="AL178" s="327"/>
      <c r="AM178" s="327"/>
      <c r="AN178" s="327"/>
      <c r="AO178" s="327"/>
      <c r="AP178" s="327"/>
      <c r="AQ178" s="327"/>
      <c r="AR178" s="325">
        <f t="shared" si="29"/>
        <v>0</v>
      </c>
      <c r="AS178" s="327">
        <f t="shared" si="24"/>
        <v>0</v>
      </c>
      <c r="AT178" s="327">
        <f t="shared" si="25"/>
        <v>0</v>
      </c>
    </row>
    <row r="179" spans="1:46" x14ac:dyDescent="0.35">
      <c r="A179" s="321" t="s">
        <v>1282</v>
      </c>
      <c r="B179" s="321" t="s">
        <v>1283</v>
      </c>
      <c r="C179" s="322" t="s">
        <v>1626</v>
      </c>
      <c r="D179" s="323" t="s">
        <v>1319</v>
      </c>
      <c r="E179" s="323" t="s">
        <v>1320</v>
      </c>
      <c r="F179" s="323" t="s">
        <v>1473</v>
      </c>
      <c r="G179" s="323" t="s">
        <v>1643</v>
      </c>
      <c r="H179" s="323" t="s">
        <v>747</v>
      </c>
      <c r="I179" s="322" t="s">
        <v>1767</v>
      </c>
      <c r="J179" s="323" t="s">
        <v>1768</v>
      </c>
      <c r="K179" s="323" t="s">
        <v>738</v>
      </c>
      <c r="L179" s="322" t="s">
        <v>1478</v>
      </c>
      <c r="M179" s="323" t="s">
        <v>1479</v>
      </c>
      <c r="N179" s="323"/>
      <c r="O179" s="322"/>
      <c r="P179" s="323"/>
      <c r="Q179" s="323"/>
      <c r="R179" s="324"/>
      <c r="S179" s="324"/>
      <c r="T179" s="324"/>
      <c r="U179" s="324"/>
      <c r="V179" s="324"/>
      <c r="W179" s="324"/>
      <c r="X179" s="324"/>
      <c r="Y179" s="324"/>
      <c r="Z179" s="324"/>
      <c r="AA179" s="324"/>
      <c r="AB179" s="324"/>
      <c r="AC179" s="324"/>
      <c r="AD179" s="324">
        <f t="shared" si="26"/>
        <v>0</v>
      </c>
      <c r="AF179" s="327"/>
      <c r="AG179" s="327"/>
      <c r="AH179" s="327"/>
      <c r="AI179" s="327"/>
      <c r="AJ179" s="327"/>
      <c r="AK179" s="327"/>
      <c r="AL179" s="327"/>
      <c r="AM179" s="327"/>
      <c r="AN179" s="327"/>
      <c r="AO179" s="327"/>
      <c r="AP179" s="327"/>
      <c r="AQ179" s="327"/>
      <c r="AR179" s="325">
        <f t="shared" si="29"/>
        <v>0</v>
      </c>
      <c r="AS179" s="327">
        <f t="shared" si="24"/>
        <v>0</v>
      </c>
      <c r="AT179" s="327">
        <f t="shared" si="25"/>
        <v>0</v>
      </c>
    </row>
    <row r="180" spans="1:46" x14ac:dyDescent="0.35">
      <c r="A180" s="321" t="s">
        <v>1282</v>
      </c>
      <c r="B180" s="321" t="s">
        <v>1283</v>
      </c>
      <c r="C180" s="322" t="s">
        <v>1626</v>
      </c>
      <c r="D180" s="323" t="s">
        <v>1319</v>
      </c>
      <c r="E180" s="323" t="s">
        <v>1320</v>
      </c>
      <c r="F180" s="323" t="s">
        <v>1473</v>
      </c>
      <c r="G180" s="323" t="s">
        <v>1643</v>
      </c>
      <c r="H180" s="323" t="s">
        <v>747</v>
      </c>
      <c r="I180" s="322" t="s">
        <v>1769</v>
      </c>
      <c r="J180" s="323" t="s">
        <v>1768</v>
      </c>
      <c r="K180" s="323" t="s">
        <v>738</v>
      </c>
      <c r="L180" s="322" t="s">
        <v>1478</v>
      </c>
      <c r="M180" s="323" t="s">
        <v>1479</v>
      </c>
      <c r="N180" s="323"/>
      <c r="O180" s="322"/>
      <c r="P180" s="323"/>
      <c r="Q180" s="323"/>
      <c r="R180" s="324"/>
      <c r="S180" s="324"/>
      <c r="T180" s="324"/>
      <c r="U180" s="324"/>
      <c r="V180" s="324"/>
      <c r="W180" s="324"/>
      <c r="X180" s="324"/>
      <c r="Y180" s="324"/>
      <c r="Z180" s="324"/>
      <c r="AA180" s="324"/>
      <c r="AB180" s="324"/>
      <c r="AC180" s="324"/>
      <c r="AD180" s="324">
        <f t="shared" si="26"/>
        <v>0</v>
      </c>
      <c r="AF180" s="327"/>
      <c r="AG180" s="327"/>
      <c r="AH180" s="327"/>
      <c r="AI180" s="327"/>
      <c r="AJ180" s="327"/>
      <c r="AK180" s="327"/>
      <c r="AL180" s="327"/>
      <c r="AM180" s="327"/>
      <c r="AN180" s="327"/>
      <c r="AO180" s="327"/>
      <c r="AP180" s="327"/>
      <c r="AQ180" s="327"/>
      <c r="AR180" s="325">
        <f t="shared" si="29"/>
        <v>0</v>
      </c>
      <c r="AS180" s="327">
        <f t="shared" si="24"/>
        <v>0</v>
      </c>
      <c r="AT180" s="327">
        <f t="shared" si="25"/>
        <v>0</v>
      </c>
    </row>
    <row r="181" spans="1:46" x14ac:dyDescent="0.35">
      <c r="A181" s="321" t="s">
        <v>1282</v>
      </c>
      <c r="B181" s="321" t="s">
        <v>1283</v>
      </c>
      <c r="C181" s="322" t="s">
        <v>1626</v>
      </c>
      <c r="D181" s="323" t="s">
        <v>1319</v>
      </c>
      <c r="E181" s="323" t="s">
        <v>1320</v>
      </c>
      <c r="F181" s="323" t="s">
        <v>1473</v>
      </c>
      <c r="G181" s="323" t="s">
        <v>1643</v>
      </c>
      <c r="H181" s="323" t="s">
        <v>747</v>
      </c>
      <c r="I181" s="322" t="s">
        <v>1770</v>
      </c>
      <c r="J181" s="323" t="s">
        <v>1771</v>
      </c>
      <c r="K181" s="323" t="s">
        <v>738</v>
      </c>
      <c r="L181" s="322" t="s">
        <v>1772</v>
      </c>
      <c r="M181" s="323" t="s">
        <v>1773</v>
      </c>
      <c r="N181" s="323"/>
      <c r="O181" s="322"/>
      <c r="P181" s="323"/>
      <c r="Q181" s="323"/>
      <c r="R181" s="324"/>
      <c r="S181" s="324"/>
      <c r="T181" s="324"/>
      <c r="U181" s="324"/>
      <c r="V181" s="324"/>
      <c r="W181" s="324"/>
      <c r="X181" s="324"/>
      <c r="Y181" s="324"/>
      <c r="Z181" s="324"/>
      <c r="AA181" s="324"/>
      <c r="AB181" s="324"/>
      <c r="AC181" s="324"/>
      <c r="AD181" s="324">
        <f t="shared" si="26"/>
        <v>0</v>
      </c>
      <c r="AF181" s="327"/>
      <c r="AG181" s="327"/>
      <c r="AH181" s="327"/>
      <c r="AI181" s="327"/>
      <c r="AJ181" s="327"/>
      <c r="AK181" s="327"/>
      <c r="AL181" s="327"/>
      <c r="AM181" s="327"/>
      <c r="AN181" s="327"/>
      <c r="AO181" s="327"/>
      <c r="AP181" s="327"/>
      <c r="AQ181" s="327"/>
      <c r="AR181" s="325">
        <f t="shared" si="29"/>
        <v>0</v>
      </c>
      <c r="AS181" s="327">
        <f t="shared" si="24"/>
        <v>0</v>
      </c>
      <c r="AT181" s="327">
        <f t="shared" si="25"/>
        <v>0</v>
      </c>
    </row>
    <row r="182" spans="1:46" x14ac:dyDescent="0.35">
      <c r="A182" s="321" t="s">
        <v>1282</v>
      </c>
      <c r="B182" s="321" t="s">
        <v>1283</v>
      </c>
      <c r="C182" s="322" t="s">
        <v>1626</v>
      </c>
      <c r="D182" s="323" t="s">
        <v>1319</v>
      </c>
      <c r="E182" s="323" t="s">
        <v>1320</v>
      </c>
      <c r="F182" s="323" t="s">
        <v>1473</v>
      </c>
      <c r="G182" s="323" t="s">
        <v>1643</v>
      </c>
      <c r="H182" s="323" t="s">
        <v>747</v>
      </c>
      <c r="I182" s="322" t="s">
        <v>1774</v>
      </c>
      <c r="J182" s="323" t="s">
        <v>1775</v>
      </c>
      <c r="K182" s="323" t="s">
        <v>738</v>
      </c>
      <c r="L182" s="322" t="s">
        <v>1776</v>
      </c>
      <c r="M182" s="323" t="s">
        <v>1777</v>
      </c>
      <c r="N182" s="323"/>
      <c r="O182" s="322"/>
      <c r="P182" s="323"/>
      <c r="Q182" s="323"/>
      <c r="R182" s="324"/>
      <c r="S182" s="324"/>
      <c r="T182" s="324"/>
      <c r="U182" s="324"/>
      <c r="V182" s="324"/>
      <c r="W182" s="324"/>
      <c r="X182" s="324"/>
      <c r="Y182" s="324"/>
      <c r="Z182" s="324"/>
      <c r="AA182" s="324"/>
      <c r="AB182" s="324"/>
      <c r="AC182" s="324"/>
      <c r="AD182" s="324">
        <f t="shared" si="26"/>
        <v>0</v>
      </c>
      <c r="AF182" s="327"/>
      <c r="AG182" s="327"/>
      <c r="AH182" s="327"/>
      <c r="AI182" s="327"/>
      <c r="AJ182" s="327"/>
      <c r="AK182" s="327"/>
      <c r="AL182" s="327"/>
      <c r="AM182" s="327"/>
      <c r="AN182" s="327"/>
      <c r="AO182" s="327"/>
      <c r="AP182" s="327"/>
      <c r="AQ182" s="327"/>
      <c r="AR182" s="325">
        <f t="shared" si="29"/>
        <v>0</v>
      </c>
      <c r="AS182" s="327">
        <f t="shared" si="24"/>
        <v>0</v>
      </c>
      <c r="AT182" s="327">
        <f t="shared" si="25"/>
        <v>0</v>
      </c>
    </row>
    <row r="183" spans="1:46" x14ac:dyDescent="0.35">
      <c r="A183" s="321" t="s">
        <v>1282</v>
      </c>
      <c r="B183" s="321" t="s">
        <v>1283</v>
      </c>
      <c r="C183" s="322" t="s">
        <v>1626</v>
      </c>
      <c r="D183" s="323" t="s">
        <v>1319</v>
      </c>
      <c r="E183" s="323" t="s">
        <v>1320</v>
      </c>
      <c r="F183" s="323" t="s">
        <v>1473</v>
      </c>
      <c r="G183" s="323" t="s">
        <v>1643</v>
      </c>
      <c r="H183" s="323" t="s">
        <v>747</v>
      </c>
      <c r="I183" s="322" t="s">
        <v>1778</v>
      </c>
      <c r="J183" s="323" t="s">
        <v>1775</v>
      </c>
      <c r="K183" s="323" t="s">
        <v>738</v>
      </c>
      <c r="L183" s="322" t="s">
        <v>1776</v>
      </c>
      <c r="M183" s="323" t="s">
        <v>1777</v>
      </c>
      <c r="N183" s="323"/>
      <c r="O183" s="322"/>
      <c r="P183" s="323"/>
      <c r="Q183" s="323"/>
      <c r="R183" s="324"/>
      <c r="S183" s="324"/>
      <c r="T183" s="324"/>
      <c r="U183" s="324"/>
      <c r="V183" s="324"/>
      <c r="W183" s="324"/>
      <c r="X183" s="324"/>
      <c r="Y183" s="324"/>
      <c r="Z183" s="324"/>
      <c r="AA183" s="324"/>
      <c r="AB183" s="324"/>
      <c r="AC183" s="324"/>
      <c r="AD183" s="324">
        <f t="shared" si="26"/>
        <v>0</v>
      </c>
      <c r="AF183" s="327"/>
      <c r="AG183" s="327"/>
      <c r="AH183" s="327"/>
      <c r="AI183" s="327"/>
      <c r="AJ183" s="327"/>
      <c r="AK183" s="327"/>
      <c r="AL183" s="327"/>
      <c r="AM183" s="327"/>
      <c r="AN183" s="327"/>
      <c r="AO183" s="327"/>
      <c r="AP183" s="327"/>
      <c r="AQ183" s="327"/>
      <c r="AR183" s="325">
        <f t="shared" si="29"/>
        <v>0</v>
      </c>
      <c r="AS183" s="327">
        <f t="shared" si="24"/>
        <v>0</v>
      </c>
      <c r="AT183" s="327">
        <f t="shared" si="25"/>
        <v>0</v>
      </c>
    </row>
    <row r="184" spans="1:46" x14ac:dyDescent="0.35">
      <c r="A184" s="321" t="s">
        <v>1282</v>
      </c>
      <c r="B184" s="321" t="s">
        <v>1283</v>
      </c>
      <c r="C184" s="322" t="s">
        <v>1626</v>
      </c>
      <c r="D184" s="323" t="s">
        <v>1319</v>
      </c>
      <c r="E184" s="323" t="s">
        <v>1320</v>
      </c>
      <c r="F184" s="323" t="s">
        <v>1473</v>
      </c>
      <c r="G184" s="323" t="s">
        <v>1643</v>
      </c>
      <c r="H184" s="323" t="s">
        <v>747</v>
      </c>
      <c r="I184" s="322" t="s">
        <v>1779</v>
      </c>
      <c r="J184" s="323" t="s">
        <v>1780</v>
      </c>
      <c r="K184" s="323" t="s">
        <v>738</v>
      </c>
      <c r="L184" s="322" t="s">
        <v>1781</v>
      </c>
      <c r="M184" s="323" t="s">
        <v>1782</v>
      </c>
      <c r="N184" s="323"/>
      <c r="O184" s="322"/>
      <c r="P184" s="323"/>
      <c r="Q184" s="323"/>
      <c r="R184" s="324"/>
      <c r="S184" s="324"/>
      <c r="T184" s="324"/>
      <c r="U184" s="324"/>
      <c r="V184" s="324"/>
      <c r="W184" s="324"/>
      <c r="X184" s="324"/>
      <c r="Y184" s="324"/>
      <c r="Z184" s="324"/>
      <c r="AA184" s="324"/>
      <c r="AB184" s="324"/>
      <c r="AC184" s="324"/>
      <c r="AD184" s="324">
        <f t="shared" si="26"/>
        <v>0</v>
      </c>
      <c r="AF184" s="327"/>
      <c r="AG184" s="327"/>
      <c r="AH184" s="327"/>
      <c r="AI184" s="327"/>
      <c r="AJ184" s="327"/>
      <c r="AK184" s="327"/>
      <c r="AL184" s="327"/>
      <c r="AM184" s="327"/>
      <c r="AN184" s="327"/>
      <c r="AO184" s="327"/>
      <c r="AP184" s="327"/>
      <c r="AQ184" s="327"/>
      <c r="AR184" s="325">
        <f t="shared" si="29"/>
        <v>0</v>
      </c>
      <c r="AS184" s="327">
        <f t="shared" si="24"/>
        <v>0</v>
      </c>
      <c r="AT184" s="327">
        <f t="shared" si="25"/>
        <v>0</v>
      </c>
    </row>
    <row r="185" spans="1:46" x14ac:dyDescent="0.35">
      <c r="A185" s="321" t="s">
        <v>1282</v>
      </c>
      <c r="B185" s="321" t="s">
        <v>1283</v>
      </c>
      <c r="C185" s="322" t="s">
        <v>1626</v>
      </c>
      <c r="D185" s="323" t="s">
        <v>1319</v>
      </c>
      <c r="E185" s="323" t="s">
        <v>1320</v>
      </c>
      <c r="F185" s="323" t="s">
        <v>1473</v>
      </c>
      <c r="G185" s="323" t="s">
        <v>1643</v>
      </c>
      <c r="H185" s="323" t="s">
        <v>747</v>
      </c>
      <c r="I185" s="322" t="s">
        <v>1783</v>
      </c>
      <c r="J185" s="323" t="s">
        <v>1784</v>
      </c>
      <c r="K185" s="323" t="s">
        <v>738</v>
      </c>
      <c r="L185" s="322" t="s">
        <v>1785</v>
      </c>
      <c r="M185" s="323" t="s">
        <v>1786</v>
      </c>
      <c r="N185" s="323"/>
      <c r="O185" s="322"/>
      <c r="P185" s="323"/>
      <c r="Q185" s="323"/>
      <c r="R185" s="324"/>
      <c r="S185" s="324"/>
      <c r="T185" s="324"/>
      <c r="U185" s="324"/>
      <c r="V185" s="324"/>
      <c r="W185" s="324"/>
      <c r="X185" s="324"/>
      <c r="Y185" s="324"/>
      <c r="Z185" s="324"/>
      <c r="AA185" s="324"/>
      <c r="AB185" s="324"/>
      <c r="AC185" s="324"/>
      <c r="AD185" s="324">
        <f t="shared" si="26"/>
        <v>0</v>
      </c>
      <c r="AF185" s="327"/>
      <c r="AG185" s="327"/>
      <c r="AH185" s="327"/>
      <c r="AI185" s="327"/>
      <c r="AJ185" s="327"/>
      <c r="AK185" s="327"/>
      <c r="AL185" s="327"/>
      <c r="AM185" s="327"/>
      <c r="AN185" s="327"/>
      <c r="AO185" s="327"/>
      <c r="AP185" s="327"/>
      <c r="AQ185" s="327"/>
      <c r="AR185" s="325">
        <f t="shared" si="29"/>
        <v>0</v>
      </c>
      <c r="AS185" s="327">
        <f t="shared" si="24"/>
        <v>0</v>
      </c>
      <c r="AT185" s="327">
        <f t="shared" si="25"/>
        <v>0</v>
      </c>
    </row>
    <row r="186" spans="1:46" x14ac:dyDescent="0.35">
      <c r="A186" s="321" t="s">
        <v>1282</v>
      </c>
      <c r="B186" s="321" t="s">
        <v>1283</v>
      </c>
      <c r="C186" s="322" t="s">
        <v>1626</v>
      </c>
      <c r="D186" s="323" t="s">
        <v>1319</v>
      </c>
      <c r="E186" s="323" t="s">
        <v>1320</v>
      </c>
      <c r="F186" s="323" t="s">
        <v>1787</v>
      </c>
      <c r="G186" s="323" t="s">
        <v>1643</v>
      </c>
      <c r="H186" s="323" t="s">
        <v>1788</v>
      </c>
      <c r="I186" s="322" t="s">
        <v>1789</v>
      </c>
      <c r="J186" s="323" t="s">
        <v>1023</v>
      </c>
      <c r="K186" s="323" t="s">
        <v>1024</v>
      </c>
      <c r="L186" s="322" t="s">
        <v>1790</v>
      </c>
      <c r="M186" s="323" t="s">
        <v>1791</v>
      </c>
      <c r="N186" s="323"/>
      <c r="O186" s="322"/>
      <c r="P186" s="323"/>
      <c r="Q186" s="323"/>
      <c r="R186" s="324"/>
      <c r="S186" s="324"/>
      <c r="T186" s="324"/>
      <c r="U186" s="324"/>
      <c r="V186" s="324"/>
      <c r="W186" s="324"/>
      <c r="X186" s="324"/>
      <c r="Y186" s="324"/>
      <c r="Z186" s="324"/>
      <c r="AA186" s="324"/>
      <c r="AB186" s="324"/>
      <c r="AC186" s="324"/>
      <c r="AD186" s="324">
        <f t="shared" si="26"/>
        <v>0</v>
      </c>
      <c r="AF186" s="327"/>
      <c r="AG186" s="327"/>
      <c r="AH186" s="327"/>
      <c r="AI186" s="327"/>
      <c r="AJ186" s="327"/>
      <c r="AK186" s="327"/>
      <c r="AL186" s="327"/>
      <c r="AM186" s="327"/>
      <c r="AN186" s="327"/>
      <c r="AO186" s="327"/>
      <c r="AP186" s="327"/>
      <c r="AQ186" s="327"/>
      <c r="AR186" s="325">
        <f t="shared" si="29"/>
        <v>0</v>
      </c>
      <c r="AS186" s="327">
        <f t="shared" si="24"/>
        <v>0</v>
      </c>
      <c r="AT186" s="327">
        <f t="shared" si="25"/>
        <v>0</v>
      </c>
    </row>
    <row r="187" spans="1:46" x14ac:dyDescent="0.35">
      <c r="A187" s="321" t="s">
        <v>1282</v>
      </c>
      <c r="B187" s="321" t="s">
        <v>1283</v>
      </c>
      <c r="C187" s="322" t="s">
        <v>1626</v>
      </c>
      <c r="D187" s="323" t="s">
        <v>1319</v>
      </c>
      <c r="E187" s="323" t="s">
        <v>1320</v>
      </c>
      <c r="F187" s="323" t="s">
        <v>1787</v>
      </c>
      <c r="G187" s="323" t="s">
        <v>1643</v>
      </c>
      <c r="H187" s="323" t="s">
        <v>1788</v>
      </c>
      <c r="I187" s="322" t="s">
        <v>1792</v>
      </c>
      <c r="J187" s="323" t="s">
        <v>1000</v>
      </c>
      <c r="K187" s="323" t="s">
        <v>995</v>
      </c>
      <c r="L187" s="322" t="s">
        <v>1793</v>
      </c>
      <c r="M187" s="323" t="s">
        <v>1794</v>
      </c>
      <c r="N187" s="323"/>
      <c r="O187" s="322"/>
      <c r="P187" s="323"/>
      <c r="Q187" s="323"/>
      <c r="R187" s="324"/>
      <c r="S187" s="324"/>
      <c r="T187" s="324"/>
      <c r="U187" s="324"/>
      <c r="V187" s="324"/>
      <c r="W187" s="324"/>
      <c r="X187" s="324"/>
      <c r="Y187" s="324"/>
      <c r="Z187" s="324"/>
      <c r="AA187" s="324"/>
      <c r="AB187" s="324"/>
      <c r="AC187" s="324"/>
      <c r="AD187" s="324">
        <f t="shared" si="26"/>
        <v>0</v>
      </c>
      <c r="AF187" s="327"/>
      <c r="AG187" s="327"/>
      <c r="AH187" s="327"/>
      <c r="AI187" s="327"/>
      <c r="AJ187" s="327"/>
      <c r="AK187" s="327"/>
      <c r="AL187" s="327"/>
      <c r="AM187" s="327"/>
      <c r="AN187" s="327"/>
      <c r="AO187" s="327"/>
      <c r="AP187" s="327"/>
      <c r="AQ187" s="327"/>
      <c r="AR187" s="325">
        <f t="shared" si="29"/>
        <v>0</v>
      </c>
      <c r="AS187" s="327">
        <f t="shared" si="24"/>
        <v>0</v>
      </c>
      <c r="AT187" s="327">
        <f t="shared" si="25"/>
        <v>0</v>
      </c>
    </row>
    <row r="188" spans="1:46" x14ac:dyDescent="0.35">
      <c r="A188" s="321" t="s">
        <v>1282</v>
      </c>
      <c r="B188" s="321" t="s">
        <v>1283</v>
      </c>
      <c r="C188" s="322" t="s">
        <v>1626</v>
      </c>
      <c r="D188" s="323" t="s">
        <v>1319</v>
      </c>
      <c r="E188" s="323" t="s">
        <v>1320</v>
      </c>
      <c r="F188" s="323" t="s">
        <v>1365</v>
      </c>
      <c r="G188" s="323" t="s">
        <v>1643</v>
      </c>
      <c r="H188" s="323" t="s">
        <v>1366</v>
      </c>
      <c r="I188" s="322" t="s">
        <v>1795</v>
      </c>
      <c r="J188" s="323" t="s">
        <v>941</v>
      </c>
      <c r="K188" s="323" t="s">
        <v>1010</v>
      </c>
      <c r="L188" s="322" t="s">
        <v>1481</v>
      </c>
      <c r="M188" s="323" t="s">
        <v>1482</v>
      </c>
      <c r="N188" s="323"/>
      <c r="O188" s="322"/>
      <c r="P188" s="323"/>
      <c r="Q188" s="323"/>
      <c r="R188" s="324"/>
      <c r="S188" s="324"/>
      <c r="T188" s="324"/>
      <c r="U188" s="324"/>
      <c r="V188" s="324"/>
      <c r="W188" s="324"/>
      <c r="X188" s="324"/>
      <c r="Y188" s="324"/>
      <c r="Z188" s="324"/>
      <c r="AA188" s="324"/>
      <c r="AB188" s="324"/>
      <c r="AC188" s="324"/>
      <c r="AD188" s="324">
        <f t="shared" si="26"/>
        <v>0</v>
      </c>
      <c r="AF188" s="327"/>
      <c r="AG188" s="327"/>
      <c r="AH188" s="327"/>
      <c r="AI188" s="327"/>
      <c r="AJ188" s="327"/>
      <c r="AK188" s="327"/>
      <c r="AL188" s="327"/>
      <c r="AM188" s="327"/>
      <c r="AN188" s="327"/>
      <c r="AO188" s="327"/>
      <c r="AP188" s="327"/>
      <c r="AQ188" s="327"/>
      <c r="AR188" s="325">
        <f t="shared" si="29"/>
        <v>0</v>
      </c>
      <c r="AS188" s="327">
        <f t="shared" si="24"/>
        <v>0</v>
      </c>
      <c r="AT188" s="327">
        <f t="shared" si="25"/>
        <v>0</v>
      </c>
    </row>
    <row r="189" spans="1:46" x14ac:dyDescent="0.35">
      <c r="A189" s="321" t="s">
        <v>1282</v>
      </c>
      <c r="B189" s="321" t="s">
        <v>1283</v>
      </c>
      <c r="C189" s="322" t="s">
        <v>1626</v>
      </c>
      <c r="D189" s="323" t="s">
        <v>1319</v>
      </c>
      <c r="E189" s="323" t="s">
        <v>1320</v>
      </c>
      <c r="F189" s="323" t="s">
        <v>1365</v>
      </c>
      <c r="G189" s="323" t="s">
        <v>1643</v>
      </c>
      <c r="H189" s="323" t="s">
        <v>1366</v>
      </c>
      <c r="I189" s="322" t="s">
        <v>1796</v>
      </c>
      <c r="J189" s="323" t="s">
        <v>945</v>
      </c>
      <c r="K189" s="323" t="s">
        <v>1011</v>
      </c>
      <c r="L189" s="322" t="s">
        <v>1484</v>
      </c>
      <c r="M189" s="323" t="s">
        <v>1485</v>
      </c>
      <c r="N189" s="323"/>
      <c r="O189" s="322"/>
      <c r="P189" s="323"/>
      <c r="Q189" s="323"/>
      <c r="R189" s="324"/>
      <c r="S189" s="324"/>
      <c r="T189" s="324"/>
      <c r="U189" s="324"/>
      <c r="V189" s="324"/>
      <c r="W189" s="324"/>
      <c r="X189" s="324"/>
      <c r="Y189" s="324"/>
      <c r="Z189" s="324"/>
      <c r="AA189" s="324"/>
      <c r="AB189" s="324"/>
      <c r="AC189" s="324"/>
      <c r="AD189" s="324">
        <f t="shared" si="26"/>
        <v>0</v>
      </c>
      <c r="AF189" s="327"/>
      <c r="AG189" s="327"/>
      <c r="AH189" s="327"/>
      <c r="AI189" s="327"/>
      <c r="AJ189" s="327"/>
      <c r="AK189" s="327"/>
      <c r="AL189" s="327"/>
      <c r="AM189" s="327"/>
      <c r="AN189" s="327"/>
      <c r="AO189" s="327"/>
      <c r="AP189" s="327"/>
      <c r="AQ189" s="327"/>
      <c r="AR189" s="325">
        <f t="shared" si="29"/>
        <v>0</v>
      </c>
      <c r="AS189" s="327">
        <f t="shared" si="24"/>
        <v>0</v>
      </c>
      <c r="AT189" s="327">
        <f t="shared" si="25"/>
        <v>0</v>
      </c>
    </row>
    <row r="190" spans="1:46" x14ac:dyDescent="0.35">
      <c r="A190" s="321" t="s">
        <v>1282</v>
      </c>
      <c r="B190" s="321" t="s">
        <v>1283</v>
      </c>
      <c r="C190" s="322" t="s">
        <v>1626</v>
      </c>
      <c r="D190" s="323" t="s">
        <v>1319</v>
      </c>
      <c r="E190" s="323" t="s">
        <v>1320</v>
      </c>
      <c r="F190" s="323" t="s">
        <v>1365</v>
      </c>
      <c r="G190" s="323" t="s">
        <v>1643</v>
      </c>
      <c r="H190" s="323" t="s">
        <v>1366</v>
      </c>
      <c r="I190" s="322" t="s">
        <v>1797</v>
      </c>
      <c r="J190" s="323" t="s">
        <v>1026</v>
      </c>
      <c r="K190" s="323" t="s">
        <v>1010</v>
      </c>
      <c r="L190" s="322" t="s">
        <v>1487</v>
      </c>
      <c r="M190" s="323" t="s">
        <v>1488</v>
      </c>
      <c r="N190" s="323"/>
      <c r="O190" s="322"/>
      <c r="P190" s="323"/>
      <c r="Q190" s="323"/>
      <c r="R190" s="324"/>
      <c r="S190" s="324"/>
      <c r="T190" s="324"/>
      <c r="U190" s="324"/>
      <c r="V190" s="324"/>
      <c r="W190" s="324"/>
      <c r="X190" s="324"/>
      <c r="Y190" s="324"/>
      <c r="Z190" s="324"/>
      <c r="AA190" s="324"/>
      <c r="AB190" s="324"/>
      <c r="AC190" s="324"/>
      <c r="AD190" s="324">
        <f t="shared" si="26"/>
        <v>0</v>
      </c>
      <c r="AF190" s="327"/>
      <c r="AG190" s="327"/>
      <c r="AH190" s="327"/>
      <c r="AI190" s="327"/>
      <c r="AJ190" s="327"/>
      <c r="AK190" s="327"/>
      <c r="AL190" s="327"/>
      <c r="AM190" s="327"/>
      <c r="AN190" s="327"/>
      <c r="AO190" s="327"/>
      <c r="AP190" s="327"/>
      <c r="AQ190" s="327"/>
      <c r="AR190" s="325">
        <f t="shared" si="29"/>
        <v>0</v>
      </c>
      <c r="AS190" s="327">
        <f t="shared" si="24"/>
        <v>0</v>
      </c>
      <c r="AT190" s="327">
        <f t="shared" si="25"/>
        <v>0</v>
      </c>
    </row>
    <row r="191" spans="1:46" x14ac:dyDescent="0.35">
      <c r="A191" s="321" t="s">
        <v>1282</v>
      </c>
      <c r="B191" s="321" t="s">
        <v>1283</v>
      </c>
      <c r="C191" s="322" t="s">
        <v>1626</v>
      </c>
      <c r="D191" s="323" t="s">
        <v>1319</v>
      </c>
      <c r="E191" s="323" t="s">
        <v>1320</v>
      </c>
      <c r="F191" s="323" t="s">
        <v>1489</v>
      </c>
      <c r="G191" s="323" t="s">
        <v>1643</v>
      </c>
      <c r="H191" s="323" t="s">
        <v>1490</v>
      </c>
      <c r="I191" s="322" t="s">
        <v>1798</v>
      </c>
      <c r="J191" s="323" t="s">
        <v>1007</v>
      </c>
      <c r="K191" s="323" t="s">
        <v>1008</v>
      </c>
      <c r="L191" s="322" t="s">
        <v>1492</v>
      </c>
      <c r="M191" s="323" t="s">
        <v>1490</v>
      </c>
      <c r="N191" s="323"/>
      <c r="O191" s="322"/>
      <c r="P191" s="323"/>
      <c r="Q191" s="323"/>
      <c r="R191" s="324"/>
      <c r="S191" s="324"/>
      <c r="T191" s="324"/>
      <c r="U191" s="324"/>
      <c r="V191" s="324"/>
      <c r="W191" s="324"/>
      <c r="X191" s="324"/>
      <c r="Y191" s="324"/>
      <c r="Z191" s="324"/>
      <c r="AA191" s="324"/>
      <c r="AB191" s="324"/>
      <c r="AC191" s="324"/>
      <c r="AD191" s="324">
        <f t="shared" si="26"/>
        <v>0</v>
      </c>
      <c r="AF191" s="327"/>
      <c r="AG191" s="327"/>
      <c r="AH191" s="327"/>
      <c r="AI191" s="327"/>
      <c r="AJ191" s="327"/>
      <c r="AK191" s="327"/>
      <c r="AL191" s="327"/>
      <c r="AM191" s="327"/>
      <c r="AN191" s="327"/>
      <c r="AO191" s="327"/>
      <c r="AP191" s="327"/>
      <c r="AQ191" s="327"/>
      <c r="AR191" s="325">
        <f t="shared" si="29"/>
        <v>0</v>
      </c>
      <c r="AS191" s="327">
        <f t="shared" si="24"/>
        <v>0</v>
      </c>
      <c r="AT191" s="327">
        <f t="shared" si="25"/>
        <v>0</v>
      </c>
    </row>
    <row r="192" spans="1:46" x14ac:dyDescent="0.35">
      <c r="A192" s="321" t="s">
        <v>1282</v>
      </c>
      <c r="B192" s="321" t="s">
        <v>1283</v>
      </c>
      <c r="C192" s="322" t="s">
        <v>1626</v>
      </c>
      <c r="D192" s="323" t="s">
        <v>1319</v>
      </c>
      <c r="E192" s="323" t="s">
        <v>1320</v>
      </c>
      <c r="F192" s="323" t="s">
        <v>1489</v>
      </c>
      <c r="G192" s="323" t="s">
        <v>1643</v>
      </c>
      <c r="H192" s="323" t="s">
        <v>1490</v>
      </c>
      <c r="I192" s="322" t="s">
        <v>1799</v>
      </c>
      <c r="J192" s="323" t="s">
        <v>1007</v>
      </c>
      <c r="K192" s="323" t="s">
        <v>1008</v>
      </c>
      <c r="L192" s="322" t="s">
        <v>1492</v>
      </c>
      <c r="M192" s="323" t="s">
        <v>1490</v>
      </c>
      <c r="N192" s="323"/>
      <c r="O192" s="322"/>
      <c r="P192" s="323"/>
      <c r="Q192" s="323"/>
      <c r="R192" s="324"/>
      <c r="S192" s="324"/>
      <c r="T192" s="324"/>
      <c r="U192" s="324"/>
      <c r="V192" s="324"/>
      <c r="W192" s="324"/>
      <c r="X192" s="324"/>
      <c r="Y192" s="324"/>
      <c r="Z192" s="324"/>
      <c r="AA192" s="324"/>
      <c r="AB192" s="324"/>
      <c r="AC192" s="324"/>
      <c r="AD192" s="324">
        <f t="shared" si="26"/>
        <v>0</v>
      </c>
      <c r="AF192" s="327"/>
      <c r="AG192" s="327"/>
      <c r="AH192" s="327"/>
      <c r="AI192" s="327"/>
      <c r="AJ192" s="327"/>
      <c r="AK192" s="327"/>
      <c r="AL192" s="327"/>
      <c r="AM192" s="327"/>
      <c r="AN192" s="327"/>
      <c r="AO192" s="327"/>
      <c r="AP192" s="327"/>
      <c r="AQ192" s="327"/>
      <c r="AR192" s="325">
        <f t="shared" si="29"/>
        <v>0</v>
      </c>
      <c r="AS192" s="327">
        <f t="shared" si="24"/>
        <v>0</v>
      </c>
      <c r="AT192" s="327">
        <f t="shared" si="25"/>
        <v>0</v>
      </c>
    </row>
    <row r="193" spans="1:46" x14ac:dyDescent="0.35">
      <c r="A193" s="321" t="s">
        <v>1282</v>
      </c>
      <c r="B193" s="321" t="s">
        <v>1283</v>
      </c>
      <c r="C193" s="322" t="s">
        <v>1626</v>
      </c>
      <c r="D193" s="323" t="s">
        <v>1319</v>
      </c>
      <c r="E193" s="323" t="s">
        <v>1320</v>
      </c>
      <c r="F193" s="323" t="s">
        <v>1468</v>
      </c>
      <c r="G193" s="323" t="s">
        <v>1643</v>
      </c>
      <c r="H193" s="323" t="s">
        <v>1800</v>
      </c>
      <c r="I193" s="322" t="s">
        <v>1801</v>
      </c>
      <c r="J193" s="323" t="s">
        <v>944</v>
      </c>
      <c r="K193" s="323" t="s">
        <v>493</v>
      </c>
      <c r="L193" s="322" t="s">
        <v>1802</v>
      </c>
      <c r="M193" s="323" t="s">
        <v>1803</v>
      </c>
      <c r="N193" s="323"/>
      <c r="O193" s="322"/>
      <c r="P193" s="323"/>
      <c r="Q193" s="323"/>
      <c r="R193" s="324"/>
      <c r="S193" s="324"/>
      <c r="T193" s="324"/>
      <c r="U193" s="324"/>
      <c r="V193" s="324"/>
      <c r="W193" s="324"/>
      <c r="X193" s="324"/>
      <c r="Y193" s="324"/>
      <c r="Z193" s="324"/>
      <c r="AA193" s="324"/>
      <c r="AB193" s="324"/>
      <c r="AC193" s="324"/>
      <c r="AD193" s="324">
        <f t="shared" si="26"/>
        <v>0</v>
      </c>
      <c r="AF193" s="327"/>
      <c r="AG193" s="327"/>
      <c r="AH193" s="327"/>
      <c r="AI193" s="327"/>
      <c r="AJ193" s="327"/>
      <c r="AK193" s="327"/>
      <c r="AL193" s="327"/>
      <c r="AM193" s="327"/>
      <c r="AN193" s="327"/>
      <c r="AO193" s="327"/>
      <c r="AP193" s="327"/>
      <c r="AQ193" s="327"/>
      <c r="AR193" s="325">
        <f t="shared" si="29"/>
        <v>0</v>
      </c>
      <c r="AS193" s="327">
        <f t="shared" si="24"/>
        <v>0</v>
      </c>
      <c r="AT193" s="327">
        <f t="shared" si="25"/>
        <v>0</v>
      </c>
    </row>
    <row r="194" spans="1:46" x14ac:dyDescent="0.35">
      <c r="A194" s="321" t="s">
        <v>1282</v>
      </c>
      <c r="B194" s="321" t="s">
        <v>1283</v>
      </c>
      <c r="C194" s="322" t="s">
        <v>1626</v>
      </c>
      <c r="D194" s="323" t="s">
        <v>1319</v>
      </c>
      <c r="E194" s="323" t="s">
        <v>1320</v>
      </c>
      <c r="F194" s="323" t="s">
        <v>1496</v>
      </c>
      <c r="G194" s="323" t="s">
        <v>1643</v>
      </c>
      <c r="H194" s="323" t="s">
        <v>1497</v>
      </c>
      <c r="I194" s="322" t="s">
        <v>1804</v>
      </c>
      <c r="J194" s="323" t="s">
        <v>1003</v>
      </c>
      <c r="K194" s="323" t="s">
        <v>1002</v>
      </c>
      <c r="L194" s="322" t="s">
        <v>1499</v>
      </c>
      <c r="M194" s="323" t="s">
        <v>1500</v>
      </c>
      <c r="N194" s="323"/>
      <c r="O194" s="322"/>
      <c r="P194" s="323"/>
      <c r="Q194" s="323"/>
      <c r="R194" s="324"/>
      <c r="S194" s="324"/>
      <c r="T194" s="324"/>
      <c r="U194" s="324"/>
      <c r="V194" s="324"/>
      <c r="W194" s="324"/>
      <c r="X194" s="324"/>
      <c r="Y194" s="324"/>
      <c r="Z194" s="324"/>
      <c r="AA194" s="324"/>
      <c r="AB194" s="324"/>
      <c r="AC194" s="324"/>
      <c r="AD194" s="324">
        <f t="shared" si="26"/>
        <v>0</v>
      </c>
      <c r="AF194" s="327"/>
      <c r="AG194" s="327"/>
      <c r="AH194" s="327"/>
      <c r="AI194" s="327"/>
      <c r="AJ194" s="327"/>
      <c r="AK194" s="327"/>
      <c r="AL194" s="327"/>
      <c r="AM194" s="327"/>
      <c r="AN194" s="327"/>
      <c r="AO194" s="327"/>
      <c r="AP194" s="327"/>
      <c r="AQ194" s="327"/>
      <c r="AR194" s="325">
        <f t="shared" si="29"/>
        <v>0</v>
      </c>
      <c r="AS194" s="327">
        <f t="shared" si="24"/>
        <v>0</v>
      </c>
      <c r="AT194" s="327">
        <f t="shared" si="25"/>
        <v>0</v>
      </c>
    </row>
    <row r="195" spans="1:46" x14ac:dyDescent="0.35">
      <c r="A195" s="321" t="s">
        <v>1282</v>
      </c>
      <c r="B195" s="321" t="s">
        <v>1283</v>
      </c>
      <c r="C195" s="322" t="s">
        <v>1626</v>
      </c>
      <c r="D195" s="323" t="s">
        <v>1319</v>
      </c>
      <c r="E195" s="323" t="s">
        <v>1320</v>
      </c>
      <c r="F195" s="323" t="s">
        <v>1496</v>
      </c>
      <c r="G195" s="323" t="s">
        <v>1643</v>
      </c>
      <c r="H195" s="323" t="s">
        <v>1497</v>
      </c>
      <c r="I195" s="322" t="s">
        <v>1805</v>
      </c>
      <c r="J195" s="323" t="s">
        <v>1004</v>
      </c>
      <c r="K195" s="323" t="s">
        <v>493</v>
      </c>
      <c r="L195" s="322" t="s">
        <v>1501</v>
      </c>
      <c r="M195" s="323" t="s">
        <v>1502</v>
      </c>
      <c r="N195" s="323"/>
      <c r="O195" s="322"/>
      <c r="P195" s="323"/>
      <c r="Q195" s="323"/>
      <c r="R195" s="324"/>
      <c r="S195" s="324"/>
      <c r="T195" s="324"/>
      <c r="U195" s="324"/>
      <c r="V195" s="324"/>
      <c r="W195" s="324"/>
      <c r="X195" s="324"/>
      <c r="Y195" s="324"/>
      <c r="Z195" s="324"/>
      <c r="AA195" s="324"/>
      <c r="AB195" s="324"/>
      <c r="AC195" s="324"/>
      <c r="AD195" s="324">
        <f t="shared" si="26"/>
        <v>0</v>
      </c>
      <c r="AF195" s="327"/>
      <c r="AG195" s="327"/>
      <c r="AH195" s="327"/>
      <c r="AI195" s="327"/>
      <c r="AJ195" s="327"/>
      <c r="AK195" s="327"/>
      <c r="AL195" s="327"/>
      <c r="AM195" s="327"/>
      <c r="AN195" s="327"/>
      <c r="AO195" s="327"/>
      <c r="AP195" s="327"/>
      <c r="AQ195" s="327"/>
      <c r="AR195" s="325">
        <f t="shared" si="29"/>
        <v>0</v>
      </c>
      <c r="AS195" s="327">
        <f t="shared" si="24"/>
        <v>0</v>
      </c>
      <c r="AT195" s="327">
        <f t="shared" si="25"/>
        <v>0</v>
      </c>
    </row>
    <row r="196" spans="1:46" x14ac:dyDescent="0.35">
      <c r="A196" s="321" t="s">
        <v>1282</v>
      </c>
      <c r="B196" s="321" t="s">
        <v>1283</v>
      </c>
      <c r="C196" s="322" t="s">
        <v>1626</v>
      </c>
      <c r="D196" s="323" t="s">
        <v>1319</v>
      </c>
      <c r="E196" s="323" t="s">
        <v>1320</v>
      </c>
      <c r="F196" s="323" t="s">
        <v>1496</v>
      </c>
      <c r="G196" s="323" t="s">
        <v>1643</v>
      </c>
      <c r="H196" s="323" t="s">
        <v>1497</v>
      </c>
      <c r="I196" s="322" t="s">
        <v>1806</v>
      </c>
      <c r="J196" s="323" t="s">
        <v>880</v>
      </c>
      <c r="K196" s="323" t="s">
        <v>1002</v>
      </c>
      <c r="L196" s="322" t="s">
        <v>1504</v>
      </c>
      <c r="M196" s="323" t="s">
        <v>880</v>
      </c>
      <c r="N196" s="323"/>
      <c r="O196" s="322"/>
      <c r="P196" s="323"/>
      <c r="Q196" s="323"/>
      <c r="R196" s="324"/>
      <c r="S196" s="324"/>
      <c r="T196" s="324"/>
      <c r="U196" s="324"/>
      <c r="V196" s="324"/>
      <c r="W196" s="324"/>
      <c r="X196" s="324"/>
      <c r="Y196" s="324"/>
      <c r="Z196" s="324"/>
      <c r="AA196" s="324"/>
      <c r="AB196" s="324"/>
      <c r="AC196" s="324"/>
      <c r="AD196" s="324">
        <f t="shared" si="26"/>
        <v>0</v>
      </c>
      <c r="AF196" s="327"/>
      <c r="AG196" s="327"/>
      <c r="AH196" s="327"/>
      <c r="AI196" s="327"/>
      <c r="AJ196" s="327"/>
      <c r="AK196" s="327"/>
      <c r="AL196" s="327"/>
      <c r="AM196" s="327"/>
      <c r="AN196" s="327"/>
      <c r="AO196" s="327"/>
      <c r="AP196" s="327"/>
      <c r="AQ196" s="327"/>
      <c r="AR196" s="325">
        <f t="shared" si="29"/>
        <v>0</v>
      </c>
      <c r="AS196" s="327">
        <f t="shared" si="24"/>
        <v>0</v>
      </c>
      <c r="AT196" s="327">
        <f t="shared" si="25"/>
        <v>0</v>
      </c>
    </row>
    <row r="197" spans="1:46" x14ac:dyDescent="0.35">
      <c r="A197" s="321" t="s">
        <v>1282</v>
      </c>
      <c r="B197" s="321" t="s">
        <v>1283</v>
      </c>
      <c r="C197" s="322" t="s">
        <v>1626</v>
      </c>
      <c r="D197" s="323" t="s">
        <v>1319</v>
      </c>
      <c r="E197" s="323" t="s">
        <v>1320</v>
      </c>
      <c r="F197" s="323" t="s">
        <v>1496</v>
      </c>
      <c r="G197" s="323" t="s">
        <v>1643</v>
      </c>
      <c r="H197" s="323" t="s">
        <v>1497</v>
      </c>
      <c r="I197" s="322" t="s">
        <v>1807</v>
      </c>
      <c r="J197" s="323" t="s">
        <v>741</v>
      </c>
      <c r="K197" s="323" t="s">
        <v>742</v>
      </c>
      <c r="L197" s="322" t="s">
        <v>1505</v>
      </c>
      <c r="M197" s="323" t="s">
        <v>1506</v>
      </c>
      <c r="N197" s="323"/>
      <c r="O197" s="322"/>
      <c r="P197" s="323"/>
      <c r="Q197" s="323"/>
      <c r="R197" s="324"/>
      <c r="S197" s="324"/>
      <c r="T197" s="324"/>
      <c r="U197" s="324"/>
      <c r="V197" s="324"/>
      <c r="W197" s="324"/>
      <c r="X197" s="324"/>
      <c r="Y197" s="324"/>
      <c r="Z197" s="324"/>
      <c r="AA197" s="324"/>
      <c r="AB197" s="324"/>
      <c r="AC197" s="324"/>
      <c r="AD197" s="324">
        <f t="shared" si="26"/>
        <v>0</v>
      </c>
      <c r="AF197" s="327"/>
      <c r="AG197" s="327"/>
      <c r="AH197" s="327"/>
      <c r="AI197" s="327"/>
      <c r="AJ197" s="327"/>
      <c r="AK197" s="327"/>
      <c r="AL197" s="327"/>
      <c r="AM197" s="327"/>
      <c r="AN197" s="327"/>
      <c r="AO197" s="327"/>
      <c r="AP197" s="327"/>
      <c r="AQ197" s="327"/>
      <c r="AR197" s="325">
        <f t="shared" si="29"/>
        <v>0</v>
      </c>
      <c r="AS197" s="327">
        <f t="shared" si="24"/>
        <v>0</v>
      </c>
      <c r="AT197" s="327">
        <f t="shared" si="25"/>
        <v>0</v>
      </c>
    </row>
    <row r="198" spans="1:46" x14ac:dyDescent="0.35">
      <c r="A198" s="321" t="s">
        <v>1282</v>
      </c>
      <c r="B198" s="321" t="s">
        <v>1283</v>
      </c>
      <c r="C198" s="322" t="s">
        <v>1626</v>
      </c>
      <c r="D198" s="323" t="s">
        <v>1319</v>
      </c>
      <c r="E198" s="323" t="s">
        <v>1320</v>
      </c>
      <c r="F198" s="323" t="s">
        <v>1808</v>
      </c>
      <c r="G198" s="323" t="s">
        <v>1643</v>
      </c>
      <c r="H198" s="323" t="s">
        <v>1809</v>
      </c>
      <c r="I198" s="322" t="s">
        <v>1810</v>
      </c>
      <c r="J198" s="323" t="s">
        <v>1811</v>
      </c>
      <c r="K198" s="323" t="s">
        <v>1672</v>
      </c>
      <c r="L198" s="322" t="s">
        <v>1812</v>
      </c>
      <c r="M198" s="323" t="s">
        <v>1813</v>
      </c>
      <c r="N198" s="323"/>
      <c r="O198" s="322"/>
      <c r="P198" s="323"/>
      <c r="Q198" s="323"/>
      <c r="R198" s="324"/>
      <c r="S198" s="324"/>
      <c r="T198" s="324"/>
      <c r="U198" s="324"/>
      <c r="V198" s="324"/>
      <c r="W198" s="324"/>
      <c r="X198" s="324"/>
      <c r="Y198" s="324"/>
      <c r="Z198" s="324"/>
      <c r="AA198" s="324"/>
      <c r="AB198" s="324"/>
      <c r="AC198" s="324"/>
      <c r="AD198" s="324">
        <f t="shared" si="26"/>
        <v>0</v>
      </c>
      <c r="AF198" s="327"/>
      <c r="AG198" s="327"/>
      <c r="AH198" s="327"/>
      <c r="AI198" s="327"/>
      <c r="AJ198" s="327"/>
      <c r="AK198" s="327"/>
      <c r="AL198" s="327"/>
      <c r="AM198" s="327"/>
      <c r="AN198" s="327"/>
      <c r="AO198" s="327"/>
      <c r="AP198" s="327"/>
      <c r="AQ198" s="327"/>
      <c r="AR198" s="325">
        <f t="shared" si="29"/>
        <v>0</v>
      </c>
      <c r="AS198" s="327">
        <f t="shared" si="24"/>
        <v>0</v>
      </c>
      <c r="AT198" s="327">
        <f t="shared" si="25"/>
        <v>0</v>
      </c>
    </row>
    <row r="199" spans="1:46" x14ac:dyDescent="0.35">
      <c r="A199" s="321" t="s">
        <v>1282</v>
      </c>
      <c r="B199" s="321" t="s">
        <v>1283</v>
      </c>
      <c r="C199" s="322" t="s">
        <v>1626</v>
      </c>
      <c r="D199" s="323" t="s">
        <v>1319</v>
      </c>
      <c r="E199" s="323" t="s">
        <v>1320</v>
      </c>
      <c r="F199" s="323" t="s">
        <v>1808</v>
      </c>
      <c r="G199" s="323" t="s">
        <v>1643</v>
      </c>
      <c r="H199" s="323" t="s">
        <v>1809</v>
      </c>
      <c r="I199" s="322" t="s">
        <v>1814</v>
      </c>
      <c r="J199" s="323" t="s">
        <v>1811</v>
      </c>
      <c r="K199" s="323" t="s">
        <v>1672</v>
      </c>
      <c r="L199" s="322" t="s">
        <v>1812</v>
      </c>
      <c r="M199" s="323" t="s">
        <v>1813</v>
      </c>
      <c r="N199" s="323"/>
      <c r="O199" s="322"/>
      <c r="P199" s="323"/>
      <c r="Q199" s="323"/>
      <c r="R199" s="324"/>
      <c r="S199" s="324"/>
      <c r="T199" s="324"/>
      <c r="U199" s="324"/>
      <c r="V199" s="324"/>
      <c r="W199" s="324"/>
      <c r="X199" s="324"/>
      <c r="Y199" s="324"/>
      <c r="Z199" s="324"/>
      <c r="AA199" s="324"/>
      <c r="AB199" s="324"/>
      <c r="AC199" s="324"/>
      <c r="AD199" s="324">
        <f t="shared" si="26"/>
        <v>0</v>
      </c>
      <c r="AF199" s="327"/>
      <c r="AG199" s="327"/>
      <c r="AH199" s="327"/>
      <c r="AI199" s="327"/>
      <c r="AJ199" s="327"/>
      <c r="AK199" s="327"/>
      <c r="AL199" s="327"/>
      <c r="AM199" s="327"/>
      <c r="AN199" s="327"/>
      <c r="AO199" s="327"/>
      <c r="AP199" s="327"/>
      <c r="AQ199" s="327"/>
      <c r="AR199" s="325">
        <f t="shared" si="29"/>
        <v>0</v>
      </c>
      <c r="AS199" s="327">
        <f t="shared" si="24"/>
        <v>0</v>
      </c>
      <c r="AT199" s="327">
        <f t="shared" si="25"/>
        <v>0</v>
      </c>
    </row>
    <row r="200" spans="1:46" x14ac:dyDescent="0.35">
      <c r="A200" s="321" t="s">
        <v>1282</v>
      </c>
      <c r="B200" s="321" t="s">
        <v>1283</v>
      </c>
      <c r="C200" s="322" t="s">
        <v>1626</v>
      </c>
      <c r="D200" s="323" t="s">
        <v>1319</v>
      </c>
      <c r="E200" s="323" t="s">
        <v>1320</v>
      </c>
      <c r="F200" s="323" t="s">
        <v>1808</v>
      </c>
      <c r="G200" s="323" t="s">
        <v>1643</v>
      </c>
      <c r="H200" s="323" t="s">
        <v>1809</v>
      </c>
      <c r="I200" s="322" t="s">
        <v>1815</v>
      </c>
      <c r="J200" s="323" t="s">
        <v>1811</v>
      </c>
      <c r="K200" s="323" t="s">
        <v>1672</v>
      </c>
      <c r="L200" s="322" t="s">
        <v>1812</v>
      </c>
      <c r="M200" s="323" t="s">
        <v>1813</v>
      </c>
      <c r="N200" s="323"/>
      <c r="O200" s="322"/>
      <c r="P200" s="323"/>
      <c r="Q200" s="323"/>
      <c r="R200" s="324"/>
      <c r="S200" s="324"/>
      <c r="T200" s="324"/>
      <c r="U200" s="324"/>
      <c r="V200" s="324"/>
      <c r="W200" s="324"/>
      <c r="X200" s="324"/>
      <c r="Y200" s="324"/>
      <c r="Z200" s="324"/>
      <c r="AA200" s="324"/>
      <c r="AB200" s="324"/>
      <c r="AC200" s="324"/>
      <c r="AD200" s="324">
        <f t="shared" si="26"/>
        <v>0</v>
      </c>
      <c r="AF200" s="327"/>
      <c r="AG200" s="327"/>
      <c r="AH200" s="327"/>
      <c r="AI200" s="327"/>
      <c r="AJ200" s="327"/>
      <c r="AK200" s="327"/>
      <c r="AL200" s="327"/>
      <c r="AM200" s="327"/>
      <c r="AN200" s="327"/>
      <c r="AO200" s="327"/>
      <c r="AP200" s="327"/>
      <c r="AQ200" s="327"/>
      <c r="AR200" s="325">
        <f t="shared" si="29"/>
        <v>0</v>
      </c>
      <c r="AS200" s="327">
        <f t="shared" si="24"/>
        <v>0</v>
      </c>
      <c r="AT200" s="327">
        <f t="shared" si="25"/>
        <v>0</v>
      </c>
    </row>
    <row r="201" spans="1:46" x14ac:dyDescent="0.35">
      <c r="A201" s="321" t="s">
        <v>1282</v>
      </c>
      <c r="B201" s="321" t="s">
        <v>1283</v>
      </c>
      <c r="C201" s="322" t="s">
        <v>1626</v>
      </c>
      <c r="D201" s="323" t="s">
        <v>1319</v>
      </c>
      <c r="E201" s="323" t="s">
        <v>1320</v>
      </c>
      <c r="F201" s="323" t="s">
        <v>1808</v>
      </c>
      <c r="G201" s="323" t="s">
        <v>1643</v>
      </c>
      <c r="H201" s="323" t="s">
        <v>1809</v>
      </c>
      <c r="I201" s="322" t="s">
        <v>1816</v>
      </c>
      <c r="J201" s="323" t="s">
        <v>1817</v>
      </c>
      <c r="K201" s="323" t="s">
        <v>1672</v>
      </c>
      <c r="L201" s="322" t="s">
        <v>1818</v>
      </c>
      <c r="M201" s="323" t="s">
        <v>1819</v>
      </c>
      <c r="N201" s="323"/>
      <c r="O201" s="322"/>
      <c r="P201" s="323"/>
      <c r="Q201" s="323"/>
      <c r="R201" s="324"/>
      <c r="S201" s="324"/>
      <c r="T201" s="324"/>
      <c r="U201" s="324"/>
      <c r="V201" s="324"/>
      <c r="W201" s="324"/>
      <c r="X201" s="324"/>
      <c r="Y201" s="324"/>
      <c r="Z201" s="324"/>
      <c r="AA201" s="324"/>
      <c r="AB201" s="324"/>
      <c r="AC201" s="324"/>
      <c r="AD201" s="324">
        <f t="shared" si="26"/>
        <v>0</v>
      </c>
      <c r="AF201" s="327"/>
      <c r="AG201" s="327"/>
      <c r="AH201" s="327"/>
      <c r="AI201" s="327"/>
      <c r="AJ201" s="327"/>
      <c r="AK201" s="327"/>
      <c r="AL201" s="327"/>
      <c r="AM201" s="327"/>
      <c r="AN201" s="327"/>
      <c r="AO201" s="327"/>
      <c r="AP201" s="327"/>
      <c r="AQ201" s="327"/>
      <c r="AR201" s="325">
        <f t="shared" si="29"/>
        <v>0</v>
      </c>
      <c r="AS201" s="327">
        <f t="shared" si="24"/>
        <v>0</v>
      </c>
      <c r="AT201" s="327">
        <f t="shared" si="25"/>
        <v>0</v>
      </c>
    </row>
    <row r="202" spans="1:46" x14ac:dyDescent="0.35">
      <c r="A202" s="321" t="s">
        <v>1282</v>
      </c>
      <c r="B202" s="321" t="s">
        <v>1283</v>
      </c>
      <c r="C202" s="322" t="s">
        <v>1626</v>
      </c>
      <c r="D202" s="323" t="s">
        <v>1319</v>
      </c>
      <c r="E202" s="323" t="s">
        <v>1320</v>
      </c>
      <c r="F202" s="323" t="s">
        <v>1808</v>
      </c>
      <c r="G202" s="323" t="s">
        <v>1643</v>
      </c>
      <c r="H202" s="323" t="s">
        <v>1809</v>
      </c>
      <c r="I202" s="322" t="s">
        <v>1820</v>
      </c>
      <c r="J202" s="323" t="s">
        <v>1817</v>
      </c>
      <c r="K202" s="323" t="s">
        <v>1672</v>
      </c>
      <c r="L202" s="322" t="s">
        <v>1818</v>
      </c>
      <c r="M202" s="323" t="s">
        <v>1819</v>
      </c>
      <c r="N202" s="323"/>
      <c r="O202" s="322"/>
      <c r="P202" s="323"/>
      <c r="Q202" s="323"/>
      <c r="R202" s="324"/>
      <c r="S202" s="324"/>
      <c r="T202" s="324"/>
      <c r="U202" s="324"/>
      <c r="V202" s="324"/>
      <c r="W202" s="324"/>
      <c r="X202" s="324"/>
      <c r="Y202" s="324"/>
      <c r="Z202" s="324"/>
      <c r="AA202" s="324"/>
      <c r="AB202" s="324"/>
      <c r="AC202" s="324"/>
      <c r="AD202" s="324">
        <f t="shared" si="26"/>
        <v>0</v>
      </c>
      <c r="AF202" s="327"/>
      <c r="AG202" s="327"/>
      <c r="AH202" s="327"/>
      <c r="AI202" s="327"/>
      <c r="AJ202" s="327"/>
      <c r="AK202" s="327"/>
      <c r="AL202" s="327"/>
      <c r="AM202" s="327"/>
      <c r="AN202" s="327"/>
      <c r="AO202" s="327"/>
      <c r="AP202" s="327"/>
      <c r="AQ202" s="327"/>
      <c r="AR202" s="325">
        <f t="shared" si="29"/>
        <v>0</v>
      </c>
      <c r="AS202" s="327">
        <f t="shared" si="24"/>
        <v>0</v>
      </c>
      <c r="AT202" s="327">
        <f t="shared" si="25"/>
        <v>0</v>
      </c>
    </row>
    <row r="203" spans="1:46" x14ac:dyDescent="0.35">
      <c r="A203" s="321" t="s">
        <v>1282</v>
      </c>
      <c r="B203" s="321" t="s">
        <v>1283</v>
      </c>
      <c r="C203" s="322" t="s">
        <v>1626</v>
      </c>
      <c r="D203" s="323" t="s">
        <v>1319</v>
      </c>
      <c r="E203" s="323" t="s">
        <v>1320</v>
      </c>
      <c r="F203" s="323" t="s">
        <v>1808</v>
      </c>
      <c r="G203" s="323" t="s">
        <v>1643</v>
      </c>
      <c r="H203" s="323" t="s">
        <v>1809</v>
      </c>
      <c r="I203" s="322" t="s">
        <v>1821</v>
      </c>
      <c r="J203" s="323" t="s">
        <v>1817</v>
      </c>
      <c r="K203" s="323" t="s">
        <v>1672</v>
      </c>
      <c r="L203" s="322" t="s">
        <v>1818</v>
      </c>
      <c r="M203" s="323" t="s">
        <v>1819</v>
      </c>
      <c r="N203" s="323"/>
      <c r="O203" s="322"/>
      <c r="P203" s="323"/>
      <c r="Q203" s="323"/>
      <c r="R203" s="324"/>
      <c r="S203" s="324"/>
      <c r="T203" s="324"/>
      <c r="U203" s="324"/>
      <c r="V203" s="324"/>
      <c r="W203" s="324"/>
      <c r="X203" s="324"/>
      <c r="Y203" s="324"/>
      <c r="Z203" s="324"/>
      <c r="AA203" s="324"/>
      <c r="AB203" s="324"/>
      <c r="AC203" s="324"/>
      <c r="AD203" s="324">
        <f t="shared" si="26"/>
        <v>0</v>
      </c>
      <c r="AF203" s="327"/>
      <c r="AG203" s="327"/>
      <c r="AH203" s="327"/>
      <c r="AI203" s="327"/>
      <c r="AJ203" s="327"/>
      <c r="AK203" s="327"/>
      <c r="AL203" s="327"/>
      <c r="AM203" s="327"/>
      <c r="AN203" s="327"/>
      <c r="AO203" s="327"/>
      <c r="AP203" s="327"/>
      <c r="AQ203" s="327"/>
      <c r="AR203" s="325">
        <f t="shared" si="29"/>
        <v>0</v>
      </c>
      <c r="AS203" s="327">
        <f t="shared" si="24"/>
        <v>0</v>
      </c>
      <c r="AT203" s="327">
        <f t="shared" si="25"/>
        <v>0</v>
      </c>
    </row>
    <row r="204" spans="1:46" x14ac:dyDescent="0.35">
      <c r="A204" s="321" t="s">
        <v>1282</v>
      </c>
      <c r="B204" s="321" t="s">
        <v>1283</v>
      </c>
      <c r="C204" s="322" t="s">
        <v>1626</v>
      </c>
      <c r="D204" s="323" t="s">
        <v>1319</v>
      </c>
      <c r="E204" s="323" t="s">
        <v>1320</v>
      </c>
      <c r="F204" s="323" t="s">
        <v>1507</v>
      </c>
      <c r="G204" s="323" t="s">
        <v>1643</v>
      </c>
      <c r="H204" s="323" t="s">
        <v>1508</v>
      </c>
      <c r="I204" s="322" t="s">
        <v>1822</v>
      </c>
      <c r="J204" s="323" t="s">
        <v>899</v>
      </c>
      <c r="K204" s="323" t="s">
        <v>711</v>
      </c>
      <c r="L204" s="322" t="s">
        <v>1509</v>
      </c>
      <c r="M204" s="323" t="s">
        <v>1510</v>
      </c>
      <c r="N204" s="323"/>
      <c r="O204" s="322"/>
      <c r="P204" s="323"/>
      <c r="Q204" s="323"/>
      <c r="R204" s="324"/>
      <c r="S204" s="324"/>
      <c r="T204" s="324"/>
      <c r="U204" s="324"/>
      <c r="V204" s="324"/>
      <c r="W204" s="324"/>
      <c r="X204" s="324"/>
      <c r="Y204" s="324"/>
      <c r="Z204" s="324"/>
      <c r="AA204" s="324"/>
      <c r="AB204" s="324"/>
      <c r="AC204" s="324"/>
      <c r="AD204" s="324">
        <f t="shared" si="26"/>
        <v>0</v>
      </c>
      <c r="AF204" s="327"/>
      <c r="AG204" s="327"/>
      <c r="AH204" s="327"/>
      <c r="AI204" s="327"/>
      <c r="AJ204" s="327"/>
      <c r="AK204" s="327"/>
      <c r="AL204" s="327"/>
      <c r="AM204" s="327"/>
      <c r="AN204" s="327"/>
      <c r="AO204" s="327"/>
      <c r="AP204" s="327"/>
      <c r="AQ204" s="327"/>
      <c r="AR204" s="325">
        <f t="shared" si="29"/>
        <v>0</v>
      </c>
      <c r="AS204" s="327">
        <f t="shared" si="24"/>
        <v>0</v>
      </c>
      <c r="AT204" s="327">
        <f t="shared" si="25"/>
        <v>0</v>
      </c>
    </row>
    <row r="205" spans="1:46" x14ac:dyDescent="0.35">
      <c r="A205" s="321" t="s">
        <v>1282</v>
      </c>
      <c r="B205" s="321" t="s">
        <v>1283</v>
      </c>
      <c r="C205" s="322" t="s">
        <v>1626</v>
      </c>
      <c r="D205" s="323" t="s">
        <v>1319</v>
      </c>
      <c r="E205" s="323" t="s">
        <v>1320</v>
      </c>
      <c r="F205" s="323" t="s">
        <v>1507</v>
      </c>
      <c r="G205" s="323" t="s">
        <v>1643</v>
      </c>
      <c r="H205" s="323" t="s">
        <v>1508</v>
      </c>
      <c r="I205" s="322" t="s">
        <v>1823</v>
      </c>
      <c r="J205" s="323" t="s">
        <v>899</v>
      </c>
      <c r="K205" s="323" t="s">
        <v>711</v>
      </c>
      <c r="L205" s="322" t="s">
        <v>1509</v>
      </c>
      <c r="M205" s="323" t="s">
        <v>1510</v>
      </c>
      <c r="N205" s="323"/>
      <c r="O205" s="322"/>
      <c r="P205" s="323"/>
      <c r="Q205" s="323"/>
      <c r="R205" s="324"/>
      <c r="S205" s="324"/>
      <c r="T205" s="324"/>
      <c r="U205" s="324"/>
      <c r="V205" s="324"/>
      <c r="W205" s="324"/>
      <c r="X205" s="324"/>
      <c r="Y205" s="324"/>
      <c r="Z205" s="324"/>
      <c r="AA205" s="324"/>
      <c r="AB205" s="324"/>
      <c r="AC205" s="324"/>
      <c r="AD205" s="324">
        <f t="shared" si="26"/>
        <v>0</v>
      </c>
      <c r="AF205" s="327"/>
      <c r="AG205" s="327"/>
      <c r="AH205" s="327"/>
      <c r="AI205" s="327"/>
      <c r="AJ205" s="327"/>
      <c r="AK205" s="327"/>
      <c r="AL205" s="327"/>
      <c r="AM205" s="327"/>
      <c r="AN205" s="327"/>
      <c r="AO205" s="327"/>
      <c r="AP205" s="327"/>
      <c r="AQ205" s="327"/>
      <c r="AR205" s="325">
        <f t="shared" si="29"/>
        <v>0</v>
      </c>
      <c r="AS205" s="327">
        <f t="shared" si="24"/>
        <v>0</v>
      </c>
      <c r="AT205" s="327">
        <f t="shared" si="25"/>
        <v>0</v>
      </c>
    </row>
    <row r="206" spans="1:46" x14ac:dyDescent="0.35">
      <c r="A206" s="321" t="s">
        <v>1282</v>
      </c>
      <c r="B206" s="321" t="s">
        <v>1283</v>
      </c>
      <c r="C206" s="322" t="s">
        <v>1626</v>
      </c>
      <c r="D206" s="323" t="s">
        <v>1319</v>
      </c>
      <c r="E206" s="323" t="s">
        <v>1320</v>
      </c>
      <c r="F206" s="323" t="s">
        <v>1507</v>
      </c>
      <c r="G206" s="323" t="s">
        <v>1643</v>
      </c>
      <c r="H206" s="323" t="s">
        <v>1508</v>
      </c>
      <c r="I206" s="322" t="s">
        <v>1824</v>
      </c>
      <c r="J206" s="323" t="s">
        <v>928</v>
      </c>
      <c r="K206" s="323" t="s">
        <v>711</v>
      </c>
      <c r="L206" s="322" t="s">
        <v>1511</v>
      </c>
      <c r="M206" s="323" t="s">
        <v>1512</v>
      </c>
      <c r="N206" s="323"/>
      <c r="O206" s="322"/>
      <c r="P206" s="323"/>
      <c r="Q206" s="323"/>
      <c r="R206" s="324"/>
      <c r="S206" s="324"/>
      <c r="T206" s="324"/>
      <c r="U206" s="324"/>
      <c r="V206" s="324"/>
      <c r="W206" s="324"/>
      <c r="X206" s="324"/>
      <c r="Y206" s="324"/>
      <c r="Z206" s="324"/>
      <c r="AA206" s="324"/>
      <c r="AB206" s="324"/>
      <c r="AC206" s="324"/>
      <c r="AD206" s="324">
        <f t="shared" si="26"/>
        <v>0</v>
      </c>
      <c r="AF206" s="327"/>
      <c r="AG206" s="327"/>
      <c r="AH206" s="327"/>
      <c r="AI206" s="327"/>
      <c r="AJ206" s="327"/>
      <c r="AK206" s="327"/>
      <c r="AL206" s="327"/>
      <c r="AM206" s="327"/>
      <c r="AN206" s="327"/>
      <c r="AO206" s="327"/>
      <c r="AP206" s="327"/>
      <c r="AQ206" s="327"/>
      <c r="AR206" s="325">
        <f t="shared" si="29"/>
        <v>0</v>
      </c>
      <c r="AS206" s="327">
        <f t="shared" ref="AS206:AS269" si="30">AD206-AR206</f>
        <v>0</v>
      </c>
      <c r="AT206" s="327">
        <f t="shared" ref="AT206:AT269" si="31">IFERROR(AS206/AR206,0)</f>
        <v>0</v>
      </c>
    </row>
    <row r="207" spans="1:46" x14ac:dyDescent="0.35">
      <c r="A207" s="321" t="s">
        <v>1282</v>
      </c>
      <c r="B207" s="321" t="s">
        <v>1283</v>
      </c>
      <c r="C207" s="322" t="s">
        <v>1626</v>
      </c>
      <c r="D207" s="323" t="s">
        <v>1319</v>
      </c>
      <c r="E207" s="323" t="s">
        <v>1320</v>
      </c>
      <c r="F207" s="323" t="s">
        <v>1513</v>
      </c>
      <c r="G207" s="323" t="s">
        <v>1643</v>
      </c>
      <c r="H207" s="323" t="s">
        <v>1514</v>
      </c>
      <c r="I207" s="322" t="s">
        <v>1825</v>
      </c>
      <c r="J207" s="323" t="s">
        <v>988</v>
      </c>
      <c r="K207" s="323" t="s">
        <v>989</v>
      </c>
      <c r="L207" s="322" t="s">
        <v>1826</v>
      </c>
      <c r="M207" s="323" t="s">
        <v>1827</v>
      </c>
      <c r="N207" s="323"/>
      <c r="O207" s="322"/>
      <c r="P207" s="323"/>
      <c r="Q207" s="323"/>
      <c r="R207" s="324"/>
      <c r="S207" s="324"/>
      <c r="T207" s="324"/>
      <c r="U207" s="324"/>
      <c r="V207" s="324"/>
      <c r="W207" s="324"/>
      <c r="X207" s="324"/>
      <c r="Y207" s="324"/>
      <c r="Z207" s="324"/>
      <c r="AA207" s="324"/>
      <c r="AB207" s="324"/>
      <c r="AC207" s="324"/>
      <c r="AD207" s="324">
        <f t="shared" si="26"/>
        <v>0</v>
      </c>
      <c r="AF207" s="327"/>
      <c r="AG207" s="327"/>
      <c r="AH207" s="327"/>
      <c r="AI207" s="327"/>
      <c r="AJ207" s="327"/>
      <c r="AK207" s="327"/>
      <c r="AL207" s="327"/>
      <c r="AM207" s="327"/>
      <c r="AN207" s="327"/>
      <c r="AO207" s="327"/>
      <c r="AP207" s="327"/>
      <c r="AQ207" s="327"/>
      <c r="AR207" s="325">
        <f t="shared" si="29"/>
        <v>0</v>
      </c>
      <c r="AS207" s="327">
        <f t="shared" si="30"/>
        <v>0</v>
      </c>
      <c r="AT207" s="327">
        <f t="shared" si="31"/>
        <v>0</v>
      </c>
    </row>
    <row r="208" spans="1:46" x14ac:dyDescent="0.35">
      <c r="A208" s="321" t="s">
        <v>1282</v>
      </c>
      <c r="B208" s="321" t="s">
        <v>1283</v>
      </c>
      <c r="C208" s="322" t="s">
        <v>1626</v>
      </c>
      <c r="D208" s="323" t="s">
        <v>1319</v>
      </c>
      <c r="E208" s="323" t="s">
        <v>1320</v>
      </c>
      <c r="F208" s="323" t="s">
        <v>1513</v>
      </c>
      <c r="G208" s="323" t="s">
        <v>1643</v>
      </c>
      <c r="H208" s="323" t="s">
        <v>1514</v>
      </c>
      <c r="I208" s="322" t="s">
        <v>1828</v>
      </c>
      <c r="J208" s="323" t="s">
        <v>877</v>
      </c>
      <c r="K208" s="323" t="s">
        <v>987</v>
      </c>
      <c r="L208" s="322" t="s">
        <v>1516</v>
      </c>
      <c r="M208" s="323" t="s">
        <v>1517</v>
      </c>
      <c r="N208" s="323"/>
      <c r="O208" s="322"/>
      <c r="P208" s="323"/>
      <c r="Q208" s="323"/>
      <c r="R208" s="324"/>
      <c r="S208" s="324"/>
      <c r="T208" s="324"/>
      <c r="U208" s="324"/>
      <c r="V208" s="324"/>
      <c r="W208" s="324"/>
      <c r="X208" s="324"/>
      <c r="Y208" s="324"/>
      <c r="Z208" s="324"/>
      <c r="AA208" s="324"/>
      <c r="AB208" s="324"/>
      <c r="AC208" s="324"/>
      <c r="AD208" s="324">
        <f t="shared" ref="AD208:AD275" si="32">SUM(R208:AC208)</f>
        <v>0</v>
      </c>
      <c r="AF208" s="327"/>
      <c r="AG208" s="327"/>
      <c r="AH208" s="327"/>
      <c r="AI208" s="327"/>
      <c r="AJ208" s="327"/>
      <c r="AK208" s="327"/>
      <c r="AL208" s="327"/>
      <c r="AM208" s="327"/>
      <c r="AN208" s="327"/>
      <c r="AO208" s="327"/>
      <c r="AP208" s="327"/>
      <c r="AQ208" s="327"/>
      <c r="AR208" s="325">
        <f t="shared" si="29"/>
        <v>0</v>
      </c>
      <c r="AS208" s="327">
        <f t="shared" si="30"/>
        <v>0</v>
      </c>
      <c r="AT208" s="327">
        <f t="shared" si="31"/>
        <v>0</v>
      </c>
    </row>
    <row r="209" spans="1:46" x14ac:dyDescent="0.35">
      <c r="A209" s="321" t="s">
        <v>1282</v>
      </c>
      <c r="B209" s="321" t="s">
        <v>1283</v>
      </c>
      <c r="C209" s="322" t="s">
        <v>1626</v>
      </c>
      <c r="D209" s="323" t="s">
        <v>1319</v>
      </c>
      <c r="E209" s="323" t="s">
        <v>1320</v>
      </c>
      <c r="F209" s="323" t="s">
        <v>1523</v>
      </c>
      <c r="G209" s="323" t="s">
        <v>1643</v>
      </c>
      <c r="H209" s="323" t="s">
        <v>745</v>
      </c>
      <c r="I209" s="322" t="s">
        <v>1829</v>
      </c>
      <c r="J209" s="323" t="s">
        <v>746</v>
      </c>
      <c r="K209" s="323" t="s">
        <v>738</v>
      </c>
      <c r="L209" s="322" t="s">
        <v>1524</v>
      </c>
      <c r="M209" s="323" t="s">
        <v>1525</v>
      </c>
      <c r="N209" s="323"/>
      <c r="O209" s="322"/>
      <c r="P209" s="323"/>
      <c r="Q209" s="323"/>
      <c r="R209" s="324"/>
      <c r="S209" s="324"/>
      <c r="T209" s="324"/>
      <c r="U209" s="324"/>
      <c r="V209" s="324"/>
      <c r="W209" s="324"/>
      <c r="X209" s="324"/>
      <c r="Y209" s="324"/>
      <c r="Z209" s="324"/>
      <c r="AA209" s="324"/>
      <c r="AB209" s="324"/>
      <c r="AC209" s="324"/>
      <c r="AD209" s="324">
        <f t="shared" si="32"/>
        <v>0</v>
      </c>
      <c r="AF209" s="327"/>
      <c r="AG209" s="327"/>
      <c r="AH209" s="327"/>
      <c r="AI209" s="327"/>
      <c r="AJ209" s="327"/>
      <c r="AK209" s="327"/>
      <c r="AL209" s="327"/>
      <c r="AM209" s="327"/>
      <c r="AN209" s="327"/>
      <c r="AO209" s="327"/>
      <c r="AP209" s="327"/>
      <c r="AQ209" s="327"/>
      <c r="AR209" s="325">
        <f t="shared" si="29"/>
        <v>0</v>
      </c>
      <c r="AS209" s="327">
        <f t="shared" si="30"/>
        <v>0</v>
      </c>
      <c r="AT209" s="327">
        <f t="shared" si="31"/>
        <v>0</v>
      </c>
    </row>
    <row r="210" spans="1:46" x14ac:dyDescent="0.35">
      <c r="A210" s="321" t="s">
        <v>1282</v>
      </c>
      <c r="B210" s="321" t="s">
        <v>1283</v>
      </c>
      <c r="C210" s="322" t="s">
        <v>1626</v>
      </c>
      <c r="D210" s="323" t="s">
        <v>1319</v>
      </c>
      <c r="E210" s="323" t="s">
        <v>1320</v>
      </c>
      <c r="F210" s="323" t="s">
        <v>1526</v>
      </c>
      <c r="G210" s="323" t="s">
        <v>1643</v>
      </c>
      <c r="H210" s="323" t="s">
        <v>1527</v>
      </c>
      <c r="I210" s="322" t="s">
        <v>1830</v>
      </c>
      <c r="J210" s="323" t="s">
        <v>1831</v>
      </c>
      <c r="K210" s="323" t="s">
        <v>1672</v>
      </c>
      <c r="L210" s="322" t="s">
        <v>1832</v>
      </c>
      <c r="M210" s="323" t="s">
        <v>1833</v>
      </c>
      <c r="N210" s="323"/>
      <c r="O210" s="322"/>
      <c r="P210" s="323"/>
      <c r="Q210" s="323"/>
      <c r="R210" s="324"/>
      <c r="S210" s="324"/>
      <c r="T210" s="324"/>
      <c r="U210" s="324"/>
      <c r="V210" s="324"/>
      <c r="W210" s="324"/>
      <c r="X210" s="324"/>
      <c r="Y210" s="324"/>
      <c r="Z210" s="324"/>
      <c r="AA210" s="324"/>
      <c r="AB210" s="324"/>
      <c r="AC210" s="324"/>
      <c r="AD210" s="324">
        <f t="shared" si="32"/>
        <v>0</v>
      </c>
      <c r="AF210" s="327"/>
      <c r="AG210" s="327"/>
      <c r="AH210" s="327"/>
      <c r="AI210" s="327"/>
      <c r="AJ210" s="327"/>
      <c r="AK210" s="327"/>
      <c r="AL210" s="327"/>
      <c r="AM210" s="327"/>
      <c r="AN210" s="327"/>
      <c r="AO210" s="327"/>
      <c r="AP210" s="327"/>
      <c r="AQ210" s="327"/>
      <c r="AR210" s="325">
        <f t="shared" si="29"/>
        <v>0</v>
      </c>
      <c r="AS210" s="327">
        <f t="shared" si="30"/>
        <v>0</v>
      </c>
      <c r="AT210" s="327">
        <f t="shared" si="31"/>
        <v>0</v>
      </c>
    </row>
    <row r="211" spans="1:46" x14ac:dyDescent="0.35">
      <c r="A211" s="321" t="s">
        <v>1282</v>
      </c>
      <c r="B211" s="321" t="s">
        <v>1283</v>
      </c>
      <c r="C211" s="322" t="s">
        <v>1626</v>
      </c>
      <c r="D211" s="323" t="s">
        <v>1319</v>
      </c>
      <c r="E211" s="323" t="s">
        <v>1320</v>
      </c>
      <c r="F211" s="323" t="s">
        <v>1526</v>
      </c>
      <c r="G211" s="323" t="s">
        <v>1643</v>
      </c>
      <c r="H211" s="323" t="s">
        <v>1527</v>
      </c>
      <c r="I211" s="322" t="s">
        <v>1834</v>
      </c>
      <c r="J211" s="323" t="s">
        <v>1020</v>
      </c>
      <c r="K211" s="323" t="s">
        <v>1021</v>
      </c>
      <c r="L211" s="322" t="s">
        <v>1835</v>
      </c>
      <c r="M211" s="323" t="s">
        <v>1836</v>
      </c>
      <c r="N211" s="323"/>
      <c r="O211" s="322"/>
      <c r="P211" s="323"/>
      <c r="Q211" s="323"/>
      <c r="R211" s="324"/>
      <c r="S211" s="324"/>
      <c r="T211" s="324"/>
      <c r="U211" s="324"/>
      <c r="V211" s="324"/>
      <c r="W211" s="324"/>
      <c r="X211" s="324"/>
      <c r="Y211" s="324"/>
      <c r="Z211" s="324"/>
      <c r="AA211" s="324"/>
      <c r="AB211" s="324"/>
      <c r="AC211" s="324"/>
      <c r="AD211" s="324">
        <f t="shared" si="32"/>
        <v>0</v>
      </c>
      <c r="AF211" s="327"/>
      <c r="AG211" s="327"/>
      <c r="AH211" s="327"/>
      <c r="AI211" s="327"/>
      <c r="AJ211" s="327"/>
      <c r="AK211" s="327"/>
      <c r="AL211" s="327"/>
      <c r="AM211" s="327"/>
      <c r="AN211" s="327"/>
      <c r="AO211" s="327"/>
      <c r="AP211" s="327"/>
      <c r="AQ211" s="327"/>
      <c r="AR211" s="325">
        <f t="shared" si="29"/>
        <v>0</v>
      </c>
      <c r="AS211" s="327">
        <f t="shared" si="30"/>
        <v>0</v>
      </c>
      <c r="AT211" s="327">
        <f t="shared" si="31"/>
        <v>0</v>
      </c>
    </row>
    <row r="212" spans="1:46" x14ac:dyDescent="0.35">
      <c r="A212" s="321" t="s">
        <v>1282</v>
      </c>
      <c r="B212" s="321" t="s">
        <v>1283</v>
      </c>
      <c r="C212" s="322" t="s">
        <v>1626</v>
      </c>
      <c r="D212" s="323" t="s">
        <v>1319</v>
      </c>
      <c r="E212" s="323" t="s">
        <v>1320</v>
      </c>
      <c r="F212" s="323" t="s">
        <v>1526</v>
      </c>
      <c r="G212" s="323" t="s">
        <v>1643</v>
      </c>
      <c r="H212" s="323" t="s">
        <v>1527</v>
      </c>
      <c r="I212" s="322" t="s">
        <v>1837</v>
      </c>
      <c r="J212" s="323" t="s">
        <v>1025</v>
      </c>
      <c r="K212" s="323" t="s">
        <v>755</v>
      </c>
      <c r="L212" s="322" t="s">
        <v>1529</v>
      </c>
      <c r="M212" s="323" t="s">
        <v>1530</v>
      </c>
      <c r="N212" s="323"/>
      <c r="O212" s="322"/>
      <c r="P212" s="323"/>
      <c r="Q212" s="323"/>
      <c r="R212" s="324"/>
      <c r="S212" s="324"/>
      <c r="T212" s="324"/>
      <c r="U212" s="324"/>
      <c r="V212" s="324"/>
      <c r="W212" s="324"/>
      <c r="X212" s="324"/>
      <c r="Y212" s="324"/>
      <c r="Z212" s="324"/>
      <c r="AA212" s="324"/>
      <c r="AB212" s="324"/>
      <c r="AC212" s="324"/>
      <c r="AD212" s="324">
        <f t="shared" si="32"/>
        <v>0</v>
      </c>
      <c r="AF212" s="327"/>
      <c r="AG212" s="327"/>
      <c r="AH212" s="327"/>
      <c r="AI212" s="327"/>
      <c r="AJ212" s="327"/>
      <c r="AK212" s="327"/>
      <c r="AL212" s="327"/>
      <c r="AM212" s="327"/>
      <c r="AN212" s="327"/>
      <c r="AO212" s="327"/>
      <c r="AP212" s="327"/>
      <c r="AQ212" s="327"/>
      <c r="AR212" s="325">
        <f t="shared" si="29"/>
        <v>0</v>
      </c>
      <c r="AS212" s="327">
        <f t="shared" si="30"/>
        <v>0</v>
      </c>
      <c r="AT212" s="327">
        <f t="shared" si="31"/>
        <v>0</v>
      </c>
    </row>
    <row r="213" spans="1:46" x14ac:dyDescent="0.35">
      <c r="A213" s="321" t="s">
        <v>1282</v>
      </c>
      <c r="B213" s="321" t="s">
        <v>1283</v>
      </c>
      <c r="C213" s="322" t="s">
        <v>1626</v>
      </c>
      <c r="D213" s="323" t="s">
        <v>1319</v>
      </c>
      <c r="E213" s="323" t="s">
        <v>1320</v>
      </c>
      <c r="F213" s="323" t="s">
        <v>1526</v>
      </c>
      <c r="G213" s="323" t="s">
        <v>1643</v>
      </c>
      <c r="H213" s="323" t="s">
        <v>1527</v>
      </c>
      <c r="I213" s="322" t="s">
        <v>1838</v>
      </c>
      <c r="J213" s="323" t="s">
        <v>1532</v>
      </c>
      <c r="K213" s="323" t="s">
        <v>755</v>
      </c>
      <c r="L213" s="322" t="s">
        <v>1533</v>
      </c>
      <c r="M213" s="323" t="s">
        <v>1534</v>
      </c>
      <c r="N213" s="323"/>
      <c r="O213" s="322"/>
      <c r="P213" s="323"/>
      <c r="Q213" s="323"/>
      <c r="R213" s="324"/>
      <c r="S213" s="324"/>
      <c r="T213" s="324"/>
      <c r="U213" s="324"/>
      <c r="V213" s="324"/>
      <c r="W213" s="324"/>
      <c r="X213" s="324"/>
      <c r="Y213" s="324"/>
      <c r="Z213" s="324"/>
      <c r="AA213" s="324"/>
      <c r="AB213" s="324"/>
      <c r="AC213" s="324"/>
      <c r="AD213" s="324">
        <f t="shared" si="32"/>
        <v>0</v>
      </c>
      <c r="AF213" s="327"/>
      <c r="AG213" s="327"/>
      <c r="AH213" s="327"/>
      <c r="AI213" s="327"/>
      <c r="AJ213" s="327"/>
      <c r="AK213" s="327"/>
      <c r="AL213" s="327"/>
      <c r="AM213" s="327"/>
      <c r="AN213" s="327"/>
      <c r="AO213" s="327"/>
      <c r="AP213" s="327"/>
      <c r="AQ213" s="327"/>
      <c r="AR213" s="325">
        <f t="shared" si="29"/>
        <v>0</v>
      </c>
      <c r="AS213" s="327">
        <f t="shared" si="30"/>
        <v>0</v>
      </c>
      <c r="AT213" s="327">
        <f t="shared" si="31"/>
        <v>0</v>
      </c>
    </row>
    <row r="214" spans="1:46" x14ac:dyDescent="0.35">
      <c r="A214" s="321" t="s">
        <v>1282</v>
      </c>
      <c r="B214" s="321" t="s">
        <v>1283</v>
      </c>
      <c r="C214" s="322" t="s">
        <v>1626</v>
      </c>
      <c r="D214" s="323" t="s">
        <v>1319</v>
      </c>
      <c r="E214" s="323" t="s">
        <v>1320</v>
      </c>
      <c r="F214" s="323" t="s">
        <v>1526</v>
      </c>
      <c r="G214" s="323" t="s">
        <v>1643</v>
      </c>
      <c r="H214" s="323" t="s">
        <v>1527</v>
      </c>
      <c r="I214" s="322" t="s">
        <v>1839</v>
      </c>
      <c r="J214" s="323" t="s">
        <v>1532</v>
      </c>
      <c r="K214" s="323" t="s">
        <v>755</v>
      </c>
      <c r="L214" s="322" t="s">
        <v>1533</v>
      </c>
      <c r="M214" s="323" t="s">
        <v>1534</v>
      </c>
      <c r="N214" s="323"/>
      <c r="O214" s="322"/>
      <c r="P214" s="323"/>
      <c r="Q214" s="323"/>
      <c r="R214" s="324"/>
      <c r="S214" s="324"/>
      <c r="T214" s="324"/>
      <c r="U214" s="324"/>
      <c r="V214" s="324"/>
      <c r="W214" s="324"/>
      <c r="X214" s="324"/>
      <c r="Y214" s="324"/>
      <c r="Z214" s="324"/>
      <c r="AA214" s="324"/>
      <c r="AB214" s="324"/>
      <c r="AC214" s="324"/>
      <c r="AD214" s="324">
        <f t="shared" si="32"/>
        <v>0</v>
      </c>
      <c r="AF214" s="327"/>
      <c r="AG214" s="327"/>
      <c r="AH214" s="327"/>
      <c r="AI214" s="327"/>
      <c r="AJ214" s="327"/>
      <c r="AK214" s="327"/>
      <c r="AL214" s="327"/>
      <c r="AM214" s="327"/>
      <c r="AN214" s="327"/>
      <c r="AO214" s="327"/>
      <c r="AP214" s="327"/>
      <c r="AQ214" s="327"/>
      <c r="AR214" s="325">
        <f t="shared" si="29"/>
        <v>0</v>
      </c>
      <c r="AS214" s="327">
        <f t="shared" si="30"/>
        <v>0</v>
      </c>
      <c r="AT214" s="327">
        <f t="shared" si="31"/>
        <v>0</v>
      </c>
    </row>
    <row r="215" spans="1:46" x14ac:dyDescent="0.35">
      <c r="A215" s="321" t="s">
        <v>1282</v>
      </c>
      <c r="B215" s="321" t="s">
        <v>1283</v>
      </c>
      <c r="C215" s="322" t="s">
        <v>1626</v>
      </c>
      <c r="D215" s="323" t="s">
        <v>1319</v>
      </c>
      <c r="E215" s="323" t="s">
        <v>1320</v>
      </c>
      <c r="F215" s="323" t="s">
        <v>1526</v>
      </c>
      <c r="G215" s="323" t="s">
        <v>1643</v>
      </c>
      <c r="H215" s="323" t="s">
        <v>1527</v>
      </c>
      <c r="I215" s="322" t="s">
        <v>1840</v>
      </c>
      <c r="J215" s="323" t="s">
        <v>1532</v>
      </c>
      <c r="K215" s="323" t="s">
        <v>755</v>
      </c>
      <c r="L215" s="322" t="s">
        <v>1533</v>
      </c>
      <c r="M215" s="323" t="s">
        <v>1534</v>
      </c>
      <c r="N215" s="323"/>
      <c r="O215" s="322"/>
      <c r="P215" s="323"/>
      <c r="Q215" s="323"/>
      <c r="R215" s="324"/>
      <c r="S215" s="324"/>
      <c r="T215" s="324"/>
      <c r="U215" s="324"/>
      <c r="V215" s="324"/>
      <c r="W215" s="324"/>
      <c r="X215" s="324"/>
      <c r="Y215" s="324"/>
      <c r="Z215" s="324"/>
      <c r="AA215" s="324"/>
      <c r="AB215" s="324"/>
      <c r="AC215" s="324"/>
      <c r="AD215" s="324">
        <f t="shared" si="32"/>
        <v>0</v>
      </c>
      <c r="AF215" s="327"/>
      <c r="AG215" s="327"/>
      <c r="AH215" s="327"/>
      <c r="AI215" s="327"/>
      <c r="AJ215" s="327"/>
      <c r="AK215" s="327"/>
      <c r="AL215" s="327"/>
      <c r="AM215" s="327"/>
      <c r="AN215" s="327"/>
      <c r="AO215" s="327"/>
      <c r="AP215" s="327"/>
      <c r="AQ215" s="327"/>
      <c r="AR215" s="325">
        <f t="shared" si="29"/>
        <v>0</v>
      </c>
      <c r="AS215" s="327">
        <f t="shared" si="30"/>
        <v>0</v>
      </c>
      <c r="AT215" s="327">
        <f t="shared" si="31"/>
        <v>0</v>
      </c>
    </row>
    <row r="216" spans="1:46" x14ac:dyDescent="0.35">
      <c r="A216" s="321" t="s">
        <v>1282</v>
      </c>
      <c r="B216" s="321" t="s">
        <v>1283</v>
      </c>
      <c r="C216" s="322" t="s">
        <v>1626</v>
      </c>
      <c r="D216" s="323" t="s">
        <v>1319</v>
      </c>
      <c r="E216" s="323" t="s">
        <v>1320</v>
      </c>
      <c r="F216" s="323" t="s">
        <v>1526</v>
      </c>
      <c r="G216" s="323" t="s">
        <v>1643</v>
      </c>
      <c r="H216" s="323" t="s">
        <v>1527</v>
      </c>
      <c r="I216" s="322" t="s">
        <v>1841</v>
      </c>
      <c r="J216" s="323" t="s">
        <v>1537</v>
      </c>
      <c r="K216" s="323" t="s">
        <v>755</v>
      </c>
      <c r="L216" s="322" t="s">
        <v>1538</v>
      </c>
      <c r="M216" s="323" t="s">
        <v>1539</v>
      </c>
      <c r="N216" s="323"/>
      <c r="O216" s="322"/>
      <c r="P216" s="323"/>
      <c r="Q216" s="323"/>
      <c r="R216" s="324"/>
      <c r="S216" s="324"/>
      <c r="T216" s="324"/>
      <c r="U216" s="324"/>
      <c r="V216" s="324"/>
      <c r="W216" s="324"/>
      <c r="X216" s="324"/>
      <c r="Y216" s="324"/>
      <c r="Z216" s="324"/>
      <c r="AA216" s="324"/>
      <c r="AB216" s="324"/>
      <c r="AC216" s="324"/>
      <c r="AD216" s="324">
        <f t="shared" si="32"/>
        <v>0</v>
      </c>
      <c r="AF216" s="327"/>
      <c r="AG216" s="327"/>
      <c r="AH216" s="327"/>
      <c r="AI216" s="327"/>
      <c r="AJ216" s="327"/>
      <c r="AK216" s="327"/>
      <c r="AL216" s="327"/>
      <c r="AM216" s="327"/>
      <c r="AN216" s="327"/>
      <c r="AO216" s="327"/>
      <c r="AP216" s="327"/>
      <c r="AQ216" s="327"/>
      <c r="AR216" s="325">
        <f t="shared" si="29"/>
        <v>0</v>
      </c>
      <c r="AS216" s="327">
        <f t="shared" si="30"/>
        <v>0</v>
      </c>
      <c r="AT216" s="327">
        <f t="shared" si="31"/>
        <v>0</v>
      </c>
    </row>
    <row r="217" spans="1:46" x14ac:dyDescent="0.35">
      <c r="A217" s="321" t="s">
        <v>1282</v>
      </c>
      <c r="B217" s="321" t="s">
        <v>1283</v>
      </c>
      <c r="C217" s="322" t="s">
        <v>1626</v>
      </c>
      <c r="D217" s="323" t="s">
        <v>1319</v>
      </c>
      <c r="E217" s="323" t="s">
        <v>1320</v>
      </c>
      <c r="F217" s="323" t="s">
        <v>1526</v>
      </c>
      <c r="G217" s="323" t="s">
        <v>1643</v>
      </c>
      <c r="H217" s="323" t="s">
        <v>1527</v>
      </c>
      <c r="I217" s="322" t="s">
        <v>1842</v>
      </c>
      <c r="J217" s="323" t="s">
        <v>1537</v>
      </c>
      <c r="K217" s="323" t="s">
        <v>755</v>
      </c>
      <c r="L217" s="322" t="s">
        <v>1538</v>
      </c>
      <c r="M217" s="323" t="s">
        <v>1539</v>
      </c>
      <c r="N217" s="323"/>
      <c r="O217" s="322"/>
      <c r="P217" s="323"/>
      <c r="Q217" s="323"/>
      <c r="R217" s="324"/>
      <c r="S217" s="324"/>
      <c r="T217" s="324"/>
      <c r="U217" s="324"/>
      <c r="V217" s="324"/>
      <c r="W217" s="324"/>
      <c r="X217" s="324"/>
      <c r="Y217" s="324"/>
      <c r="Z217" s="324"/>
      <c r="AA217" s="324"/>
      <c r="AB217" s="324"/>
      <c r="AC217" s="324"/>
      <c r="AD217" s="324">
        <f t="shared" si="32"/>
        <v>0</v>
      </c>
      <c r="AF217" s="327"/>
      <c r="AG217" s="327"/>
      <c r="AH217" s="327"/>
      <c r="AI217" s="327"/>
      <c r="AJ217" s="327"/>
      <c r="AK217" s="327"/>
      <c r="AL217" s="327"/>
      <c r="AM217" s="327"/>
      <c r="AN217" s="327"/>
      <c r="AO217" s="327"/>
      <c r="AP217" s="327"/>
      <c r="AQ217" s="327"/>
      <c r="AR217" s="325">
        <f t="shared" si="29"/>
        <v>0</v>
      </c>
      <c r="AS217" s="327">
        <f t="shared" si="30"/>
        <v>0</v>
      </c>
      <c r="AT217" s="327">
        <f t="shared" si="31"/>
        <v>0</v>
      </c>
    </row>
    <row r="218" spans="1:46" x14ac:dyDescent="0.35">
      <c r="A218" s="321" t="s">
        <v>1282</v>
      </c>
      <c r="B218" s="321" t="s">
        <v>1283</v>
      </c>
      <c r="C218" s="322" t="s">
        <v>1626</v>
      </c>
      <c r="D218" s="323" t="s">
        <v>1319</v>
      </c>
      <c r="E218" s="323" t="s">
        <v>1320</v>
      </c>
      <c r="F218" s="323" t="s">
        <v>1526</v>
      </c>
      <c r="G218" s="323" t="s">
        <v>1643</v>
      </c>
      <c r="H218" s="323" t="s">
        <v>1527</v>
      </c>
      <c r="I218" s="322" t="s">
        <v>1843</v>
      </c>
      <c r="J218" s="323" t="s">
        <v>1537</v>
      </c>
      <c r="K218" s="323" t="s">
        <v>755</v>
      </c>
      <c r="L218" s="322" t="s">
        <v>1538</v>
      </c>
      <c r="M218" s="323" t="s">
        <v>1539</v>
      </c>
      <c r="N218" s="323"/>
      <c r="O218" s="322"/>
      <c r="P218" s="323"/>
      <c r="Q218" s="323"/>
      <c r="R218" s="324"/>
      <c r="S218" s="324"/>
      <c r="T218" s="324"/>
      <c r="U218" s="324"/>
      <c r="V218" s="324"/>
      <c r="W218" s="324"/>
      <c r="X218" s="324"/>
      <c r="Y218" s="324"/>
      <c r="Z218" s="324"/>
      <c r="AA218" s="324"/>
      <c r="AB218" s="324"/>
      <c r="AC218" s="324"/>
      <c r="AD218" s="324">
        <f t="shared" si="32"/>
        <v>0</v>
      </c>
      <c r="AF218" s="327"/>
      <c r="AG218" s="327"/>
      <c r="AH218" s="327"/>
      <c r="AI218" s="327"/>
      <c r="AJ218" s="327"/>
      <c r="AK218" s="327"/>
      <c r="AL218" s="327"/>
      <c r="AM218" s="327"/>
      <c r="AN218" s="327"/>
      <c r="AO218" s="327"/>
      <c r="AP218" s="327"/>
      <c r="AQ218" s="327"/>
      <c r="AR218" s="325">
        <f t="shared" si="29"/>
        <v>0</v>
      </c>
      <c r="AS218" s="327">
        <f t="shared" si="30"/>
        <v>0</v>
      </c>
      <c r="AT218" s="327">
        <f t="shared" si="31"/>
        <v>0</v>
      </c>
    </row>
    <row r="219" spans="1:46" x14ac:dyDescent="0.35">
      <c r="A219" s="321" t="s">
        <v>1282</v>
      </c>
      <c r="B219" s="321" t="s">
        <v>1283</v>
      </c>
      <c r="C219" s="322" t="s">
        <v>1626</v>
      </c>
      <c r="D219" s="323" t="s">
        <v>1331</v>
      </c>
      <c r="E219" s="323" t="s">
        <v>1320</v>
      </c>
      <c r="F219" s="323" t="s">
        <v>1844</v>
      </c>
      <c r="G219" s="323" t="s">
        <v>1643</v>
      </c>
      <c r="H219" s="323" t="s">
        <v>1546</v>
      </c>
      <c r="I219" s="322" t="s">
        <v>1845</v>
      </c>
      <c r="J219" s="323" t="s">
        <v>991</v>
      </c>
      <c r="K219" s="323" t="s">
        <v>970</v>
      </c>
      <c r="L219" s="322" t="s">
        <v>1846</v>
      </c>
      <c r="M219" s="323" t="s">
        <v>1847</v>
      </c>
      <c r="N219" s="323"/>
      <c r="O219" s="322"/>
      <c r="P219" s="323"/>
      <c r="Q219" s="323"/>
      <c r="R219" s="324"/>
      <c r="S219" s="324"/>
      <c r="T219" s="324"/>
      <c r="U219" s="324"/>
      <c r="V219" s="324"/>
      <c r="W219" s="324"/>
      <c r="X219" s="324"/>
      <c r="Y219" s="324"/>
      <c r="Z219" s="324"/>
      <c r="AA219" s="324"/>
      <c r="AB219" s="324"/>
      <c r="AC219" s="324"/>
      <c r="AD219" s="324">
        <f t="shared" si="32"/>
        <v>0</v>
      </c>
      <c r="AF219" s="327"/>
      <c r="AG219" s="327"/>
      <c r="AH219" s="327"/>
      <c r="AI219" s="327"/>
      <c r="AJ219" s="327"/>
      <c r="AK219" s="327"/>
      <c r="AL219" s="327"/>
      <c r="AM219" s="327"/>
      <c r="AN219" s="327"/>
      <c r="AO219" s="327"/>
      <c r="AP219" s="327"/>
      <c r="AQ219" s="327"/>
      <c r="AR219" s="325">
        <f t="shared" si="29"/>
        <v>0</v>
      </c>
      <c r="AS219" s="327">
        <f t="shared" si="30"/>
        <v>0</v>
      </c>
      <c r="AT219" s="327">
        <f t="shared" si="31"/>
        <v>0</v>
      </c>
    </row>
    <row r="220" spans="1:46" x14ac:dyDescent="0.35">
      <c r="A220" s="321" t="s">
        <v>1282</v>
      </c>
      <c r="B220" s="321" t="s">
        <v>1283</v>
      </c>
      <c r="C220" s="322" t="s">
        <v>1626</v>
      </c>
      <c r="D220" s="323" t="s">
        <v>1319</v>
      </c>
      <c r="E220" s="323" t="s">
        <v>1320</v>
      </c>
      <c r="F220" s="323" t="s">
        <v>1545</v>
      </c>
      <c r="G220" s="323" t="s">
        <v>1643</v>
      </c>
      <c r="H220" s="323" t="s">
        <v>1546</v>
      </c>
      <c r="I220" s="322" t="s">
        <v>1848</v>
      </c>
      <c r="J220" s="323" t="s">
        <v>993</v>
      </c>
      <c r="K220" s="323" t="s">
        <v>755</v>
      </c>
      <c r="L220" s="322" t="s">
        <v>1849</v>
      </c>
      <c r="M220" s="323" t="s">
        <v>1850</v>
      </c>
      <c r="N220" s="323"/>
      <c r="O220" s="322"/>
      <c r="P220" s="323"/>
      <c r="Q220" s="323"/>
      <c r="R220" s="324"/>
      <c r="S220" s="324"/>
      <c r="T220" s="324"/>
      <c r="U220" s="324"/>
      <c r="V220" s="324"/>
      <c r="W220" s="324"/>
      <c r="X220" s="324"/>
      <c r="Y220" s="324"/>
      <c r="Z220" s="324"/>
      <c r="AA220" s="324"/>
      <c r="AB220" s="324"/>
      <c r="AC220" s="324"/>
      <c r="AD220" s="324">
        <f t="shared" si="32"/>
        <v>0</v>
      </c>
      <c r="AF220" s="327"/>
      <c r="AG220" s="327"/>
      <c r="AH220" s="327"/>
      <c r="AI220" s="327"/>
      <c r="AJ220" s="327"/>
      <c r="AK220" s="327"/>
      <c r="AL220" s="327"/>
      <c r="AM220" s="327"/>
      <c r="AN220" s="327"/>
      <c r="AO220" s="327"/>
      <c r="AP220" s="327"/>
      <c r="AQ220" s="327"/>
      <c r="AR220" s="325">
        <f t="shared" si="29"/>
        <v>0</v>
      </c>
      <c r="AS220" s="327">
        <f t="shared" si="30"/>
        <v>0</v>
      </c>
      <c r="AT220" s="327">
        <f t="shared" si="31"/>
        <v>0</v>
      </c>
    </row>
    <row r="221" spans="1:46" x14ac:dyDescent="0.35">
      <c r="A221" s="321" t="s">
        <v>1282</v>
      </c>
      <c r="B221" s="321" t="s">
        <v>1283</v>
      </c>
      <c r="C221" s="322" t="s">
        <v>1626</v>
      </c>
      <c r="D221" s="323" t="s">
        <v>1331</v>
      </c>
      <c r="E221" s="323" t="s">
        <v>1320</v>
      </c>
      <c r="F221" s="323" t="s">
        <v>1844</v>
      </c>
      <c r="G221" s="323" t="s">
        <v>1643</v>
      </c>
      <c r="H221" s="323" t="s">
        <v>1550</v>
      </c>
      <c r="I221" s="322" t="s">
        <v>952</v>
      </c>
      <c r="J221" s="323" t="s">
        <v>1851</v>
      </c>
      <c r="K221" s="323" t="s">
        <v>970</v>
      </c>
      <c r="L221" s="322" t="s">
        <v>1852</v>
      </c>
      <c r="M221" s="323" t="s">
        <v>1853</v>
      </c>
      <c r="N221" s="323"/>
      <c r="O221" s="322"/>
      <c r="P221" s="323"/>
      <c r="Q221" s="323"/>
      <c r="R221" s="324"/>
      <c r="S221" s="324"/>
      <c r="T221" s="324"/>
      <c r="U221" s="324"/>
      <c r="V221" s="324"/>
      <c r="W221" s="324"/>
      <c r="X221" s="324"/>
      <c r="Y221" s="324"/>
      <c r="Z221" s="324"/>
      <c r="AA221" s="324"/>
      <c r="AB221" s="324"/>
      <c r="AC221" s="324"/>
      <c r="AD221" s="324">
        <f t="shared" si="32"/>
        <v>0</v>
      </c>
      <c r="AF221" s="327"/>
      <c r="AG221" s="327"/>
      <c r="AH221" s="327"/>
      <c r="AI221" s="327"/>
      <c r="AJ221" s="327"/>
      <c r="AK221" s="327"/>
      <c r="AL221" s="327"/>
      <c r="AM221" s="327"/>
      <c r="AN221" s="327"/>
      <c r="AO221" s="327"/>
      <c r="AP221" s="327"/>
      <c r="AQ221" s="327"/>
      <c r="AR221" s="325">
        <f t="shared" si="29"/>
        <v>0</v>
      </c>
      <c r="AS221" s="327">
        <f t="shared" si="30"/>
        <v>0</v>
      </c>
      <c r="AT221" s="327">
        <f t="shared" si="31"/>
        <v>0</v>
      </c>
    </row>
    <row r="222" spans="1:46" x14ac:dyDescent="0.35">
      <c r="A222" s="321" t="s">
        <v>1282</v>
      </c>
      <c r="B222" s="321" t="s">
        <v>1283</v>
      </c>
      <c r="C222" s="322" t="s">
        <v>1626</v>
      </c>
      <c r="D222" s="323" t="s">
        <v>1331</v>
      </c>
      <c r="E222" s="323" t="s">
        <v>1320</v>
      </c>
      <c r="F222" s="323" t="s">
        <v>1844</v>
      </c>
      <c r="G222" s="323" t="s">
        <v>1643</v>
      </c>
      <c r="H222" s="323" t="s">
        <v>1550</v>
      </c>
      <c r="I222" s="322" t="s">
        <v>954</v>
      </c>
      <c r="J222" s="323" t="s">
        <v>1851</v>
      </c>
      <c r="K222" s="323" t="s">
        <v>970</v>
      </c>
      <c r="L222" s="322" t="s">
        <v>1852</v>
      </c>
      <c r="M222" s="323" t="s">
        <v>1853</v>
      </c>
      <c r="N222" s="323"/>
      <c r="O222" s="322"/>
      <c r="P222" s="323"/>
      <c r="Q222" s="323"/>
      <c r="R222" s="324"/>
      <c r="S222" s="324"/>
      <c r="T222" s="324"/>
      <c r="U222" s="324"/>
      <c r="V222" s="324"/>
      <c r="W222" s="324"/>
      <c r="X222" s="324"/>
      <c r="Y222" s="324"/>
      <c r="Z222" s="324"/>
      <c r="AA222" s="324"/>
      <c r="AB222" s="324"/>
      <c r="AC222" s="324"/>
      <c r="AD222" s="324">
        <f t="shared" si="32"/>
        <v>0</v>
      </c>
      <c r="AF222" s="327"/>
      <c r="AG222" s="327"/>
      <c r="AH222" s="327"/>
      <c r="AI222" s="327"/>
      <c r="AJ222" s="327"/>
      <c r="AK222" s="327"/>
      <c r="AL222" s="327"/>
      <c r="AM222" s="327"/>
      <c r="AN222" s="327"/>
      <c r="AO222" s="327"/>
      <c r="AP222" s="327"/>
      <c r="AQ222" s="327"/>
      <c r="AR222" s="325">
        <f t="shared" si="29"/>
        <v>0</v>
      </c>
      <c r="AS222" s="327">
        <f t="shared" si="30"/>
        <v>0</v>
      </c>
      <c r="AT222" s="327">
        <f t="shared" si="31"/>
        <v>0</v>
      </c>
    </row>
    <row r="223" spans="1:46" x14ac:dyDescent="0.35">
      <c r="A223" s="321" t="s">
        <v>1282</v>
      </c>
      <c r="B223" s="321" t="s">
        <v>1283</v>
      </c>
      <c r="C223" s="322" t="s">
        <v>1626</v>
      </c>
      <c r="D223" s="323" t="s">
        <v>1319</v>
      </c>
      <c r="E223" s="323" t="s">
        <v>1320</v>
      </c>
      <c r="F223" s="323" t="s">
        <v>1549</v>
      </c>
      <c r="G223" s="323" t="s">
        <v>1643</v>
      </c>
      <c r="H223" s="323" t="s">
        <v>1550</v>
      </c>
      <c r="I223" s="322" t="s">
        <v>1854</v>
      </c>
      <c r="J223" s="323" t="s">
        <v>730</v>
      </c>
      <c r="K223" s="323" t="s">
        <v>731</v>
      </c>
      <c r="L223" s="322" t="s">
        <v>1551</v>
      </c>
      <c r="M223" s="323" t="s">
        <v>1552</v>
      </c>
      <c r="N223" s="323"/>
      <c r="O223" s="322"/>
      <c r="P223" s="323"/>
      <c r="Q223" s="323"/>
      <c r="R223" s="324"/>
      <c r="S223" s="324"/>
      <c r="T223" s="324"/>
      <c r="U223" s="324"/>
      <c r="V223" s="324"/>
      <c r="W223" s="324"/>
      <c r="X223" s="324"/>
      <c r="Y223" s="324"/>
      <c r="Z223" s="324"/>
      <c r="AA223" s="324"/>
      <c r="AB223" s="324"/>
      <c r="AC223" s="324"/>
      <c r="AD223" s="324">
        <f t="shared" si="32"/>
        <v>0</v>
      </c>
      <c r="AF223" s="327"/>
      <c r="AG223" s="327"/>
      <c r="AH223" s="327"/>
      <c r="AI223" s="327"/>
      <c r="AJ223" s="327"/>
      <c r="AK223" s="327"/>
      <c r="AL223" s="327"/>
      <c r="AM223" s="327"/>
      <c r="AN223" s="327"/>
      <c r="AO223" s="327"/>
      <c r="AP223" s="327"/>
      <c r="AQ223" s="327"/>
      <c r="AR223" s="325">
        <f t="shared" si="29"/>
        <v>0</v>
      </c>
      <c r="AS223" s="327">
        <f t="shared" si="30"/>
        <v>0</v>
      </c>
      <c r="AT223" s="327">
        <f t="shared" si="31"/>
        <v>0</v>
      </c>
    </row>
    <row r="224" spans="1:46" x14ac:dyDescent="0.35">
      <c r="A224" s="321" t="s">
        <v>1282</v>
      </c>
      <c r="B224" s="321" t="s">
        <v>1283</v>
      </c>
      <c r="C224" s="322" t="s">
        <v>1626</v>
      </c>
      <c r="D224" s="323" t="s">
        <v>1319</v>
      </c>
      <c r="E224" s="323" t="s">
        <v>1320</v>
      </c>
      <c r="F224" s="323" t="s">
        <v>1549</v>
      </c>
      <c r="G224" s="323" t="s">
        <v>1643</v>
      </c>
      <c r="H224" s="323" t="s">
        <v>1550</v>
      </c>
      <c r="I224" s="322" t="s">
        <v>1855</v>
      </c>
      <c r="J224" s="323" t="s">
        <v>990</v>
      </c>
      <c r="K224" s="323" t="s">
        <v>1010</v>
      </c>
      <c r="L224" s="322" t="s">
        <v>1856</v>
      </c>
      <c r="M224" s="323" t="s">
        <v>1857</v>
      </c>
      <c r="N224" s="323"/>
      <c r="O224" s="322"/>
      <c r="P224" s="323"/>
      <c r="Q224" s="323"/>
      <c r="R224" s="324"/>
      <c r="S224" s="324"/>
      <c r="T224" s="324"/>
      <c r="U224" s="324"/>
      <c r="V224" s="324"/>
      <c r="W224" s="324"/>
      <c r="X224" s="324"/>
      <c r="Y224" s="324"/>
      <c r="Z224" s="324"/>
      <c r="AA224" s="324"/>
      <c r="AB224" s="324"/>
      <c r="AC224" s="324"/>
      <c r="AD224" s="324">
        <f t="shared" si="32"/>
        <v>0</v>
      </c>
      <c r="AF224" s="327"/>
      <c r="AG224" s="327"/>
      <c r="AH224" s="327"/>
      <c r="AI224" s="327"/>
      <c r="AJ224" s="327"/>
      <c r="AK224" s="327"/>
      <c r="AL224" s="327"/>
      <c r="AM224" s="327"/>
      <c r="AN224" s="327"/>
      <c r="AO224" s="327"/>
      <c r="AP224" s="327"/>
      <c r="AQ224" s="327"/>
      <c r="AR224" s="325">
        <f t="shared" si="29"/>
        <v>0</v>
      </c>
      <c r="AS224" s="327">
        <f t="shared" si="30"/>
        <v>0</v>
      </c>
      <c r="AT224" s="327">
        <f t="shared" si="31"/>
        <v>0</v>
      </c>
    </row>
    <row r="225" spans="1:46" x14ac:dyDescent="0.35">
      <c r="A225" s="321" t="s">
        <v>1282</v>
      </c>
      <c r="B225" s="321" t="s">
        <v>1283</v>
      </c>
      <c r="C225" s="322" t="s">
        <v>1626</v>
      </c>
      <c r="D225" s="323" t="s">
        <v>1319</v>
      </c>
      <c r="E225" s="323" t="s">
        <v>1320</v>
      </c>
      <c r="F225" s="323" t="s">
        <v>1321</v>
      </c>
      <c r="G225" s="323" t="s">
        <v>1643</v>
      </c>
      <c r="H225" s="323" t="s">
        <v>1323</v>
      </c>
      <c r="I225" s="322" t="s">
        <v>1858</v>
      </c>
      <c r="J225" s="323" t="s">
        <v>872</v>
      </c>
      <c r="K225" s="323" t="s">
        <v>725</v>
      </c>
      <c r="L225" s="322" t="s">
        <v>1553</v>
      </c>
      <c r="M225" s="323" t="s">
        <v>1554</v>
      </c>
      <c r="N225" s="323"/>
      <c r="O225" s="322"/>
      <c r="P225" s="323"/>
      <c r="Q225" s="323"/>
      <c r="R225" s="324"/>
      <c r="S225" s="324"/>
      <c r="T225" s="324"/>
      <c r="U225" s="324"/>
      <c r="V225" s="324"/>
      <c r="W225" s="324"/>
      <c r="X225" s="324"/>
      <c r="Y225" s="324"/>
      <c r="Z225" s="324"/>
      <c r="AA225" s="324"/>
      <c r="AB225" s="324"/>
      <c r="AC225" s="324"/>
      <c r="AD225" s="324">
        <f t="shared" si="32"/>
        <v>0</v>
      </c>
      <c r="AF225" s="327"/>
      <c r="AG225" s="327"/>
      <c r="AH225" s="327"/>
      <c r="AI225" s="327"/>
      <c r="AJ225" s="327"/>
      <c r="AK225" s="327"/>
      <c r="AL225" s="327"/>
      <c r="AM225" s="327"/>
      <c r="AN225" s="327"/>
      <c r="AO225" s="327"/>
      <c r="AP225" s="327"/>
      <c r="AQ225" s="327"/>
      <c r="AR225" s="325">
        <f t="shared" si="29"/>
        <v>0</v>
      </c>
      <c r="AS225" s="327">
        <f t="shared" si="30"/>
        <v>0</v>
      </c>
      <c r="AT225" s="327">
        <f t="shared" si="31"/>
        <v>0</v>
      </c>
    </row>
    <row r="226" spans="1:46" x14ac:dyDescent="0.35">
      <c r="A226" s="321" t="s">
        <v>1282</v>
      </c>
      <c r="B226" s="321" t="s">
        <v>1283</v>
      </c>
      <c r="C226" s="322" t="s">
        <v>1626</v>
      </c>
      <c r="D226" s="323" t="s">
        <v>1319</v>
      </c>
      <c r="E226" s="323" t="s">
        <v>1320</v>
      </c>
      <c r="F226" s="323" t="s">
        <v>1555</v>
      </c>
      <c r="G226" s="323" t="s">
        <v>1643</v>
      </c>
      <c r="H226" s="323" t="s">
        <v>1556</v>
      </c>
      <c r="I226" s="322" t="s">
        <v>1859</v>
      </c>
      <c r="J226" s="323" t="s">
        <v>715</v>
      </c>
      <c r="K226" s="323" t="s">
        <v>977</v>
      </c>
      <c r="L226" s="322" t="s">
        <v>1557</v>
      </c>
      <c r="M226" s="323" t="s">
        <v>1556</v>
      </c>
      <c r="N226" s="323"/>
      <c r="O226" s="322"/>
      <c r="P226" s="323"/>
      <c r="Q226" s="323"/>
      <c r="R226" s="324"/>
      <c r="S226" s="324"/>
      <c r="T226" s="324"/>
      <c r="U226" s="324"/>
      <c r="V226" s="324"/>
      <c r="W226" s="324"/>
      <c r="X226" s="324"/>
      <c r="Y226" s="324"/>
      <c r="Z226" s="324"/>
      <c r="AA226" s="324"/>
      <c r="AB226" s="324"/>
      <c r="AC226" s="324"/>
      <c r="AD226" s="324">
        <f t="shared" si="32"/>
        <v>0</v>
      </c>
      <c r="AF226" s="327"/>
      <c r="AG226" s="327"/>
      <c r="AH226" s="327"/>
      <c r="AI226" s="327"/>
      <c r="AJ226" s="327"/>
      <c r="AK226" s="327"/>
      <c r="AL226" s="327"/>
      <c r="AM226" s="327"/>
      <c r="AN226" s="327"/>
      <c r="AO226" s="327"/>
      <c r="AP226" s="327"/>
      <c r="AQ226" s="327"/>
      <c r="AR226" s="325">
        <f t="shared" si="29"/>
        <v>0</v>
      </c>
      <c r="AS226" s="327">
        <f t="shared" si="30"/>
        <v>0</v>
      </c>
      <c r="AT226" s="327">
        <f t="shared" si="31"/>
        <v>0</v>
      </c>
    </row>
    <row r="227" spans="1:46" x14ac:dyDescent="0.35">
      <c r="A227" s="321" t="s">
        <v>1282</v>
      </c>
      <c r="B227" s="321" t="s">
        <v>1283</v>
      </c>
      <c r="C227" s="322" t="s">
        <v>1626</v>
      </c>
      <c r="D227" s="323" t="s">
        <v>1319</v>
      </c>
      <c r="E227" s="323" t="s">
        <v>1320</v>
      </c>
      <c r="F227" s="323" t="s">
        <v>1860</v>
      </c>
      <c r="G227" s="323" t="s">
        <v>1643</v>
      </c>
      <c r="H227" s="323" t="s">
        <v>1861</v>
      </c>
      <c r="I227" s="322" t="s">
        <v>1862</v>
      </c>
      <c r="J227" s="323" t="s">
        <v>936</v>
      </c>
      <c r="K227" s="323" t="s">
        <v>493</v>
      </c>
      <c r="L227" s="322" t="s">
        <v>1863</v>
      </c>
      <c r="M227" s="323" t="s">
        <v>1864</v>
      </c>
      <c r="N227" s="323"/>
      <c r="O227" s="322"/>
      <c r="P227" s="323"/>
      <c r="Q227" s="323"/>
      <c r="R227" s="324"/>
      <c r="S227" s="324"/>
      <c r="T227" s="324"/>
      <c r="U227" s="324"/>
      <c r="V227" s="324"/>
      <c r="W227" s="324"/>
      <c r="X227" s="324"/>
      <c r="Y227" s="324"/>
      <c r="Z227" s="324"/>
      <c r="AA227" s="324"/>
      <c r="AB227" s="324"/>
      <c r="AC227" s="324"/>
      <c r="AD227" s="324">
        <f t="shared" si="32"/>
        <v>0</v>
      </c>
      <c r="AF227" s="327"/>
      <c r="AG227" s="327"/>
      <c r="AH227" s="327"/>
      <c r="AI227" s="327"/>
      <c r="AJ227" s="327"/>
      <c r="AK227" s="327"/>
      <c r="AL227" s="327"/>
      <c r="AM227" s="327"/>
      <c r="AN227" s="327"/>
      <c r="AO227" s="327"/>
      <c r="AP227" s="327"/>
      <c r="AQ227" s="327"/>
      <c r="AR227" s="325">
        <f t="shared" si="29"/>
        <v>0</v>
      </c>
      <c r="AS227" s="327">
        <f t="shared" si="30"/>
        <v>0</v>
      </c>
      <c r="AT227" s="327">
        <f t="shared" si="31"/>
        <v>0</v>
      </c>
    </row>
    <row r="228" spans="1:46" x14ac:dyDescent="0.35">
      <c r="A228" s="321" t="s">
        <v>1282</v>
      </c>
      <c r="B228" s="321" t="s">
        <v>1283</v>
      </c>
      <c r="C228" s="322" t="s">
        <v>1626</v>
      </c>
      <c r="D228" s="323" t="s">
        <v>1319</v>
      </c>
      <c r="E228" s="323" t="s">
        <v>1320</v>
      </c>
      <c r="F228" s="323" t="s">
        <v>1375</v>
      </c>
      <c r="G228" s="323" t="s">
        <v>1643</v>
      </c>
      <c r="H228" s="323" t="s">
        <v>1564</v>
      </c>
      <c r="I228" s="322" t="s">
        <v>1865</v>
      </c>
      <c r="J228" s="323" t="s">
        <v>728</v>
      </c>
      <c r="K228" s="323" t="s">
        <v>729</v>
      </c>
      <c r="L228" s="322" t="s">
        <v>1565</v>
      </c>
      <c r="M228" s="323" t="s">
        <v>1566</v>
      </c>
      <c r="N228" s="323"/>
      <c r="O228" s="322"/>
      <c r="P228" s="323"/>
      <c r="Q228" s="323"/>
      <c r="R228" s="324"/>
      <c r="S228" s="324"/>
      <c r="T228" s="324"/>
      <c r="U228" s="324"/>
      <c r="V228" s="324"/>
      <c r="W228" s="324"/>
      <c r="X228" s="324"/>
      <c r="Y228" s="324"/>
      <c r="Z228" s="324"/>
      <c r="AA228" s="324"/>
      <c r="AB228" s="324"/>
      <c r="AC228" s="324"/>
      <c r="AD228" s="324">
        <f t="shared" si="32"/>
        <v>0</v>
      </c>
      <c r="AF228" s="327"/>
      <c r="AG228" s="327"/>
      <c r="AH228" s="327"/>
      <c r="AI228" s="327"/>
      <c r="AJ228" s="327"/>
      <c r="AK228" s="327"/>
      <c r="AL228" s="327"/>
      <c r="AM228" s="327"/>
      <c r="AN228" s="327"/>
      <c r="AO228" s="327"/>
      <c r="AP228" s="327"/>
      <c r="AQ228" s="327"/>
      <c r="AR228" s="325">
        <f t="shared" si="29"/>
        <v>0</v>
      </c>
      <c r="AS228" s="327">
        <f t="shared" si="30"/>
        <v>0</v>
      </c>
      <c r="AT228" s="327">
        <f t="shared" si="31"/>
        <v>0</v>
      </c>
    </row>
    <row r="229" spans="1:46" x14ac:dyDescent="0.35">
      <c r="A229" s="321" t="s">
        <v>1282</v>
      </c>
      <c r="B229" s="321" t="s">
        <v>1283</v>
      </c>
      <c r="C229" s="322" t="s">
        <v>1626</v>
      </c>
      <c r="D229" s="323" t="s">
        <v>1319</v>
      </c>
      <c r="E229" s="323" t="s">
        <v>1320</v>
      </c>
      <c r="F229" s="323" t="s">
        <v>1576</v>
      </c>
      <c r="G229" s="323" t="s">
        <v>1643</v>
      </c>
      <c r="H229" s="323" t="s">
        <v>1577</v>
      </c>
      <c r="I229" s="322" t="s">
        <v>1866</v>
      </c>
      <c r="J229" s="323" t="s">
        <v>1022</v>
      </c>
      <c r="K229" s="323" t="s">
        <v>729</v>
      </c>
      <c r="L229" s="322" t="s">
        <v>1579</v>
      </c>
      <c r="M229" s="323" t="s">
        <v>1580</v>
      </c>
      <c r="N229" s="323"/>
      <c r="O229" s="322"/>
      <c r="P229" s="323"/>
      <c r="Q229" s="323"/>
      <c r="R229" s="324"/>
      <c r="S229" s="324"/>
      <c r="T229" s="324"/>
      <c r="U229" s="324"/>
      <c r="V229" s="324"/>
      <c r="W229" s="324"/>
      <c r="X229" s="324"/>
      <c r="Y229" s="324"/>
      <c r="Z229" s="324"/>
      <c r="AA229" s="324"/>
      <c r="AB229" s="324"/>
      <c r="AC229" s="324"/>
      <c r="AD229" s="324">
        <f t="shared" si="32"/>
        <v>0</v>
      </c>
      <c r="AF229" s="327"/>
      <c r="AG229" s="327"/>
      <c r="AH229" s="327"/>
      <c r="AI229" s="327"/>
      <c r="AJ229" s="327"/>
      <c r="AK229" s="327"/>
      <c r="AL229" s="327"/>
      <c r="AM229" s="327"/>
      <c r="AN229" s="327"/>
      <c r="AO229" s="327"/>
      <c r="AP229" s="327"/>
      <c r="AQ229" s="327"/>
      <c r="AR229" s="325">
        <f t="shared" si="29"/>
        <v>0</v>
      </c>
      <c r="AS229" s="327">
        <f t="shared" si="30"/>
        <v>0</v>
      </c>
      <c r="AT229" s="327">
        <f t="shared" si="31"/>
        <v>0</v>
      </c>
    </row>
    <row r="230" spans="1:46" x14ac:dyDescent="0.35">
      <c r="A230" s="321" t="s">
        <v>1282</v>
      </c>
      <c r="B230" s="321" t="s">
        <v>1283</v>
      </c>
      <c r="C230" s="322" t="s">
        <v>1626</v>
      </c>
      <c r="D230" s="323" t="s">
        <v>1319</v>
      </c>
      <c r="E230" s="323" t="s">
        <v>1320</v>
      </c>
      <c r="F230" s="323" t="s">
        <v>1581</v>
      </c>
      <c r="G230" s="323" t="s">
        <v>1643</v>
      </c>
      <c r="H230" s="323" t="s">
        <v>1582</v>
      </c>
      <c r="I230" s="322" t="s">
        <v>1867</v>
      </c>
      <c r="J230" s="323" t="s">
        <v>985</v>
      </c>
      <c r="K230" s="323" t="s">
        <v>716</v>
      </c>
      <c r="L230" s="322" t="s">
        <v>1584</v>
      </c>
      <c r="M230" s="323" t="s">
        <v>1585</v>
      </c>
      <c r="N230" s="323"/>
      <c r="O230" s="322"/>
      <c r="P230" s="323"/>
      <c r="Q230" s="323"/>
      <c r="R230" s="324"/>
      <c r="S230" s="324"/>
      <c r="T230" s="324"/>
      <c r="U230" s="324"/>
      <c r="V230" s="324"/>
      <c r="W230" s="324"/>
      <c r="X230" s="324"/>
      <c r="Y230" s="324"/>
      <c r="Z230" s="324"/>
      <c r="AA230" s="324"/>
      <c r="AB230" s="324"/>
      <c r="AC230" s="324"/>
      <c r="AD230" s="324">
        <f t="shared" si="32"/>
        <v>0</v>
      </c>
      <c r="AF230" s="327"/>
      <c r="AG230" s="327"/>
      <c r="AH230" s="327"/>
      <c r="AI230" s="327"/>
      <c r="AJ230" s="327"/>
      <c r="AK230" s="327"/>
      <c r="AL230" s="327"/>
      <c r="AM230" s="327"/>
      <c r="AN230" s="327"/>
      <c r="AO230" s="327"/>
      <c r="AP230" s="327"/>
      <c r="AQ230" s="327"/>
      <c r="AR230" s="325">
        <f t="shared" si="29"/>
        <v>0</v>
      </c>
      <c r="AS230" s="327">
        <f t="shared" si="30"/>
        <v>0</v>
      </c>
      <c r="AT230" s="327">
        <f t="shared" si="31"/>
        <v>0</v>
      </c>
    </row>
    <row r="231" spans="1:46" x14ac:dyDescent="0.35">
      <c r="A231" s="321" t="s">
        <v>1282</v>
      </c>
      <c r="B231" s="321" t="s">
        <v>1283</v>
      </c>
      <c r="C231" s="322" t="s">
        <v>1626</v>
      </c>
      <c r="D231" s="323" t="s">
        <v>1319</v>
      </c>
      <c r="E231" s="323" t="s">
        <v>1320</v>
      </c>
      <c r="F231" s="323" t="s">
        <v>1581</v>
      </c>
      <c r="G231" s="323" t="s">
        <v>1643</v>
      </c>
      <c r="H231" s="323" t="s">
        <v>1582</v>
      </c>
      <c r="I231" s="322" t="s">
        <v>1868</v>
      </c>
      <c r="J231" s="323" t="s">
        <v>734</v>
      </c>
      <c r="K231" s="323" t="s">
        <v>729</v>
      </c>
      <c r="L231" s="322" t="s">
        <v>1588</v>
      </c>
      <c r="M231" s="323" t="s">
        <v>1589</v>
      </c>
      <c r="N231" s="323"/>
      <c r="O231" s="322"/>
      <c r="P231" s="323"/>
      <c r="Q231" s="323"/>
      <c r="R231" s="324"/>
      <c r="S231" s="324"/>
      <c r="T231" s="324"/>
      <c r="U231" s="324"/>
      <c r="V231" s="324"/>
      <c r="W231" s="324"/>
      <c r="X231" s="324"/>
      <c r="Y231" s="324"/>
      <c r="Z231" s="324"/>
      <c r="AA231" s="324"/>
      <c r="AB231" s="324"/>
      <c r="AC231" s="324"/>
      <c r="AD231" s="324">
        <f t="shared" si="32"/>
        <v>0</v>
      </c>
      <c r="AF231" s="327"/>
      <c r="AG231" s="327"/>
      <c r="AH231" s="327"/>
      <c r="AI231" s="327"/>
      <c r="AJ231" s="327"/>
      <c r="AK231" s="327"/>
      <c r="AL231" s="327"/>
      <c r="AM231" s="327"/>
      <c r="AN231" s="327"/>
      <c r="AO231" s="327"/>
      <c r="AP231" s="327"/>
      <c r="AQ231" s="327"/>
      <c r="AR231" s="325">
        <f t="shared" si="29"/>
        <v>0</v>
      </c>
      <c r="AS231" s="327">
        <f t="shared" si="30"/>
        <v>0</v>
      </c>
      <c r="AT231" s="327">
        <f t="shared" si="31"/>
        <v>0</v>
      </c>
    </row>
    <row r="232" spans="1:46" x14ac:dyDescent="0.35">
      <c r="A232" s="314" t="s">
        <v>1282</v>
      </c>
      <c r="B232" s="314" t="s">
        <v>1283</v>
      </c>
      <c r="C232" s="315" t="s">
        <v>1626</v>
      </c>
      <c r="D232" s="315"/>
      <c r="E232" s="315"/>
      <c r="F232" s="315"/>
      <c r="G232" s="315"/>
      <c r="H232" s="316" t="s">
        <v>1869</v>
      </c>
      <c r="I232" s="316" t="s">
        <v>1870</v>
      </c>
      <c r="J232" s="328"/>
      <c r="K232" s="315"/>
      <c r="L232" s="315"/>
      <c r="M232" s="315"/>
      <c r="N232" s="328"/>
      <c r="O232" s="316" t="s">
        <v>1870</v>
      </c>
      <c r="P232" s="328"/>
      <c r="Q232" s="328"/>
      <c r="R232" s="318">
        <f t="shared" ref="R232:AC232" si="33">SUM(R233:R241)</f>
        <v>0</v>
      </c>
      <c r="S232" s="318">
        <f t="shared" si="33"/>
        <v>0</v>
      </c>
      <c r="T232" s="318">
        <f t="shared" si="33"/>
        <v>0</v>
      </c>
      <c r="U232" s="318">
        <f t="shared" si="33"/>
        <v>0</v>
      </c>
      <c r="V232" s="318">
        <f t="shared" si="33"/>
        <v>0</v>
      </c>
      <c r="W232" s="318">
        <f t="shared" si="33"/>
        <v>0</v>
      </c>
      <c r="X232" s="318">
        <f t="shared" si="33"/>
        <v>0</v>
      </c>
      <c r="Y232" s="318">
        <f t="shared" si="33"/>
        <v>0</v>
      </c>
      <c r="Z232" s="318">
        <f t="shared" si="33"/>
        <v>0</v>
      </c>
      <c r="AA232" s="318">
        <f t="shared" si="33"/>
        <v>0</v>
      </c>
      <c r="AB232" s="318">
        <f t="shared" si="33"/>
        <v>0</v>
      </c>
      <c r="AC232" s="318">
        <f t="shared" si="33"/>
        <v>0</v>
      </c>
      <c r="AD232" s="318">
        <f t="shared" si="32"/>
        <v>0</v>
      </c>
      <c r="AF232" s="318">
        <f t="shared" ref="AF232:AR232" si="34">SUM(AF233:AF241)</f>
        <v>0</v>
      </c>
      <c r="AG232" s="318">
        <f t="shared" si="34"/>
        <v>0</v>
      </c>
      <c r="AH232" s="318">
        <f t="shared" si="34"/>
        <v>0</v>
      </c>
      <c r="AI232" s="318">
        <f t="shared" si="34"/>
        <v>0</v>
      </c>
      <c r="AJ232" s="318">
        <f t="shared" si="34"/>
        <v>0</v>
      </c>
      <c r="AK232" s="318">
        <f t="shared" si="34"/>
        <v>0</v>
      </c>
      <c r="AL232" s="318">
        <f t="shared" si="34"/>
        <v>0</v>
      </c>
      <c r="AM232" s="318">
        <f t="shared" si="34"/>
        <v>0</v>
      </c>
      <c r="AN232" s="318">
        <f t="shared" si="34"/>
        <v>0</v>
      </c>
      <c r="AO232" s="318">
        <f t="shared" si="34"/>
        <v>0</v>
      </c>
      <c r="AP232" s="318">
        <f t="shared" si="34"/>
        <v>0</v>
      </c>
      <c r="AQ232" s="318">
        <f t="shared" si="34"/>
        <v>0</v>
      </c>
      <c r="AR232" s="318">
        <f t="shared" si="34"/>
        <v>0</v>
      </c>
      <c r="AS232" s="318">
        <f t="shared" si="30"/>
        <v>0</v>
      </c>
      <c r="AT232" s="318">
        <f t="shared" si="31"/>
        <v>0</v>
      </c>
    </row>
    <row r="233" spans="1:46" x14ac:dyDescent="0.35">
      <c r="A233" s="321" t="s">
        <v>1282</v>
      </c>
      <c r="B233" s="321" t="s">
        <v>1283</v>
      </c>
      <c r="C233" s="322" t="s">
        <v>1626</v>
      </c>
      <c r="D233" s="323" t="s">
        <v>854</v>
      </c>
      <c r="E233" s="323" t="s">
        <v>1592</v>
      </c>
      <c r="F233" s="323" t="s">
        <v>1593</v>
      </c>
      <c r="G233" s="323" t="s">
        <v>854</v>
      </c>
      <c r="H233" s="323" t="s">
        <v>1592</v>
      </c>
      <c r="I233" s="322" t="s">
        <v>1871</v>
      </c>
      <c r="J233" s="323" t="s">
        <v>1095</v>
      </c>
      <c r="K233" s="323" t="s">
        <v>1096</v>
      </c>
      <c r="L233" s="322" t="s">
        <v>1594</v>
      </c>
      <c r="M233" s="323" t="s">
        <v>1595</v>
      </c>
      <c r="N233" s="323"/>
      <c r="O233" s="322"/>
      <c r="P233" s="323"/>
      <c r="Q233" s="323"/>
      <c r="R233" s="324"/>
      <c r="S233" s="324"/>
      <c r="T233" s="324"/>
      <c r="U233" s="324"/>
      <c r="V233" s="324"/>
      <c r="W233" s="324"/>
      <c r="X233" s="324"/>
      <c r="Y233" s="324"/>
      <c r="Z233" s="324"/>
      <c r="AA233" s="324"/>
      <c r="AB233" s="324"/>
      <c r="AC233" s="324"/>
      <c r="AD233" s="324">
        <f t="shared" si="32"/>
        <v>0</v>
      </c>
      <c r="AF233" s="327"/>
      <c r="AG233" s="327"/>
      <c r="AH233" s="327"/>
      <c r="AI233" s="327"/>
      <c r="AJ233" s="327"/>
      <c r="AK233" s="327"/>
      <c r="AL233" s="327"/>
      <c r="AM233" s="327"/>
      <c r="AN233" s="327"/>
      <c r="AO233" s="327"/>
      <c r="AP233" s="327"/>
      <c r="AQ233" s="327"/>
      <c r="AR233" s="325">
        <f t="shared" si="29"/>
        <v>0</v>
      </c>
      <c r="AS233" s="327">
        <f t="shared" si="30"/>
        <v>0</v>
      </c>
      <c r="AT233" s="327">
        <f t="shared" si="31"/>
        <v>0</v>
      </c>
    </row>
    <row r="234" spans="1:46" x14ac:dyDescent="0.35">
      <c r="A234" s="321" t="s">
        <v>1282</v>
      </c>
      <c r="B234" s="321" t="s">
        <v>1283</v>
      </c>
      <c r="C234" s="322" t="s">
        <v>1626</v>
      </c>
      <c r="D234" s="323" t="s">
        <v>854</v>
      </c>
      <c r="E234" s="323" t="s">
        <v>1592</v>
      </c>
      <c r="F234" s="323" t="s">
        <v>1593</v>
      </c>
      <c r="G234" s="323" t="s">
        <v>854</v>
      </c>
      <c r="H234" s="323" t="s">
        <v>1592</v>
      </c>
      <c r="I234" s="322" t="s">
        <v>1872</v>
      </c>
      <c r="J234" s="323" t="s">
        <v>1873</v>
      </c>
      <c r="K234" s="323" t="s">
        <v>1038</v>
      </c>
      <c r="L234" s="322" t="s">
        <v>1600</v>
      </c>
      <c r="M234" s="323" t="s">
        <v>1601</v>
      </c>
      <c r="N234" s="323"/>
      <c r="O234" s="322"/>
      <c r="P234" s="323"/>
      <c r="Q234" s="323"/>
      <c r="R234" s="324"/>
      <c r="S234" s="324"/>
      <c r="T234" s="324"/>
      <c r="U234" s="324"/>
      <c r="V234" s="324"/>
      <c r="W234" s="324"/>
      <c r="X234" s="324"/>
      <c r="Y234" s="324"/>
      <c r="Z234" s="324"/>
      <c r="AA234" s="324"/>
      <c r="AB234" s="324"/>
      <c r="AC234" s="324"/>
      <c r="AD234" s="324">
        <f t="shared" si="32"/>
        <v>0</v>
      </c>
      <c r="AF234" s="327"/>
      <c r="AG234" s="327"/>
      <c r="AH234" s="327"/>
      <c r="AI234" s="327"/>
      <c r="AJ234" s="327"/>
      <c r="AK234" s="327"/>
      <c r="AL234" s="327"/>
      <c r="AM234" s="327"/>
      <c r="AN234" s="327"/>
      <c r="AO234" s="327"/>
      <c r="AP234" s="327"/>
      <c r="AQ234" s="327"/>
      <c r="AR234" s="325">
        <f t="shared" si="29"/>
        <v>0</v>
      </c>
      <c r="AS234" s="327">
        <f t="shared" si="30"/>
        <v>0</v>
      </c>
      <c r="AT234" s="327">
        <f t="shared" si="31"/>
        <v>0</v>
      </c>
    </row>
    <row r="235" spans="1:46" x14ac:dyDescent="0.35">
      <c r="A235" s="321" t="s">
        <v>1282</v>
      </c>
      <c r="B235" s="321" t="s">
        <v>1283</v>
      </c>
      <c r="C235" s="322" t="s">
        <v>1626</v>
      </c>
      <c r="D235" s="323" t="s">
        <v>854</v>
      </c>
      <c r="E235" s="323" t="s">
        <v>1592</v>
      </c>
      <c r="F235" s="323" t="s">
        <v>1593</v>
      </c>
      <c r="G235" s="323" t="s">
        <v>854</v>
      </c>
      <c r="H235" s="323" t="s">
        <v>1592</v>
      </c>
      <c r="I235" s="322" t="s">
        <v>1874</v>
      </c>
      <c r="J235" s="323" t="s">
        <v>1092</v>
      </c>
      <c r="K235" s="323" t="s">
        <v>1602</v>
      </c>
      <c r="L235" s="322" t="s">
        <v>1603</v>
      </c>
      <c r="M235" s="323" t="s">
        <v>1604</v>
      </c>
      <c r="N235" s="323"/>
      <c r="O235" s="322"/>
      <c r="P235" s="323"/>
      <c r="Q235" s="323"/>
      <c r="R235" s="324"/>
      <c r="S235" s="324"/>
      <c r="T235" s="324"/>
      <c r="U235" s="324"/>
      <c r="V235" s="324"/>
      <c r="W235" s="324"/>
      <c r="X235" s="324"/>
      <c r="Y235" s="324"/>
      <c r="Z235" s="324"/>
      <c r="AA235" s="324"/>
      <c r="AB235" s="324"/>
      <c r="AC235" s="324"/>
      <c r="AD235" s="324">
        <f t="shared" si="32"/>
        <v>0</v>
      </c>
      <c r="AF235" s="327"/>
      <c r="AG235" s="327"/>
      <c r="AH235" s="327"/>
      <c r="AI235" s="327"/>
      <c r="AJ235" s="327"/>
      <c r="AK235" s="327"/>
      <c r="AL235" s="327"/>
      <c r="AM235" s="327"/>
      <c r="AN235" s="327"/>
      <c r="AO235" s="327"/>
      <c r="AP235" s="327"/>
      <c r="AQ235" s="327"/>
      <c r="AR235" s="325">
        <f t="shared" ref="AR235:AR298" si="35">SUM(AF235:AQ235)</f>
        <v>0</v>
      </c>
      <c r="AS235" s="327">
        <f t="shared" si="30"/>
        <v>0</v>
      </c>
      <c r="AT235" s="327">
        <f t="shared" si="31"/>
        <v>0</v>
      </c>
    </row>
    <row r="236" spans="1:46" x14ac:dyDescent="0.35">
      <c r="A236" s="321" t="s">
        <v>1282</v>
      </c>
      <c r="B236" s="321" t="s">
        <v>1283</v>
      </c>
      <c r="C236" s="322" t="s">
        <v>1626</v>
      </c>
      <c r="D236" s="323" t="s">
        <v>854</v>
      </c>
      <c r="E236" s="323" t="s">
        <v>1592</v>
      </c>
      <c r="F236" s="323" t="s">
        <v>1593</v>
      </c>
      <c r="G236" s="323" t="s">
        <v>854</v>
      </c>
      <c r="H236" s="323" t="s">
        <v>1592</v>
      </c>
      <c r="I236" s="322" t="s">
        <v>1875</v>
      </c>
      <c r="J236" s="323" t="s">
        <v>1106</v>
      </c>
      <c r="K236" s="323" t="s">
        <v>1107</v>
      </c>
      <c r="L236" s="322" t="s">
        <v>1605</v>
      </c>
      <c r="M236" s="323" t="s">
        <v>1606</v>
      </c>
      <c r="N236" s="323"/>
      <c r="O236" s="322"/>
      <c r="P236" s="323"/>
      <c r="Q236" s="323"/>
      <c r="R236" s="324"/>
      <c r="S236" s="324"/>
      <c r="T236" s="324"/>
      <c r="U236" s="324"/>
      <c r="V236" s="324"/>
      <c r="W236" s="324"/>
      <c r="X236" s="324"/>
      <c r="Y236" s="324"/>
      <c r="Z236" s="324"/>
      <c r="AA236" s="324"/>
      <c r="AB236" s="324"/>
      <c r="AC236" s="324"/>
      <c r="AD236" s="324">
        <f t="shared" si="32"/>
        <v>0</v>
      </c>
      <c r="AF236" s="327"/>
      <c r="AG236" s="327"/>
      <c r="AH236" s="327"/>
      <c r="AI236" s="327"/>
      <c r="AJ236" s="327"/>
      <c r="AK236" s="327"/>
      <c r="AL236" s="327"/>
      <c r="AM236" s="327"/>
      <c r="AN236" s="327"/>
      <c r="AO236" s="327"/>
      <c r="AP236" s="327"/>
      <c r="AQ236" s="327"/>
      <c r="AR236" s="325">
        <f t="shared" si="35"/>
        <v>0</v>
      </c>
      <c r="AS236" s="327">
        <f t="shared" si="30"/>
        <v>0</v>
      </c>
      <c r="AT236" s="327">
        <f t="shared" si="31"/>
        <v>0</v>
      </c>
    </row>
    <row r="237" spans="1:46" x14ac:dyDescent="0.35">
      <c r="A237" s="321" t="s">
        <v>1282</v>
      </c>
      <c r="B237" s="321" t="s">
        <v>1283</v>
      </c>
      <c r="C237" s="322" t="s">
        <v>1626</v>
      </c>
      <c r="D237" s="323" t="s">
        <v>854</v>
      </c>
      <c r="E237" s="323" t="s">
        <v>1592</v>
      </c>
      <c r="F237" s="323" t="s">
        <v>1593</v>
      </c>
      <c r="G237" s="323" t="s">
        <v>854</v>
      </c>
      <c r="H237" s="323" t="s">
        <v>1592</v>
      </c>
      <c r="I237" s="322" t="s">
        <v>1876</v>
      </c>
      <c r="J237" s="323" t="s">
        <v>1130</v>
      </c>
      <c r="K237" s="323" t="s">
        <v>1131</v>
      </c>
      <c r="L237" s="322" t="s">
        <v>1611</v>
      </c>
      <c r="M237" s="323" t="s">
        <v>1612</v>
      </c>
      <c r="N237" s="323"/>
      <c r="O237" s="322"/>
      <c r="P237" s="323"/>
      <c r="Q237" s="323"/>
      <c r="R237" s="324"/>
      <c r="S237" s="324"/>
      <c r="T237" s="324"/>
      <c r="U237" s="324"/>
      <c r="V237" s="324"/>
      <c r="W237" s="324"/>
      <c r="X237" s="324"/>
      <c r="Y237" s="324"/>
      <c r="Z237" s="324"/>
      <c r="AA237" s="324"/>
      <c r="AB237" s="324"/>
      <c r="AC237" s="324"/>
      <c r="AD237" s="324">
        <f t="shared" si="32"/>
        <v>0</v>
      </c>
      <c r="AF237" s="327"/>
      <c r="AG237" s="327"/>
      <c r="AH237" s="327"/>
      <c r="AI237" s="327"/>
      <c r="AJ237" s="327"/>
      <c r="AK237" s="327"/>
      <c r="AL237" s="327"/>
      <c r="AM237" s="327"/>
      <c r="AN237" s="327"/>
      <c r="AO237" s="327"/>
      <c r="AP237" s="327"/>
      <c r="AQ237" s="327"/>
      <c r="AR237" s="325">
        <f t="shared" si="35"/>
        <v>0</v>
      </c>
      <c r="AS237" s="327">
        <f t="shared" si="30"/>
        <v>0</v>
      </c>
      <c r="AT237" s="327">
        <f t="shared" si="31"/>
        <v>0</v>
      </c>
    </row>
    <row r="238" spans="1:46" x14ac:dyDescent="0.35">
      <c r="A238" s="321" t="s">
        <v>1282</v>
      </c>
      <c r="B238" s="321" t="s">
        <v>1283</v>
      </c>
      <c r="C238" s="322" t="s">
        <v>1626</v>
      </c>
      <c r="D238" s="323" t="s">
        <v>854</v>
      </c>
      <c r="E238" s="323" t="s">
        <v>1592</v>
      </c>
      <c r="F238" s="323" t="s">
        <v>1593</v>
      </c>
      <c r="G238" s="323" t="s">
        <v>854</v>
      </c>
      <c r="H238" s="323" t="s">
        <v>1592</v>
      </c>
      <c r="I238" s="322" t="s">
        <v>1877</v>
      </c>
      <c r="J238" s="323" t="s">
        <v>1083</v>
      </c>
      <c r="K238" s="323" t="s">
        <v>1613</v>
      </c>
      <c r="L238" s="322" t="s">
        <v>1614</v>
      </c>
      <c r="M238" s="323" t="s">
        <v>1615</v>
      </c>
      <c r="N238" s="323"/>
      <c r="O238" s="322"/>
      <c r="P238" s="323"/>
      <c r="Q238" s="323"/>
      <c r="R238" s="324"/>
      <c r="S238" s="324"/>
      <c r="T238" s="324"/>
      <c r="U238" s="324"/>
      <c r="V238" s="324"/>
      <c r="W238" s="324"/>
      <c r="X238" s="324"/>
      <c r="Y238" s="324"/>
      <c r="Z238" s="324"/>
      <c r="AA238" s="324"/>
      <c r="AB238" s="324"/>
      <c r="AC238" s="324"/>
      <c r="AD238" s="324">
        <f t="shared" si="32"/>
        <v>0</v>
      </c>
      <c r="AF238" s="327"/>
      <c r="AG238" s="327"/>
      <c r="AH238" s="327"/>
      <c r="AI238" s="327"/>
      <c r="AJ238" s="327"/>
      <c r="AK238" s="327"/>
      <c r="AL238" s="327"/>
      <c r="AM238" s="327"/>
      <c r="AN238" s="327"/>
      <c r="AO238" s="327"/>
      <c r="AP238" s="327"/>
      <c r="AQ238" s="327"/>
      <c r="AR238" s="325">
        <f t="shared" si="35"/>
        <v>0</v>
      </c>
      <c r="AS238" s="327">
        <f t="shared" si="30"/>
        <v>0</v>
      </c>
      <c r="AT238" s="327">
        <f t="shared" si="31"/>
        <v>0</v>
      </c>
    </row>
    <row r="239" spans="1:46" x14ac:dyDescent="0.35">
      <c r="A239" s="321" t="s">
        <v>1282</v>
      </c>
      <c r="B239" s="321" t="s">
        <v>1283</v>
      </c>
      <c r="C239" s="322" t="s">
        <v>1626</v>
      </c>
      <c r="D239" s="323" t="s">
        <v>854</v>
      </c>
      <c r="E239" s="323" t="s">
        <v>1592</v>
      </c>
      <c r="F239" s="323" t="s">
        <v>1593</v>
      </c>
      <c r="G239" s="323" t="s">
        <v>854</v>
      </c>
      <c r="H239" s="323" t="s">
        <v>1592</v>
      </c>
      <c r="I239" s="322" t="s">
        <v>1878</v>
      </c>
      <c r="J239" s="323" t="s">
        <v>1617</v>
      </c>
      <c r="K239" s="323" t="s">
        <v>1879</v>
      </c>
      <c r="L239" s="322" t="s">
        <v>1619</v>
      </c>
      <c r="M239" s="323" t="s">
        <v>1620</v>
      </c>
      <c r="N239" s="323"/>
      <c r="O239" s="322"/>
      <c r="P239" s="323"/>
      <c r="Q239" s="323"/>
      <c r="R239" s="324"/>
      <c r="S239" s="324"/>
      <c r="T239" s="324"/>
      <c r="U239" s="324"/>
      <c r="V239" s="324"/>
      <c r="W239" s="324"/>
      <c r="X239" s="324"/>
      <c r="Y239" s="324"/>
      <c r="Z239" s="324"/>
      <c r="AA239" s="324"/>
      <c r="AB239" s="324"/>
      <c r="AC239" s="324"/>
      <c r="AD239" s="324">
        <f t="shared" si="32"/>
        <v>0</v>
      </c>
      <c r="AF239" s="327"/>
      <c r="AG239" s="327"/>
      <c r="AH239" s="327"/>
      <c r="AI239" s="327"/>
      <c r="AJ239" s="327"/>
      <c r="AK239" s="327"/>
      <c r="AL239" s="327"/>
      <c r="AM239" s="327"/>
      <c r="AN239" s="327"/>
      <c r="AO239" s="327"/>
      <c r="AP239" s="327"/>
      <c r="AQ239" s="327"/>
      <c r="AR239" s="325">
        <f t="shared" si="35"/>
        <v>0</v>
      </c>
      <c r="AS239" s="327">
        <f t="shared" si="30"/>
        <v>0</v>
      </c>
      <c r="AT239" s="327">
        <f t="shared" si="31"/>
        <v>0</v>
      </c>
    </row>
    <row r="240" spans="1:46" x14ac:dyDescent="0.35">
      <c r="A240" s="321" t="s">
        <v>1282</v>
      </c>
      <c r="B240" s="321" t="s">
        <v>1283</v>
      </c>
      <c r="C240" s="322" t="s">
        <v>1626</v>
      </c>
      <c r="D240" s="323" t="s">
        <v>854</v>
      </c>
      <c r="E240" s="323" t="s">
        <v>1592</v>
      </c>
      <c r="F240" s="323" t="s">
        <v>1593</v>
      </c>
      <c r="G240" s="323" t="s">
        <v>854</v>
      </c>
      <c r="H240" s="323" t="s">
        <v>1592</v>
      </c>
      <c r="I240" s="322" t="s">
        <v>1880</v>
      </c>
      <c r="J240" s="323" t="s">
        <v>1881</v>
      </c>
      <c r="K240" s="323" t="s">
        <v>1882</v>
      </c>
      <c r="L240" s="322" t="s">
        <v>1883</v>
      </c>
      <c r="M240" s="323" t="s">
        <v>1884</v>
      </c>
      <c r="N240" s="323"/>
      <c r="O240" s="322"/>
      <c r="P240" s="323"/>
      <c r="Q240" s="323"/>
      <c r="R240" s="324"/>
      <c r="S240" s="324"/>
      <c r="T240" s="324"/>
      <c r="U240" s="324"/>
      <c r="V240" s="324"/>
      <c r="W240" s="324"/>
      <c r="X240" s="324"/>
      <c r="Y240" s="324"/>
      <c r="Z240" s="324"/>
      <c r="AA240" s="324"/>
      <c r="AB240" s="324"/>
      <c r="AC240" s="324"/>
      <c r="AD240" s="324">
        <f t="shared" si="32"/>
        <v>0</v>
      </c>
      <c r="AE240" s="319"/>
      <c r="AF240" s="325"/>
      <c r="AG240" s="325"/>
      <c r="AH240" s="325"/>
      <c r="AI240" s="325"/>
      <c r="AJ240" s="325"/>
      <c r="AK240" s="325"/>
      <c r="AL240" s="325"/>
      <c r="AM240" s="325"/>
      <c r="AN240" s="325"/>
      <c r="AO240" s="325"/>
      <c r="AP240" s="325"/>
      <c r="AQ240" s="325"/>
      <c r="AR240" s="325">
        <f t="shared" si="35"/>
        <v>0</v>
      </c>
      <c r="AS240" s="325">
        <f t="shared" si="30"/>
        <v>0</v>
      </c>
      <c r="AT240" s="325">
        <f t="shared" si="31"/>
        <v>0</v>
      </c>
    </row>
    <row r="241" spans="1:46" x14ac:dyDescent="0.35">
      <c r="A241" s="321" t="s">
        <v>1282</v>
      </c>
      <c r="B241" s="321" t="s">
        <v>1283</v>
      </c>
      <c r="C241" s="322" t="s">
        <v>1626</v>
      </c>
      <c r="D241" s="323" t="s">
        <v>854</v>
      </c>
      <c r="E241" s="323" t="s">
        <v>1592</v>
      </c>
      <c r="F241" s="323" t="s">
        <v>1593</v>
      </c>
      <c r="G241" s="323" t="s">
        <v>854</v>
      </c>
      <c r="H241" s="323" t="s">
        <v>1592</v>
      </c>
      <c r="I241" s="322" t="s">
        <v>1885</v>
      </c>
      <c r="J241" s="323" t="s">
        <v>1622</v>
      </c>
      <c r="K241" s="323" t="s">
        <v>1623</v>
      </c>
      <c r="L241" s="322" t="s">
        <v>1624</v>
      </c>
      <c r="M241" s="323" t="s">
        <v>1625</v>
      </c>
      <c r="N241" s="323"/>
      <c r="O241" s="322"/>
      <c r="P241" s="323"/>
      <c r="Q241" s="323"/>
      <c r="R241" s="324"/>
      <c r="S241" s="324"/>
      <c r="T241" s="324"/>
      <c r="U241" s="324"/>
      <c r="V241" s="324"/>
      <c r="W241" s="324"/>
      <c r="X241" s="324"/>
      <c r="Y241" s="324"/>
      <c r="Z241" s="324"/>
      <c r="AA241" s="324"/>
      <c r="AB241" s="324"/>
      <c r="AC241" s="324"/>
      <c r="AD241" s="324">
        <f t="shared" si="32"/>
        <v>0</v>
      </c>
      <c r="AE241" s="319"/>
      <c r="AF241" s="325"/>
      <c r="AG241" s="325"/>
      <c r="AH241" s="325"/>
      <c r="AI241" s="325"/>
      <c r="AJ241" s="325"/>
      <c r="AK241" s="325"/>
      <c r="AL241" s="325"/>
      <c r="AM241" s="325"/>
      <c r="AN241" s="325"/>
      <c r="AO241" s="325"/>
      <c r="AP241" s="325"/>
      <c r="AQ241" s="325"/>
      <c r="AR241" s="325">
        <f t="shared" si="35"/>
        <v>0</v>
      </c>
      <c r="AS241" s="325">
        <f t="shared" si="30"/>
        <v>0</v>
      </c>
      <c r="AT241" s="325">
        <f t="shared" si="31"/>
        <v>0</v>
      </c>
    </row>
    <row r="242" spans="1:46" x14ac:dyDescent="0.35">
      <c r="A242" s="314" t="s">
        <v>1282</v>
      </c>
      <c r="B242" s="314" t="s">
        <v>1283</v>
      </c>
      <c r="C242" s="315" t="s">
        <v>520</v>
      </c>
      <c r="D242" s="315"/>
      <c r="E242" s="315"/>
      <c r="F242" s="315"/>
      <c r="G242" s="315"/>
      <c r="H242" s="316" t="s">
        <v>1886</v>
      </c>
      <c r="I242" s="316" t="s">
        <v>1887</v>
      </c>
      <c r="J242" s="328"/>
      <c r="K242" s="315"/>
      <c r="L242" s="315"/>
      <c r="M242" s="315"/>
      <c r="N242" s="328"/>
      <c r="O242" s="316" t="s">
        <v>1887</v>
      </c>
      <c r="P242" s="328"/>
      <c r="Q242" s="328"/>
      <c r="R242" s="318">
        <f>SUM(R243:R255)</f>
        <v>0</v>
      </c>
      <c r="S242" s="318">
        <f t="shared" ref="S242:AC242" si="36">SUM(S243:S255)</f>
        <v>0</v>
      </c>
      <c r="T242" s="318">
        <f t="shared" si="36"/>
        <v>0</v>
      </c>
      <c r="U242" s="318">
        <f t="shared" si="36"/>
        <v>0</v>
      </c>
      <c r="V242" s="318">
        <f t="shared" si="36"/>
        <v>0</v>
      </c>
      <c r="W242" s="318">
        <f t="shared" si="36"/>
        <v>0</v>
      </c>
      <c r="X242" s="318">
        <f t="shared" si="36"/>
        <v>0</v>
      </c>
      <c r="Y242" s="318">
        <f t="shared" si="36"/>
        <v>0</v>
      </c>
      <c r="Z242" s="318">
        <f t="shared" si="36"/>
        <v>0</v>
      </c>
      <c r="AA242" s="318">
        <f t="shared" si="36"/>
        <v>0</v>
      </c>
      <c r="AB242" s="318">
        <f t="shared" si="36"/>
        <v>0</v>
      </c>
      <c r="AC242" s="318">
        <f t="shared" si="36"/>
        <v>0</v>
      </c>
      <c r="AD242" s="318">
        <f>SUM(R242:AC242)</f>
        <v>0</v>
      </c>
      <c r="AE242" s="319"/>
      <c r="AF242" s="318">
        <f t="shared" ref="AF242:AR242" si="37">SUM(AF243:AF255)</f>
        <v>0</v>
      </c>
      <c r="AG242" s="318">
        <f t="shared" si="37"/>
        <v>0</v>
      </c>
      <c r="AH242" s="318">
        <f t="shared" si="37"/>
        <v>0</v>
      </c>
      <c r="AI242" s="318">
        <f t="shared" si="37"/>
        <v>0</v>
      </c>
      <c r="AJ242" s="318">
        <f t="shared" si="37"/>
        <v>0</v>
      </c>
      <c r="AK242" s="318">
        <f t="shared" si="37"/>
        <v>0</v>
      </c>
      <c r="AL242" s="318">
        <f t="shared" si="37"/>
        <v>0</v>
      </c>
      <c r="AM242" s="318">
        <f t="shared" si="37"/>
        <v>0</v>
      </c>
      <c r="AN242" s="318">
        <f t="shared" si="37"/>
        <v>0</v>
      </c>
      <c r="AO242" s="318">
        <f t="shared" si="37"/>
        <v>0</v>
      </c>
      <c r="AP242" s="318">
        <f t="shared" si="37"/>
        <v>0</v>
      </c>
      <c r="AQ242" s="318">
        <f t="shared" si="37"/>
        <v>0</v>
      </c>
      <c r="AR242" s="318">
        <f t="shared" si="37"/>
        <v>0</v>
      </c>
      <c r="AS242" s="318">
        <f t="shared" si="30"/>
        <v>0</v>
      </c>
      <c r="AT242" s="318">
        <f t="shared" si="31"/>
        <v>0</v>
      </c>
    </row>
    <row r="243" spans="1:46" x14ac:dyDescent="0.35">
      <c r="A243" s="321" t="s">
        <v>1282</v>
      </c>
      <c r="B243" s="321" t="s">
        <v>1283</v>
      </c>
      <c r="C243" s="322" t="s">
        <v>520</v>
      </c>
      <c r="D243" s="323" t="s">
        <v>204</v>
      </c>
      <c r="E243" s="323" t="s">
        <v>1338</v>
      </c>
      <c r="F243" s="323" t="s">
        <v>1339</v>
      </c>
      <c r="G243" s="323" t="s">
        <v>486</v>
      </c>
      <c r="H243" s="323" t="s">
        <v>1630</v>
      </c>
      <c r="I243" s="322" t="s">
        <v>911</v>
      </c>
      <c r="J243" s="323" t="s">
        <v>488</v>
      </c>
      <c r="K243" s="323" t="s">
        <v>489</v>
      </c>
      <c r="L243" s="322" t="s">
        <v>1341</v>
      </c>
      <c r="M243" s="323" t="s">
        <v>1342</v>
      </c>
      <c r="N243" s="323"/>
      <c r="O243" s="322"/>
      <c r="P243" s="323"/>
      <c r="Q243" s="323"/>
      <c r="R243" s="324"/>
      <c r="S243" s="324"/>
      <c r="T243" s="324"/>
      <c r="U243" s="324"/>
      <c r="V243" s="324"/>
      <c r="W243" s="324"/>
      <c r="X243" s="324"/>
      <c r="Y243" s="324"/>
      <c r="Z243" s="324"/>
      <c r="AA243" s="324"/>
      <c r="AB243" s="324"/>
      <c r="AC243" s="324"/>
      <c r="AD243" s="324">
        <f t="shared" si="32"/>
        <v>0</v>
      </c>
      <c r="AE243" s="319"/>
      <c r="AF243" s="325"/>
      <c r="AG243" s="325"/>
      <c r="AH243" s="325"/>
      <c r="AI243" s="325"/>
      <c r="AJ243" s="325"/>
      <c r="AK243" s="325"/>
      <c r="AL243" s="325"/>
      <c r="AM243" s="325"/>
      <c r="AN243" s="325"/>
      <c r="AO243" s="325"/>
      <c r="AP243" s="325"/>
      <c r="AQ243" s="325"/>
      <c r="AR243" s="325">
        <f t="shared" si="35"/>
        <v>0</v>
      </c>
      <c r="AS243" s="325">
        <f t="shared" si="30"/>
        <v>0</v>
      </c>
      <c r="AT243" s="325">
        <f t="shared" si="31"/>
        <v>0</v>
      </c>
    </row>
    <row r="244" spans="1:46" x14ac:dyDescent="0.35">
      <c r="A244" s="321" t="s">
        <v>1282</v>
      </c>
      <c r="B244" s="321" t="s">
        <v>1283</v>
      </c>
      <c r="C244" s="322" t="s">
        <v>520</v>
      </c>
      <c r="D244" s="323" t="s">
        <v>204</v>
      </c>
      <c r="E244" s="323" t="s">
        <v>1338</v>
      </c>
      <c r="F244" s="323" t="s">
        <v>1339</v>
      </c>
      <c r="G244" s="323" t="s">
        <v>486</v>
      </c>
      <c r="H244" s="323" t="s">
        <v>1630</v>
      </c>
      <c r="I244" s="322" t="s">
        <v>912</v>
      </c>
      <c r="J244" s="323" t="s">
        <v>490</v>
      </c>
      <c r="K244" s="323" t="s">
        <v>491</v>
      </c>
      <c r="L244" s="322" t="s">
        <v>1343</v>
      </c>
      <c r="M244" s="323" t="s">
        <v>1344</v>
      </c>
      <c r="N244" s="323"/>
      <c r="O244" s="322"/>
      <c r="P244" s="323"/>
      <c r="Q244" s="323"/>
      <c r="R244" s="324"/>
      <c r="S244" s="324"/>
      <c r="T244" s="324"/>
      <c r="U244" s="324"/>
      <c r="V244" s="324"/>
      <c r="W244" s="324"/>
      <c r="X244" s="324"/>
      <c r="Y244" s="324"/>
      <c r="Z244" s="324"/>
      <c r="AA244" s="324"/>
      <c r="AB244" s="324"/>
      <c r="AC244" s="324"/>
      <c r="AD244" s="324">
        <f t="shared" si="32"/>
        <v>0</v>
      </c>
      <c r="AE244" s="319"/>
      <c r="AF244" s="325"/>
      <c r="AG244" s="325"/>
      <c r="AH244" s="325"/>
      <c r="AI244" s="325"/>
      <c r="AJ244" s="325"/>
      <c r="AK244" s="325"/>
      <c r="AL244" s="325"/>
      <c r="AM244" s="325"/>
      <c r="AN244" s="325"/>
      <c r="AO244" s="325"/>
      <c r="AP244" s="325"/>
      <c r="AQ244" s="325"/>
      <c r="AR244" s="325">
        <f t="shared" si="35"/>
        <v>0</v>
      </c>
      <c r="AS244" s="325">
        <f t="shared" si="30"/>
        <v>0</v>
      </c>
      <c r="AT244" s="325">
        <f t="shared" si="31"/>
        <v>0</v>
      </c>
    </row>
    <row r="245" spans="1:46" x14ac:dyDescent="0.35">
      <c r="A245" s="321" t="s">
        <v>1282</v>
      </c>
      <c r="B245" s="321" t="s">
        <v>1283</v>
      </c>
      <c r="C245" s="322" t="s">
        <v>520</v>
      </c>
      <c r="D245" s="323" t="s">
        <v>204</v>
      </c>
      <c r="E245" s="323" t="s">
        <v>1338</v>
      </c>
      <c r="F245" s="323" t="s">
        <v>1345</v>
      </c>
      <c r="G245" s="323" t="s">
        <v>486</v>
      </c>
      <c r="H245" s="323" t="s">
        <v>1630</v>
      </c>
      <c r="I245" s="322" t="s">
        <v>914</v>
      </c>
      <c r="J245" s="323" t="s">
        <v>498</v>
      </c>
      <c r="K245" s="323" t="s">
        <v>493</v>
      </c>
      <c r="L245" s="322" t="s">
        <v>1294</v>
      </c>
      <c r="M245" s="323" t="s">
        <v>946</v>
      </c>
      <c r="N245" s="323"/>
      <c r="O245" s="322"/>
      <c r="P245" s="323"/>
      <c r="Q245" s="323"/>
      <c r="R245" s="324"/>
      <c r="S245" s="324"/>
      <c r="T245" s="324"/>
      <c r="U245" s="324"/>
      <c r="V245" s="324"/>
      <c r="W245" s="324"/>
      <c r="X245" s="324"/>
      <c r="Y245" s="324"/>
      <c r="Z245" s="324"/>
      <c r="AA245" s="324"/>
      <c r="AB245" s="324"/>
      <c r="AC245" s="324"/>
      <c r="AD245" s="324">
        <f t="shared" si="32"/>
        <v>0</v>
      </c>
      <c r="AE245" s="319"/>
      <c r="AF245" s="325"/>
      <c r="AG245" s="325"/>
      <c r="AH245" s="325"/>
      <c r="AI245" s="325"/>
      <c r="AJ245" s="325"/>
      <c r="AK245" s="325"/>
      <c r="AL245" s="325"/>
      <c r="AM245" s="325"/>
      <c r="AN245" s="325"/>
      <c r="AO245" s="325"/>
      <c r="AP245" s="325"/>
      <c r="AQ245" s="325"/>
      <c r="AR245" s="325">
        <f t="shared" si="35"/>
        <v>0</v>
      </c>
      <c r="AS245" s="325">
        <f t="shared" si="30"/>
        <v>0</v>
      </c>
      <c r="AT245" s="325">
        <f t="shared" si="31"/>
        <v>0</v>
      </c>
    </row>
    <row r="246" spans="1:46" x14ac:dyDescent="0.35">
      <c r="A246" s="321" t="s">
        <v>1282</v>
      </c>
      <c r="B246" s="321" t="s">
        <v>1283</v>
      </c>
      <c r="C246" s="322" t="s">
        <v>520</v>
      </c>
      <c r="D246" s="323" t="s">
        <v>204</v>
      </c>
      <c r="E246" s="323" t="s">
        <v>1338</v>
      </c>
      <c r="F246" s="323" t="s">
        <v>1346</v>
      </c>
      <c r="G246" s="323" t="s">
        <v>486</v>
      </c>
      <c r="H246" s="323" t="s">
        <v>1347</v>
      </c>
      <c r="I246" s="322" t="s">
        <v>1888</v>
      </c>
      <c r="J246" s="323" t="s">
        <v>1350</v>
      </c>
      <c r="K246" s="323" t="s">
        <v>491</v>
      </c>
      <c r="L246" s="322" t="s">
        <v>1349</v>
      </c>
      <c r="M246" s="323" t="s">
        <v>1350</v>
      </c>
      <c r="N246" s="323"/>
      <c r="O246" s="322"/>
      <c r="P246" s="323"/>
      <c r="Q246" s="323"/>
      <c r="R246" s="324"/>
      <c r="S246" s="324"/>
      <c r="T246" s="324"/>
      <c r="U246" s="324"/>
      <c r="V246" s="324"/>
      <c r="W246" s="324"/>
      <c r="X246" s="324"/>
      <c r="Y246" s="324"/>
      <c r="Z246" s="324"/>
      <c r="AA246" s="324"/>
      <c r="AB246" s="324"/>
      <c r="AC246" s="324"/>
      <c r="AD246" s="324">
        <f t="shared" si="32"/>
        <v>0</v>
      </c>
      <c r="AE246" s="319"/>
      <c r="AF246" s="325"/>
      <c r="AG246" s="325"/>
      <c r="AH246" s="325"/>
      <c r="AI246" s="325"/>
      <c r="AJ246" s="325"/>
      <c r="AK246" s="325"/>
      <c r="AL246" s="325"/>
      <c r="AM246" s="325"/>
      <c r="AN246" s="325"/>
      <c r="AO246" s="325"/>
      <c r="AP246" s="325"/>
      <c r="AQ246" s="325"/>
      <c r="AR246" s="325">
        <f t="shared" si="35"/>
        <v>0</v>
      </c>
      <c r="AS246" s="325">
        <f t="shared" si="30"/>
        <v>0</v>
      </c>
      <c r="AT246" s="325">
        <f t="shared" si="31"/>
        <v>0</v>
      </c>
    </row>
    <row r="247" spans="1:46" x14ac:dyDescent="0.35">
      <c r="A247" s="321" t="s">
        <v>1282</v>
      </c>
      <c r="B247" s="321" t="s">
        <v>1283</v>
      </c>
      <c r="C247" s="322" t="s">
        <v>520</v>
      </c>
      <c r="D247" s="323" t="s">
        <v>204</v>
      </c>
      <c r="E247" s="323" t="s">
        <v>1338</v>
      </c>
      <c r="F247" s="323" t="s">
        <v>1351</v>
      </c>
      <c r="G247" s="323" t="s">
        <v>486</v>
      </c>
      <c r="H247" s="323" t="s">
        <v>1352</v>
      </c>
      <c r="I247" s="322" t="s">
        <v>1889</v>
      </c>
      <c r="J247" s="323" t="s">
        <v>492</v>
      </c>
      <c r="K247" s="323" t="s">
        <v>493</v>
      </c>
      <c r="L247" s="322" t="s">
        <v>1303</v>
      </c>
      <c r="M247" s="323" t="s">
        <v>1304</v>
      </c>
      <c r="N247" s="323"/>
      <c r="O247" s="322"/>
      <c r="P247" s="323"/>
      <c r="Q247" s="323"/>
      <c r="R247" s="324"/>
      <c r="S247" s="324"/>
      <c r="T247" s="324"/>
      <c r="U247" s="324"/>
      <c r="V247" s="324"/>
      <c r="W247" s="324"/>
      <c r="X247" s="324"/>
      <c r="Y247" s="324"/>
      <c r="Z247" s="324"/>
      <c r="AA247" s="324"/>
      <c r="AB247" s="324"/>
      <c r="AC247" s="324"/>
      <c r="AD247" s="324">
        <f t="shared" si="32"/>
        <v>0</v>
      </c>
      <c r="AE247" s="319"/>
      <c r="AF247" s="325"/>
      <c r="AG247" s="325"/>
      <c r="AH247" s="325"/>
      <c r="AI247" s="325"/>
      <c r="AJ247" s="325"/>
      <c r="AK247" s="325"/>
      <c r="AL247" s="325"/>
      <c r="AM247" s="325"/>
      <c r="AN247" s="325"/>
      <c r="AO247" s="325"/>
      <c r="AP247" s="325"/>
      <c r="AQ247" s="325"/>
      <c r="AR247" s="325">
        <f t="shared" si="35"/>
        <v>0</v>
      </c>
      <c r="AS247" s="325">
        <f t="shared" si="30"/>
        <v>0</v>
      </c>
      <c r="AT247" s="325">
        <f t="shared" si="31"/>
        <v>0</v>
      </c>
    </row>
    <row r="248" spans="1:46" x14ac:dyDescent="0.35">
      <c r="A248" s="321" t="s">
        <v>1282</v>
      </c>
      <c r="B248" s="321" t="s">
        <v>1283</v>
      </c>
      <c r="C248" s="322" t="s">
        <v>520</v>
      </c>
      <c r="D248" s="323" t="s">
        <v>204</v>
      </c>
      <c r="E248" s="323" t="s">
        <v>1338</v>
      </c>
      <c r="F248" s="323" t="s">
        <v>1351</v>
      </c>
      <c r="G248" s="323" t="s">
        <v>486</v>
      </c>
      <c r="H248" s="323" t="s">
        <v>1352</v>
      </c>
      <c r="I248" s="322" t="s">
        <v>890</v>
      </c>
      <c r="J248" s="323" t="s">
        <v>494</v>
      </c>
      <c r="K248" s="323" t="s">
        <v>491</v>
      </c>
      <c r="L248" s="322" t="s">
        <v>1305</v>
      </c>
      <c r="M248" s="323"/>
      <c r="N248" s="323"/>
      <c r="O248" s="322"/>
      <c r="P248" s="323"/>
      <c r="Q248" s="323"/>
      <c r="R248" s="324"/>
      <c r="S248" s="324"/>
      <c r="T248" s="324"/>
      <c r="U248" s="324"/>
      <c r="V248" s="324"/>
      <c r="W248" s="324"/>
      <c r="X248" s="324"/>
      <c r="Y248" s="324"/>
      <c r="Z248" s="324"/>
      <c r="AA248" s="324"/>
      <c r="AB248" s="324"/>
      <c r="AC248" s="324"/>
      <c r="AD248" s="324"/>
      <c r="AE248" s="319"/>
      <c r="AF248" s="325"/>
      <c r="AG248" s="325"/>
      <c r="AH248" s="325"/>
      <c r="AI248" s="325"/>
      <c r="AJ248" s="325"/>
      <c r="AK248" s="325"/>
      <c r="AL248" s="325"/>
      <c r="AM248" s="325"/>
      <c r="AN248" s="325"/>
      <c r="AO248" s="325"/>
      <c r="AP248" s="325"/>
      <c r="AQ248" s="325"/>
      <c r="AR248" s="325">
        <f t="shared" si="35"/>
        <v>0</v>
      </c>
      <c r="AS248" s="325">
        <f t="shared" si="30"/>
        <v>0</v>
      </c>
      <c r="AT248" s="325">
        <f t="shared" si="31"/>
        <v>0</v>
      </c>
    </row>
    <row r="249" spans="1:46" x14ac:dyDescent="0.35">
      <c r="A249" s="321" t="s">
        <v>1282</v>
      </c>
      <c r="B249" s="321" t="s">
        <v>1283</v>
      </c>
      <c r="C249" s="322" t="s">
        <v>520</v>
      </c>
      <c r="D249" s="323" t="s">
        <v>204</v>
      </c>
      <c r="E249" s="323" t="s">
        <v>1338</v>
      </c>
      <c r="F249" s="323" t="s">
        <v>1354</v>
      </c>
      <c r="G249" s="323" t="s">
        <v>486</v>
      </c>
      <c r="H249" s="323" t="s">
        <v>1355</v>
      </c>
      <c r="I249" s="322" t="s">
        <v>1890</v>
      </c>
      <c r="J249" s="323" t="s">
        <v>497</v>
      </c>
      <c r="K249" s="323" t="s">
        <v>491</v>
      </c>
      <c r="L249" s="322" t="s">
        <v>1309</v>
      </c>
      <c r="M249" s="323" t="s">
        <v>1310</v>
      </c>
      <c r="N249" s="323"/>
      <c r="O249" s="322"/>
      <c r="P249" s="323"/>
      <c r="Q249" s="323"/>
      <c r="R249" s="324"/>
      <c r="S249" s="324"/>
      <c r="T249" s="324"/>
      <c r="U249" s="324"/>
      <c r="V249" s="324"/>
      <c r="W249" s="324"/>
      <c r="X249" s="324"/>
      <c r="Y249" s="324"/>
      <c r="Z249" s="324"/>
      <c r="AA249" s="324"/>
      <c r="AB249" s="324"/>
      <c r="AC249" s="324"/>
      <c r="AD249" s="324">
        <f t="shared" si="32"/>
        <v>0</v>
      </c>
      <c r="AE249" s="319"/>
      <c r="AF249" s="325"/>
      <c r="AG249" s="325"/>
      <c r="AH249" s="325"/>
      <c r="AI249" s="325"/>
      <c r="AJ249" s="325"/>
      <c r="AK249" s="325"/>
      <c r="AL249" s="325"/>
      <c r="AM249" s="325"/>
      <c r="AN249" s="325"/>
      <c r="AO249" s="325"/>
      <c r="AP249" s="325"/>
      <c r="AQ249" s="325"/>
      <c r="AR249" s="325">
        <f t="shared" si="35"/>
        <v>0</v>
      </c>
      <c r="AS249" s="325">
        <f t="shared" si="30"/>
        <v>0</v>
      </c>
      <c r="AT249" s="325">
        <f t="shared" si="31"/>
        <v>0</v>
      </c>
    </row>
    <row r="250" spans="1:46" x14ac:dyDescent="0.35">
      <c r="A250" s="321" t="s">
        <v>1282</v>
      </c>
      <c r="B250" s="321" t="s">
        <v>1283</v>
      </c>
      <c r="C250" s="322" t="s">
        <v>520</v>
      </c>
      <c r="D250" s="323" t="s">
        <v>204</v>
      </c>
      <c r="E250" s="323" t="s">
        <v>1338</v>
      </c>
      <c r="F250" s="323" t="s">
        <v>1354</v>
      </c>
      <c r="G250" s="323" t="s">
        <v>486</v>
      </c>
      <c r="H250" s="323" t="s">
        <v>1355</v>
      </c>
      <c r="I250" s="322" t="s">
        <v>1891</v>
      </c>
      <c r="J250" s="323" t="s">
        <v>1358</v>
      </c>
      <c r="K250" s="323" t="s">
        <v>491</v>
      </c>
      <c r="L250" s="322" t="s">
        <v>1359</v>
      </c>
      <c r="M250" s="323" t="s">
        <v>1360</v>
      </c>
      <c r="N250" s="323"/>
      <c r="O250" s="322"/>
      <c r="P250" s="323"/>
      <c r="Q250" s="323"/>
      <c r="R250" s="324"/>
      <c r="S250" s="324"/>
      <c r="T250" s="324"/>
      <c r="U250" s="324"/>
      <c r="V250" s="324"/>
      <c r="W250" s="324"/>
      <c r="X250" s="324"/>
      <c r="Y250" s="324"/>
      <c r="Z250" s="324"/>
      <c r="AA250" s="324"/>
      <c r="AB250" s="324"/>
      <c r="AC250" s="324"/>
      <c r="AD250" s="324">
        <f t="shared" si="32"/>
        <v>0</v>
      </c>
      <c r="AE250" s="319"/>
      <c r="AF250" s="325"/>
      <c r="AG250" s="325"/>
      <c r="AH250" s="325"/>
      <c r="AI250" s="325"/>
      <c r="AJ250" s="325"/>
      <c r="AK250" s="325"/>
      <c r="AL250" s="325"/>
      <c r="AM250" s="325"/>
      <c r="AN250" s="325"/>
      <c r="AO250" s="325"/>
      <c r="AP250" s="325"/>
      <c r="AQ250" s="325"/>
      <c r="AR250" s="325">
        <f t="shared" si="35"/>
        <v>0</v>
      </c>
      <c r="AS250" s="325">
        <f t="shared" si="30"/>
        <v>0</v>
      </c>
      <c r="AT250" s="325">
        <f t="shared" si="31"/>
        <v>0</v>
      </c>
    </row>
    <row r="251" spans="1:46" x14ac:dyDescent="0.35">
      <c r="A251" s="321" t="s">
        <v>1282</v>
      </c>
      <c r="B251" s="321" t="s">
        <v>1283</v>
      </c>
      <c r="C251" s="322" t="s">
        <v>520</v>
      </c>
      <c r="D251" s="323" t="s">
        <v>204</v>
      </c>
      <c r="E251" s="323" t="s">
        <v>1338</v>
      </c>
      <c r="F251" s="323" t="s">
        <v>1354</v>
      </c>
      <c r="G251" s="323" t="s">
        <v>486</v>
      </c>
      <c r="H251" s="323" t="s">
        <v>1355</v>
      </c>
      <c r="I251" s="322" t="s">
        <v>955</v>
      </c>
      <c r="J251" s="323" t="s">
        <v>1027</v>
      </c>
      <c r="K251" s="323" t="s">
        <v>1313</v>
      </c>
      <c r="L251" s="322" t="s">
        <v>1314</v>
      </c>
      <c r="M251" s="323" t="s">
        <v>1315</v>
      </c>
      <c r="N251" s="323"/>
      <c r="O251" s="322"/>
      <c r="P251" s="323"/>
      <c r="Q251" s="323"/>
      <c r="R251" s="324"/>
      <c r="S251" s="324"/>
      <c r="T251" s="324"/>
      <c r="U251" s="324"/>
      <c r="V251" s="324"/>
      <c r="W251" s="324"/>
      <c r="X251" s="324"/>
      <c r="Y251" s="324"/>
      <c r="Z251" s="324"/>
      <c r="AA251" s="324"/>
      <c r="AB251" s="324"/>
      <c r="AC251" s="324"/>
      <c r="AD251" s="324">
        <f t="shared" si="32"/>
        <v>0</v>
      </c>
      <c r="AE251" s="319"/>
      <c r="AF251" s="325"/>
      <c r="AG251" s="325"/>
      <c r="AH251" s="325"/>
      <c r="AI251" s="325"/>
      <c r="AJ251" s="325"/>
      <c r="AK251" s="325"/>
      <c r="AL251" s="325"/>
      <c r="AM251" s="325"/>
      <c r="AN251" s="325"/>
      <c r="AO251" s="325"/>
      <c r="AP251" s="325"/>
      <c r="AQ251" s="325"/>
      <c r="AR251" s="325">
        <f t="shared" si="35"/>
        <v>0</v>
      </c>
      <c r="AS251" s="325">
        <f t="shared" si="30"/>
        <v>0</v>
      </c>
      <c r="AT251" s="325">
        <f t="shared" si="31"/>
        <v>0</v>
      </c>
    </row>
    <row r="252" spans="1:46" x14ac:dyDescent="0.35">
      <c r="A252" s="321" t="s">
        <v>1282</v>
      </c>
      <c r="B252" s="321" t="s">
        <v>1283</v>
      </c>
      <c r="C252" s="322" t="s">
        <v>520</v>
      </c>
      <c r="D252" s="323" t="s">
        <v>204</v>
      </c>
      <c r="E252" s="323" t="s">
        <v>1338</v>
      </c>
      <c r="F252" s="323" t="s">
        <v>1362</v>
      </c>
      <c r="G252" s="323" t="s">
        <v>486</v>
      </c>
      <c r="H252" s="323" t="s">
        <v>1355</v>
      </c>
      <c r="I252" s="322" t="s">
        <v>913</v>
      </c>
      <c r="J252" s="323" t="s">
        <v>496</v>
      </c>
      <c r="K252" s="323" t="s">
        <v>493</v>
      </c>
      <c r="L252" s="322" t="s">
        <v>1363</v>
      </c>
      <c r="M252" s="323" t="s">
        <v>1364</v>
      </c>
      <c r="N252" s="323"/>
      <c r="O252" s="322"/>
      <c r="P252" s="323"/>
      <c r="Q252" s="323"/>
      <c r="R252" s="324"/>
      <c r="S252" s="324"/>
      <c r="T252" s="324"/>
      <c r="U252" s="324"/>
      <c r="V252" s="324"/>
      <c r="W252" s="324"/>
      <c r="X252" s="324"/>
      <c r="Y252" s="324"/>
      <c r="Z252" s="324"/>
      <c r="AA252" s="324"/>
      <c r="AB252" s="324"/>
      <c r="AC252" s="324"/>
      <c r="AD252" s="324">
        <f t="shared" si="32"/>
        <v>0</v>
      </c>
      <c r="AE252" s="319"/>
      <c r="AF252" s="325"/>
      <c r="AG252" s="325"/>
      <c r="AH252" s="325"/>
      <c r="AI252" s="325"/>
      <c r="AJ252" s="325"/>
      <c r="AK252" s="325"/>
      <c r="AL252" s="325"/>
      <c r="AM252" s="325"/>
      <c r="AN252" s="325"/>
      <c r="AO252" s="325"/>
      <c r="AP252" s="325"/>
      <c r="AQ252" s="325"/>
      <c r="AR252" s="325">
        <f t="shared" si="35"/>
        <v>0</v>
      </c>
      <c r="AS252" s="325">
        <f t="shared" si="30"/>
        <v>0</v>
      </c>
      <c r="AT252" s="325">
        <f t="shared" si="31"/>
        <v>0</v>
      </c>
    </row>
    <row r="253" spans="1:46" x14ac:dyDescent="0.35">
      <c r="A253" s="321" t="s">
        <v>1282</v>
      </c>
      <c r="B253" s="321" t="s">
        <v>1283</v>
      </c>
      <c r="C253" s="322" t="s">
        <v>520</v>
      </c>
      <c r="D253" s="323" t="s">
        <v>1319</v>
      </c>
      <c r="E253" s="323" t="s">
        <v>1320</v>
      </c>
      <c r="F253" s="323" t="s">
        <v>1365</v>
      </c>
      <c r="G253" s="323" t="s">
        <v>1892</v>
      </c>
      <c r="H253" s="323" t="s">
        <v>1366</v>
      </c>
      <c r="I253" s="322" t="s">
        <v>1893</v>
      </c>
      <c r="J253" s="323" t="s">
        <v>1368</v>
      </c>
      <c r="K253" s="323" t="s">
        <v>1010</v>
      </c>
      <c r="L253" s="322" t="s">
        <v>1369</v>
      </c>
      <c r="M253" s="323" t="s">
        <v>1370</v>
      </c>
      <c r="N253" s="323"/>
      <c r="O253" s="322"/>
      <c r="P253" s="323"/>
      <c r="Q253" s="323"/>
      <c r="R253" s="324"/>
      <c r="S253" s="324"/>
      <c r="T253" s="324"/>
      <c r="U253" s="324"/>
      <c r="V253" s="324"/>
      <c r="W253" s="324"/>
      <c r="X253" s="324"/>
      <c r="Y253" s="324"/>
      <c r="Z253" s="324"/>
      <c r="AA253" s="324"/>
      <c r="AB253" s="324"/>
      <c r="AC253" s="324"/>
      <c r="AD253" s="324">
        <f t="shared" si="32"/>
        <v>0</v>
      </c>
      <c r="AE253" s="319"/>
      <c r="AF253" s="325"/>
      <c r="AG253" s="325"/>
      <c r="AH253" s="325"/>
      <c r="AI253" s="325"/>
      <c r="AJ253" s="325"/>
      <c r="AK253" s="325"/>
      <c r="AL253" s="325"/>
      <c r="AM253" s="325"/>
      <c r="AN253" s="325"/>
      <c r="AO253" s="325"/>
      <c r="AP253" s="325"/>
      <c r="AQ253" s="325"/>
      <c r="AR253" s="325">
        <f t="shared" si="35"/>
        <v>0</v>
      </c>
      <c r="AS253" s="325">
        <f t="shared" si="30"/>
        <v>0</v>
      </c>
      <c r="AT253" s="325">
        <f t="shared" si="31"/>
        <v>0</v>
      </c>
    </row>
    <row r="254" spans="1:46" x14ac:dyDescent="0.35">
      <c r="A254" s="321" t="s">
        <v>1282</v>
      </c>
      <c r="B254" s="321" t="s">
        <v>1283</v>
      </c>
      <c r="C254" s="322" t="s">
        <v>520</v>
      </c>
      <c r="D254" s="323" t="s">
        <v>1319</v>
      </c>
      <c r="E254" s="323" t="s">
        <v>1320</v>
      </c>
      <c r="F254" s="323" t="s">
        <v>1321</v>
      </c>
      <c r="G254" s="323" t="s">
        <v>1892</v>
      </c>
      <c r="H254" s="323" t="s">
        <v>1323</v>
      </c>
      <c r="I254" s="322" t="s">
        <v>835</v>
      </c>
      <c r="J254" s="323" t="s">
        <v>702</v>
      </c>
      <c r="K254" s="323" t="s">
        <v>493</v>
      </c>
      <c r="L254" s="322" t="s">
        <v>1324</v>
      </c>
      <c r="M254" s="323" t="s">
        <v>1325</v>
      </c>
      <c r="N254" s="323"/>
      <c r="O254" s="322"/>
      <c r="P254" s="323"/>
      <c r="Q254" s="323"/>
      <c r="R254" s="324"/>
      <c r="S254" s="324"/>
      <c r="T254" s="324"/>
      <c r="U254" s="324"/>
      <c r="V254" s="324"/>
      <c r="W254" s="324"/>
      <c r="X254" s="324"/>
      <c r="Y254" s="324"/>
      <c r="Z254" s="324"/>
      <c r="AA254" s="324"/>
      <c r="AB254" s="324"/>
      <c r="AC254" s="324"/>
      <c r="AD254" s="326">
        <f t="shared" si="32"/>
        <v>0</v>
      </c>
      <c r="AE254" s="319"/>
      <c r="AF254" s="325"/>
      <c r="AG254" s="325"/>
      <c r="AH254" s="325"/>
      <c r="AI254" s="325"/>
      <c r="AJ254" s="325"/>
      <c r="AK254" s="325"/>
      <c r="AL254" s="325"/>
      <c r="AM254" s="325"/>
      <c r="AN254" s="325"/>
      <c r="AO254" s="325"/>
      <c r="AP254" s="325"/>
      <c r="AQ254" s="325"/>
      <c r="AR254" s="325">
        <f t="shared" si="35"/>
        <v>0</v>
      </c>
      <c r="AS254" s="325">
        <f t="shared" si="30"/>
        <v>0</v>
      </c>
      <c r="AT254" s="325">
        <f t="shared" si="31"/>
        <v>0</v>
      </c>
    </row>
    <row r="255" spans="1:46" x14ac:dyDescent="0.35">
      <c r="A255" s="321" t="s">
        <v>1282</v>
      </c>
      <c r="B255" s="321" t="s">
        <v>1283</v>
      </c>
      <c r="C255" s="322" t="s">
        <v>520</v>
      </c>
      <c r="D255" s="323" t="s">
        <v>1319</v>
      </c>
      <c r="E255" s="323" t="s">
        <v>1320</v>
      </c>
      <c r="F255" s="323" t="s">
        <v>1326</v>
      </c>
      <c r="G255" s="323" t="s">
        <v>1892</v>
      </c>
      <c r="H255" s="323" t="s">
        <v>1352</v>
      </c>
      <c r="I255" s="322" t="s">
        <v>1894</v>
      </c>
      <c r="J255" s="323" t="s">
        <v>495</v>
      </c>
      <c r="K255" s="323" t="s">
        <v>493</v>
      </c>
      <c r="L255" s="322" t="s">
        <v>1328</v>
      </c>
      <c r="M255" s="323" t="s">
        <v>1329</v>
      </c>
      <c r="N255" s="323"/>
      <c r="O255" s="322"/>
      <c r="P255" s="323"/>
      <c r="Q255" s="323"/>
      <c r="R255" s="324"/>
      <c r="S255" s="324"/>
      <c r="T255" s="324"/>
      <c r="U255" s="324"/>
      <c r="V255" s="324"/>
      <c r="W255" s="324"/>
      <c r="X255" s="324"/>
      <c r="Y255" s="324"/>
      <c r="Z255" s="324"/>
      <c r="AA255" s="324"/>
      <c r="AB255" s="324"/>
      <c r="AC255" s="324"/>
      <c r="AD255" s="324">
        <f t="shared" si="32"/>
        <v>0</v>
      </c>
      <c r="AE255" s="319"/>
      <c r="AF255" s="325"/>
      <c r="AG255" s="325"/>
      <c r="AH255" s="325"/>
      <c r="AI255" s="325"/>
      <c r="AJ255" s="325"/>
      <c r="AK255" s="325"/>
      <c r="AL255" s="325"/>
      <c r="AM255" s="325"/>
      <c r="AN255" s="325"/>
      <c r="AO255" s="325"/>
      <c r="AP255" s="325"/>
      <c r="AQ255" s="325"/>
      <c r="AR255" s="325">
        <f t="shared" si="35"/>
        <v>0</v>
      </c>
      <c r="AS255" s="325">
        <f t="shared" si="30"/>
        <v>0</v>
      </c>
      <c r="AT255" s="325">
        <f t="shared" si="31"/>
        <v>0</v>
      </c>
    </row>
    <row r="256" spans="1:46" x14ac:dyDescent="0.35">
      <c r="A256" s="314" t="s">
        <v>1282</v>
      </c>
      <c r="B256" s="314" t="s">
        <v>1283</v>
      </c>
      <c r="C256" s="315" t="s">
        <v>520</v>
      </c>
      <c r="D256" s="315"/>
      <c r="E256" s="315"/>
      <c r="F256" s="315"/>
      <c r="G256" s="315"/>
      <c r="H256" s="316" t="s">
        <v>1895</v>
      </c>
      <c r="I256" s="316" t="s">
        <v>1896</v>
      </c>
      <c r="J256" s="328"/>
      <c r="K256" s="315"/>
      <c r="L256" s="315"/>
      <c r="M256" s="315"/>
      <c r="N256" s="328"/>
      <c r="O256" s="316" t="s">
        <v>1896</v>
      </c>
      <c r="P256" s="328"/>
      <c r="Q256" s="328"/>
      <c r="R256" s="318">
        <f>SUM(R257:R343)</f>
        <v>0</v>
      </c>
      <c r="S256" s="318">
        <f t="shared" ref="S256:AC256" si="38">SUM(S257:S343)</f>
        <v>0</v>
      </c>
      <c r="T256" s="318">
        <f t="shared" si="38"/>
        <v>0</v>
      </c>
      <c r="U256" s="318">
        <f t="shared" si="38"/>
        <v>0</v>
      </c>
      <c r="V256" s="318">
        <f t="shared" si="38"/>
        <v>0</v>
      </c>
      <c r="W256" s="318">
        <f t="shared" si="38"/>
        <v>0</v>
      </c>
      <c r="X256" s="318">
        <f t="shared" si="38"/>
        <v>0</v>
      </c>
      <c r="Y256" s="318">
        <f t="shared" si="38"/>
        <v>0</v>
      </c>
      <c r="Z256" s="318">
        <f t="shared" si="38"/>
        <v>0</v>
      </c>
      <c r="AA256" s="318">
        <f t="shared" si="38"/>
        <v>0</v>
      </c>
      <c r="AB256" s="318">
        <f t="shared" si="38"/>
        <v>0</v>
      </c>
      <c r="AC256" s="318">
        <f t="shared" si="38"/>
        <v>0</v>
      </c>
      <c r="AD256" s="318">
        <f>SUM(R256:AC256)</f>
        <v>0</v>
      </c>
      <c r="AE256" s="319"/>
      <c r="AF256" s="318">
        <f t="shared" ref="AF256:AR256" si="39">SUM(AF257:AF343)</f>
        <v>0</v>
      </c>
      <c r="AG256" s="318">
        <f t="shared" si="39"/>
        <v>0</v>
      </c>
      <c r="AH256" s="318">
        <f t="shared" si="39"/>
        <v>0</v>
      </c>
      <c r="AI256" s="318">
        <f t="shared" si="39"/>
        <v>0</v>
      </c>
      <c r="AJ256" s="318">
        <f t="shared" si="39"/>
        <v>0</v>
      </c>
      <c r="AK256" s="318">
        <f t="shared" si="39"/>
        <v>0</v>
      </c>
      <c r="AL256" s="318">
        <f t="shared" si="39"/>
        <v>0</v>
      </c>
      <c r="AM256" s="318">
        <f t="shared" si="39"/>
        <v>0</v>
      </c>
      <c r="AN256" s="318">
        <f t="shared" si="39"/>
        <v>0</v>
      </c>
      <c r="AO256" s="318">
        <f t="shared" si="39"/>
        <v>0</v>
      </c>
      <c r="AP256" s="318">
        <f t="shared" si="39"/>
        <v>0</v>
      </c>
      <c r="AQ256" s="318">
        <f t="shared" si="39"/>
        <v>0</v>
      </c>
      <c r="AR256" s="318">
        <f t="shared" si="39"/>
        <v>0</v>
      </c>
      <c r="AS256" s="318">
        <f t="shared" si="30"/>
        <v>0</v>
      </c>
      <c r="AT256" s="318">
        <f t="shared" si="31"/>
        <v>0</v>
      </c>
    </row>
    <row r="257" spans="1:46" x14ac:dyDescent="0.35">
      <c r="A257" s="321" t="s">
        <v>1282</v>
      </c>
      <c r="B257" s="321" t="s">
        <v>1283</v>
      </c>
      <c r="C257" s="322" t="s">
        <v>520</v>
      </c>
      <c r="D257" s="323" t="s">
        <v>1319</v>
      </c>
      <c r="E257" s="323" t="s">
        <v>1320</v>
      </c>
      <c r="F257" s="323" t="s">
        <v>1375</v>
      </c>
      <c r="G257" s="323" t="s">
        <v>1892</v>
      </c>
      <c r="H257" s="323" t="s">
        <v>1355</v>
      </c>
      <c r="I257" s="322" t="s">
        <v>1897</v>
      </c>
      <c r="J257" s="323" t="s">
        <v>1381</v>
      </c>
      <c r="K257" s="323" t="s">
        <v>493</v>
      </c>
      <c r="L257" s="322" t="s">
        <v>1378</v>
      </c>
      <c r="M257" s="323" t="s">
        <v>1379</v>
      </c>
      <c r="N257" s="323"/>
      <c r="O257" s="322"/>
      <c r="P257" s="323"/>
      <c r="Q257" s="323"/>
      <c r="R257" s="324"/>
      <c r="S257" s="324"/>
      <c r="T257" s="324"/>
      <c r="U257" s="324"/>
      <c r="V257" s="324"/>
      <c r="W257" s="324"/>
      <c r="X257" s="324"/>
      <c r="Y257" s="324"/>
      <c r="Z257" s="324"/>
      <c r="AA257" s="324"/>
      <c r="AB257" s="324"/>
      <c r="AC257" s="324"/>
      <c r="AD257" s="324">
        <f t="shared" si="32"/>
        <v>0</v>
      </c>
      <c r="AE257" s="319"/>
      <c r="AF257" s="325"/>
      <c r="AG257" s="325"/>
      <c r="AH257" s="325"/>
      <c r="AI257" s="325"/>
      <c r="AJ257" s="325"/>
      <c r="AK257" s="325"/>
      <c r="AL257" s="325"/>
      <c r="AM257" s="325"/>
      <c r="AN257" s="325"/>
      <c r="AO257" s="325"/>
      <c r="AP257" s="325"/>
      <c r="AQ257" s="325"/>
      <c r="AR257" s="325">
        <f t="shared" si="35"/>
        <v>0</v>
      </c>
      <c r="AS257" s="325">
        <f t="shared" si="30"/>
        <v>0</v>
      </c>
      <c r="AT257" s="325">
        <f t="shared" si="31"/>
        <v>0</v>
      </c>
    </row>
    <row r="258" spans="1:46" x14ac:dyDescent="0.35">
      <c r="A258" s="321" t="s">
        <v>1282</v>
      </c>
      <c r="B258" s="321" t="s">
        <v>1283</v>
      </c>
      <c r="C258" s="322" t="s">
        <v>520</v>
      </c>
      <c r="D258" s="323" t="s">
        <v>1319</v>
      </c>
      <c r="E258" s="323" t="s">
        <v>1320</v>
      </c>
      <c r="F258" s="323" t="s">
        <v>1387</v>
      </c>
      <c r="G258" s="323" t="s">
        <v>1892</v>
      </c>
      <c r="H258" s="323" t="s">
        <v>1388</v>
      </c>
      <c r="I258" s="322" t="s">
        <v>1898</v>
      </c>
      <c r="J258" s="323" t="s">
        <v>714</v>
      </c>
      <c r="K258" s="323" t="s">
        <v>711</v>
      </c>
      <c r="L258" s="322" t="s">
        <v>1403</v>
      </c>
      <c r="M258" s="323" t="s">
        <v>1394</v>
      </c>
      <c r="N258" s="323"/>
      <c r="O258" s="322"/>
      <c r="P258" s="323"/>
      <c r="Q258" s="323"/>
      <c r="R258" s="324"/>
      <c r="S258" s="324"/>
      <c r="T258" s="324"/>
      <c r="U258" s="324"/>
      <c r="V258" s="324"/>
      <c r="W258" s="324"/>
      <c r="X258" s="324"/>
      <c r="Y258" s="324"/>
      <c r="Z258" s="324"/>
      <c r="AA258" s="324"/>
      <c r="AB258" s="324"/>
      <c r="AC258" s="324"/>
      <c r="AD258" s="324">
        <f t="shared" si="32"/>
        <v>0</v>
      </c>
      <c r="AE258" s="319"/>
      <c r="AF258" s="325"/>
      <c r="AG258" s="325"/>
      <c r="AH258" s="325"/>
      <c r="AI258" s="325"/>
      <c r="AJ258" s="325"/>
      <c r="AK258" s="325"/>
      <c r="AL258" s="325"/>
      <c r="AM258" s="325"/>
      <c r="AN258" s="325"/>
      <c r="AO258" s="325"/>
      <c r="AP258" s="325"/>
      <c r="AQ258" s="325"/>
      <c r="AR258" s="325">
        <f t="shared" si="35"/>
        <v>0</v>
      </c>
      <c r="AS258" s="325">
        <f t="shared" si="30"/>
        <v>0</v>
      </c>
      <c r="AT258" s="325">
        <f t="shared" si="31"/>
        <v>0</v>
      </c>
    </row>
    <row r="259" spans="1:46" x14ac:dyDescent="0.35">
      <c r="A259" s="321" t="s">
        <v>1282</v>
      </c>
      <c r="B259" s="321" t="s">
        <v>1283</v>
      </c>
      <c r="C259" s="322" t="s">
        <v>520</v>
      </c>
      <c r="D259" s="323" t="s">
        <v>1319</v>
      </c>
      <c r="E259" s="323" t="s">
        <v>1320</v>
      </c>
      <c r="F259" s="323" t="s">
        <v>1421</v>
      </c>
      <c r="G259" s="323" t="s">
        <v>1892</v>
      </c>
      <c r="H259" s="323" t="s">
        <v>1422</v>
      </c>
      <c r="I259" s="322" t="s">
        <v>953</v>
      </c>
      <c r="J259" s="323" t="s">
        <v>732</v>
      </c>
      <c r="K259" s="323" t="s">
        <v>733</v>
      </c>
      <c r="L259" s="322" t="s">
        <v>1423</v>
      </c>
      <c r="M259" s="323" t="s">
        <v>1422</v>
      </c>
      <c r="N259" s="323"/>
      <c r="O259" s="322"/>
      <c r="P259" s="323"/>
      <c r="Q259" s="323"/>
      <c r="R259" s="324"/>
      <c r="S259" s="324"/>
      <c r="T259" s="324"/>
      <c r="U259" s="324"/>
      <c r="V259" s="324"/>
      <c r="W259" s="324"/>
      <c r="X259" s="324"/>
      <c r="Y259" s="324"/>
      <c r="Z259" s="324"/>
      <c r="AA259" s="324"/>
      <c r="AB259" s="324"/>
      <c r="AC259" s="324"/>
      <c r="AD259" s="324">
        <f t="shared" si="32"/>
        <v>0</v>
      </c>
      <c r="AE259" s="319"/>
      <c r="AF259" s="325"/>
      <c r="AG259" s="325"/>
      <c r="AH259" s="325"/>
      <c r="AI259" s="325"/>
      <c r="AJ259" s="325"/>
      <c r="AK259" s="325"/>
      <c r="AL259" s="325"/>
      <c r="AM259" s="325"/>
      <c r="AN259" s="325"/>
      <c r="AO259" s="325"/>
      <c r="AP259" s="325"/>
      <c r="AQ259" s="325"/>
      <c r="AR259" s="325">
        <f t="shared" si="35"/>
        <v>0</v>
      </c>
      <c r="AS259" s="325">
        <f t="shared" si="30"/>
        <v>0</v>
      </c>
      <c r="AT259" s="325">
        <f t="shared" si="31"/>
        <v>0</v>
      </c>
    </row>
    <row r="260" spans="1:46" x14ac:dyDescent="0.35">
      <c r="A260" s="321" t="s">
        <v>1282</v>
      </c>
      <c r="B260" s="321" t="s">
        <v>1283</v>
      </c>
      <c r="C260" s="322" t="s">
        <v>520</v>
      </c>
      <c r="D260" s="323" t="s">
        <v>1319</v>
      </c>
      <c r="E260" s="323" t="s">
        <v>1320</v>
      </c>
      <c r="F260" s="323" t="s">
        <v>1424</v>
      </c>
      <c r="G260" s="323" t="s">
        <v>1892</v>
      </c>
      <c r="H260" s="323" t="s">
        <v>737</v>
      </c>
      <c r="I260" s="322" t="s">
        <v>938</v>
      </c>
      <c r="J260" s="323" t="s">
        <v>979</v>
      </c>
      <c r="K260" s="323" t="s">
        <v>738</v>
      </c>
      <c r="L260" s="322" t="s">
        <v>1427</v>
      </c>
      <c r="M260" s="323" t="s">
        <v>737</v>
      </c>
      <c r="N260" s="323"/>
      <c r="O260" s="322"/>
      <c r="P260" s="323"/>
      <c r="Q260" s="323"/>
      <c r="R260" s="324"/>
      <c r="S260" s="324"/>
      <c r="T260" s="324"/>
      <c r="U260" s="324"/>
      <c r="V260" s="324"/>
      <c r="W260" s="324"/>
      <c r="X260" s="324"/>
      <c r="Y260" s="324"/>
      <c r="Z260" s="324"/>
      <c r="AA260" s="324"/>
      <c r="AB260" s="324"/>
      <c r="AC260" s="324"/>
      <c r="AD260" s="324">
        <f t="shared" si="32"/>
        <v>0</v>
      </c>
      <c r="AE260" s="319"/>
      <c r="AF260" s="325"/>
      <c r="AG260" s="325"/>
      <c r="AH260" s="325"/>
      <c r="AI260" s="325"/>
      <c r="AJ260" s="325"/>
      <c r="AK260" s="325"/>
      <c r="AL260" s="325"/>
      <c r="AM260" s="325"/>
      <c r="AN260" s="325"/>
      <c r="AO260" s="325"/>
      <c r="AP260" s="325"/>
      <c r="AQ260" s="325"/>
      <c r="AR260" s="325">
        <f t="shared" si="35"/>
        <v>0</v>
      </c>
      <c r="AS260" s="325">
        <f t="shared" si="30"/>
        <v>0</v>
      </c>
      <c r="AT260" s="325">
        <f t="shared" si="31"/>
        <v>0</v>
      </c>
    </row>
    <row r="261" spans="1:46" x14ac:dyDescent="0.35">
      <c r="A261" s="321" t="s">
        <v>1282</v>
      </c>
      <c r="B261" s="321" t="s">
        <v>1283</v>
      </c>
      <c r="C261" s="322" t="s">
        <v>520</v>
      </c>
      <c r="D261" s="323" t="s">
        <v>1319</v>
      </c>
      <c r="E261" s="323" t="s">
        <v>1320</v>
      </c>
      <c r="F261" s="323" t="s">
        <v>1424</v>
      </c>
      <c r="G261" s="323" t="s">
        <v>1892</v>
      </c>
      <c r="H261" s="323" t="s">
        <v>737</v>
      </c>
      <c r="I261" s="322" t="s">
        <v>874</v>
      </c>
      <c r="J261" s="323" t="s">
        <v>979</v>
      </c>
      <c r="K261" s="323" t="s">
        <v>738</v>
      </c>
      <c r="L261" s="322" t="s">
        <v>1427</v>
      </c>
      <c r="M261" s="323" t="s">
        <v>737</v>
      </c>
      <c r="N261" s="323"/>
      <c r="O261" s="322"/>
      <c r="P261" s="323"/>
      <c r="Q261" s="323"/>
      <c r="R261" s="324"/>
      <c r="S261" s="324"/>
      <c r="T261" s="324"/>
      <c r="U261" s="324"/>
      <c r="V261" s="324"/>
      <c r="W261" s="324"/>
      <c r="X261" s="324"/>
      <c r="Y261" s="324"/>
      <c r="Z261" s="324"/>
      <c r="AA261" s="324"/>
      <c r="AB261" s="324"/>
      <c r="AC261" s="324"/>
      <c r="AD261" s="324">
        <f t="shared" si="32"/>
        <v>0</v>
      </c>
      <c r="AE261" s="319"/>
      <c r="AF261" s="325"/>
      <c r="AG261" s="325"/>
      <c r="AH261" s="325"/>
      <c r="AI261" s="325"/>
      <c r="AJ261" s="325"/>
      <c r="AK261" s="325"/>
      <c r="AL261" s="325"/>
      <c r="AM261" s="325"/>
      <c r="AN261" s="325"/>
      <c r="AO261" s="325"/>
      <c r="AP261" s="325"/>
      <c r="AQ261" s="325"/>
      <c r="AR261" s="325">
        <f t="shared" si="35"/>
        <v>0</v>
      </c>
      <c r="AS261" s="325">
        <f t="shared" si="30"/>
        <v>0</v>
      </c>
      <c r="AT261" s="325">
        <f t="shared" si="31"/>
        <v>0</v>
      </c>
    </row>
    <row r="262" spans="1:46" x14ac:dyDescent="0.35">
      <c r="A262" s="321" t="s">
        <v>1282</v>
      </c>
      <c r="B262" s="321" t="s">
        <v>1283</v>
      </c>
      <c r="C262" s="322" t="s">
        <v>520</v>
      </c>
      <c r="D262" s="323" t="s">
        <v>1319</v>
      </c>
      <c r="E262" s="323" t="s">
        <v>1320</v>
      </c>
      <c r="F262" s="323" t="s">
        <v>1714</v>
      </c>
      <c r="G262" s="323" t="s">
        <v>1892</v>
      </c>
      <c r="H262" s="323" t="s">
        <v>1715</v>
      </c>
      <c r="I262" s="322" t="s">
        <v>920</v>
      </c>
      <c r="J262" s="323" t="s">
        <v>961</v>
      </c>
      <c r="K262" s="323" t="s">
        <v>1006</v>
      </c>
      <c r="L262" s="322" t="s">
        <v>1721</v>
      </c>
      <c r="M262" s="323" t="s">
        <v>1722</v>
      </c>
      <c r="N262" s="323"/>
      <c r="O262" s="322"/>
      <c r="P262" s="323"/>
      <c r="Q262" s="323"/>
      <c r="R262" s="324"/>
      <c r="S262" s="324"/>
      <c r="T262" s="324"/>
      <c r="U262" s="324"/>
      <c r="V262" s="324"/>
      <c r="W262" s="324"/>
      <c r="X262" s="324"/>
      <c r="Y262" s="324"/>
      <c r="Z262" s="324"/>
      <c r="AA262" s="324"/>
      <c r="AB262" s="324"/>
      <c r="AC262" s="324"/>
      <c r="AD262" s="324">
        <f t="shared" si="32"/>
        <v>0</v>
      </c>
      <c r="AE262" s="319"/>
      <c r="AF262" s="325"/>
      <c r="AG262" s="325"/>
      <c r="AH262" s="325"/>
      <c r="AI262" s="325"/>
      <c r="AJ262" s="325"/>
      <c r="AK262" s="325"/>
      <c r="AL262" s="325"/>
      <c r="AM262" s="325"/>
      <c r="AN262" s="325"/>
      <c r="AO262" s="325"/>
      <c r="AP262" s="325"/>
      <c r="AQ262" s="325"/>
      <c r="AR262" s="325">
        <f t="shared" si="35"/>
        <v>0</v>
      </c>
      <c r="AS262" s="325">
        <f t="shared" si="30"/>
        <v>0</v>
      </c>
      <c r="AT262" s="325">
        <f t="shared" si="31"/>
        <v>0</v>
      </c>
    </row>
    <row r="263" spans="1:46" x14ac:dyDescent="0.35">
      <c r="A263" s="321" t="s">
        <v>1282</v>
      </c>
      <c r="B263" s="321" t="s">
        <v>1283</v>
      </c>
      <c r="C263" s="322" t="s">
        <v>520</v>
      </c>
      <c r="D263" s="323" t="s">
        <v>1319</v>
      </c>
      <c r="E263" s="323" t="s">
        <v>1320</v>
      </c>
      <c r="F263" s="323" t="s">
        <v>1428</v>
      </c>
      <c r="G263" s="323" t="s">
        <v>1892</v>
      </c>
      <c r="H263" s="323" t="s">
        <v>1723</v>
      </c>
      <c r="I263" s="322" t="s">
        <v>918</v>
      </c>
      <c r="J263" s="323" t="s">
        <v>1001</v>
      </c>
      <c r="K263" s="323" t="s">
        <v>1002</v>
      </c>
      <c r="L263" s="322" t="s">
        <v>1725</v>
      </c>
      <c r="M263" s="323" t="s">
        <v>1726</v>
      </c>
      <c r="N263" s="323"/>
      <c r="O263" s="322"/>
      <c r="P263" s="323"/>
      <c r="Q263" s="323"/>
      <c r="R263" s="324"/>
      <c r="S263" s="324"/>
      <c r="T263" s="324"/>
      <c r="U263" s="324"/>
      <c r="V263" s="324"/>
      <c r="W263" s="324"/>
      <c r="X263" s="324"/>
      <c r="Y263" s="324"/>
      <c r="Z263" s="324"/>
      <c r="AA263" s="324"/>
      <c r="AB263" s="324"/>
      <c r="AC263" s="324"/>
      <c r="AD263" s="324">
        <f t="shared" si="32"/>
        <v>0</v>
      </c>
      <c r="AE263" s="319"/>
      <c r="AF263" s="325"/>
      <c r="AG263" s="325"/>
      <c r="AH263" s="325"/>
      <c r="AI263" s="325"/>
      <c r="AJ263" s="325"/>
      <c r="AK263" s="325"/>
      <c r="AL263" s="325"/>
      <c r="AM263" s="325"/>
      <c r="AN263" s="325"/>
      <c r="AO263" s="325"/>
      <c r="AP263" s="325"/>
      <c r="AQ263" s="325"/>
      <c r="AR263" s="325">
        <f t="shared" si="35"/>
        <v>0</v>
      </c>
      <c r="AS263" s="325">
        <f t="shared" si="30"/>
        <v>0</v>
      </c>
      <c r="AT263" s="325">
        <f t="shared" si="31"/>
        <v>0</v>
      </c>
    </row>
    <row r="264" spans="1:46" x14ac:dyDescent="0.35">
      <c r="A264" s="321" t="s">
        <v>1282</v>
      </c>
      <c r="B264" s="321" t="s">
        <v>1283</v>
      </c>
      <c r="C264" s="322" t="s">
        <v>520</v>
      </c>
      <c r="D264" s="323" t="s">
        <v>1319</v>
      </c>
      <c r="E264" s="323" t="s">
        <v>1320</v>
      </c>
      <c r="F264" s="323" t="s">
        <v>1428</v>
      </c>
      <c r="G264" s="323" t="s">
        <v>1892</v>
      </c>
      <c r="H264" s="323" t="s">
        <v>1723</v>
      </c>
      <c r="I264" s="322" t="s">
        <v>840</v>
      </c>
      <c r="J264" s="323" t="s">
        <v>1013</v>
      </c>
      <c r="K264" s="323" t="s">
        <v>1014</v>
      </c>
      <c r="L264" s="322" t="s">
        <v>1431</v>
      </c>
      <c r="M264" s="323" t="s">
        <v>1432</v>
      </c>
      <c r="N264" s="323"/>
      <c r="O264" s="322"/>
      <c r="P264" s="323"/>
      <c r="Q264" s="323"/>
      <c r="R264" s="324"/>
      <c r="S264" s="324"/>
      <c r="T264" s="324"/>
      <c r="U264" s="324"/>
      <c r="V264" s="324"/>
      <c r="W264" s="324"/>
      <c r="X264" s="324"/>
      <c r="Y264" s="324"/>
      <c r="Z264" s="324"/>
      <c r="AA264" s="324"/>
      <c r="AB264" s="324"/>
      <c r="AC264" s="324"/>
      <c r="AD264" s="324">
        <f t="shared" si="32"/>
        <v>0</v>
      </c>
      <c r="AE264" s="319"/>
      <c r="AF264" s="325"/>
      <c r="AG264" s="325"/>
      <c r="AH264" s="325"/>
      <c r="AI264" s="325"/>
      <c r="AJ264" s="325"/>
      <c r="AK264" s="325"/>
      <c r="AL264" s="325"/>
      <c r="AM264" s="325"/>
      <c r="AN264" s="325"/>
      <c r="AO264" s="325"/>
      <c r="AP264" s="325"/>
      <c r="AQ264" s="325"/>
      <c r="AR264" s="325">
        <f t="shared" si="35"/>
        <v>0</v>
      </c>
      <c r="AS264" s="325">
        <f t="shared" si="30"/>
        <v>0</v>
      </c>
      <c r="AT264" s="325">
        <f t="shared" si="31"/>
        <v>0</v>
      </c>
    </row>
    <row r="265" spans="1:46" x14ac:dyDescent="0.35">
      <c r="A265" s="321" t="s">
        <v>1282</v>
      </c>
      <c r="B265" s="321" t="s">
        <v>1283</v>
      </c>
      <c r="C265" s="322" t="s">
        <v>520</v>
      </c>
      <c r="D265" s="323" t="s">
        <v>1319</v>
      </c>
      <c r="E265" s="323" t="s">
        <v>1320</v>
      </c>
      <c r="F265" s="323" t="s">
        <v>1428</v>
      </c>
      <c r="G265" s="323" t="s">
        <v>1892</v>
      </c>
      <c r="H265" s="323" t="s">
        <v>1723</v>
      </c>
      <c r="I265" s="322" t="s">
        <v>1899</v>
      </c>
      <c r="J265" s="323" t="s">
        <v>1016</v>
      </c>
      <c r="K265" s="323" t="s">
        <v>1017</v>
      </c>
      <c r="L265" s="322" t="s">
        <v>1900</v>
      </c>
      <c r="M265" s="323" t="s">
        <v>1901</v>
      </c>
      <c r="N265" s="323"/>
      <c r="O265" s="322"/>
      <c r="P265" s="323"/>
      <c r="Q265" s="323"/>
      <c r="R265" s="324"/>
      <c r="S265" s="324"/>
      <c r="T265" s="324"/>
      <c r="U265" s="324"/>
      <c r="V265" s="324"/>
      <c r="W265" s="324"/>
      <c r="X265" s="324"/>
      <c r="Y265" s="324"/>
      <c r="Z265" s="324"/>
      <c r="AA265" s="324"/>
      <c r="AB265" s="324"/>
      <c r="AC265" s="324"/>
      <c r="AD265" s="324">
        <f t="shared" si="32"/>
        <v>0</v>
      </c>
      <c r="AE265" s="319"/>
      <c r="AF265" s="325"/>
      <c r="AG265" s="325"/>
      <c r="AH265" s="325"/>
      <c r="AI265" s="325"/>
      <c r="AJ265" s="325"/>
      <c r="AK265" s="325"/>
      <c r="AL265" s="325"/>
      <c r="AM265" s="325"/>
      <c r="AN265" s="325"/>
      <c r="AO265" s="325"/>
      <c r="AP265" s="325"/>
      <c r="AQ265" s="325"/>
      <c r="AR265" s="325">
        <f t="shared" si="35"/>
        <v>0</v>
      </c>
      <c r="AS265" s="325">
        <f t="shared" si="30"/>
        <v>0</v>
      </c>
      <c r="AT265" s="325">
        <f t="shared" si="31"/>
        <v>0</v>
      </c>
    </row>
    <row r="266" spans="1:46" x14ac:dyDescent="0.35">
      <c r="A266" s="321" t="s">
        <v>1282</v>
      </c>
      <c r="B266" s="321" t="s">
        <v>1283</v>
      </c>
      <c r="C266" s="322" t="s">
        <v>520</v>
      </c>
      <c r="D266" s="323" t="s">
        <v>1319</v>
      </c>
      <c r="E266" s="323" t="s">
        <v>1320</v>
      </c>
      <c r="F266" s="323" t="s">
        <v>1428</v>
      </c>
      <c r="G266" s="323" t="s">
        <v>1892</v>
      </c>
      <c r="H266" s="323" t="s">
        <v>1723</v>
      </c>
      <c r="I266" s="322" t="s">
        <v>962</v>
      </c>
      <c r="J266" s="323" t="s">
        <v>1018</v>
      </c>
      <c r="K266" s="323" t="s">
        <v>729</v>
      </c>
      <c r="L266" s="322" t="s">
        <v>1729</v>
      </c>
      <c r="M266" s="323" t="s">
        <v>1730</v>
      </c>
      <c r="N266" s="323"/>
      <c r="O266" s="322"/>
      <c r="P266" s="323"/>
      <c r="Q266" s="323"/>
      <c r="R266" s="324"/>
      <c r="S266" s="324"/>
      <c r="T266" s="324"/>
      <c r="U266" s="324"/>
      <c r="V266" s="324"/>
      <c r="W266" s="324"/>
      <c r="X266" s="324"/>
      <c r="Y266" s="324"/>
      <c r="Z266" s="324"/>
      <c r="AA266" s="324"/>
      <c r="AB266" s="324"/>
      <c r="AC266" s="324"/>
      <c r="AD266" s="324">
        <f t="shared" si="32"/>
        <v>0</v>
      </c>
      <c r="AE266" s="319"/>
      <c r="AF266" s="325"/>
      <c r="AG266" s="325"/>
      <c r="AH266" s="325"/>
      <c r="AI266" s="325"/>
      <c r="AJ266" s="325"/>
      <c r="AK266" s="325"/>
      <c r="AL266" s="325"/>
      <c r="AM266" s="325"/>
      <c r="AN266" s="325"/>
      <c r="AO266" s="325"/>
      <c r="AP266" s="325"/>
      <c r="AQ266" s="325"/>
      <c r="AR266" s="325">
        <f t="shared" si="35"/>
        <v>0</v>
      </c>
      <c r="AS266" s="325">
        <f t="shared" si="30"/>
        <v>0</v>
      </c>
      <c r="AT266" s="325">
        <f t="shared" si="31"/>
        <v>0</v>
      </c>
    </row>
    <row r="267" spans="1:46" x14ac:dyDescent="0.35">
      <c r="A267" s="321" t="s">
        <v>1282</v>
      </c>
      <c r="B267" s="321" t="s">
        <v>1283</v>
      </c>
      <c r="C267" s="322" t="s">
        <v>520</v>
      </c>
      <c r="D267" s="323" t="s">
        <v>1319</v>
      </c>
      <c r="E267" s="323" t="s">
        <v>1320</v>
      </c>
      <c r="F267" s="323" t="s">
        <v>1731</v>
      </c>
      <c r="G267" s="323" t="s">
        <v>1892</v>
      </c>
      <c r="H267" s="323" t="s">
        <v>1732</v>
      </c>
      <c r="I267" s="322" t="s">
        <v>1902</v>
      </c>
      <c r="J267" s="323" t="s">
        <v>994</v>
      </c>
      <c r="K267" s="323" t="s">
        <v>995</v>
      </c>
      <c r="L267" s="322" t="s">
        <v>1742</v>
      </c>
      <c r="M267" s="323" t="s">
        <v>1743</v>
      </c>
      <c r="N267" s="323"/>
      <c r="O267" s="322"/>
      <c r="P267" s="323"/>
      <c r="Q267" s="323"/>
      <c r="R267" s="324"/>
      <c r="S267" s="324"/>
      <c r="T267" s="324"/>
      <c r="U267" s="324"/>
      <c r="V267" s="324"/>
      <c r="W267" s="324"/>
      <c r="X267" s="324"/>
      <c r="Y267" s="324"/>
      <c r="Z267" s="324"/>
      <c r="AA267" s="324"/>
      <c r="AB267" s="324"/>
      <c r="AC267" s="324"/>
      <c r="AD267" s="324">
        <f t="shared" si="32"/>
        <v>0</v>
      </c>
      <c r="AE267" s="319"/>
      <c r="AF267" s="325"/>
      <c r="AG267" s="325"/>
      <c r="AH267" s="325"/>
      <c r="AI267" s="325"/>
      <c r="AJ267" s="325"/>
      <c r="AK267" s="325"/>
      <c r="AL267" s="325"/>
      <c r="AM267" s="325"/>
      <c r="AN267" s="325"/>
      <c r="AO267" s="325"/>
      <c r="AP267" s="325"/>
      <c r="AQ267" s="325"/>
      <c r="AR267" s="325">
        <f t="shared" si="35"/>
        <v>0</v>
      </c>
      <c r="AS267" s="325">
        <f t="shared" si="30"/>
        <v>0</v>
      </c>
      <c r="AT267" s="325">
        <f t="shared" si="31"/>
        <v>0</v>
      </c>
    </row>
    <row r="268" spans="1:46" x14ac:dyDescent="0.35">
      <c r="A268" s="321" t="s">
        <v>1282</v>
      </c>
      <c r="B268" s="321" t="s">
        <v>1283</v>
      </c>
      <c r="C268" s="322" t="s">
        <v>520</v>
      </c>
      <c r="D268" s="323" t="s">
        <v>1319</v>
      </c>
      <c r="E268" s="323" t="s">
        <v>1320</v>
      </c>
      <c r="F268" s="323" t="s">
        <v>1731</v>
      </c>
      <c r="G268" s="323" t="s">
        <v>1892</v>
      </c>
      <c r="H268" s="323" t="s">
        <v>1732</v>
      </c>
      <c r="I268" s="322" t="s">
        <v>1903</v>
      </c>
      <c r="J268" s="323" t="s">
        <v>1750</v>
      </c>
      <c r="K268" s="323" t="e">
        <v>#N/A</v>
      </c>
      <c r="L268" s="322" t="s">
        <v>1742</v>
      </c>
      <c r="M268" s="323"/>
      <c r="N268" s="323"/>
      <c r="O268" s="339"/>
      <c r="P268" s="323"/>
      <c r="Q268" s="323"/>
      <c r="R268" s="324"/>
      <c r="S268" s="324"/>
      <c r="T268" s="324"/>
      <c r="U268" s="324"/>
      <c r="V268" s="324"/>
      <c r="W268" s="324"/>
      <c r="X268" s="324"/>
      <c r="Y268" s="324"/>
      <c r="Z268" s="324"/>
      <c r="AA268" s="324"/>
      <c r="AB268" s="324"/>
      <c r="AC268" s="324"/>
      <c r="AD268" s="324"/>
      <c r="AE268" s="319"/>
      <c r="AF268" s="325"/>
      <c r="AG268" s="325"/>
      <c r="AH268" s="325"/>
      <c r="AI268" s="325"/>
      <c r="AJ268" s="325"/>
      <c r="AK268" s="325"/>
      <c r="AL268" s="325"/>
      <c r="AM268" s="325"/>
      <c r="AN268" s="325"/>
      <c r="AO268" s="325"/>
      <c r="AP268" s="325"/>
      <c r="AQ268" s="325"/>
      <c r="AR268" s="325">
        <f t="shared" si="35"/>
        <v>0</v>
      </c>
      <c r="AS268" s="325">
        <f t="shared" si="30"/>
        <v>0</v>
      </c>
      <c r="AT268" s="325">
        <f t="shared" si="31"/>
        <v>0</v>
      </c>
    </row>
    <row r="269" spans="1:46" x14ac:dyDescent="0.35">
      <c r="A269" s="321" t="s">
        <v>1282</v>
      </c>
      <c r="B269" s="321" t="s">
        <v>1283</v>
      </c>
      <c r="C269" s="322" t="s">
        <v>520</v>
      </c>
      <c r="D269" s="323" t="s">
        <v>1319</v>
      </c>
      <c r="E269" s="323" t="s">
        <v>1320</v>
      </c>
      <c r="F269" s="323" t="s">
        <v>1731</v>
      </c>
      <c r="G269" s="323" t="s">
        <v>1892</v>
      </c>
      <c r="H269" s="323" t="s">
        <v>1732</v>
      </c>
      <c r="I269" s="322" t="s">
        <v>1904</v>
      </c>
      <c r="J269" s="323" t="s">
        <v>1755</v>
      </c>
      <c r="K269" s="323" t="e">
        <v>#N/A</v>
      </c>
      <c r="L269" s="322" t="s">
        <v>1742</v>
      </c>
      <c r="M269" s="323"/>
      <c r="N269" s="323"/>
      <c r="O269" s="339"/>
      <c r="P269" s="323"/>
      <c r="Q269" s="323"/>
      <c r="R269" s="324"/>
      <c r="S269" s="324"/>
      <c r="T269" s="324"/>
      <c r="U269" s="324"/>
      <c r="V269" s="324"/>
      <c r="W269" s="324"/>
      <c r="X269" s="324"/>
      <c r="Y269" s="324"/>
      <c r="Z269" s="324"/>
      <c r="AA269" s="324"/>
      <c r="AB269" s="324"/>
      <c r="AC269" s="324"/>
      <c r="AD269" s="324"/>
      <c r="AE269" s="319"/>
      <c r="AF269" s="325"/>
      <c r="AG269" s="325"/>
      <c r="AH269" s="325"/>
      <c r="AI269" s="325"/>
      <c r="AJ269" s="325"/>
      <c r="AK269" s="325"/>
      <c r="AL269" s="325"/>
      <c r="AM269" s="325"/>
      <c r="AN269" s="325"/>
      <c r="AO269" s="325"/>
      <c r="AP269" s="325"/>
      <c r="AQ269" s="325"/>
      <c r="AR269" s="325">
        <f t="shared" si="35"/>
        <v>0</v>
      </c>
      <c r="AS269" s="325">
        <f t="shared" si="30"/>
        <v>0</v>
      </c>
      <c r="AT269" s="325">
        <f t="shared" si="31"/>
        <v>0</v>
      </c>
    </row>
    <row r="270" spans="1:46" x14ac:dyDescent="0.35">
      <c r="A270" s="321" t="s">
        <v>1282</v>
      </c>
      <c r="B270" s="321" t="s">
        <v>1283</v>
      </c>
      <c r="C270" s="322" t="s">
        <v>520</v>
      </c>
      <c r="D270" s="323" t="s">
        <v>1319</v>
      </c>
      <c r="E270" s="323" t="s">
        <v>1320</v>
      </c>
      <c r="F270" s="323" t="s">
        <v>1731</v>
      </c>
      <c r="G270" s="323" t="s">
        <v>1892</v>
      </c>
      <c r="H270" s="323" t="s">
        <v>1732</v>
      </c>
      <c r="I270" s="322" t="s">
        <v>1905</v>
      </c>
      <c r="J270" s="323" t="s">
        <v>1906</v>
      </c>
      <c r="K270" s="323" t="s">
        <v>995</v>
      </c>
      <c r="L270" s="322" t="s">
        <v>1742</v>
      </c>
      <c r="M270" s="323"/>
      <c r="N270" s="323"/>
      <c r="O270" s="322"/>
      <c r="P270" s="323"/>
      <c r="Q270" s="323"/>
      <c r="R270" s="324"/>
      <c r="S270" s="324"/>
      <c r="T270" s="324"/>
      <c r="U270" s="324"/>
      <c r="V270" s="324"/>
      <c r="W270" s="324"/>
      <c r="X270" s="324"/>
      <c r="Y270" s="324"/>
      <c r="Z270" s="324"/>
      <c r="AA270" s="324"/>
      <c r="AB270" s="324"/>
      <c r="AC270" s="324"/>
      <c r="AD270" s="324"/>
      <c r="AE270" s="319"/>
      <c r="AF270" s="325"/>
      <c r="AG270" s="325"/>
      <c r="AH270" s="325"/>
      <c r="AI270" s="325"/>
      <c r="AJ270" s="325"/>
      <c r="AK270" s="325"/>
      <c r="AL270" s="325"/>
      <c r="AM270" s="325"/>
      <c r="AN270" s="325"/>
      <c r="AO270" s="325"/>
      <c r="AP270" s="325"/>
      <c r="AQ270" s="325"/>
      <c r="AR270" s="325">
        <f t="shared" si="35"/>
        <v>0</v>
      </c>
      <c r="AS270" s="325">
        <f t="shared" ref="AS270:AS333" si="40">AD270-AR270</f>
        <v>0</v>
      </c>
      <c r="AT270" s="325">
        <f t="shared" ref="AT270:AT333" si="41">IFERROR(AS270/AR270,0)</f>
        <v>0</v>
      </c>
    </row>
    <row r="271" spans="1:46" x14ac:dyDescent="0.35">
      <c r="A271" s="321" t="s">
        <v>1282</v>
      </c>
      <c r="B271" s="321" t="s">
        <v>1283</v>
      </c>
      <c r="C271" s="322" t="s">
        <v>520</v>
      </c>
      <c r="D271" s="323" t="s">
        <v>1319</v>
      </c>
      <c r="E271" s="323" t="s">
        <v>1320</v>
      </c>
      <c r="F271" s="323" t="s">
        <v>1458</v>
      </c>
      <c r="G271" s="323" t="s">
        <v>1892</v>
      </c>
      <c r="H271" s="323" t="s">
        <v>1459</v>
      </c>
      <c r="I271" s="322" t="s">
        <v>873</v>
      </c>
      <c r="J271" s="323" t="s">
        <v>751</v>
      </c>
      <c r="K271" s="323" t="s">
        <v>725</v>
      </c>
      <c r="L271" s="322" t="s">
        <v>1460</v>
      </c>
      <c r="M271" s="323" t="s">
        <v>1461</v>
      </c>
      <c r="N271" s="323"/>
      <c r="O271" s="322"/>
      <c r="P271" s="323"/>
      <c r="Q271" s="323"/>
      <c r="R271" s="324"/>
      <c r="S271" s="324"/>
      <c r="T271" s="324"/>
      <c r="U271" s="324"/>
      <c r="V271" s="324"/>
      <c r="W271" s="324"/>
      <c r="X271" s="324"/>
      <c r="Y271" s="324"/>
      <c r="Z271" s="324"/>
      <c r="AA271" s="324"/>
      <c r="AB271" s="324"/>
      <c r="AC271" s="324"/>
      <c r="AD271" s="324">
        <f t="shared" si="32"/>
        <v>0</v>
      </c>
      <c r="AE271" s="319"/>
      <c r="AF271" s="325"/>
      <c r="AG271" s="325"/>
      <c r="AH271" s="325"/>
      <c r="AI271" s="325"/>
      <c r="AJ271" s="325"/>
      <c r="AK271" s="325"/>
      <c r="AL271" s="325"/>
      <c r="AM271" s="325"/>
      <c r="AN271" s="325"/>
      <c r="AO271" s="325"/>
      <c r="AP271" s="325"/>
      <c r="AQ271" s="325"/>
      <c r="AR271" s="325">
        <f t="shared" si="35"/>
        <v>0</v>
      </c>
      <c r="AS271" s="325">
        <f t="shared" si="40"/>
        <v>0</v>
      </c>
      <c r="AT271" s="325">
        <f t="shared" si="41"/>
        <v>0</v>
      </c>
    </row>
    <row r="272" spans="1:46" x14ac:dyDescent="0.35">
      <c r="A272" s="321" t="s">
        <v>1282</v>
      </c>
      <c r="B272" s="321" t="s">
        <v>1283</v>
      </c>
      <c r="C272" s="322" t="s">
        <v>520</v>
      </c>
      <c r="D272" s="323" t="s">
        <v>1319</v>
      </c>
      <c r="E272" s="323" t="s">
        <v>1320</v>
      </c>
      <c r="F272" s="323" t="s">
        <v>1458</v>
      </c>
      <c r="G272" s="323" t="s">
        <v>1892</v>
      </c>
      <c r="H272" s="323" t="s">
        <v>1459</v>
      </c>
      <c r="I272" s="322" t="s">
        <v>1907</v>
      </c>
      <c r="J272" s="323" t="s">
        <v>1908</v>
      </c>
      <c r="K272" s="323" t="s">
        <v>725</v>
      </c>
      <c r="L272" s="322" t="s">
        <v>1463</v>
      </c>
      <c r="M272" s="323" t="s">
        <v>1464</v>
      </c>
      <c r="N272" s="323"/>
      <c r="O272" s="322"/>
      <c r="P272" s="323"/>
      <c r="Q272" s="323"/>
      <c r="R272" s="324"/>
      <c r="S272" s="324"/>
      <c r="T272" s="324"/>
      <c r="U272" s="324"/>
      <c r="V272" s="324"/>
      <c r="W272" s="324"/>
      <c r="X272" s="324"/>
      <c r="Y272" s="324"/>
      <c r="Z272" s="324"/>
      <c r="AA272" s="324"/>
      <c r="AB272" s="324"/>
      <c r="AC272" s="324"/>
      <c r="AD272" s="324">
        <f t="shared" si="32"/>
        <v>0</v>
      </c>
      <c r="AE272" s="319"/>
      <c r="AF272" s="325"/>
      <c r="AG272" s="325"/>
      <c r="AH272" s="325"/>
      <c r="AI272" s="325"/>
      <c r="AJ272" s="325"/>
      <c r="AK272" s="325"/>
      <c r="AL272" s="325"/>
      <c r="AM272" s="325"/>
      <c r="AN272" s="325"/>
      <c r="AO272" s="325"/>
      <c r="AP272" s="325"/>
      <c r="AQ272" s="325"/>
      <c r="AR272" s="325">
        <f t="shared" si="35"/>
        <v>0</v>
      </c>
      <c r="AS272" s="325">
        <f t="shared" si="40"/>
        <v>0</v>
      </c>
      <c r="AT272" s="325">
        <f t="shared" si="41"/>
        <v>0</v>
      </c>
    </row>
    <row r="273" spans="1:46" x14ac:dyDescent="0.35">
      <c r="A273" s="321" t="s">
        <v>1282</v>
      </c>
      <c r="B273" s="321" t="s">
        <v>1283</v>
      </c>
      <c r="C273" s="322" t="s">
        <v>520</v>
      </c>
      <c r="D273" s="323" t="s">
        <v>1319</v>
      </c>
      <c r="E273" s="323" t="s">
        <v>1320</v>
      </c>
      <c r="F273" s="323" t="s">
        <v>1458</v>
      </c>
      <c r="G273" s="323" t="s">
        <v>1892</v>
      </c>
      <c r="H273" s="323" t="s">
        <v>1459</v>
      </c>
      <c r="I273" s="322" t="s">
        <v>875</v>
      </c>
      <c r="J273" s="323" t="s">
        <v>978</v>
      </c>
      <c r="K273" s="323" t="s">
        <v>725</v>
      </c>
      <c r="L273" s="322" t="s">
        <v>1465</v>
      </c>
      <c r="M273" s="323" t="s">
        <v>1466</v>
      </c>
      <c r="N273" s="323"/>
      <c r="O273" s="322"/>
      <c r="P273" s="323"/>
      <c r="Q273" s="323"/>
      <c r="R273" s="324"/>
      <c r="S273" s="324"/>
      <c r="T273" s="324"/>
      <c r="U273" s="324"/>
      <c r="V273" s="324"/>
      <c r="W273" s="324"/>
      <c r="X273" s="324"/>
      <c r="Y273" s="324"/>
      <c r="Z273" s="324"/>
      <c r="AA273" s="324"/>
      <c r="AB273" s="324"/>
      <c r="AC273" s="324"/>
      <c r="AD273" s="324">
        <f t="shared" si="32"/>
        <v>0</v>
      </c>
      <c r="AE273" s="319"/>
      <c r="AF273" s="325"/>
      <c r="AG273" s="325"/>
      <c r="AH273" s="325"/>
      <c r="AI273" s="325"/>
      <c r="AJ273" s="325"/>
      <c r="AK273" s="325"/>
      <c r="AL273" s="325"/>
      <c r="AM273" s="325"/>
      <c r="AN273" s="325"/>
      <c r="AO273" s="325"/>
      <c r="AP273" s="325"/>
      <c r="AQ273" s="325"/>
      <c r="AR273" s="325">
        <f t="shared" si="35"/>
        <v>0</v>
      </c>
      <c r="AS273" s="325">
        <f t="shared" si="40"/>
        <v>0</v>
      </c>
      <c r="AT273" s="325">
        <f t="shared" si="41"/>
        <v>0</v>
      </c>
    </row>
    <row r="274" spans="1:46" x14ac:dyDescent="0.35">
      <c r="A274" s="321" t="s">
        <v>1282</v>
      </c>
      <c r="B274" s="321" t="s">
        <v>1283</v>
      </c>
      <c r="C274" s="322" t="s">
        <v>520</v>
      </c>
      <c r="D274" s="323" t="s">
        <v>1319</v>
      </c>
      <c r="E274" s="323" t="s">
        <v>1320</v>
      </c>
      <c r="F274" s="323" t="s">
        <v>1458</v>
      </c>
      <c r="G274" s="323" t="s">
        <v>1892</v>
      </c>
      <c r="H274" s="323" t="s">
        <v>1459</v>
      </c>
      <c r="I274" s="322" t="s">
        <v>930</v>
      </c>
      <c r="J274" s="323" t="s">
        <v>978</v>
      </c>
      <c r="K274" s="323" t="s">
        <v>725</v>
      </c>
      <c r="L274" s="322" t="s">
        <v>1465</v>
      </c>
      <c r="M274" s="323" t="s">
        <v>1466</v>
      </c>
      <c r="N274" s="323"/>
      <c r="O274" s="322"/>
      <c r="P274" s="323"/>
      <c r="Q274" s="323"/>
      <c r="R274" s="324"/>
      <c r="S274" s="324"/>
      <c r="T274" s="324"/>
      <c r="U274" s="324"/>
      <c r="V274" s="324"/>
      <c r="W274" s="324"/>
      <c r="X274" s="324"/>
      <c r="Y274" s="324"/>
      <c r="Z274" s="324"/>
      <c r="AA274" s="324"/>
      <c r="AB274" s="324"/>
      <c r="AC274" s="324"/>
      <c r="AD274" s="324">
        <f t="shared" si="32"/>
        <v>0</v>
      </c>
      <c r="AE274" s="319"/>
      <c r="AF274" s="325"/>
      <c r="AG274" s="325"/>
      <c r="AH274" s="325"/>
      <c r="AI274" s="325"/>
      <c r="AJ274" s="325"/>
      <c r="AK274" s="325"/>
      <c r="AL274" s="325"/>
      <c r="AM274" s="325"/>
      <c r="AN274" s="325"/>
      <c r="AO274" s="325"/>
      <c r="AP274" s="325"/>
      <c r="AQ274" s="325"/>
      <c r="AR274" s="325">
        <f t="shared" si="35"/>
        <v>0</v>
      </c>
      <c r="AS274" s="325">
        <f t="shared" si="40"/>
        <v>0</v>
      </c>
      <c r="AT274" s="325">
        <f t="shared" si="41"/>
        <v>0</v>
      </c>
    </row>
    <row r="275" spans="1:46" x14ac:dyDescent="0.35">
      <c r="A275" s="321" t="s">
        <v>1282</v>
      </c>
      <c r="B275" s="321" t="s">
        <v>1283</v>
      </c>
      <c r="C275" s="322" t="s">
        <v>520</v>
      </c>
      <c r="D275" s="323" t="s">
        <v>1319</v>
      </c>
      <c r="E275" s="323" t="s">
        <v>1320</v>
      </c>
      <c r="F275" s="323" t="s">
        <v>1909</v>
      </c>
      <c r="G275" s="323" t="s">
        <v>1892</v>
      </c>
      <c r="H275" s="323" t="s">
        <v>999</v>
      </c>
      <c r="I275" s="322" t="s">
        <v>960</v>
      </c>
      <c r="J275" s="323" t="s">
        <v>999</v>
      </c>
      <c r="K275" s="323" t="s">
        <v>995</v>
      </c>
      <c r="L275" s="322" t="s">
        <v>1910</v>
      </c>
      <c r="M275" s="323" t="s">
        <v>1911</v>
      </c>
      <c r="N275" s="323"/>
      <c r="O275" s="322"/>
      <c r="P275" s="323"/>
      <c r="Q275" s="323"/>
      <c r="R275" s="324"/>
      <c r="S275" s="324"/>
      <c r="T275" s="324"/>
      <c r="U275" s="324"/>
      <c r="V275" s="324"/>
      <c r="W275" s="324"/>
      <c r="X275" s="324"/>
      <c r="Y275" s="324"/>
      <c r="Z275" s="324"/>
      <c r="AA275" s="324"/>
      <c r="AB275" s="324"/>
      <c r="AC275" s="324"/>
      <c r="AD275" s="324">
        <f t="shared" si="32"/>
        <v>0</v>
      </c>
      <c r="AE275" s="319"/>
      <c r="AF275" s="325"/>
      <c r="AG275" s="325"/>
      <c r="AH275" s="325"/>
      <c r="AI275" s="325"/>
      <c r="AJ275" s="325"/>
      <c r="AK275" s="325"/>
      <c r="AL275" s="325"/>
      <c r="AM275" s="325"/>
      <c r="AN275" s="325"/>
      <c r="AO275" s="325"/>
      <c r="AP275" s="325"/>
      <c r="AQ275" s="325"/>
      <c r="AR275" s="325">
        <f t="shared" si="35"/>
        <v>0</v>
      </c>
      <c r="AS275" s="325">
        <f t="shared" si="40"/>
        <v>0</v>
      </c>
      <c r="AT275" s="325">
        <f t="shared" si="41"/>
        <v>0</v>
      </c>
    </row>
    <row r="276" spans="1:46" x14ac:dyDescent="0.35">
      <c r="A276" s="321" t="s">
        <v>1282</v>
      </c>
      <c r="B276" s="321" t="s">
        <v>1283</v>
      </c>
      <c r="C276" s="322" t="s">
        <v>520</v>
      </c>
      <c r="D276" s="323" t="s">
        <v>1319</v>
      </c>
      <c r="E276" s="323" t="s">
        <v>1320</v>
      </c>
      <c r="F276" s="323" t="s">
        <v>1909</v>
      </c>
      <c r="G276" s="323" t="s">
        <v>1892</v>
      </c>
      <c r="H276" s="323" t="s">
        <v>999</v>
      </c>
      <c r="I276" s="322" t="s">
        <v>1912</v>
      </c>
      <c r="J276" s="323" t="s">
        <v>999</v>
      </c>
      <c r="K276" s="323" t="s">
        <v>995</v>
      </c>
      <c r="L276" s="322" t="s">
        <v>1910</v>
      </c>
      <c r="M276" s="323" t="s">
        <v>1911</v>
      </c>
      <c r="N276" s="323"/>
      <c r="O276" s="322"/>
      <c r="P276" s="323"/>
      <c r="Q276" s="323"/>
      <c r="R276" s="324"/>
      <c r="S276" s="324"/>
      <c r="T276" s="324"/>
      <c r="U276" s="324"/>
      <c r="V276" s="324"/>
      <c r="W276" s="324"/>
      <c r="X276" s="324"/>
      <c r="Y276" s="324"/>
      <c r="Z276" s="324"/>
      <c r="AA276" s="324"/>
      <c r="AB276" s="324"/>
      <c r="AC276" s="324"/>
      <c r="AD276" s="324">
        <f t="shared" ref="AD276:AD339" si="42">SUM(R276:AC276)</f>
        <v>0</v>
      </c>
      <c r="AE276" s="319"/>
      <c r="AF276" s="325"/>
      <c r="AG276" s="325"/>
      <c r="AH276" s="325"/>
      <c r="AI276" s="325"/>
      <c r="AJ276" s="325"/>
      <c r="AK276" s="325"/>
      <c r="AL276" s="325"/>
      <c r="AM276" s="325"/>
      <c r="AN276" s="325"/>
      <c r="AO276" s="325"/>
      <c r="AP276" s="325"/>
      <c r="AQ276" s="325"/>
      <c r="AR276" s="325">
        <f t="shared" si="35"/>
        <v>0</v>
      </c>
      <c r="AS276" s="325">
        <f t="shared" si="40"/>
        <v>0</v>
      </c>
      <c r="AT276" s="325">
        <f t="shared" si="41"/>
        <v>0</v>
      </c>
    </row>
    <row r="277" spans="1:46" x14ac:dyDescent="0.35">
      <c r="A277" s="321" t="s">
        <v>1282</v>
      </c>
      <c r="B277" s="321" t="s">
        <v>1283</v>
      </c>
      <c r="C277" s="322" t="s">
        <v>520</v>
      </c>
      <c r="D277" s="323" t="s">
        <v>1319</v>
      </c>
      <c r="E277" s="323" t="s">
        <v>1320</v>
      </c>
      <c r="F277" s="323" t="s">
        <v>1468</v>
      </c>
      <c r="G277" s="323" t="s">
        <v>1892</v>
      </c>
      <c r="H277" s="323" t="s">
        <v>1469</v>
      </c>
      <c r="I277" s="322" t="s">
        <v>922</v>
      </c>
      <c r="J277" s="323" t="s">
        <v>1009</v>
      </c>
      <c r="K277" s="323" t="s">
        <v>493</v>
      </c>
      <c r="L277" s="322" t="s">
        <v>1471</v>
      </c>
      <c r="M277" s="323" t="s">
        <v>1472</v>
      </c>
      <c r="N277" s="323"/>
      <c r="O277" s="322"/>
      <c r="P277" s="323"/>
      <c r="Q277" s="323"/>
      <c r="R277" s="324"/>
      <c r="S277" s="324"/>
      <c r="T277" s="324"/>
      <c r="U277" s="324"/>
      <c r="V277" s="324"/>
      <c r="W277" s="324"/>
      <c r="X277" s="324"/>
      <c r="Y277" s="324"/>
      <c r="Z277" s="324"/>
      <c r="AA277" s="324"/>
      <c r="AB277" s="324"/>
      <c r="AC277" s="324"/>
      <c r="AD277" s="324">
        <f t="shared" si="42"/>
        <v>0</v>
      </c>
      <c r="AE277" s="319"/>
      <c r="AF277" s="325"/>
      <c r="AG277" s="325"/>
      <c r="AH277" s="325"/>
      <c r="AI277" s="325"/>
      <c r="AJ277" s="325"/>
      <c r="AK277" s="325"/>
      <c r="AL277" s="325"/>
      <c r="AM277" s="325"/>
      <c r="AN277" s="325"/>
      <c r="AO277" s="325"/>
      <c r="AP277" s="325"/>
      <c r="AQ277" s="325"/>
      <c r="AR277" s="325">
        <f t="shared" si="35"/>
        <v>0</v>
      </c>
      <c r="AS277" s="325">
        <f t="shared" si="40"/>
        <v>0</v>
      </c>
      <c r="AT277" s="325">
        <f t="shared" si="41"/>
        <v>0</v>
      </c>
    </row>
    <row r="278" spans="1:46" x14ac:dyDescent="0.35">
      <c r="A278" s="321" t="s">
        <v>1282</v>
      </c>
      <c r="B278" s="321" t="s">
        <v>1283</v>
      </c>
      <c r="C278" s="322" t="s">
        <v>520</v>
      </c>
      <c r="D278" s="323" t="s">
        <v>1319</v>
      </c>
      <c r="E278" s="323" t="s">
        <v>1320</v>
      </c>
      <c r="F278" s="323" t="s">
        <v>1473</v>
      </c>
      <c r="G278" s="323" t="s">
        <v>1892</v>
      </c>
      <c r="H278" s="323" t="s">
        <v>747</v>
      </c>
      <c r="I278" s="322" t="s">
        <v>1913</v>
      </c>
      <c r="J278" s="323" t="s">
        <v>940</v>
      </c>
      <c r="K278" s="323" t="s">
        <v>738</v>
      </c>
      <c r="L278" s="322" t="s">
        <v>1474</v>
      </c>
      <c r="M278" s="323" t="s">
        <v>1475</v>
      </c>
      <c r="N278" s="323"/>
      <c r="O278" s="322"/>
      <c r="P278" s="323"/>
      <c r="Q278" s="323"/>
      <c r="R278" s="324"/>
      <c r="S278" s="324"/>
      <c r="T278" s="324"/>
      <c r="U278" s="324"/>
      <c r="V278" s="324"/>
      <c r="W278" s="324"/>
      <c r="X278" s="324"/>
      <c r="Y278" s="324"/>
      <c r="Z278" s="324"/>
      <c r="AA278" s="324"/>
      <c r="AB278" s="324"/>
      <c r="AC278" s="324"/>
      <c r="AD278" s="324">
        <f t="shared" si="42"/>
        <v>0</v>
      </c>
      <c r="AE278" s="319"/>
      <c r="AF278" s="325"/>
      <c r="AG278" s="325"/>
      <c r="AH278" s="325"/>
      <c r="AI278" s="325"/>
      <c r="AJ278" s="325"/>
      <c r="AK278" s="325"/>
      <c r="AL278" s="325"/>
      <c r="AM278" s="325"/>
      <c r="AN278" s="325"/>
      <c r="AO278" s="325"/>
      <c r="AP278" s="325"/>
      <c r="AQ278" s="325"/>
      <c r="AR278" s="325">
        <f t="shared" si="35"/>
        <v>0</v>
      </c>
      <c r="AS278" s="325">
        <f t="shared" si="40"/>
        <v>0</v>
      </c>
      <c r="AT278" s="325">
        <f t="shared" si="41"/>
        <v>0</v>
      </c>
    </row>
    <row r="279" spans="1:46" x14ac:dyDescent="0.35">
      <c r="A279" s="321" t="s">
        <v>1282</v>
      </c>
      <c r="B279" s="321" t="s">
        <v>1283</v>
      </c>
      <c r="C279" s="322" t="s">
        <v>520</v>
      </c>
      <c r="D279" s="323" t="s">
        <v>1319</v>
      </c>
      <c r="E279" s="323" t="s">
        <v>1320</v>
      </c>
      <c r="F279" s="323" t="s">
        <v>1473</v>
      </c>
      <c r="G279" s="323" t="s">
        <v>1892</v>
      </c>
      <c r="H279" s="323" t="s">
        <v>747</v>
      </c>
      <c r="I279" s="322" t="s">
        <v>939</v>
      </c>
      <c r="J279" s="323" t="s">
        <v>940</v>
      </c>
      <c r="K279" s="323" t="s">
        <v>738</v>
      </c>
      <c r="L279" s="322" t="s">
        <v>1474</v>
      </c>
      <c r="M279" s="323" t="s">
        <v>1475</v>
      </c>
      <c r="N279" s="323"/>
      <c r="O279" s="322"/>
      <c r="P279" s="323"/>
      <c r="Q279" s="323"/>
      <c r="R279" s="324"/>
      <c r="S279" s="324"/>
      <c r="T279" s="324"/>
      <c r="U279" s="324"/>
      <c r="V279" s="324"/>
      <c r="W279" s="324"/>
      <c r="X279" s="324"/>
      <c r="Y279" s="324"/>
      <c r="Z279" s="324"/>
      <c r="AA279" s="324"/>
      <c r="AB279" s="324"/>
      <c r="AC279" s="324"/>
      <c r="AD279" s="324">
        <f t="shared" si="42"/>
        <v>0</v>
      </c>
      <c r="AE279" s="319"/>
      <c r="AF279" s="325"/>
      <c r="AG279" s="325"/>
      <c r="AH279" s="325"/>
      <c r="AI279" s="325"/>
      <c r="AJ279" s="325"/>
      <c r="AK279" s="325"/>
      <c r="AL279" s="325"/>
      <c r="AM279" s="325"/>
      <c r="AN279" s="325"/>
      <c r="AO279" s="325"/>
      <c r="AP279" s="325"/>
      <c r="AQ279" s="325"/>
      <c r="AR279" s="325">
        <f t="shared" si="35"/>
        <v>0</v>
      </c>
      <c r="AS279" s="325">
        <f t="shared" si="40"/>
        <v>0</v>
      </c>
      <c r="AT279" s="325">
        <f t="shared" si="41"/>
        <v>0</v>
      </c>
    </row>
    <row r="280" spans="1:46" x14ac:dyDescent="0.35">
      <c r="A280" s="321" t="s">
        <v>1282</v>
      </c>
      <c r="B280" s="321" t="s">
        <v>1283</v>
      </c>
      <c r="C280" s="322" t="s">
        <v>520</v>
      </c>
      <c r="D280" s="323" t="s">
        <v>1319</v>
      </c>
      <c r="E280" s="323" t="s">
        <v>1320</v>
      </c>
      <c r="F280" s="323" t="s">
        <v>1473</v>
      </c>
      <c r="G280" s="323" t="s">
        <v>1892</v>
      </c>
      <c r="H280" s="323" t="s">
        <v>747</v>
      </c>
      <c r="I280" s="322" t="s">
        <v>1914</v>
      </c>
      <c r="J280" s="323" t="s">
        <v>1768</v>
      </c>
      <c r="K280" s="323" t="s">
        <v>738</v>
      </c>
      <c r="L280" s="322" t="s">
        <v>1478</v>
      </c>
      <c r="M280" s="323" t="s">
        <v>1479</v>
      </c>
      <c r="N280" s="323"/>
      <c r="O280" s="322"/>
      <c r="P280" s="323"/>
      <c r="Q280" s="323"/>
      <c r="R280" s="324"/>
      <c r="S280" s="324"/>
      <c r="T280" s="324"/>
      <c r="U280" s="324"/>
      <c r="V280" s="324"/>
      <c r="W280" s="324"/>
      <c r="X280" s="324"/>
      <c r="Y280" s="324"/>
      <c r="Z280" s="324"/>
      <c r="AA280" s="324"/>
      <c r="AB280" s="324"/>
      <c r="AC280" s="324"/>
      <c r="AD280" s="324">
        <f t="shared" si="42"/>
        <v>0</v>
      </c>
      <c r="AE280" s="319"/>
      <c r="AF280" s="325"/>
      <c r="AG280" s="325"/>
      <c r="AH280" s="325"/>
      <c r="AI280" s="325"/>
      <c r="AJ280" s="325"/>
      <c r="AK280" s="325"/>
      <c r="AL280" s="325"/>
      <c r="AM280" s="325"/>
      <c r="AN280" s="325"/>
      <c r="AO280" s="325"/>
      <c r="AP280" s="325"/>
      <c r="AQ280" s="325"/>
      <c r="AR280" s="325">
        <f t="shared" si="35"/>
        <v>0</v>
      </c>
      <c r="AS280" s="325">
        <f t="shared" si="40"/>
        <v>0</v>
      </c>
      <c r="AT280" s="325">
        <f t="shared" si="41"/>
        <v>0</v>
      </c>
    </row>
    <row r="281" spans="1:46" x14ac:dyDescent="0.35">
      <c r="A281" s="321" t="s">
        <v>1282</v>
      </c>
      <c r="B281" s="321" t="s">
        <v>1283</v>
      </c>
      <c r="C281" s="322" t="s">
        <v>520</v>
      </c>
      <c r="D281" s="323" t="s">
        <v>1319</v>
      </c>
      <c r="E281" s="323" t="s">
        <v>1320</v>
      </c>
      <c r="F281" s="323" t="s">
        <v>1473</v>
      </c>
      <c r="G281" s="323" t="s">
        <v>1892</v>
      </c>
      <c r="H281" s="323" t="s">
        <v>747</v>
      </c>
      <c r="I281" s="322" t="s">
        <v>1915</v>
      </c>
      <c r="J281" s="323" t="s">
        <v>1768</v>
      </c>
      <c r="K281" s="323" t="s">
        <v>738</v>
      </c>
      <c r="L281" s="322" t="s">
        <v>1478</v>
      </c>
      <c r="M281" s="323" t="s">
        <v>1479</v>
      </c>
      <c r="N281" s="323"/>
      <c r="O281" s="322"/>
      <c r="P281" s="323"/>
      <c r="Q281" s="323"/>
      <c r="R281" s="324"/>
      <c r="S281" s="324"/>
      <c r="T281" s="324"/>
      <c r="U281" s="324"/>
      <c r="V281" s="324"/>
      <c r="W281" s="324"/>
      <c r="X281" s="324"/>
      <c r="Y281" s="324"/>
      <c r="Z281" s="324"/>
      <c r="AA281" s="324"/>
      <c r="AB281" s="324"/>
      <c r="AC281" s="324"/>
      <c r="AD281" s="324">
        <f t="shared" si="42"/>
        <v>0</v>
      </c>
      <c r="AE281" s="319"/>
      <c r="AF281" s="325"/>
      <c r="AG281" s="325"/>
      <c r="AH281" s="325"/>
      <c r="AI281" s="325"/>
      <c r="AJ281" s="325"/>
      <c r="AK281" s="325"/>
      <c r="AL281" s="325"/>
      <c r="AM281" s="325"/>
      <c r="AN281" s="325"/>
      <c r="AO281" s="325"/>
      <c r="AP281" s="325"/>
      <c r="AQ281" s="325"/>
      <c r="AR281" s="325">
        <f t="shared" si="35"/>
        <v>0</v>
      </c>
      <c r="AS281" s="325">
        <f t="shared" si="40"/>
        <v>0</v>
      </c>
      <c r="AT281" s="325">
        <f t="shared" si="41"/>
        <v>0</v>
      </c>
    </row>
    <row r="282" spans="1:46" x14ac:dyDescent="0.35">
      <c r="A282" s="321" t="s">
        <v>1282</v>
      </c>
      <c r="B282" s="321" t="s">
        <v>1283</v>
      </c>
      <c r="C282" s="322" t="s">
        <v>520</v>
      </c>
      <c r="D282" s="323" t="s">
        <v>1319</v>
      </c>
      <c r="E282" s="323" t="s">
        <v>1320</v>
      </c>
      <c r="F282" s="323" t="s">
        <v>1473</v>
      </c>
      <c r="G282" s="323" t="s">
        <v>1892</v>
      </c>
      <c r="H282" s="323" t="s">
        <v>747</v>
      </c>
      <c r="I282" s="322" t="s">
        <v>1916</v>
      </c>
      <c r="J282" s="323" t="s">
        <v>1771</v>
      </c>
      <c r="K282" s="323" t="s">
        <v>738</v>
      </c>
      <c r="L282" s="322" t="s">
        <v>1772</v>
      </c>
      <c r="M282" s="323" t="s">
        <v>1773</v>
      </c>
      <c r="N282" s="323"/>
      <c r="O282" s="322"/>
      <c r="P282" s="323"/>
      <c r="Q282" s="323"/>
      <c r="R282" s="324"/>
      <c r="S282" s="324"/>
      <c r="T282" s="324"/>
      <c r="U282" s="324"/>
      <c r="V282" s="324"/>
      <c r="W282" s="324"/>
      <c r="X282" s="324"/>
      <c r="Y282" s="324"/>
      <c r="Z282" s="324"/>
      <c r="AA282" s="324"/>
      <c r="AB282" s="324"/>
      <c r="AC282" s="324"/>
      <c r="AD282" s="324">
        <f t="shared" si="42"/>
        <v>0</v>
      </c>
      <c r="AE282" s="319"/>
      <c r="AF282" s="325"/>
      <c r="AG282" s="325"/>
      <c r="AH282" s="325"/>
      <c r="AI282" s="325"/>
      <c r="AJ282" s="325"/>
      <c r="AK282" s="325"/>
      <c r="AL282" s="325"/>
      <c r="AM282" s="325"/>
      <c r="AN282" s="325"/>
      <c r="AO282" s="325"/>
      <c r="AP282" s="325"/>
      <c r="AQ282" s="325"/>
      <c r="AR282" s="325">
        <f t="shared" si="35"/>
        <v>0</v>
      </c>
      <c r="AS282" s="325">
        <f t="shared" si="40"/>
        <v>0</v>
      </c>
      <c r="AT282" s="325">
        <f t="shared" si="41"/>
        <v>0</v>
      </c>
    </row>
    <row r="283" spans="1:46" x14ac:dyDescent="0.35">
      <c r="A283" s="321" t="s">
        <v>1282</v>
      </c>
      <c r="B283" s="321" t="s">
        <v>1283</v>
      </c>
      <c r="C283" s="322" t="s">
        <v>520</v>
      </c>
      <c r="D283" s="323" t="s">
        <v>1319</v>
      </c>
      <c r="E283" s="323" t="s">
        <v>1320</v>
      </c>
      <c r="F283" s="323" t="s">
        <v>1473</v>
      </c>
      <c r="G283" s="323" t="s">
        <v>1892</v>
      </c>
      <c r="H283" s="323" t="s">
        <v>747</v>
      </c>
      <c r="I283" s="322" t="s">
        <v>1917</v>
      </c>
      <c r="J283" s="323" t="s">
        <v>1775</v>
      </c>
      <c r="K283" s="323" t="s">
        <v>738</v>
      </c>
      <c r="L283" s="322" t="s">
        <v>1776</v>
      </c>
      <c r="M283" s="323" t="s">
        <v>1777</v>
      </c>
      <c r="N283" s="323"/>
      <c r="O283" s="322"/>
      <c r="P283" s="323"/>
      <c r="Q283" s="323"/>
      <c r="R283" s="324"/>
      <c r="S283" s="324"/>
      <c r="T283" s="324"/>
      <c r="U283" s="324"/>
      <c r="V283" s="324"/>
      <c r="W283" s="324"/>
      <c r="X283" s="324"/>
      <c r="Y283" s="324"/>
      <c r="Z283" s="324"/>
      <c r="AA283" s="324"/>
      <c r="AB283" s="324"/>
      <c r="AC283" s="324"/>
      <c r="AD283" s="324">
        <f t="shared" si="42"/>
        <v>0</v>
      </c>
      <c r="AE283" s="319"/>
      <c r="AF283" s="325"/>
      <c r="AG283" s="325"/>
      <c r="AH283" s="325"/>
      <c r="AI283" s="325"/>
      <c r="AJ283" s="325"/>
      <c r="AK283" s="325"/>
      <c r="AL283" s="325"/>
      <c r="AM283" s="325"/>
      <c r="AN283" s="325"/>
      <c r="AO283" s="325"/>
      <c r="AP283" s="325"/>
      <c r="AQ283" s="325"/>
      <c r="AR283" s="325">
        <f t="shared" si="35"/>
        <v>0</v>
      </c>
      <c r="AS283" s="325">
        <f t="shared" si="40"/>
        <v>0</v>
      </c>
      <c r="AT283" s="325">
        <f t="shared" si="41"/>
        <v>0</v>
      </c>
    </row>
    <row r="284" spans="1:46" x14ac:dyDescent="0.35">
      <c r="A284" s="321" t="s">
        <v>1282</v>
      </c>
      <c r="B284" s="321" t="s">
        <v>1283</v>
      </c>
      <c r="C284" s="322" t="s">
        <v>520</v>
      </c>
      <c r="D284" s="323" t="s">
        <v>1319</v>
      </c>
      <c r="E284" s="323" t="s">
        <v>1320</v>
      </c>
      <c r="F284" s="323" t="s">
        <v>1473</v>
      </c>
      <c r="G284" s="323" t="s">
        <v>1892</v>
      </c>
      <c r="H284" s="323" t="s">
        <v>747</v>
      </c>
      <c r="I284" s="322" t="s">
        <v>1918</v>
      </c>
      <c r="J284" s="323" t="s">
        <v>1775</v>
      </c>
      <c r="K284" s="323" t="s">
        <v>738</v>
      </c>
      <c r="L284" s="322" t="s">
        <v>1776</v>
      </c>
      <c r="M284" s="323" t="s">
        <v>1777</v>
      </c>
      <c r="N284" s="323"/>
      <c r="O284" s="322"/>
      <c r="P284" s="323"/>
      <c r="Q284" s="323"/>
      <c r="R284" s="324"/>
      <c r="S284" s="324"/>
      <c r="T284" s="324"/>
      <c r="U284" s="324"/>
      <c r="V284" s="324"/>
      <c r="W284" s="324"/>
      <c r="X284" s="324"/>
      <c r="Y284" s="324"/>
      <c r="Z284" s="324"/>
      <c r="AA284" s="324"/>
      <c r="AB284" s="324"/>
      <c r="AC284" s="324"/>
      <c r="AD284" s="324">
        <f t="shared" si="42"/>
        <v>0</v>
      </c>
      <c r="AE284" s="319"/>
      <c r="AF284" s="325"/>
      <c r="AG284" s="325"/>
      <c r="AH284" s="325"/>
      <c r="AI284" s="325"/>
      <c r="AJ284" s="325"/>
      <c r="AK284" s="325"/>
      <c r="AL284" s="325"/>
      <c r="AM284" s="325"/>
      <c r="AN284" s="325"/>
      <c r="AO284" s="325"/>
      <c r="AP284" s="325"/>
      <c r="AQ284" s="325"/>
      <c r="AR284" s="325">
        <f t="shared" si="35"/>
        <v>0</v>
      </c>
      <c r="AS284" s="325">
        <f t="shared" si="40"/>
        <v>0</v>
      </c>
      <c r="AT284" s="325">
        <f t="shared" si="41"/>
        <v>0</v>
      </c>
    </row>
    <row r="285" spans="1:46" x14ac:dyDescent="0.35">
      <c r="A285" s="321" t="s">
        <v>1282</v>
      </c>
      <c r="B285" s="321" t="s">
        <v>1283</v>
      </c>
      <c r="C285" s="322" t="s">
        <v>520</v>
      </c>
      <c r="D285" s="323" t="s">
        <v>1319</v>
      </c>
      <c r="E285" s="323" t="s">
        <v>1320</v>
      </c>
      <c r="F285" s="323" t="s">
        <v>1473</v>
      </c>
      <c r="G285" s="323" t="s">
        <v>1892</v>
      </c>
      <c r="H285" s="323" t="s">
        <v>747</v>
      </c>
      <c r="I285" s="322" t="s">
        <v>1919</v>
      </c>
      <c r="J285" s="323" t="s">
        <v>1780</v>
      </c>
      <c r="K285" s="323" t="s">
        <v>738</v>
      </c>
      <c r="L285" s="322" t="s">
        <v>1781</v>
      </c>
      <c r="M285" s="323" t="s">
        <v>1782</v>
      </c>
      <c r="N285" s="323"/>
      <c r="O285" s="322"/>
      <c r="P285" s="323"/>
      <c r="Q285" s="323"/>
      <c r="R285" s="324"/>
      <c r="S285" s="324"/>
      <c r="T285" s="324"/>
      <c r="U285" s="324"/>
      <c r="V285" s="324"/>
      <c r="W285" s="324"/>
      <c r="X285" s="324"/>
      <c r="Y285" s="324"/>
      <c r="Z285" s="324"/>
      <c r="AA285" s="324"/>
      <c r="AB285" s="324"/>
      <c r="AC285" s="324"/>
      <c r="AD285" s="324">
        <f t="shared" si="42"/>
        <v>0</v>
      </c>
      <c r="AE285" s="319"/>
      <c r="AF285" s="325"/>
      <c r="AG285" s="325"/>
      <c r="AH285" s="325"/>
      <c r="AI285" s="325"/>
      <c r="AJ285" s="325"/>
      <c r="AK285" s="325"/>
      <c r="AL285" s="325"/>
      <c r="AM285" s="325"/>
      <c r="AN285" s="325"/>
      <c r="AO285" s="325"/>
      <c r="AP285" s="325"/>
      <c r="AQ285" s="325"/>
      <c r="AR285" s="325">
        <f t="shared" si="35"/>
        <v>0</v>
      </c>
      <c r="AS285" s="325">
        <f t="shared" si="40"/>
        <v>0</v>
      </c>
      <c r="AT285" s="325">
        <f t="shared" si="41"/>
        <v>0</v>
      </c>
    </row>
    <row r="286" spans="1:46" x14ac:dyDescent="0.35">
      <c r="A286" s="321" t="s">
        <v>1282</v>
      </c>
      <c r="B286" s="321" t="s">
        <v>1283</v>
      </c>
      <c r="C286" s="322" t="s">
        <v>520</v>
      </c>
      <c r="D286" s="323" t="s">
        <v>1319</v>
      </c>
      <c r="E286" s="323" t="s">
        <v>1320</v>
      </c>
      <c r="F286" s="323" t="s">
        <v>1473</v>
      </c>
      <c r="G286" s="323" t="s">
        <v>1892</v>
      </c>
      <c r="H286" s="323" t="s">
        <v>747</v>
      </c>
      <c r="I286" s="322" t="s">
        <v>1920</v>
      </c>
      <c r="J286" s="323" t="s">
        <v>1784</v>
      </c>
      <c r="K286" s="323" t="s">
        <v>738</v>
      </c>
      <c r="L286" s="322" t="s">
        <v>1785</v>
      </c>
      <c r="M286" s="323" t="s">
        <v>1786</v>
      </c>
      <c r="N286" s="323"/>
      <c r="O286" s="322"/>
      <c r="P286" s="323"/>
      <c r="Q286" s="323"/>
      <c r="R286" s="324"/>
      <c r="S286" s="324"/>
      <c r="T286" s="324"/>
      <c r="U286" s="324"/>
      <c r="V286" s="324"/>
      <c r="W286" s="324"/>
      <c r="X286" s="324"/>
      <c r="Y286" s="324"/>
      <c r="Z286" s="324"/>
      <c r="AA286" s="324"/>
      <c r="AB286" s="324"/>
      <c r="AC286" s="324"/>
      <c r="AD286" s="324">
        <f t="shared" si="42"/>
        <v>0</v>
      </c>
      <c r="AE286" s="319"/>
      <c r="AF286" s="325"/>
      <c r="AG286" s="325"/>
      <c r="AH286" s="325"/>
      <c r="AI286" s="325"/>
      <c r="AJ286" s="325"/>
      <c r="AK286" s="325"/>
      <c r="AL286" s="325"/>
      <c r="AM286" s="325"/>
      <c r="AN286" s="325"/>
      <c r="AO286" s="325"/>
      <c r="AP286" s="325"/>
      <c r="AQ286" s="325"/>
      <c r="AR286" s="325">
        <f t="shared" si="35"/>
        <v>0</v>
      </c>
      <c r="AS286" s="325">
        <f t="shared" si="40"/>
        <v>0</v>
      </c>
      <c r="AT286" s="325">
        <f t="shared" si="41"/>
        <v>0</v>
      </c>
    </row>
    <row r="287" spans="1:46" x14ac:dyDescent="0.35">
      <c r="A287" s="321" t="s">
        <v>1282</v>
      </c>
      <c r="B287" s="321" t="s">
        <v>1283</v>
      </c>
      <c r="C287" s="322" t="s">
        <v>520</v>
      </c>
      <c r="D287" s="323" t="s">
        <v>1319</v>
      </c>
      <c r="E287" s="323" t="s">
        <v>1320</v>
      </c>
      <c r="F287" s="323" t="s">
        <v>1787</v>
      </c>
      <c r="G287" s="323" t="s">
        <v>1892</v>
      </c>
      <c r="H287" s="323" t="s">
        <v>1921</v>
      </c>
      <c r="I287" s="322" t="s">
        <v>1922</v>
      </c>
      <c r="J287" s="323" t="s">
        <v>1023</v>
      </c>
      <c r="K287" s="323" t="s">
        <v>1024</v>
      </c>
      <c r="L287" s="322" t="s">
        <v>1790</v>
      </c>
      <c r="M287" s="323" t="s">
        <v>1791</v>
      </c>
      <c r="N287" s="323"/>
      <c r="O287" s="322"/>
      <c r="P287" s="323"/>
      <c r="Q287" s="323"/>
      <c r="R287" s="324"/>
      <c r="S287" s="324"/>
      <c r="T287" s="324"/>
      <c r="U287" s="324"/>
      <c r="V287" s="324"/>
      <c r="W287" s="324"/>
      <c r="X287" s="324"/>
      <c r="Y287" s="324"/>
      <c r="Z287" s="324"/>
      <c r="AA287" s="324"/>
      <c r="AB287" s="324"/>
      <c r="AC287" s="324"/>
      <c r="AD287" s="324">
        <f t="shared" si="42"/>
        <v>0</v>
      </c>
      <c r="AE287" s="319"/>
      <c r="AF287" s="325"/>
      <c r="AG287" s="325"/>
      <c r="AH287" s="325"/>
      <c r="AI287" s="325"/>
      <c r="AJ287" s="325"/>
      <c r="AK287" s="325"/>
      <c r="AL287" s="325"/>
      <c r="AM287" s="325"/>
      <c r="AN287" s="325"/>
      <c r="AO287" s="325"/>
      <c r="AP287" s="325"/>
      <c r="AQ287" s="325"/>
      <c r="AR287" s="325">
        <f t="shared" si="35"/>
        <v>0</v>
      </c>
      <c r="AS287" s="325">
        <f t="shared" si="40"/>
        <v>0</v>
      </c>
      <c r="AT287" s="325">
        <f t="shared" si="41"/>
        <v>0</v>
      </c>
    </row>
    <row r="288" spans="1:46" x14ac:dyDescent="0.35">
      <c r="A288" s="321" t="s">
        <v>1282</v>
      </c>
      <c r="B288" s="321" t="s">
        <v>1283</v>
      </c>
      <c r="C288" s="322" t="s">
        <v>520</v>
      </c>
      <c r="D288" s="323" t="s">
        <v>1319</v>
      </c>
      <c r="E288" s="323" t="s">
        <v>1320</v>
      </c>
      <c r="F288" s="323" t="s">
        <v>1787</v>
      </c>
      <c r="G288" s="323" t="s">
        <v>1892</v>
      </c>
      <c r="H288" s="323" t="s">
        <v>1921</v>
      </c>
      <c r="I288" s="322" t="s">
        <v>1923</v>
      </c>
      <c r="J288" s="323" t="s">
        <v>1000</v>
      </c>
      <c r="K288" s="323" t="s">
        <v>995</v>
      </c>
      <c r="L288" s="322" t="s">
        <v>1793</v>
      </c>
      <c r="M288" s="323" t="s">
        <v>1794</v>
      </c>
      <c r="N288" s="323"/>
      <c r="O288" s="322"/>
      <c r="P288" s="323"/>
      <c r="Q288" s="323"/>
      <c r="R288" s="324"/>
      <c r="S288" s="324"/>
      <c r="T288" s="324"/>
      <c r="U288" s="324"/>
      <c r="V288" s="324"/>
      <c r="W288" s="324"/>
      <c r="X288" s="324"/>
      <c r="Y288" s="324"/>
      <c r="Z288" s="324"/>
      <c r="AA288" s="324"/>
      <c r="AB288" s="324"/>
      <c r="AC288" s="324"/>
      <c r="AD288" s="324">
        <f t="shared" si="42"/>
        <v>0</v>
      </c>
      <c r="AE288" s="319"/>
      <c r="AF288" s="325"/>
      <c r="AG288" s="325"/>
      <c r="AH288" s="325"/>
      <c r="AI288" s="325"/>
      <c r="AJ288" s="325"/>
      <c r="AK288" s="325"/>
      <c r="AL288" s="325"/>
      <c r="AM288" s="325"/>
      <c r="AN288" s="325"/>
      <c r="AO288" s="325"/>
      <c r="AP288" s="325"/>
      <c r="AQ288" s="325"/>
      <c r="AR288" s="325">
        <f t="shared" si="35"/>
        <v>0</v>
      </c>
      <c r="AS288" s="325">
        <f t="shared" si="40"/>
        <v>0</v>
      </c>
      <c r="AT288" s="325">
        <f t="shared" si="41"/>
        <v>0</v>
      </c>
    </row>
    <row r="289" spans="1:46" x14ac:dyDescent="0.35">
      <c r="A289" s="321" t="s">
        <v>1282</v>
      </c>
      <c r="B289" s="321" t="s">
        <v>1283</v>
      </c>
      <c r="C289" s="322" t="s">
        <v>520</v>
      </c>
      <c r="D289" s="323" t="s">
        <v>1319</v>
      </c>
      <c r="E289" s="323" t="s">
        <v>1320</v>
      </c>
      <c r="F289" s="323" t="s">
        <v>1365</v>
      </c>
      <c r="G289" s="323" t="s">
        <v>1892</v>
      </c>
      <c r="H289" s="323" t="s">
        <v>1366</v>
      </c>
      <c r="I289" s="322" t="s">
        <v>923</v>
      </c>
      <c r="J289" s="323" t="s">
        <v>941</v>
      </c>
      <c r="K289" s="323" t="s">
        <v>1010</v>
      </c>
      <c r="L289" s="322" t="s">
        <v>1481</v>
      </c>
      <c r="M289" s="323" t="s">
        <v>1482</v>
      </c>
      <c r="N289" s="323"/>
      <c r="O289" s="322"/>
      <c r="P289" s="323"/>
      <c r="Q289" s="323"/>
      <c r="R289" s="324"/>
      <c r="S289" s="324"/>
      <c r="T289" s="324"/>
      <c r="U289" s="324"/>
      <c r="V289" s="324"/>
      <c r="W289" s="324"/>
      <c r="X289" s="324"/>
      <c r="Y289" s="324"/>
      <c r="Z289" s="324"/>
      <c r="AA289" s="324"/>
      <c r="AB289" s="324"/>
      <c r="AC289" s="324"/>
      <c r="AD289" s="326">
        <f t="shared" si="42"/>
        <v>0</v>
      </c>
      <c r="AE289" s="319"/>
      <c r="AF289" s="325"/>
      <c r="AG289" s="325"/>
      <c r="AH289" s="325"/>
      <c r="AI289" s="325"/>
      <c r="AJ289" s="325"/>
      <c r="AK289" s="325"/>
      <c r="AL289" s="325"/>
      <c r="AM289" s="325"/>
      <c r="AN289" s="325"/>
      <c r="AO289" s="325"/>
      <c r="AP289" s="325"/>
      <c r="AQ289" s="325"/>
      <c r="AR289" s="325">
        <f t="shared" si="35"/>
        <v>0</v>
      </c>
      <c r="AS289" s="325">
        <f t="shared" si="40"/>
        <v>0</v>
      </c>
      <c r="AT289" s="325">
        <f t="shared" si="41"/>
        <v>0</v>
      </c>
    </row>
    <row r="290" spans="1:46" x14ac:dyDescent="0.35">
      <c r="A290" s="321" t="s">
        <v>1282</v>
      </c>
      <c r="B290" s="321" t="s">
        <v>1283</v>
      </c>
      <c r="C290" s="322" t="s">
        <v>520</v>
      </c>
      <c r="D290" s="323" t="s">
        <v>1319</v>
      </c>
      <c r="E290" s="323" t="s">
        <v>1320</v>
      </c>
      <c r="F290" s="323" t="s">
        <v>1365</v>
      </c>
      <c r="G290" s="323" t="s">
        <v>1892</v>
      </c>
      <c r="H290" s="323" t="s">
        <v>1366</v>
      </c>
      <c r="I290" s="322" t="s">
        <v>924</v>
      </c>
      <c r="J290" s="323" t="s">
        <v>945</v>
      </c>
      <c r="K290" s="323" t="s">
        <v>1011</v>
      </c>
      <c r="L290" s="322" t="s">
        <v>1484</v>
      </c>
      <c r="M290" s="323" t="s">
        <v>1485</v>
      </c>
      <c r="N290" s="323"/>
      <c r="O290" s="322"/>
      <c r="P290" s="323"/>
      <c r="Q290" s="323"/>
      <c r="R290" s="324"/>
      <c r="S290" s="324"/>
      <c r="T290" s="324"/>
      <c r="U290" s="324"/>
      <c r="V290" s="324"/>
      <c r="W290" s="324"/>
      <c r="X290" s="324"/>
      <c r="Y290" s="324"/>
      <c r="Z290" s="324"/>
      <c r="AA290" s="324"/>
      <c r="AB290" s="324"/>
      <c r="AC290" s="324"/>
      <c r="AD290" s="326">
        <f t="shared" si="42"/>
        <v>0</v>
      </c>
      <c r="AE290" s="319"/>
      <c r="AF290" s="325"/>
      <c r="AG290" s="325"/>
      <c r="AH290" s="325"/>
      <c r="AI290" s="325"/>
      <c r="AJ290" s="325"/>
      <c r="AK290" s="325"/>
      <c r="AL290" s="325"/>
      <c r="AM290" s="325"/>
      <c r="AN290" s="325"/>
      <c r="AO290" s="325"/>
      <c r="AP290" s="325"/>
      <c r="AQ290" s="325"/>
      <c r="AR290" s="325">
        <f t="shared" si="35"/>
        <v>0</v>
      </c>
      <c r="AS290" s="325">
        <f t="shared" si="40"/>
        <v>0</v>
      </c>
      <c r="AT290" s="325">
        <f t="shared" si="41"/>
        <v>0</v>
      </c>
    </row>
    <row r="291" spans="1:46" x14ac:dyDescent="0.35">
      <c r="A291" s="321" t="s">
        <v>1282</v>
      </c>
      <c r="B291" s="321" t="s">
        <v>1283</v>
      </c>
      <c r="C291" s="322" t="s">
        <v>520</v>
      </c>
      <c r="D291" s="323" t="s">
        <v>1319</v>
      </c>
      <c r="E291" s="323" t="s">
        <v>1320</v>
      </c>
      <c r="F291" s="323" t="s">
        <v>1365</v>
      </c>
      <c r="G291" s="323" t="s">
        <v>1892</v>
      </c>
      <c r="H291" s="323" t="s">
        <v>1366</v>
      </c>
      <c r="I291" s="322" t="s">
        <v>966</v>
      </c>
      <c r="J291" s="323" t="s">
        <v>1026</v>
      </c>
      <c r="K291" s="323" t="s">
        <v>1010</v>
      </c>
      <c r="L291" s="322" t="s">
        <v>1487</v>
      </c>
      <c r="M291" s="323" t="s">
        <v>1488</v>
      </c>
      <c r="N291" s="323"/>
      <c r="O291" s="322"/>
      <c r="P291" s="323"/>
      <c r="Q291" s="323"/>
      <c r="R291" s="324"/>
      <c r="S291" s="324"/>
      <c r="T291" s="324"/>
      <c r="U291" s="324"/>
      <c r="V291" s="324"/>
      <c r="W291" s="324"/>
      <c r="X291" s="324"/>
      <c r="Y291" s="324"/>
      <c r="Z291" s="324"/>
      <c r="AA291" s="324"/>
      <c r="AB291" s="324"/>
      <c r="AC291" s="324"/>
      <c r="AD291" s="326">
        <f t="shared" si="42"/>
        <v>0</v>
      </c>
      <c r="AE291" s="319"/>
      <c r="AF291" s="325"/>
      <c r="AG291" s="325"/>
      <c r="AH291" s="325"/>
      <c r="AI291" s="325"/>
      <c r="AJ291" s="325"/>
      <c r="AK291" s="325"/>
      <c r="AL291" s="325"/>
      <c r="AM291" s="325"/>
      <c r="AN291" s="325"/>
      <c r="AO291" s="325"/>
      <c r="AP291" s="325"/>
      <c r="AQ291" s="325"/>
      <c r="AR291" s="325">
        <f t="shared" si="35"/>
        <v>0</v>
      </c>
      <c r="AS291" s="325">
        <f t="shared" si="40"/>
        <v>0</v>
      </c>
      <c r="AT291" s="325">
        <f t="shared" si="41"/>
        <v>0</v>
      </c>
    </row>
    <row r="292" spans="1:46" x14ac:dyDescent="0.35">
      <c r="A292" s="321" t="s">
        <v>1282</v>
      </c>
      <c r="B292" s="321" t="s">
        <v>1283</v>
      </c>
      <c r="C292" s="322" t="s">
        <v>520</v>
      </c>
      <c r="D292" s="323" t="s">
        <v>1319</v>
      </c>
      <c r="E292" s="323" t="s">
        <v>1320</v>
      </c>
      <c r="F292" s="323" t="s">
        <v>1489</v>
      </c>
      <c r="G292" s="323" t="s">
        <v>1892</v>
      </c>
      <c r="H292" s="323" t="s">
        <v>1490</v>
      </c>
      <c r="I292" s="322" t="s">
        <v>921</v>
      </c>
      <c r="J292" s="323" t="s">
        <v>1007</v>
      </c>
      <c r="K292" s="323" t="s">
        <v>1008</v>
      </c>
      <c r="L292" s="322" t="s">
        <v>1492</v>
      </c>
      <c r="M292" s="323" t="s">
        <v>1490</v>
      </c>
      <c r="N292" s="323"/>
      <c r="O292" s="322"/>
      <c r="P292" s="323"/>
      <c r="Q292" s="323"/>
      <c r="R292" s="324"/>
      <c r="S292" s="324"/>
      <c r="T292" s="324"/>
      <c r="U292" s="324"/>
      <c r="V292" s="324"/>
      <c r="W292" s="324"/>
      <c r="X292" s="324"/>
      <c r="Y292" s="324"/>
      <c r="Z292" s="324"/>
      <c r="AA292" s="324"/>
      <c r="AB292" s="324"/>
      <c r="AC292" s="324"/>
      <c r="AD292" s="326">
        <f t="shared" si="42"/>
        <v>0</v>
      </c>
      <c r="AE292" s="319"/>
      <c r="AF292" s="325"/>
      <c r="AG292" s="325"/>
      <c r="AH292" s="325"/>
      <c r="AI292" s="325"/>
      <c r="AJ292" s="325"/>
      <c r="AK292" s="325"/>
      <c r="AL292" s="325"/>
      <c r="AM292" s="325"/>
      <c r="AN292" s="325"/>
      <c r="AO292" s="325"/>
      <c r="AP292" s="325"/>
      <c r="AQ292" s="325"/>
      <c r="AR292" s="325">
        <f t="shared" si="35"/>
        <v>0</v>
      </c>
      <c r="AS292" s="325">
        <f t="shared" si="40"/>
        <v>0</v>
      </c>
      <c r="AT292" s="325">
        <f t="shared" si="41"/>
        <v>0</v>
      </c>
    </row>
    <row r="293" spans="1:46" x14ac:dyDescent="0.35">
      <c r="A293" s="321" t="s">
        <v>1282</v>
      </c>
      <c r="B293" s="321" t="s">
        <v>1283</v>
      </c>
      <c r="C293" s="322" t="s">
        <v>520</v>
      </c>
      <c r="D293" s="323" t="s">
        <v>1319</v>
      </c>
      <c r="E293" s="323" t="s">
        <v>1320</v>
      </c>
      <c r="F293" s="323" t="s">
        <v>1489</v>
      </c>
      <c r="G293" s="323" t="s">
        <v>1892</v>
      </c>
      <c r="H293" s="323" t="s">
        <v>1490</v>
      </c>
      <c r="I293" s="322" t="s">
        <v>965</v>
      </c>
      <c r="J293" s="323" t="s">
        <v>1007</v>
      </c>
      <c r="K293" s="323" t="s">
        <v>1008</v>
      </c>
      <c r="L293" s="322" t="s">
        <v>1492</v>
      </c>
      <c r="M293" s="323" t="s">
        <v>1490</v>
      </c>
      <c r="N293" s="323"/>
      <c r="O293" s="322"/>
      <c r="P293" s="323"/>
      <c r="Q293" s="323"/>
      <c r="R293" s="324"/>
      <c r="S293" s="324"/>
      <c r="T293" s="324"/>
      <c r="U293" s="324"/>
      <c r="V293" s="324"/>
      <c r="W293" s="324"/>
      <c r="X293" s="324"/>
      <c r="Y293" s="324"/>
      <c r="Z293" s="324"/>
      <c r="AA293" s="324"/>
      <c r="AB293" s="324"/>
      <c r="AC293" s="324"/>
      <c r="AD293" s="324">
        <f t="shared" si="42"/>
        <v>0</v>
      </c>
      <c r="AE293" s="319"/>
      <c r="AF293" s="325"/>
      <c r="AG293" s="325"/>
      <c r="AH293" s="325"/>
      <c r="AI293" s="325"/>
      <c r="AJ293" s="325"/>
      <c r="AK293" s="325"/>
      <c r="AL293" s="325"/>
      <c r="AM293" s="325"/>
      <c r="AN293" s="325"/>
      <c r="AO293" s="325"/>
      <c r="AP293" s="325"/>
      <c r="AQ293" s="325"/>
      <c r="AR293" s="325">
        <f t="shared" si="35"/>
        <v>0</v>
      </c>
      <c r="AS293" s="325">
        <f t="shared" si="40"/>
        <v>0</v>
      </c>
      <c r="AT293" s="325">
        <f t="shared" si="41"/>
        <v>0</v>
      </c>
    </row>
    <row r="294" spans="1:46" x14ac:dyDescent="0.35">
      <c r="A294" s="321" t="s">
        <v>1282</v>
      </c>
      <c r="B294" s="321" t="s">
        <v>1283</v>
      </c>
      <c r="C294" s="322" t="s">
        <v>520</v>
      </c>
      <c r="D294" s="323" t="s">
        <v>1319</v>
      </c>
      <c r="E294" s="323" t="s">
        <v>1320</v>
      </c>
      <c r="F294" s="323" t="s">
        <v>1489</v>
      </c>
      <c r="G294" s="323" t="s">
        <v>1892</v>
      </c>
      <c r="H294" s="323" t="s">
        <v>1490</v>
      </c>
      <c r="I294" s="322" t="s">
        <v>1924</v>
      </c>
      <c r="J294" s="323" t="s">
        <v>1925</v>
      </c>
      <c r="K294" s="323" t="s">
        <v>982</v>
      </c>
      <c r="L294" s="322" t="s">
        <v>1926</v>
      </c>
      <c r="M294" s="323" t="s">
        <v>1927</v>
      </c>
      <c r="N294" s="323"/>
      <c r="O294" s="322"/>
      <c r="P294" s="323"/>
      <c r="Q294" s="323"/>
      <c r="R294" s="324"/>
      <c r="S294" s="324"/>
      <c r="T294" s="324"/>
      <c r="U294" s="324"/>
      <c r="V294" s="324"/>
      <c r="W294" s="324"/>
      <c r="X294" s="324"/>
      <c r="Y294" s="324"/>
      <c r="Z294" s="324"/>
      <c r="AA294" s="324"/>
      <c r="AB294" s="324"/>
      <c r="AC294" s="324"/>
      <c r="AD294" s="324">
        <f t="shared" si="42"/>
        <v>0</v>
      </c>
      <c r="AE294" s="319"/>
      <c r="AF294" s="325"/>
      <c r="AG294" s="325"/>
      <c r="AH294" s="325"/>
      <c r="AI294" s="325"/>
      <c r="AJ294" s="325"/>
      <c r="AK294" s="325"/>
      <c r="AL294" s="325"/>
      <c r="AM294" s="325"/>
      <c r="AN294" s="325"/>
      <c r="AO294" s="325"/>
      <c r="AP294" s="325"/>
      <c r="AQ294" s="325"/>
      <c r="AR294" s="325">
        <f t="shared" si="35"/>
        <v>0</v>
      </c>
      <c r="AS294" s="325">
        <f t="shared" si="40"/>
        <v>0</v>
      </c>
      <c r="AT294" s="325">
        <f t="shared" si="41"/>
        <v>0</v>
      </c>
    </row>
    <row r="295" spans="1:46" x14ac:dyDescent="0.35">
      <c r="A295" s="321" t="s">
        <v>1282</v>
      </c>
      <c r="B295" s="321" t="s">
        <v>1283</v>
      </c>
      <c r="C295" s="322" t="s">
        <v>520</v>
      </c>
      <c r="D295" s="323" t="s">
        <v>1319</v>
      </c>
      <c r="E295" s="323" t="s">
        <v>1320</v>
      </c>
      <c r="F295" s="323" t="s">
        <v>1468</v>
      </c>
      <c r="G295" s="323" t="s">
        <v>1892</v>
      </c>
      <c r="H295" s="323" t="s">
        <v>1800</v>
      </c>
      <c r="I295" s="322" t="s">
        <v>833</v>
      </c>
      <c r="J295" s="323" t="s">
        <v>705</v>
      </c>
      <c r="K295" s="323" t="s">
        <v>493</v>
      </c>
      <c r="L295" s="322" t="s">
        <v>1494</v>
      </c>
      <c r="M295" s="323" t="s">
        <v>1495</v>
      </c>
      <c r="N295" s="323"/>
      <c r="O295" s="322"/>
      <c r="P295" s="323"/>
      <c r="Q295" s="323"/>
      <c r="R295" s="324"/>
      <c r="S295" s="324"/>
      <c r="T295" s="324"/>
      <c r="U295" s="324"/>
      <c r="V295" s="324"/>
      <c r="W295" s="324"/>
      <c r="X295" s="324"/>
      <c r="Y295" s="324"/>
      <c r="Z295" s="324"/>
      <c r="AA295" s="324"/>
      <c r="AB295" s="324"/>
      <c r="AC295" s="324"/>
      <c r="AD295" s="324">
        <f t="shared" si="42"/>
        <v>0</v>
      </c>
      <c r="AE295" s="319"/>
      <c r="AF295" s="325"/>
      <c r="AG295" s="325"/>
      <c r="AH295" s="325"/>
      <c r="AI295" s="325"/>
      <c r="AJ295" s="325"/>
      <c r="AK295" s="325"/>
      <c r="AL295" s="325"/>
      <c r="AM295" s="325"/>
      <c r="AN295" s="325"/>
      <c r="AO295" s="325"/>
      <c r="AP295" s="325"/>
      <c r="AQ295" s="325"/>
      <c r="AR295" s="325">
        <f t="shared" si="35"/>
        <v>0</v>
      </c>
      <c r="AS295" s="325">
        <f t="shared" si="40"/>
        <v>0</v>
      </c>
      <c r="AT295" s="325">
        <f t="shared" si="41"/>
        <v>0</v>
      </c>
    </row>
    <row r="296" spans="1:46" x14ac:dyDescent="0.35">
      <c r="A296" s="321" t="s">
        <v>1282</v>
      </c>
      <c r="B296" s="321" t="s">
        <v>1283</v>
      </c>
      <c r="C296" s="322" t="s">
        <v>520</v>
      </c>
      <c r="D296" s="323" t="s">
        <v>1319</v>
      </c>
      <c r="E296" s="323" t="s">
        <v>1320</v>
      </c>
      <c r="F296" s="323" t="s">
        <v>1468</v>
      </c>
      <c r="G296" s="323" t="s">
        <v>1892</v>
      </c>
      <c r="H296" s="323" t="s">
        <v>1800</v>
      </c>
      <c r="I296" s="322" t="s">
        <v>1928</v>
      </c>
      <c r="J296" s="323" t="s">
        <v>996</v>
      </c>
      <c r="K296" s="323" t="s">
        <v>493</v>
      </c>
      <c r="L296" s="322" t="s">
        <v>1929</v>
      </c>
      <c r="M296" s="323" t="s">
        <v>1930</v>
      </c>
      <c r="N296" s="323"/>
      <c r="O296" s="322"/>
      <c r="P296" s="323"/>
      <c r="Q296" s="323"/>
      <c r="R296" s="324"/>
      <c r="S296" s="324"/>
      <c r="T296" s="324"/>
      <c r="U296" s="324"/>
      <c r="V296" s="324"/>
      <c r="W296" s="324"/>
      <c r="X296" s="324"/>
      <c r="Y296" s="324"/>
      <c r="Z296" s="324"/>
      <c r="AA296" s="324"/>
      <c r="AB296" s="324"/>
      <c r="AC296" s="324"/>
      <c r="AD296" s="324">
        <f t="shared" si="42"/>
        <v>0</v>
      </c>
      <c r="AE296" s="319"/>
      <c r="AF296" s="325"/>
      <c r="AG296" s="325"/>
      <c r="AH296" s="325"/>
      <c r="AI296" s="325"/>
      <c r="AJ296" s="325"/>
      <c r="AK296" s="325"/>
      <c r="AL296" s="325"/>
      <c r="AM296" s="325"/>
      <c r="AN296" s="325"/>
      <c r="AO296" s="325"/>
      <c r="AP296" s="325"/>
      <c r="AQ296" s="325"/>
      <c r="AR296" s="325">
        <f t="shared" si="35"/>
        <v>0</v>
      </c>
      <c r="AS296" s="325">
        <f t="shared" si="40"/>
        <v>0</v>
      </c>
      <c r="AT296" s="325">
        <f t="shared" si="41"/>
        <v>0</v>
      </c>
    </row>
    <row r="297" spans="1:46" x14ac:dyDescent="0.35">
      <c r="A297" s="321" t="s">
        <v>1282</v>
      </c>
      <c r="B297" s="321" t="s">
        <v>1283</v>
      </c>
      <c r="C297" s="322" t="s">
        <v>520</v>
      </c>
      <c r="D297" s="323" t="s">
        <v>1319</v>
      </c>
      <c r="E297" s="323" t="s">
        <v>1320</v>
      </c>
      <c r="F297" s="323" t="s">
        <v>1468</v>
      </c>
      <c r="G297" s="323" t="s">
        <v>1892</v>
      </c>
      <c r="H297" s="323" t="s">
        <v>1800</v>
      </c>
      <c r="I297" s="322" t="s">
        <v>943</v>
      </c>
      <c r="J297" s="323" t="s">
        <v>944</v>
      </c>
      <c r="K297" s="323" t="s">
        <v>493</v>
      </c>
      <c r="L297" s="322" t="s">
        <v>1802</v>
      </c>
      <c r="M297" s="323" t="s">
        <v>1803</v>
      </c>
      <c r="N297" s="323"/>
      <c r="O297" s="322"/>
      <c r="P297" s="323"/>
      <c r="Q297" s="323"/>
      <c r="R297" s="324"/>
      <c r="S297" s="324"/>
      <c r="T297" s="324"/>
      <c r="U297" s="324"/>
      <c r="V297" s="324"/>
      <c r="W297" s="324"/>
      <c r="X297" s="324"/>
      <c r="Y297" s="324"/>
      <c r="Z297" s="324"/>
      <c r="AA297" s="324"/>
      <c r="AB297" s="324"/>
      <c r="AC297" s="324"/>
      <c r="AD297" s="324">
        <f>SUM(R297:AC297)</f>
        <v>0</v>
      </c>
      <c r="AE297" s="319"/>
      <c r="AF297" s="325"/>
      <c r="AG297" s="325"/>
      <c r="AH297" s="325"/>
      <c r="AI297" s="325"/>
      <c r="AJ297" s="325"/>
      <c r="AK297" s="325"/>
      <c r="AL297" s="325"/>
      <c r="AM297" s="325"/>
      <c r="AN297" s="325"/>
      <c r="AO297" s="325"/>
      <c r="AP297" s="325"/>
      <c r="AQ297" s="325"/>
      <c r="AR297" s="325">
        <f t="shared" si="35"/>
        <v>0</v>
      </c>
      <c r="AS297" s="325">
        <f t="shared" si="40"/>
        <v>0</v>
      </c>
      <c r="AT297" s="325">
        <f t="shared" si="41"/>
        <v>0</v>
      </c>
    </row>
    <row r="298" spans="1:46" x14ac:dyDescent="0.35">
      <c r="A298" s="321" t="s">
        <v>1282</v>
      </c>
      <c r="B298" s="321" t="s">
        <v>1283</v>
      </c>
      <c r="C298" s="322" t="s">
        <v>520</v>
      </c>
      <c r="D298" s="323" t="s">
        <v>1319</v>
      </c>
      <c r="E298" s="323" t="s">
        <v>1320</v>
      </c>
      <c r="F298" s="323" t="s">
        <v>1496</v>
      </c>
      <c r="G298" s="323" t="s">
        <v>1892</v>
      </c>
      <c r="H298" s="323" t="s">
        <v>1497</v>
      </c>
      <c r="I298" s="322" t="s">
        <v>919</v>
      </c>
      <c r="J298" s="323" t="s">
        <v>1003</v>
      </c>
      <c r="K298" s="323" t="s">
        <v>1002</v>
      </c>
      <c r="L298" s="322" t="s">
        <v>1499</v>
      </c>
      <c r="M298" s="323" t="s">
        <v>1500</v>
      </c>
      <c r="N298" s="323"/>
      <c r="O298" s="322"/>
      <c r="P298" s="323"/>
      <c r="Q298" s="323"/>
      <c r="R298" s="324"/>
      <c r="S298" s="324"/>
      <c r="T298" s="324"/>
      <c r="U298" s="324"/>
      <c r="V298" s="324"/>
      <c r="W298" s="324"/>
      <c r="X298" s="324"/>
      <c r="Y298" s="324"/>
      <c r="Z298" s="324"/>
      <c r="AA298" s="324"/>
      <c r="AB298" s="324"/>
      <c r="AC298" s="324"/>
      <c r="AD298" s="324">
        <f t="shared" si="42"/>
        <v>0</v>
      </c>
      <c r="AE298" s="319"/>
      <c r="AF298" s="325"/>
      <c r="AG298" s="325"/>
      <c r="AH298" s="325"/>
      <c r="AI298" s="325"/>
      <c r="AJ298" s="325"/>
      <c r="AK298" s="325"/>
      <c r="AL298" s="325"/>
      <c r="AM298" s="325"/>
      <c r="AN298" s="325"/>
      <c r="AO298" s="325"/>
      <c r="AP298" s="325"/>
      <c r="AQ298" s="325"/>
      <c r="AR298" s="325">
        <f t="shared" si="35"/>
        <v>0</v>
      </c>
      <c r="AS298" s="325">
        <f t="shared" si="40"/>
        <v>0</v>
      </c>
      <c r="AT298" s="325">
        <f t="shared" si="41"/>
        <v>0</v>
      </c>
    </row>
    <row r="299" spans="1:46" x14ac:dyDescent="0.35">
      <c r="A299" s="321" t="s">
        <v>1282</v>
      </c>
      <c r="B299" s="321" t="s">
        <v>1283</v>
      </c>
      <c r="C299" s="322" t="s">
        <v>520</v>
      </c>
      <c r="D299" s="323" t="s">
        <v>1319</v>
      </c>
      <c r="E299" s="323" t="s">
        <v>1320</v>
      </c>
      <c r="F299" s="323" t="s">
        <v>1496</v>
      </c>
      <c r="G299" s="323" t="s">
        <v>1892</v>
      </c>
      <c r="H299" s="323" t="s">
        <v>1497</v>
      </c>
      <c r="I299" s="322" t="s">
        <v>845</v>
      </c>
      <c r="J299" s="331" t="s">
        <v>1004</v>
      </c>
      <c r="K299" s="323" t="s">
        <v>493</v>
      </c>
      <c r="L299" s="322" t="s">
        <v>1501</v>
      </c>
      <c r="M299" s="323" t="s">
        <v>1502</v>
      </c>
      <c r="N299" s="331"/>
      <c r="O299" s="322"/>
      <c r="P299" s="331"/>
      <c r="Q299" s="331"/>
      <c r="R299" s="324"/>
      <c r="S299" s="324"/>
      <c r="T299" s="324"/>
      <c r="U299" s="324"/>
      <c r="V299" s="324"/>
      <c r="W299" s="324"/>
      <c r="X299" s="324"/>
      <c r="Y299" s="324"/>
      <c r="Z299" s="324"/>
      <c r="AA299" s="324"/>
      <c r="AB299" s="324"/>
      <c r="AC299" s="324"/>
      <c r="AD299" s="326">
        <f t="shared" si="42"/>
        <v>0</v>
      </c>
      <c r="AE299" s="319"/>
      <c r="AF299" s="325"/>
      <c r="AG299" s="325"/>
      <c r="AH299" s="325"/>
      <c r="AI299" s="325"/>
      <c r="AJ299" s="325"/>
      <c r="AK299" s="325"/>
      <c r="AL299" s="325"/>
      <c r="AM299" s="325"/>
      <c r="AN299" s="325"/>
      <c r="AO299" s="325"/>
      <c r="AP299" s="325"/>
      <c r="AQ299" s="325"/>
      <c r="AR299" s="325">
        <f t="shared" ref="AR299:AR358" si="43">SUM(AF299:AQ299)</f>
        <v>0</v>
      </c>
      <c r="AS299" s="325">
        <f t="shared" si="40"/>
        <v>0</v>
      </c>
      <c r="AT299" s="325">
        <f t="shared" si="41"/>
        <v>0</v>
      </c>
    </row>
    <row r="300" spans="1:46" x14ac:dyDescent="0.35">
      <c r="A300" s="321" t="s">
        <v>1282</v>
      </c>
      <c r="B300" s="321" t="s">
        <v>1283</v>
      </c>
      <c r="C300" s="322" t="s">
        <v>520</v>
      </c>
      <c r="D300" s="323" t="s">
        <v>1319</v>
      </c>
      <c r="E300" s="323" t="s">
        <v>1320</v>
      </c>
      <c r="F300" s="323" t="s">
        <v>1496</v>
      </c>
      <c r="G300" s="323" t="s">
        <v>1892</v>
      </c>
      <c r="H300" s="323" t="s">
        <v>1497</v>
      </c>
      <c r="I300" s="322" t="s">
        <v>844</v>
      </c>
      <c r="J300" s="323" t="s">
        <v>880</v>
      </c>
      <c r="K300" s="323" t="s">
        <v>1002</v>
      </c>
      <c r="L300" s="322" t="s">
        <v>1504</v>
      </c>
      <c r="M300" s="323" t="s">
        <v>880</v>
      </c>
      <c r="N300" s="323"/>
      <c r="O300" s="322"/>
      <c r="P300" s="323"/>
      <c r="Q300" s="323"/>
      <c r="R300" s="324"/>
      <c r="S300" s="324"/>
      <c r="T300" s="324"/>
      <c r="U300" s="324"/>
      <c r="V300" s="324"/>
      <c r="W300" s="324"/>
      <c r="X300" s="324"/>
      <c r="Y300" s="324"/>
      <c r="Z300" s="324"/>
      <c r="AA300" s="324"/>
      <c r="AB300" s="324"/>
      <c r="AC300" s="324"/>
      <c r="AD300" s="324">
        <f t="shared" si="42"/>
        <v>0</v>
      </c>
      <c r="AE300" s="319"/>
      <c r="AF300" s="325"/>
      <c r="AG300" s="325"/>
      <c r="AH300" s="325"/>
      <c r="AI300" s="325"/>
      <c r="AJ300" s="325"/>
      <c r="AK300" s="325"/>
      <c r="AL300" s="325"/>
      <c r="AM300" s="325"/>
      <c r="AN300" s="325"/>
      <c r="AO300" s="325"/>
      <c r="AP300" s="325"/>
      <c r="AQ300" s="325"/>
      <c r="AR300" s="325">
        <f t="shared" si="43"/>
        <v>0</v>
      </c>
      <c r="AS300" s="325">
        <f t="shared" si="40"/>
        <v>0</v>
      </c>
      <c r="AT300" s="325">
        <f t="shared" si="41"/>
        <v>0</v>
      </c>
    </row>
    <row r="301" spans="1:46" x14ac:dyDescent="0.35">
      <c r="A301" s="321" t="s">
        <v>1282</v>
      </c>
      <c r="B301" s="321" t="s">
        <v>1283</v>
      </c>
      <c r="C301" s="322" t="s">
        <v>520</v>
      </c>
      <c r="D301" s="323" t="s">
        <v>1319</v>
      </c>
      <c r="E301" s="323" t="s">
        <v>1320</v>
      </c>
      <c r="F301" s="323" t="s">
        <v>1496</v>
      </c>
      <c r="G301" s="323" t="s">
        <v>1892</v>
      </c>
      <c r="H301" s="323" t="s">
        <v>1497</v>
      </c>
      <c r="I301" s="322" t="s">
        <v>870</v>
      </c>
      <c r="J301" s="323" t="s">
        <v>741</v>
      </c>
      <c r="K301" s="323" t="s">
        <v>742</v>
      </c>
      <c r="L301" s="322" t="s">
        <v>1505</v>
      </c>
      <c r="M301" s="323" t="s">
        <v>1506</v>
      </c>
      <c r="N301" s="323"/>
      <c r="O301" s="322"/>
      <c r="P301" s="323"/>
      <c r="Q301" s="323"/>
      <c r="R301" s="324"/>
      <c r="S301" s="324"/>
      <c r="T301" s="324"/>
      <c r="U301" s="324"/>
      <c r="V301" s="324"/>
      <c r="W301" s="324"/>
      <c r="X301" s="324"/>
      <c r="Y301" s="324"/>
      <c r="Z301" s="324"/>
      <c r="AA301" s="324"/>
      <c r="AB301" s="324"/>
      <c r="AC301" s="324"/>
      <c r="AD301" s="324">
        <f t="shared" si="42"/>
        <v>0</v>
      </c>
      <c r="AE301" s="319"/>
      <c r="AF301" s="325"/>
      <c r="AG301" s="325"/>
      <c r="AH301" s="325"/>
      <c r="AI301" s="325"/>
      <c r="AJ301" s="325"/>
      <c r="AK301" s="325"/>
      <c r="AL301" s="325"/>
      <c r="AM301" s="325"/>
      <c r="AN301" s="325"/>
      <c r="AO301" s="325"/>
      <c r="AP301" s="325"/>
      <c r="AQ301" s="325"/>
      <c r="AR301" s="325">
        <f t="shared" si="43"/>
        <v>0</v>
      </c>
      <c r="AS301" s="325">
        <f t="shared" si="40"/>
        <v>0</v>
      </c>
      <c r="AT301" s="325">
        <f t="shared" si="41"/>
        <v>0</v>
      </c>
    </row>
    <row r="302" spans="1:46" x14ac:dyDescent="0.35">
      <c r="A302" s="321" t="s">
        <v>1282</v>
      </c>
      <c r="B302" s="321" t="s">
        <v>1283</v>
      </c>
      <c r="C302" s="322" t="s">
        <v>520</v>
      </c>
      <c r="D302" s="323" t="s">
        <v>1319</v>
      </c>
      <c r="E302" s="323" t="s">
        <v>1320</v>
      </c>
      <c r="F302" s="323" t="s">
        <v>1808</v>
      </c>
      <c r="G302" s="323" t="s">
        <v>1892</v>
      </c>
      <c r="H302" s="323" t="s">
        <v>1809</v>
      </c>
      <c r="I302" s="322" t="s">
        <v>1931</v>
      </c>
      <c r="J302" s="323" t="s">
        <v>1932</v>
      </c>
      <c r="K302" s="323" t="s">
        <v>1672</v>
      </c>
      <c r="L302" s="322" t="s">
        <v>1933</v>
      </c>
      <c r="M302" s="323" t="s">
        <v>1934</v>
      </c>
      <c r="N302" s="323"/>
      <c r="O302" s="322"/>
      <c r="P302" s="323"/>
      <c r="Q302" s="323"/>
      <c r="R302" s="324"/>
      <c r="S302" s="324"/>
      <c r="T302" s="324"/>
      <c r="U302" s="324"/>
      <c r="V302" s="324"/>
      <c r="W302" s="324"/>
      <c r="X302" s="324"/>
      <c r="Y302" s="324"/>
      <c r="Z302" s="324"/>
      <c r="AA302" s="324"/>
      <c r="AB302" s="324"/>
      <c r="AC302" s="324"/>
      <c r="AD302" s="324">
        <f t="shared" si="42"/>
        <v>0</v>
      </c>
      <c r="AE302" s="319"/>
      <c r="AF302" s="325"/>
      <c r="AG302" s="325"/>
      <c r="AH302" s="325"/>
      <c r="AI302" s="325"/>
      <c r="AJ302" s="325"/>
      <c r="AK302" s="325"/>
      <c r="AL302" s="325"/>
      <c r="AM302" s="325"/>
      <c r="AN302" s="325"/>
      <c r="AO302" s="325"/>
      <c r="AP302" s="325"/>
      <c r="AQ302" s="325"/>
      <c r="AR302" s="325">
        <f t="shared" si="43"/>
        <v>0</v>
      </c>
      <c r="AS302" s="325">
        <f t="shared" si="40"/>
        <v>0</v>
      </c>
      <c r="AT302" s="325">
        <f t="shared" si="41"/>
        <v>0</v>
      </c>
    </row>
    <row r="303" spans="1:46" x14ac:dyDescent="0.35">
      <c r="A303" s="321" t="s">
        <v>1282</v>
      </c>
      <c r="B303" s="321" t="s">
        <v>1283</v>
      </c>
      <c r="C303" s="322" t="s">
        <v>520</v>
      </c>
      <c r="D303" s="323" t="s">
        <v>1319</v>
      </c>
      <c r="E303" s="323" t="s">
        <v>1320</v>
      </c>
      <c r="F303" s="323" t="s">
        <v>1808</v>
      </c>
      <c r="G303" s="323" t="s">
        <v>1892</v>
      </c>
      <c r="H303" s="323" t="s">
        <v>1809</v>
      </c>
      <c r="I303" s="322" t="s">
        <v>1935</v>
      </c>
      <c r="J303" s="323" t="s">
        <v>1932</v>
      </c>
      <c r="K303" s="323" t="s">
        <v>1672</v>
      </c>
      <c r="L303" s="322" t="s">
        <v>1933</v>
      </c>
      <c r="M303" s="323" t="s">
        <v>1934</v>
      </c>
      <c r="N303" s="323"/>
      <c r="O303" s="322"/>
      <c r="P303" s="323"/>
      <c r="Q303" s="323"/>
      <c r="R303" s="324"/>
      <c r="S303" s="324"/>
      <c r="T303" s="324"/>
      <c r="U303" s="324"/>
      <c r="V303" s="324"/>
      <c r="W303" s="324"/>
      <c r="X303" s="324"/>
      <c r="Y303" s="324"/>
      <c r="Z303" s="324"/>
      <c r="AA303" s="324"/>
      <c r="AB303" s="324"/>
      <c r="AC303" s="324"/>
      <c r="AD303" s="324">
        <f t="shared" si="42"/>
        <v>0</v>
      </c>
      <c r="AE303" s="319"/>
      <c r="AF303" s="325"/>
      <c r="AG303" s="325"/>
      <c r="AH303" s="325"/>
      <c r="AI303" s="325"/>
      <c r="AJ303" s="325"/>
      <c r="AK303" s="325"/>
      <c r="AL303" s="325"/>
      <c r="AM303" s="325"/>
      <c r="AN303" s="325"/>
      <c r="AO303" s="325"/>
      <c r="AP303" s="325"/>
      <c r="AQ303" s="325"/>
      <c r="AR303" s="325">
        <f t="shared" si="43"/>
        <v>0</v>
      </c>
      <c r="AS303" s="325">
        <f t="shared" si="40"/>
        <v>0</v>
      </c>
      <c r="AT303" s="325">
        <f t="shared" si="41"/>
        <v>0</v>
      </c>
    </row>
    <row r="304" spans="1:46" x14ac:dyDescent="0.35">
      <c r="A304" s="321" t="s">
        <v>1282</v>
      </c>
      <c r="B304" s="321" t="s">
        <v>1283</v>
      </c>
      <c r="C304" s="322" t="s">
        <v>520</v>
      </c>
      <c r="D304" s="323" t="s">
        <v>1319</v>
      </c>
      <c r="E304" s="323" t="s">
        <v>1320</v>
      </c>
      <c r="F304" s="323" t="s">
        <v>1808</v>
      </c>
      <c r="G304" s="323" t="s">
        <v>1892</v>
      </c>
      <c r="H304" s="323" t="s">
        <v>1809</v>
      </c>
      <c r="I304" s="322" t="s">
        <v>1936</v>
      </c>
      <c r="J304" s="323" t="s">
        <v>997</v>
      </c>
      <c r="K304" s="323" t="s">
        <v>987</v>
      </c>
      <c r="L304" s="322" t="s">
        <v>1937</v>
      </c>
      <c r="M304" s="323" t="s">
        <v>1938</v>
      </c>
      <c r="N304" s="323"/>
      <c r="O304" s="322"/>
      <c r="P304" s="323"/>
      <c r="Q304" s="323"/>
      <c r="R304" s="324"/>
      <c r="S304" s="324"/>
      <c r="T304" s="324"/>
      <c r="U304" s="324"/>
      <c r="V304" s="324"/>
      <c r="W304" s="324"/>
      <c r="X304" s="324"/>
      <c r="Y304" s="324"/>
      <c r="Z304" s="324"/>
      <c r="AA304" s="324"/>
      <c r="AB304" s="324"/>
      <c r="AC304" s="324"/>
      <c r="AD304" s="324">
        <f t="shared" si="42"/>
        <v>0</v>
      </c>
      <c r="AE304" s="319"/>
      <c r="AF304" s="325"/>
      <c r="AG304" s="325"/>
      <c r="AH304" s="325"/>
      <c r="AI304" s="325"/>
      <c r="AJ304" s="325"/>
      <c r="AK304" s="325"/>
      <c r="AL304" s="325"/>
      <c r="AM304" s="325"/>
      <c r="AN304" s="325"/>
      <c r="AO304" s="325"/>
      <c r="AP304" s="325"/>
      <c r="AQ304" s="325"/>
      <c r="AR304" s="325">
        <f t="shared" si="43"/>
        <v>0</v>
      </c>
      <c r="AS304" s="325">
        <f t="shared" si="40"/>
        <v>0</v>
      </c>
      <c r="AT304" s="325">
        <f t="shared" si="41"/>
        <v>0</v>
      </c>
    </row>
    <row r="305" spans="1:46" x14ac:dyDescent="0.35">
      <c r="A305" s="321" t="s">
        <v>1282</v>
      </c>
      <c r="B305" s="321" t="s">
        <v>1283</v>
      </c>
      <c r="C305" s="322" t="s">
        <v>520</v>
      </c>
      <c r="D305" s="323" t="s">
        <v>1319</v>
      </c>
      <c r="E305" s="323" t="s">
        <v>1320</v>
      </c>
      <c r="F305" s="323" t="s">
        <v>1808</v>
      </c>
      <c r="G305" s="323" t="s">
        <v>1892</v>
      </c>
      <c r="H305" s="323" t="s">
        <v>1809</v>
      </c>
      <c r="I305" s="322" t="s">
        <v>964</v>
      </c>
      <c r="J305" s="323" t="s">
        <v>997</v>
      </c>
      <c r="K305" s="323" t="s">
        <v>987</v>
      </c>
      <c r="L305" s="322" t="s">
        <v>1937</v>
      </c>
      <c r="M305" s="323" t="s">
        <v>1938</v>
      </c>
      <c r="N305" s="323"/>
      <c r="O305" s="322"/>
      <c r="P305" s="323"/>
      <c r="Q305" s="323"/>
      <c r="R305" s="324"/>
      <c r="S305" s="324"/>
      <c r="T305" s="324"/>
      <c r="U305" s="324"/>
      <c r="V305" s="324"/>
      <c r="W305" s="324"/>
      <c r="X305" s="324"/>
      <c r="Y305" s="324"/>
      <c r="Z305" s="324"/>
      <c r="AA305" s="324"/>
      <c r="AB305" s="324"/>
      <c r="AC305" s="324"/>
      <c r="AD305" s="324">
        <f t="shared" si="42"/>
        <v>0</v>
      </c>
      <c r="AE305" s="319"/>
      <c r="AF305" s="325"/>
      <c r="AG305" s="325"/>
      <c r="AH305" s="325"/>
      <c r="AI305" s="325"/>
      <c r="AJ305" s="325"/>
      <c r="AK305" s="325"/>
      <c r="AL305" s="325"/>
      <c r="AM305" s="325"/>
      <c r="AN305" s="325"/>
      <c r="AO305" s="325"/>
      <c r="AP305" s="325"/>
      <c r="AQ305" s="325"/>
      <c r="AR305" s="325">
        <f t="shared" si="43"/>
        <v>0</v>
      </c>
      <c r="AS305" s="325">
        <f t="shared" si="40"/>
        <v>0</v>
      </c>
      <c r="AT305" s="325">
        <f t="shared" si="41"/>
        <v>0</v>
      </c>
    </row>
    <row r="306" spans="1:46" x14ac:dyDescent="0.35">
      <c r="A306" s="321" t="s">
        <v>1282</v>
      </c>
      <c r="B306" s="321" t="s">
        <v>1283</v>
      </c>
      <c r="C306" s="322" t="s">
        <v>520</v>
      </c>
      <c r="D306" s="323" t="s">
        <v>1319</v>
      </c>
      <c r="E306" s="323" t="s">
        <v>1320</v>
      </c>
      <c r="F306" s="323" t="s">
        <v>1808</v>
      </c>
      <c r="G306" s="323" t="s">
        <v>1892</v>
      </c>
      <c r="H306" s="323" t="s">
        <v>1809</v>
      </c>
      <c r="I306" s="322" t="s">
        <v>1939</v>
      </c>
      <c r="J306" s="323" t="s">
        <v>1940</v>
      </c>
      <c r="K306" s="323" t="s">
        <v>995</v>
      </c>
      <c r="L306" s="322" t="s">
        <v>1941</v>
      </c>
      <c r="M306" s="323" t="s">
        <v>1942</v>
      </c>
      <c r="N306" s="323"/>
      <c r="O306" s="322"/>
      <c r="P306" s="323"/>
      <c r="Q306" s="323"/>
      <c r="R306" s="324"/>
      <c r="S306" s="324"/>
      <c r="T306" s="324"/>
      <c r="U306" s="324"/>
      <c r="V306" s="324"/>
      <c r="W306" s="324"/>
      <c r="X306" s="324"/>
      <c r="Y306" s="324"/>
      <c r="Z306" s="324"/>
      <c r="AA306" s="324"/>
      <c r="AB306" s="324"/>
      <c r="AC306" s="324"/>
      <c r="AD306" s="324">
        <f t="shared" si="42"/>
        <v>0</v>
      </c>
      <c r="AE306" s="319"/>
      <c r="AF306" s="325"/>
      <c r="AG306" s="325"/>
      <c r="AH306" s="325"/>
      <c r="AI306" s="325"/>
      <c r="AJ306" s="325"/>
      <c r="AK306" s="325"/>
      <c r="AL306" s="325"/>
      <c r="AM306" s="325"/>
      <c r="AN306" s="325"/>
      <c r="AO306" s="325"/>
      <c r="AP306" s="325"/>
      <c r="AQ306" s="325"/>
      <c r="AR306" s="325">
        <f t="shared" si="43"/>
        <v>0</v>
      </c>
      <c r="AS306" s="325">
        <f t="shared" si="40"/>
        <v>0</v>
      </c>
      <c r="AT306" s="325">
        <f t="shared" si="41"/>
        <v>0</v>
      </c>
    </row>
    <row r="307" spans="1:46" x14ac:dyDescent="0.35">
      <c r="A307" s="321" t="s">
        <v>1282</v>
      </c>
      <c r="B307" s="321" t="s">
        <v>1283</v>
      </c>
      <c r="C307" s="322" t="s">
        <v>520</v>
      </c>
      <c r="D307" s="323" t="s">
        <v>1319</v>
      </c>
      <c r="E307" s="323" t="s">
        <v>1320</v>
      </c>
      <c r="F307" s="323" t="s">
        <v>1943</v>
      </c>
      <c r="G307" s="323" t="s">
        <v>1892</v>
      </c>
      <c r="H307" s="323" t="s">
        <v>1944</v>
      </c>
      <c r="I307" s="322" t="s">
        <v>929</v>
      </c>
      <c r="J307" s="323" t="s">
        <v>749</v>
      </c>
      <c r="K307" s="323" t="s">
        <v>750</v>
      </c>
      <c r="L307" s="322" t="s">
        <v>1945</v>
      </c>
      <c r="M307" s="323" t="s">
        <v>1946</v>
      </c>
      <c r="N307" s="323"/>
      <c r="O307" s="322"/>
      <c r="P307" s="323"/>
      <c r="Q307" s="323"/>
      <c r="R307" s="324"/>
      <c r="S307" s="324"/>
      <c r="T307" s="324"/>
      <c r="U307" s="324"/>
      <c r="V307" s="324"/>
      <c r="W307" s="324"/>
      <c r="X307" s="324"/>
      <c r="Y307" s="324"/>
      <c r="Z307" s="324"/>
      <c r="AA307" s="324"/>
      <c r="AB307" s="324"/>
      <c r="AC307" s="324"/>
      <c r="AD307" s="324">
        <f t="shared" si="42"/>
        <v>0</v>
      </c>
      <c r="AE307" s="319"/>
      <c r="AF307" s="325"/>
      <c r="AG307" s="325"/>
      <c r="AH307" s="325"/>
      <c r="AI307" s="325"/>
      <c r="AJ307" s="325"/>
      <c r="AK307" s="325"/>
      <c r="AL307" s="325"/>
      <c r="AM307" s="325"/>
      <c r="AN307" s="325"/>
      <c r="AO307" s="325"/>
      <c r="AP307" s="325"/>
      <c r="AQ307" s="325"/>
      <c r="AR307" s="325">
        <f t="shared" si="43"/>
        <v>0</v>
      </c>
      <c r="AS307" s="325">
        <f t="shared" si="40"/>
        <v>0</v>
      </c>
      <c r="AT307" s="325">
        <f t="shared" si="41"/>
        <v>0</v>
      </c>
    </row>
    <row r="308" spans="1:46" x14ac:dyDescent="0.35">
      <c r="A308" s="321" t="s">
        <v>1282</v>
      </c>
      <c r="B308" s="321" t="s">
        <v>1283</v>
      </c>
      <c r="C308" s="322" t="s">
        <v>520</v>
      </c>
      <c r="D308" s="323" t="s">
        <v>1319</v>
      </c>
      <c r="E308" s="323" t="s">
        <v>1320</v>
      </c>
      <c r="F308" s="323" t="s">
        <v>1507</v>
      </c>
      <c r="G308" s="323" t="s">
        <v>1892</v>
      </c>
      <c r="H308" s="323" t="s">
        <v>1508</v>
      </c>
      <c r="I308" s="322" t="s">
        <v>1947</v>
      </c>
      <c r="J308" s="323" t="s">
        <v>1948</v>
      </c>
      <c r="K308" s="323" t="s">
        <v>711</v>
      </c>
      <c r="L308" s="322" t="s">
        <v>1393</v>
      </c>
      <c r="M308" s="323" t="s">
        <v>1394</v>
      </c>
      <c r="N308" s="323"/>
      <c r="O308" s="322"/>
      <c r="P308" s="323"/>
      <c r="Q308" s="323"/>
      <c r="R308" s="324"/>
      <c r="S308" s="324"/>
      <c r="T308" s="324"/>
      <c r="U308" s="324"/>
      <c r="V308" s="324"/>
      <c r="W308" s="324"/>
      <c r="X308" s="324"/>
      <c r="Y308" s="324"/>
      <c r="Z308" s="324"/>
      <c r="AA308" s="324"/>
      <c r="AB308" s="324"/>
      <c r="AC308" s="324"/>
      <c r="AD308" s="324">
        <f t="shared" si="42"/>
        <v>0</v>
      </c>
      <c r="AE308" s="319"/>
      <c r="AF308" s="325"/>
      <c r="AG308" s="325"/>
      <c r="AH308" s="325"/>
      <c r="AI308" s="325"/>
      <c r="AJ308" s="325"/>
      <c r="AK308" s="325"/>
      <c r="AL308" s="325"/>
      <c r="AM308" s="325"/>
      <c r="AN308" s="325"/>
      <c r="AO308" s="325"/>
      <c r="AP308" s="325"/>
      <c r="AQ308" s="325"/>
      <c r="AR308" s="325">
        <f t="shared" si="43"/>
        <v>0</v>
      </c>
      <c r="AS308" s="325">
        <f t="shared" si="40"/>
        <v>0</v>
      </c>
      <c r="AT308" s="325">
        <f t="shared" si="41"/>
        <v>0</v>
      </c>
    </row>
    <row r="309" spans="1:46" x14ac:dyDescent="0.35">
      <c r="A309" s="321" t="s">
        <v>1282</v>
      </c>
      <c r="B309" s="321" t="s">
        <v>1283</v>
      </c>
      <c r="C309" s="322" t="s">
        <v>520</v>
      </c>
      <c r="D309" s="323" t="s">
        <v>1319</v>
      </c>
      <c r="E309" s="323" t="s">
        <v>1320</v>
      </c>
      <c r="F309" s="323" t="s">
        <v>1507</v>
      </c>
      <c r="G309" s="323" t="s">
        <v>1892</v>
      </c>
      <c r="H309" s="323" t="s">
        <v>1508</v>
      </c>
      <c r="I309" s="322" t="s">
        <v>834</v>
      </c>
      <c r="J309" s="323" t="s">
        <v>899</v>
      </c>
      <c r="K309" s="340" t="s">
        <v>711</v>
      </c>
      <c r="L309" s="341" t="s">
        <v>1509</v>
      </c>
      <c r="M309" s="340" t="s">
        <v>1510</v>
      </c>
      <c r="N309" s="323"/>
      <c r="O309" s="322"/>
      <c r="P309" s="323"/>
      <c r="Q309" s="323"/>
      <c r="R309" s="324"/>
      <c r="S309" s="324"/>
      <c r="T309" s="324"/>
      <c r="U309" s="324"/>
      <c r="V309" s="324"/>
      <c r="W309" s="324"/>
      <c r="X309" s="324"/>
      <c r="Y309" s="324"/>
      <c r="Z309" s="324"/>
      <c r="AA309" s="324"/>
      <c r="AB309" s="324"/>
      <c r="AC309" s="324"/>
      <c r="AD309" s="326">
        <f t="shared" si="42"/>
        <v>0</v>
      </c>
      <c r="AE309" s="319"/>
      <c r="AF309" s="325"/>
      <c r="AG309" s="325"/>
      <c r="AH309" s="325"/>
      <c r="AI309" s="325"/>
      <c r="AJ309" s="325"/>
      <c r="AK309" s="325"/>
      <c r="AL309" s="325"/>
      <c r="AM309" s="325"/>
      <c r="AN309" s="325"/>
      <c r="AO309" s="325"/>
      <c r="AP309" s="325"/>
      <c r="AQ309" s="325"/>
      <c r="AR309" s="325">
        <f t="shared" si="43"/>
        <v>0</v>
      </c>
      <c r="AS309" s="325">
        <f t="shared" si="40"/>
        <v>0</v>
      </c>
      <c r="AT309" s="325">
        <f t="shared" si="41"/>
        <v>0</v>
      </c>
    </row>
    <row r="310" spans="1:46" x14ac:dyDescent="0.35">
      <c r="A310" s="321" t="s">
        <v>1282</v>
      </c>
      <c r="B310" s="321" t="s">
        <v>1283</v>
      </c>
      <c r="C310" s="322" t="s">
        <v>520</v>
      </c>
      <c r="D310" s="323" t="s">
        <v>1319</v>
      </c>
      <c r="E310" s="323" t="s">
        <v>1320</v>
      </c>
      <c r="F310" s="323" t="s">
        <v>1507</v>
      </c>
      <c r="G310" s="323" t="s">
        <v>1892</v>
      </c>
      <c r="H310" s="323" t="s">
        <v>1508</v>
      </c>
      <c r="I310" s="322" t="s">
        <v>958</v>
      </c>
      <c r="J310" s="323" t="s">
        <v>899</v>
      </c>
      <c r="K310" s="323" t="s">
        <v>711</v>
      </c>
      <c r="L310" s="322" t="s">
        <v>1509</v>
      </c>
      <c r="M310" s="323" t="s">
        <v>1510</v>
      </c>
      <c r="N310" s="323"/>
      <c r="O310" s="322"/>
      <c r="P310" s="323"/>
      <c r="Q310" s="323"/>
      <c r="R310" s="324"/>
      <c r="S310" s="324"/>
      <c r="T310" s="324"/>
      <c r="U310" s="324"/>
      <c r="V310" s="324"/>
      <c r="W310" s="324"/>
      <c r="X310" s="324"/>
      <c r="Y310" s="324"/>
      <c r="Z310" s="324"/>
      <c r="AA310" s="324"/>
      <c r="AB310" s="324"/>
      <c r="AC310" s="324"/>
      <c r="AD310" s="324">
        <f t="shared" si="42"/>
        <v>0</v>
      </c>
      <c r="AE310" s="319"/>
      <c r="AF310" s="325"/>
      <c r="AG310" s="325"/>
      <c r="AH310" s="325"/>
      <c r="AI310" s="325"/>
      <c r="AJ310" s="325"/>
      <c r="AK310" s="325"/>
      <c r="AL310" s="325"/>
      <c r="AM310" s="325"/>
      <c r="AN310" s="325"/>
      <c r="AO310" s="325"/>
      <c r="AP310" s="325"/>
      <c r="AQ310" s="325"/>
      <c r="AR310" s="325">
        <f t="shared" si="43"/>
        <v>0</v>
      </c>
      <c r="AS310" s="325">
        <f t="shared" si="40"/>
        <v>0</v>
      </c>
      <c r="AT310" s="325">
        <f t="shared" si="41"/>
        <v>0</v>
      </c>
    </row>
    <row r="311" spans="1:46" x14ac:dyDescent="0.35">
      <c r="A311" s="321" t="s">
        <v>1282</v>
      </c>
      <c r="B311" s="321" t="s">
        <v>1283</v>
      </c>
      <c r="C311" s="322" t="s">
        <v>520</v>
      </c>
      <c r="D311" s="323" t="s">
        <v>1319</v>
      </c>
      <c r="E311" s="323" t="s">
        <v>1320</v>
      </c>
      <c r="F311" s="323" t="s">
        <v>1507</v>
      </c>
      <c r="G311" s="323" t="s">
        <v>1892</v>
      </c>
      <c r="H311" s="323" t="s">
        <v>1508</v>
      </c>
      <c r="I311" s="322" t="s">
        <v>927</v>
      </c>
      <c r="J311" s="323" t="s">
        <v>928</v>
      </c>
      <c r="K311" s="323" t="s">
        <v>711</v>
      </c>
      <c r="L311" s="322" t="s">
        <v>1511</v>
      </c>
      <c r="M311" s="323" t="s">
        <v>1512</v>
      </c>
      <c r="N311" s="323"/>
      <c r="O311" s="322"/>
      <c r="P311" s="323"/>
      <c r="Q311" s="323"/>
      <c r="R311" s="324"/>
      <c r="S311" s="324"/>
      <c r="T311" s="324"/>
      <c r="U311" s="324"/>
      <c r="V311" s="324"/>
      <c r="W311" s="324"/>
      <c r="X311" s="324"/>
      <c r="Y311" s="324"/>
      <c r="Z311" s="324"/>
      <c r="AA311" s="324"/>
      <c r="AB311" s="324"/>
      <c r="AC311" s="324"/>
      <c r="AD311" s="326">
        <f t="shared" si="42"/>
        <v>0</v>
      </c>
      <c r="AE311" s="319"/>
      <c r="AF311" s="325"/>
      <c r="AG311" s="325"/>
      <c r="AH311" s="325"/>
      <c r="AI311" s="325"/>
      <c r="AJ311" s="325"/>
      <c r="AK311" s="325"/>
      <c r="AL311" s="325"/>
      <c r="AM311" s="325"/>
      <c r="AN311" s="325"/>
      <c r="AO311" s="325"/>
      <c r="AP311" s="325"/>
      <c r="AQ311" s="325"/>
      <c r="AR311" s="325">
        <f t="shared" si="43"/>
        <v>0</v>
      </c>
      <c r="AS311" s="325">
        <f t="shared" si="40"/>
        <v>0</v>
      </c>
      <c r="AT311" s="325">
        <f t="shared" si="41"/>
        <v>0</v>
      </c>
    </row>
    <row r="312" spans="1:46" x14ac:dyDescent="0.35">
      <c r="A312" s="321" t="s">
        <v>1282</v>
      </c>
      <c r="B312" s="321" t="s">
        <v>1283</v>
      </c>
      <c r="C312" s="322" t="s">
        <v>520</v>
      </c>
      <c r="D312" s="323" t="s">
        <v>1319</v>
      </c>
      <c r="E312" s="323" t="s">
        <v>1320</v>
      </c>
      <c r="F312" s="323" t="s">
        <v>1513</v>
      </c>
      <c r="G312" s="323" t="s">
        <v>1892</v>
      </c>
      <c r="H312" s="323" t="s">
        <v>1514</v>
      </c>
      <c r="I312" s="322" t="s">
        <v>1949</v>
      </c>
      <c r="J312" s="323" t="s">
        <v>988</v>
      </c>
      <c r="K312" s="323" t="s">
        <v>989</v>
      </c>
      <c r="L312" s="322" t="s">
        <v>1826</v>
      </c>
      <c r="M312" s="323" t="s">
        <v>1827</v>
      </c>
      <c r="N312" s="323"/>
      <c r="O312" s="322"/>
      <c r="P312" s="323"/>
      <c r="Q312" s="323"/>
      <c r="R312" s="324"/>
      <c r="S312" s="324"/>
      <c r="T312" s="324"/>
      <c r="U312" s="324"/>
      <c r="V312" s="324"/>
      <c r="W312" s="324"/>
      <c r="X312" s="324"/>
      <c r="Y312" s="324"/>
      <c r="Z312" s="324"/>
      <c r="AA312" s="324"/>
      <c r="AB312" s="324"/>
      <c r="AC312" s="324"/>
      <c r="AD312" s="324">
        <f t="shared" si="42"/>
        <v>0</v>
      </c>
      <c r="AE312" s="319"/>
      <c r="AF312" s="325"/>
      <c r="AG312" s="325"/>
      <c r="AH312" s="325"/>
      <c r="AI312" s="325"/>
      <c r="AJ312" s="325"/>
      <c r="AK312" s="325"/>
      <c r="AL312" s="325"/>
      <c r="AM312" s="325"/>
      <c r="AN312" s="325"/>
      <c r="AO312" s="325"/>
      <c r="AP312" s="325"/>
      <c r="AQ312" s="325"/>
      <c r="AR312" s="325">
        <f t="shared" si="43"/>
        <v>0</v>
      </c>
      <c r="AS312" s="325">
        <f t="shared" si="40"/>
        <v>0</v>
      </c>
      <c r="AT312" s="325">
        <f t="shared" si="41"/>
        <v>0</v>
      </c>
    </row>
    <row r="313" spans="1:46" x14ac:dyDescent="0.35">
      <c r="A313" s="321" t="s">
        <v>1282</v>
      </c>
      <c r="B313" s="321" t="s">
        <v>1283</v>
      </c>
      <c r="C313" s="322" t="s">
        <v>520</v>
      </c>
      <c r="D313" s="323" t="s">
        <v>1319</v>
      </c>
      <c r="E313" s="323" t="s">
        <v>1320</v>
      </c>
      <c r="F313" s="323" t="s">
        <v>1513</v>
      </c>
      <c r="G313" s="323" t="s">
        <v>1892</v>
      </c>
      <c r="H313" s="323" t="s">
        <v>1514</v>
      </c>
      <c r="I313" s="322" t="s">
        <v>876</v>
      </c>
      <c r="J313" s="323" t="s">
        <v>877</v>
      </c>
      <c r="K313" s="323" t="s">
        <v>987</v>
      </c>
      <c r="L313" s="322" t="s">
        <v>1516</v>
      </c>
      <c r="M313" s="323" t="s">
        <v>1517</v>
      </c>
      <c r="N313" s="323"/>
      <c r="O313" s="322"/>
      <c r="P313" s="323"/>
      <c r="Q313" s="323"/>
      <c r="R313" s="324"/>
      <c r="S313" s="324"/>
      <c r="T313" s="324"/>
      <c r="U313" s="324"/>
      <c r="V313" s="324"/>
      <c r="W313" s="324"/>
      <c r="X313" s="324"/>
      <c r="Y313" s="324"/>
      <c r="Z313" s="324"/>
      <c r="AA313" s="324"/>
      <c r="AB313" s="324"/>
      <c r="AC313" s="324"/>
      <c r="AD313" s="324">
        <f t="shared" si="42"/>
        <v>0</v>
      </c>
      <c r="AE313" s="319"/>
      <c r="AF313" s="325"/>
      <c r="AG313" s="325"/>
      <c r="AH313" s="325"/>
      <c r="AI313" s="325"/>
      <c r="AJ313" s="325"/>
      <c r="AK313" s="325"/>
      <c r="AL313" s="325"/>
      <c r="AM313" s="325"/>
      <c r="AN313" s="325"/>
      <c r="AO313" s="325"/>
      <c r="AP313" s="325"/>
      <c r="AQ313" s="325"/>
      <c r="AR313" s="325">
        <f t="shared" si="43"/>
        <v>0</v>
      </c>
      <c r="AS313" s="325">
        <f t="shared" si="40"/>
        <v>0</v>
      </c>
      <c r="AT313" s="325">
        <f t="shared" si="41"/>
        <v>0</v>
      </c>
    </row>
    <row r="314" spans="1:46" x14ac:dyDescent="0.35">
      <c r="A314" s="321" t="s">
        <v>1282</v>
      </c>
      <c r="B314" s="321" t="s">
        <v>1283</v>
      </c>
      <c r="C314" s="322" t="s">
        <v>520</v>
      </c>
      <c r="D314" s="323" t="s">
        <v>1319</v>
      </c>
      <c r="E314" s="323" t="s">
        <v>1320</v>
      </c>
      <c r="F314" s="323" t="s">
        <v>1523</v>
      </c>
      <c r="G314" s="323" t="s">
        <v>1892</v>
      </c>
      <c r="H314" s="323" t="s">
        <v>745</v>
      </c>
      <c r="I314" s="322" t="s">
        <v>847</v>
      </c>
      <c r="J314" s="323" t="s">
        <v>746</v>
      </c>
      <c r="K314" s="323" t="s">
        <v>738</v>
      </c>
      <c r="L314" s="322" t="s">
        <v>1524</v>
      </c>
      <c r="M314" s="323" t="s">
        <v>1525</v>
      </c>
      <c r="N314" s="323"/>
      <c r="O314" s="322"/>
      <c r="P314" s="323"/>
      <c r="Q314" s="323"/>
      <c r="R314" s="324"/>
      <c r="S314" s="324"/>
      <c r="T314" s="324"/>
      <c r="U314" s="324"/>
      <c r="V314" s="324"/>
      <c r="W314" s="324"/>
      <c r="X314" s="324"/>
      <c r="Y314" s="324"/>
      <c r="Z314" s="324"/>
      <c r="AA314" s="324"/>
      <c r="AB314" s="324"/>
      <c r="AC314" s="324"/>
      <c r="AD314" s="324">
        <f t="shared" si="42"/>
        <v>0</v>
      </c>
      <c r="AE314" s="319"/>
      <c r="AF314" s="325"/>
      <c r="AG314" s="325"/>
      <c r="AH314" s="325"/>
      <c r="AI314" s="325"/>
      <c r="AJ314" s="325"/>
      <c r="AK314" s="325"/>
      <c r="AL314" s="325"/>
      <c r="AM314" s="325"/>
      <c r="AN314" s="325"/>
      <c r="AO314" s="325"/>
      <c r="AP314" s="325"/>
      <c r="AQ314" s="325"/>
      <c r="AR314" s="325">
        <f t="shared" si="43"/>
        <v>0</v>
      </c>
      <c r="AS314" s="325">
        <f t="shared" si="40"/>
        <v>0</v>
      </c>
      <c r="AT314" s="325">
        <f t="shared" si="41"/>
        <v>0</v>
      </c>
    </row>
    <row r="315" spans="1:46" x14ac:dyDescent="0.35">
      <c r="A315" s="321" t="s">
        <v>1282</v>
      </c>
      <c r="B315" s="321" t="s">
        <v>1283</v>
      </c>
      <c r="C315" s="322" t="s">
        <v>520</v>
      </c>
      <c r="D315" s="323" t="s">
        <v>1319</v>
      </c>
      <c r="E315" s="323" t="s">
        <v>1320</v>
      </c>
      <c r="F315" s="323" t="s">
        <v>1526</v>
      </c>
      <c r="G315" s="323" t="s">
        <v>1892</v>
      </c>
      <c r="H315" s="323" t="s">
        <v>1527</v>
      </c>
      <c r="I315" s="322" t="s">
        <v>1950</v>
      </c>
      <c r="J315" s="323" t="s">
        <v>1831</v>
      </c>
      <c r="K315" s="323" t="s">
        <v>1672</v>
      </c>
      <c r="L315" s="322" t="s">
        <v>1832</v>
      </c>
      <c r="M315" s="323" t="s">
        <v>1833</v>
      </c>
      <c r="N315" s="323"/>
      <c r="O315" s="322"/>
      <c r="P315" s="323"/>
      <c r="Q315" s="323"/>
      <c r="R315" s="324"/>
      <c r="S315" s="324"/>
      <c r="T315" s="324"/>
      <c r="U315" s="324"/>
      <c r="V315" s="324"/>
      <c r="W315" s="324"/>
      <c r="X315" s="324"/>
      <c r="Y315" s="324"/>
      <c r="Z315" s="324"/>
      <c r="AA315" s="324"/>
      <c r="AB315" s="324"/>
      <c r="AC315" s="324"/>
      <c r="AD315" s="324">
        <f t="shared" si="42"/>
        <v>0</v>
      </c>
      <c r="AE315" s="319"/>
      <c r="AF315" s="325"/>
      <c r="AG315" s="325"/>
      <c r="AH315" s="325"/>
      <c r="AI315" s="325"/>
      <c r="AJ315" s="325"/>
      <c r="AK315" s="325"/>
      <c r="AL315" s="325"/>
      <c r="AM315" s="325"/>
      <c r="AN315" s="325"/>
      <c r="AO315" s="325"/>
      <c r="AP315" s="325"/>
      <c r="AQ315" s="325"/>
      <c r="AR315" s="325">
        <f t="shared" si="43"/>
        <v>0</v>
      </c>
      <c r="AS315" s="325">
        <f t="shared" si="40"/>
        <v>0</v>
      </c>
      <c r="AT315" s="325">
        <f t="shared" si="41"/>
        <v>0</v>
      </c>
    </row>
    <row r="316" spans="1:46" x14ac:dyDescent="0.35">
      <c r="A316" s="321" t="s">
        <v>1282</v>
      </c>
      <c r="B316" s="321" t="s">
        <v>1283</v>
      </c>
      <c r="C316" s="322" t="s">
        <v>520</v>
      </c>
      <c r="D316" s="323" t="s">
        <v>1319</v>
      </c>
      <c r="E316" s="323" t="s">
        <v>1320</v>
      </c>
      <c r="F316" s="323" t="s">
        <v>1526</v>
      </c>
      <c r="G316" s="323" t="s">
        <v>1892</v>
      </c>
      <c r="H316" s="323" t="s">
        <v>1527</v>
      </c>
      <c r="I316" s="322" t="s">
        <v>1951</v>
      </c>
      <c r="J316" s="323" t="s">
        <v>1020</v>
      </c>
      <c r="K316" s="323" t="s">
        <v>1021</v>
      </c>
      <c r="L316" s="322" t="s">
        <v>1835</v>
      </c>
      <c r="M316" s="323" t="s">
        <v>1836</v>
      </c>
      <c r="N316" s="323"/>
      <c r="O316" s="322"/>
      <c r="P316" s="323"/>
      <c r="Q316" s="323"/>
      <c r="R316" s="324"/>
      <c r="S316" s="324"/>
      <c r="T316" s="324"/>
      <c r="U316" s="324"/>
      <c r="V316" s="324"/>
      <c r="W316" s="324"/>
      <c r="X316" s="324"/>
      <c r="Y316" s="324"/>
      <c r="Z316" s="324"/>
      <c r="AA316" s="324"/>
      <c r="AB316" s="324"/>
      <c r="AC316" s="324"/>
      <c r="AD316" s="324">
        <f t="shared" si="42"/>
        <v>0</v>
      </c>
      <c r="AE316" s="319"/>
      <c r="AF316" s="325"/>
      <c r="AG316" s="325"/>
      <c r="AH316" s="325"/>
      <c r="AI316" s="325"/>
      <c r="AJ316" s="325"/>
      <c r="AK316" s="325"/>
      <c r="AL316" s="325"/>
      <c r="AM316" s="325"/>
      <c r="AN316" s="325"/>
      <c r="AO316" s="325"/>
      <c r="AP316" s="325"/>
      <c r="AQ316" s="325"/>
      <c r="AR316" s="325">
        <f t="shared" si="43"/>
        <v>0</v>
      </c>
      <c r="AS316" s="325">
        <f t="shared" si="40"/>
        <v>0</v>
      </c>
      <c r="AT316" s="325">
        <f t="shared" si="41"/>
        <v>0</v>
      </c>
    </row>
    <row r="317" spans="1:46" x14ac:dyDescent="0.35">
      <c r="A317" s="321" t="s">
        <v>1282</v>
      </c>
      <c r="B317" s="321" t="s">
        <v>1283</v>
      </c>
      <c r="C317" s="322" t="s">
        <v>520</v>
      </c>
      <c r="D317" s="323" t="s">
        <v>1319</v>
      </c>
      <c r="E317" s="323" t="s">
        <v>1320</v>
      </c>
      <c r="F317" s="323" t="s">
        <v>1526</v>
      </c>
      <c r="G317" s="323" t="s">
        <v>1892</v>
      </c>
      <c r="H317" s="323" t="s">
        <v>1527</v>
      </c>
      <c r="I317" s="322" t="s">
        <v>1952</v>
      </c>
      <c r="J317" s="323" t="s">
        <v>1953</v>
      </c>
      <c r="K317" s="323" t="s">
        <v>755</v>
      </c>
      <c r="L317" s="322" t="s">
        <v>1954</v>
      </c>
      <c r="M317" s="323" t="s">
        <v>1955</v>
      </c>
      <c r="N317" s="323"/>
      <c r="O317" s="322"/>
      <c r="P317" s="323"/>
      <c r="Q317" s="323"/>
      <c r="R317" s="324"/>
      <c r="S317" s="324"/>
      <c r="T317" s="324"/>
      <c r="U317" s="324"/>
      <c r="V317" s="324"/>
      <c r="W317" s="324"/>
      <c r="X317" s="324"/>
      <c r="Y317" s="324"/>
      <c r="Z317" s="324"/>
      <c r="AA317" s="324"/>
      <c r="AB317" s="324"/>
      <c r="AC317" s="324"/>
      <c r="AD317" s="324">
        <f t="shared" si="42"/>
        <v>0</v>
      </c>
      <c r="AE317" s="319"/>
      <c r="AF317" s="325"/>
      <c r="AG317" s="325"/>
      <c r="AH317" s="325"/>
      <c r="AI317" s="325"/>
      <c r="AJ317" s="325"/>
      <c r="AK317" s="325"/>
      <c r="AL317" s="325"/>
      <c r="AM317" s="325"/>
      <c r="AN317" s="325"/>
      <c r="AO317" s="325"/>
      <c r="AP317" s="325"/>
      <c r="AQ317" s="325"/>
      <c r="AR317" s="325">
        <f t="shared" si="43"/>
        <v>0</v>
      </c>
      <c r="AS317" s="325">
        <f t="shared" si="40"/>
        <v>0</v>
      </c>
      <c r="AT317" s="325">
        <f t="shared" si="41"/>
        <v>0</v>
      </c>
    </row>
    <row r="318" spans="1:46" x14ac:dyDescent="0.35">
      <c r="A318" s="321" t="s">
        <v>1282</v>
      </c>
      <c r="B318" s="321" t="s">
        <v>1283</v>
      </c>
      <c r="C318" s="322" t="s">
        <v>520</v>
      </c>
      <c r="D318" s="323" t="s">
        <v>1319</v>
      </c>
      <c r="E318" s="323" t="s">
        <v>1320</v>
      </c>
      <c r="F318" s="323" t="s">
        <v>1526</v>
      </c>
      <c r="G318" s="323" t="s">
        <v>1892</v>
      </c>
      <c r="H318" s="323" t="s">
        <v>1527</v>
      </c>
      <c r="I318" s="322" t="s">
        <v>1956</v>
      </c>
      <c r="J318" s="323" t="s">
        <v>1025</v>
      </c>
      <c r="K318" s="323" t="s">
        <v>755</v>
      </c>
      <c r="L318" s="322" t="s">
        <v>1529</v>
      </c>
      <c r="M318" s="323" t="s">
        <v>1530</v>
      </c>
      <c r="N318" s="323"/>
      <c r="O318" s="322"/>
      <c r="P318" s="323"/>
      <c r="Q318" s="323"/>
      <c r="R318" s="324"/>
      <c r="S318" s="324"/>
      <c r="T318" s="324"/>
      <c r="U318" s="324"/>
      <c r="V318" s="324"/>
      <c r="W318" s="324"/>
      <c r="X318" s="324"/>
      <c r="Y318" s="324"/>
      <c r="Z318" s="324"/>
      <c r="AA318" s="324"/>
      <c r="AB318" s="324"/>
      <c r="AC318" s="324"/>
      <c r="AD318" s="324">
        <f t="shared" si="42"/>
        <v>0</v>
      </c>
      <c r="AE318" s="319"/>
      <c r="AF318" s="325"/>
      <c r="AG318" s="325"/>
      <c r="AH318" s="325"/>
      <c r="AI318" s="325"/>
      <c r="AJ318" s="325"/>
      <c r="AK318" s="325"/>
      <c r="AL318" s="325"/>
      <c r="AM318" s="325"/>
      <c r="AN318" s="325"/>
      <c r="AO318" s="325"/>
      <c r="AP318" s="325"/>
      <c r="AQ318" s="325"/>
      <c r="AR318" s="325">
        <f t="shared" si="43"/>
        <v>0</v>
      </c>
      <c r="AS318" s="325">
        <f t="shared" si="40"/>
        <v>0</v>
      </c>
      <c r="AT318" s="325">
        <f t="shared" si="41"/>
        <v>0</v>
      </c>
    </row>
    <row r="319" spans="1:46" x14ac:dyDescent="0.35">
      <c r="A319" s="321" t="s">
        <v>1282</v>
      </c>
      <c r="B319" s="321" t="s">
        <v>1283</v>
      </c>
      <c r="C319" s="322" t="s">
        <v>520</v>
      </c>
      <c r="D319" s="323" t="s">
        <v>1319</v>
      </c>
      <c r="E319" s="323" t="s">
        <v>1320</v>
      </c>
      <c r="F319" s="323" t="s">
        <v>1526</v>
      </c>
      <c r="G319" s="323" t="s">
        <v>1892</v>
      </c>
      <c r="H319" s="323" t="s">
        <v>1527</v>
      </c>
      <c r="I319" s="322" t="s">
        <v>1957</v>
      </c>
      <c r="J319" s="323" t="s">
        <v>1532</v>
      </c>
      <c r="K319" s="323" t="s">
        <v>755</v>
      </c>
      <c r="L319" s="322" t="s">
        <v>1533</v>
      </c>
      <c r="M319" s="323" t="s">
        <v>1534</v>
      </c>
      <c r="N319" s="323"/>
      <c r="O319" s="322"/>
      <c r="P319" s="323"/>
      <c r="Q319" s="323"/>
      <c r="R319" s="324"/>
      <c r="S319" s="324"/>
      <c r="T319" s="324"/>
      <c r="U319" s="324"/>
      <c r="V319" s="324"/>
      <c r="W319" s="324"/>
      <c r="X319" s="324"/>
      <c r="Y319" s="324"/>
      <c r="Z319" s="324"/>
      <c r="AA319" s="324"/>
      <c r="AB319" s="324"/>
      <c r="AC319" s="324"/>
      <c r="AD319" s="324">
        <f t="shared" si="42"/>
        <v>0</v>
      </c>
      <c r="AE319" s="319"/>
      <c r="AF319" s="325"/>
      <c r="AG319" s="325"/>
      <c r="AH319" s="325"/>
      <c r="AI319" s="325"/>
      <c r="AJ319" s="325"/>
      <c r="AK319" s="325"/>
      <c r="AL319" s="325"/>
      <c r="AM319" s="325"/>
      <c r="AN319" s="325"/>
      <c r="AO319" s="325"/>
      <c r="AP319" s="325"/>
      <c r="AQ319" s="325"/>
      <c r="AR319" s="325">
        <f t="shared" si="43"/>
        <v>0</v>
      </c>
      <c r="AS319" s="325">
        <f t="shared" si="40"/>
        <v>0</v>
      </c>
      <c r="AT319" s="325">
        <f t="shared" si="41"/>
        <v>0</v>
      </c>
    </row>
    <row r="320" spans="1:46" x14ac:dyDescent="0.35">
      <c r="A320" s="321" t="s">
        <v>1282</v>
      </c>
      <c r="B320" s="321" t="s">
        <v>1283</v>
      </c>
      <c r="C320" s="322" t="s">
        <v>520</v>
      </c>
      <c r="D320" s="323" t="s">
        <v>1319</v>
      </c>
      <c r="E320" s="323" t="s">
        <v>1320</v>
      </c>
      <c r="F320" s="323" t="s">
        <v>1526</v>
      </c>
      <c r="G320" s="323" t="s">
        <v>1892</v>
      </c>
      <c r="H320" s="323" t="s">
        <v>1527</v>
      </c>
      <c r="I320" s="322" t="s">
        <v>1958</v>
      </c>
      <c r="J320" s="323" t="s">
        <v>1532</v>
      </c>
      <c r="K320" s="323" t="s">
        <v>755</v>
      </c>
      <c r="L320" s="322" t="s">
        <v>1533</v>
      </c>
      <c r="M320" s="323" t="s">
        <v>1534</v>
      </c>
      <c r="N320" s="323"/>
      <c r="O320" s="322"/>
      <c r="P320" s="323"/>
      <c r="Q320" s="323"/>
      <c r="R320" s="324"/>
      <c r="S320" s="324"/>
      <c r="T320" s="324"/>
      <c r="U320" s="324"/>
      <c r="V320" s="324"/>
      <c r="W320" s="324"/>
      <c r="X320" s="324"/>
      <c r="Y320" s="324"/>
      <c r="Z320" s="324"/>
      <c r="AA320" s="324"/>
      <c r="AB320" s="324"/>
      <c r="AC320" s="324"/>
      <c r="AD320" s="324">
        <f t="shared" si="42"/>
        <v>0</v>
      </c>
      <c r="AE320" s="319"/>
      <c r="AF320" s="325"/>
      <c r="AG320" s="325"/>
      <c r="AH320" s="325"/>
      <c r="AI320" s="325"/>
      <c r="AJ320" s="325"/>
      <c r="AK320" s="325"/>
      <c r="AL320" s="325"/>
      <c r="AM320" s="325"/>
      <c r="AN320" s="325"/>
      <c r="AO320" s="325"/>
      <c r="AP320" s="325"/>
      <c r="AQ320" s="325"/>
      <c r="AR320" s="325">
        <f t="shared" si="43"/>
        <v>0</v>
      </c>
      <c r="AS320" s="325">
        <f t="shared" si="40"/>
        <v>0</v>
      </c>
      <c r="AT320" s="325">
        <f t="shared" si="41"/>
        <v>0</v>
      </c>
    </row>
    <row r="321" spans="1:46" x14ac:dyDescent="0.35">
      <c r="A321" s="321" t="s">
        <v>1282</v>
      </c>
      <c r="B321" s="321" t="s">
        <v>1283</v>
      </c>
      <c r="C321" s="322" t="s">
        <v>520</v>
      </c>
      <c r="D321" s="323" t="s">
        <v>1319</v>
      </c>
      <c r="E321" s="323" t="s">
        <v>1320</v>
      </c>
      <c r="F321" s="323" t="s">
        <v>1526</v>
      </c>
      <c r="G321" s="323" t="s">
        <v>1892</v>
      </c>
      <c r="H321" s="323" t="s">
        <v>1527</v>
      </c>
      <c r="I321" s="322" t="s">
        <v>1959</v>
      </c>
      <c r="J321" s="323" t="s">
        <v>1532</v>
      </c>
      <c r="K321" s="323" t="s">
        <v>755</v>
      </c>
      <c r="L321" s="322" t="s">
        <v>1533</v>
      </c>
      <c r="M321" s="323" t="s">
        <v>1534</v>
      </c>
      <c r="N321" s="323"/>
      <c r="O321" s="322"/>
      <c r="P321" s="323"/>
      <c r="Q321" s="323"/>
      <c r="R321" s="324"/>
      <c r="S321" s="324"/>
      <c r="T321" s="324"/>
      <c r="U321" s="324"/>
      <c r="V321" s="324"/>
      <c r="W321" s="324"/>
      <c r="X321" s="324"/>
      <c r="Y321" s="324"/>
      <c r="Z321" s="324"/>
      <c r="AA321" s="324"/>
      <c r="AB321" s="324"/>
      <c r="AC321" s="324"/>
      <c r="AD321" s="324">
        <f t="shared" si="42"/>
        <v>0</v>
      </c>
      <c r="AE321" s="319"/>
      <c r="AF321" s="325"/>
      <c r="AG321" s="325"/>
      <c r="AH321" s="325"/>
      <c r="AI321" s="325"/>
      <c r="AJ321" s="325"/>
      <c r="AK321" s="325"/>
      <c r="AL321" s="325"/>
      <c r="AM321" s="325"/>
      <c r="AN321" s="325"/>
      <c r="AO321" s="325"/>
      <c r="AP321" s="325"/>
      <c r="AQ321" s="325"/>
      <c r="AR321" s="325">
        <f t="shared" si="43"/>
        <v>0</v>
      </c>
      <c r="AS321" s="325">
        <f t="shared" si="40"/>
        <v>0</v>
      </c>
      <c r="AT321" s="325">
        <f t="shared" si="41"/>
        <v>0</v>
      </c>
    </row>
    <row r="322" spans="1:46" x14ac:dyDescent="0.35">
      <c r="A322" s="321" t="s">
        <v>1282</v>
      </c>
      <c r="B322" s="321" t="s">
        <v>1283</v>
      </c>
      <c r="C322" s="322" t="s">
        <v>520</v>
      </c>
      <c r="D322" s="323" t="s">
        <v>1319</v>
      </c>
      <c r="E322" s="323" t="s">
        <v>1320</v>
      </c>
      <c r="F322" s="323" t="s">
        <v>1526</v>
      </c>
      <c r="G322" s="323" t="s">
        <v>1892</v>
      </c>
      <c r="H322" s="323" t="s">
        <v>1527</v>
      </c>
      <c r="I322" s="322" t="s">
        <v>956</v>
      </c>
      <c r="J322" s="323" t="s">
        <v>1537</v>
      </c>
      <c r="K322" s="323" t="s">
        <v>755</v>
      </c>
      <c r="L322" s="322" t="s">
        <v>1538</v>
      </c>
      <c r="M322" s="323" t="s">
        <v>1539</v>
      </c>
      <c r="N322" s="323"/>
      <c r="O322" s="322"/>
      <c r="P322" s="323"/>
      <c r="Q322" s="323"/>
      <c r="R322" s="324"/>
      <c r="S322" s="324"/>
      <c r="T322" s="324"/>
      <c r="U322" s="324"/>
      <c r="V322" s="324"/>
      <c r="W322" s="324"/>
      <c r="X322" s="324"/>
      <c r="Y322" s="324"/>
      <c r="Z322" s="324"/>
      <c r="AA322" s="324"/>
      <c r="AB322" s="324"/>
      <c r="AC322" s="324"/>
      <c r="AD322" s="324">
        <f t="shared" si="42"/>
        <v>0</v>
      </c>
      <c r="AE322" s="319"/>
      <c r="AF322" s="325"/>
      <c r="AG322" s="325"/>
      <c r="AH322" s="325"/>
      <c r="AI322" s="325"/>
      <c r="AJ322" s="325"/>
      <c r="AK322" s="325"/>
      <c r="AL322" s="325"/>
      <c r="AM322" s="325"/>
      <c r="AN322" s="325"/>
      <c r="AO322" s="325"/>
      <c r="AP322" s="325"/>
      <c r="AQ322" s="325"/>
      <c r="AR322" s="325">
        <f t="shared" si="43"/>
        <v>0</v>
      </c>
      <c r="AS322" s="325">
        <f t="shared" si="40"/>
        <v>0</v>
      </c>
      <c r="AT322" s="325">
        <f t="shared" si="41"/>
        <v>0</v>
      </c>
    </row>
    <row r="323" spans="1:46" x14ac:dyDescent="0.35">
      <c r="A323" s="321" t="s">
        <v>1282</v>
      </c>
      <c r="B323" s="321" t="s">
        <v>1283</v>
      </c>
      <c r="C323" s="322" t="s">
        <v>520</v>
      </c>
      <c r="D323" s="323" t="s">
        <v>1319</v>
      </c>
      <c r="E323" s="323" t="s">
        <v>1320</v>
      </c>
      <c r="F323" s="323" t="s">
        <v>1526</v>
      </c>
      <c r="G323" s="323" t="s">
        <v>1892</v>
      </c>
      <c r="H323" s="323" t="s">
        <v>1527</v>
      </c>
      <c r="I323" s="322" t="s">
        <v>1960</v>
      </c>
      <c r="J323" s="323" t="s">
        <v>1537</v>
      </c>
      <c r="K323" s="323" t="s">
        <v>755</v>
      </c>
      <c r="L323" s="322" t="s">
        <v>1538</v>
      </c>
      <c r="M323" s="323" t="s">
        <v>1539</v>
      </c>
      <c r="N323" s="323"/>
      <c r="O323" s="322"/>
      <c r="P323" s="323"/>
      <c r="Q323" s="323"/>
      <c r="R323" s="324"/>
      <c r="S323" s="324"/>
      <c r="T323" s="324"/>
      <c r="U323" s="324"/>
      <c r="V323" s="324"/>
      <c r="W323" s="324"/>
      <c r="X323" s="324"/>
      <c r="Y323" s="324"/>
      <c r="Z323" s="324"/>
      <c r="AA323" s="324"/>
      <c r="AB323" s="324"/>
      <c r="AC323" s="324"/>
      <c r="AD323" s="324">
        <f t="shared" si="42"/>
        <v>0</v>
      </c>
      <c r="AE323" s="319"/>
      <c r="AF323" s="325"/>
      <c r="AG323" s="325"/>
      <c r="AH323" s="325"/>
      <c r="AI323" s="325"/>
      <c r="AJ323" s="325"/>
      <c r="AK323" s="325"/>
      <c r="AL323" s="325"/>
      <c r="AM323" s="325"/>
      <c r="AN323" s="325"/>
      <c r="AO323" s="325"/>
      <c r="AP323" s="325"/>
      <c r="AQ323" s="325"/>
      <c r="AR323" s="325">
        <f t="shared" si="43"/>
        <v>0</v>
      </c>
      <c r="AS323" s="325">
        <f t="shared" si="40"/>
        <v>0</v>
      </c>
      <c r="AT323" s="325">
        <f t="shared" si="41"/>
        <v>0</v>
      </c>
    </row>
    <row r="324" spans="1:46" x14ac:dyDescent="0.35">
      <c r="A324" s="321" t="s">
        <v>1282</v>
      </c>
      <c r="B324" s="321" t="s">
        <v>1283</v>
      </c>
      <c r="C324" s="322" t="s">
        <v>520</v>
      </c>
      <c r="D324" s="323" t="s">
        <v>1319</v>
      </c>
      <c r="E324" s="323" t="s">
        <v>1320</v>
      </c>
      <c r="F324" s="323" t="s">
        <v>1526</v>
      </c>
      <c r="G324" s="323" t="s">
        <v>1892</v>
      </c>
      <c r="H324" s="323" t="s">
        <v>1527</v>
      </c>
      <c r="I324" s="322" t="s">
        <v>1961</v>
      </c>
      <c r="J324" s="323" t="s">
        <v>1537</v>
      </c>
      <c r="K324" s="323" t="s">
        <v>755</v>
      </c>
      <c r="L324" s="322" t="s">
        <v>1538</v>
      </c>
      <c r="M324" s="323" t="s">
        <v>1539</v>
      </c>
      <c r="N324" s="323"/>
      <c r="O324" s="322"/>
      <c r="P324" s="323"/>
      <c r="Q324" s="323"/>
      <c r="R324" s="324"/>
      <c r="S324" s="324"/>
      <c r="T324" s="324"/>
      <c r="U324" s="324"/>
      <c r="V324" s="324"/>
      <c r="W324" s="324"/>
      <c r="X324" s="324"/>
      <c r="Y324" s="324"/>
      <c r="Z324" s="324"/>
      <c r="AA324" s="324"/>
      <c r="AB324" s="324"/>
      <c r="AC324" s="324"/>
      <c r="AD324" s="324">
        <f t="shared" si="42"/>
        <v>0</v>
      </c>
      <c r="AE324" s="319"/>
      <c r="AF324" s="325"/>
      <c r="AG324" s="325"/>
      <c r="AH324" s="325"/>
      <c r="AI324" s="325"/>
      <c r="AJ324" s="325"/>
      <c r="AK324" s="325"/>
      <c r="AL324" s="325"/>
      <c r="AM324" s="325"/>
      <c r="AN324" s="325"/>
      <c r="AO324" s="325"/>
      <c r="AP324" s="325"/>
      <c r="AQ324" s="325"/>
      <c r="AR324" s="325">
        <f t="shared" si="43"/>
        <v>0</v>
      </c>
      <c r="AS324" s="325">
        <f t="shared" si="40"/>
        <v>0</v>
      </c>
      <c r="AT324" s="325">
        <f t="shared" si="41"/>
        <v>0</v>
      </c>
    </row>
    <row r="325" spans="1:46" x14ac:dyDescent="0.35">
      <c r="A325" s="321" t="s">
        <v>1282</v>
      </c>
      <c r="B325" s="321" t="s">
        <v>1283</v>
      </c>
      <c r="C325" s="322" t="s">
        <v>520</v>
      </c>
      <c r="D325" s="323" t="s">
        <v>1319</v>
      </c>
      <c r="E325" s="323" t="s">
        <v>1320</v>
      </c>
      <c r="F325" s="323" t="s">
        <v>1545</v>
      </c>
      <c r="G325" s="323" t="s">
        <v>1892</v>
      </c>
      <c r="H325" s="323" t="s">
        <v>1546</v>
      </c>
      <c r="I325" s="322" t="s">
        <v>942</v>
      </c>
      <c r="J325" s="323" t="s">
        <v>991</v>
      </c>
      <c r="K325" s="323" t="s">
        <v>992</v>
      </c>
      <c r="L325" s="322" t="s">
        <v>1846</v>
      </c>
      <c r="M325" s="323" t="s">
        <v>1847</v>
      </c>
      <c r="N325" s="323"/>
      <c r="O325" s="322"/>
      <c r="P325" s="323"/>
      <c r="Q325" s="323"/>
      <c r="R325" s="324"/>
      <c r="S325" s="324"/>
      <c r="T325" s="324"/>
      <c r="U325" s="324"/>
      <c r="V325" s="324"/>
      <c r="W325" s="324"/>
      <c r="X325" s="324"/>
      <c r="Y325" s="324"/>
      <c r="Z325" s="324"/>
      <c r="AA325" s="324"/>
      <c r="AB325" s="324"/>
      <c r="AC325" s="324"/>
      <c r="AD325" s="324">
        <f t="shared" si="42"/>
        <v>0</v>
      </c>
      <c r="AE325" s="319"/>
      <c r="AF325" s="325"/>
      <c r="AG325" s="325"/>
      <c r="AH325" s="325"/>
      <c r="AI325" s="325"/>
      <c r="AJ325" s="325"/>
      <c r="AK325" s="325"/>
      <c r="AL325" s="325"/>
      <c r="AM325" s="325"/>
      <c r="AN325" s="325"/>
      <c r="AO325" s="325"/>
      <c r="AP325" s="325"/>
      <c r="AQ325" s="325"/>
      <c r="AR325" s="325">
        <f t="shared" si="43"/>
        <v>0</v>
      </c>
      <c r="AS325" s="325">
        <f t="shared" si="40"/>
        <v>0</v>
      </c>
      <c r="AT325" s="325">
        <f t="shared" si="41"/>
        <v>0</v>
      </c>
    </row>
    <row r="326" spans="1:46" x14ac:dyDescent="0.35">
      <c r="A326" s="321" t="s">
        <v>1282</v>
      </c>
      <c r="B326" s="321" t="s">
        <v>1283</v>
      </c>
      <c r="C326" s="322" t="s">
        <v>520</v>
      </c>
      <c r="D326" s="323" t="s">
        <v>1319</v>
      </c>
      <c r="E326" s="323" t="s">
        <v>1320</v>
      </c>
      <c r="F326" s="323" t="s">
        <v>1545</v>
      </c>
      <c r="G326" s="323" t="s">
        <v>1892</v>
      </c>
      <c r="H326" s="323" t="s">
        <v>1546</v>
      </c>
      <c r="I326" s="322" t="s">
        <v>1962</v>
      </c>
      <c r="J326" s="323" t="s">
        <v>993</v>
      </c>
      <c r="K326" s="323" t="s">
        <v>755</v>
      </c>
      <c r="L326" s="322" t="s">
        <v>1849</v>
      </c>
      <c r="M326" s="323" t="s">
        <v>1850</v>
      </c>
      <c r="N326" s="323"/>
      <c r="O326" s="322"/>
      <c r="P326" s="323"/>
      <c r="Q326" s="323"/>
      <c r="R326" s="324"/>
      <c r="S326" s="324"/>
      <c r="T326" s="324"/>
      <c r="U326" s="324"/>
      <c r="V326" s="324"/>
      <c r="W326" s="324"/>
      <c r="X326" s="324"/>
      <c r="Y326" s="324"/>
      <c r="Z326" s="324"/>
      <c r="AA326" s="324"/>
      <c r="AB326" s="324"/>
      <c r="AC326" s="324"/>
      <c r="AD326" s="324">
        <f t="shared" si="42"/>
        <v>0</v>
      </c>
      <c r="AE326" s="319"/>
      <c r="AF326" s="325"/>
      <c r="AG326" s="325"/>
      <c r="AH326" s="325"/>
      <c r="AI326" s="325"/>
      <c r="AJ326" s="325"/>
      <c r="AK326" s="325"/>
      <c r="AL326" s="325"/>
      <c r="AM326" s="325"/>
      <c r="AN326" s="325"/>
      <c r="AO326" s="325"/>
      <c r="AP326" s="325"/>
      <c r="AQ326" s="325"/>
      <c r="AR326" s="325">
        <f t="shared" si="43"/>
        <v>0</v>
      </c>
      <c r="AS326" s="325">
        <f t="shared" si="40"/>
        <v>0</v>
      </c>
      <c r="AT326" s="325">
        <f t="shared" si="41"/>
        <v>0</v>
      </c>
    </row>
    <row r="327" spans="1:46" x14ac:dyDescent="0.35">
      <c r="A327" s="321" t="s">
        <v>1282</v>
      </c>
      <c r="B327" s="321" t="s">
        <v>1283</v>
      </c>
      <c r="C327" s="322" t="s">
        <v>520</v>
      </c>
      <c r="D327" s="323" t="s">
        <v>1319</v>
      </c>
      <c r="E327" s="323" t="s">
        <v>1320</v>
      </c>
      <c r="F327" s="323" t="s">
        <v>1549</v>
      </c>
      <c r="G327" s="323" t="s">
        <v>1892</v>
      </c>
      <c r="H327" s="323" t="s">
        <v>1550</v>
      </c>
      <c r="I327" s="322" t="s">
        <v>917</v>
      </c>
      <c r="J327" s="323" t="s">
        <v>730</v>
      </c>
      <c r="K327" s="323" t="s">
        <v>731</v>
      </c>
      <c r="L327" s="322" t="s">
        <v>1551</v>
      </c>
      <c r="M327" s="323" t="s">
        <v>1552</v>
      </c>
      <c r="N327" s="323"/>
      <c r="O327" s="322"/>
      <c r="P327" s="323"/>
      <c r="Q327" s="323"/>
      <c r="R327" s="324"/>
      <c r="S327" s="324"/>
      <c r="T327" s="324"/>
      <c r="U327" s="324"/>
      <c r="V327" s="324"/>
      <c r="W327" s="324"/>
      <c r="X327" s="324"/>
      <c r="Y327" s="324"/>
      <c r="Z327" s="324"/>
      <c r="AA327" s="324"/>
      <c r="AB327" s="324"/>
      <c r="AC327" s="324"/>
      <c r="AD327" s="324">
        <f t="shared" si="42"/>
        <v>0</v>
      </c>
      <c r="AE327" s="319"/>
      <c r="AF327" s="325"/>
      <c r="AG327" s="325"/>
      <c r="AH327" s="325"/>
      <c r="AI327" s="325"/>
      <c r="AJ327" s="325"/>
      <c r="AK327" s="325"/>
      <c r="AL327" s="325"/>
      <c r="AM327" s="325"/>
      <c r="AN327" s="325"/>
      <c r="AO327" s="325"/>
      <c r="AP327" s="325"/>
      <c r="AQ327" s="325"/>
      <c r="AR327" s="325">
        <f t="shared" si="43"/>
        <v>0</v>
      </c>
      <c r="AS327" s="325">
        <f t="shared" si="40"/>
        <v>0</v>
      </c>
      <c r="AT327" s="325">
        <f t="shared" si="41"/>
        <v>0</v>
      </c>
    </row>
    <row r="328" spans="1:46" x14ac:dyDescent="0.35">
      <c r="A328" s="321" t="s">
        <v>1282</v>
      </c>
      <c r="B328" s="321" t="s">
        <v>1283</v>
      </c>
      <c r="C328" s="322" t="s">
        <v>520</v>
      </c>
      <c r="D328" s="323" t="s">
        <v>1319</v>
      </c>
      <c r="E328" s="323" t="s">
        <v>1320</v>
      </c>
      <c r="F328" s="323" t="s">
        <v>1549</v>
      </c>
      <c r="G328" s="323" t="s">
        <v>1892</v>
      </c>
      <c r="H328" s="323" t="s">
        <v>1550</v>
      </c>
      <c r="I328" s="322" t="s">
        <v>1963</v>
      </c>
      <c r="J328" s="323" t="s">
        <v>990</v>
      </c>
      <c r="K328" s="323" t="s">
        <v>493</v>
      </c>
      <c r="L328" s="322" t="s">
        <v>1856</v>
      </c>
      <c r="M328" s="323" t="s">
        <v>1857</v>
      </c>
      <c r="N328" s="323"/>
      <c r="O328" s="322"/>
      <c r="P328" s="323"/>
      <c r="Q328" s="323"/>
      <c r="R328" s="324"/>
      <c r="S328" s="324"/>
      <c r="T328" s="324"/>
      <c r="U328" s="324"/>
      <c r="V328" s="324"/>
      <c r="W328" s="324"/>
      <c r="X328" s="324"/>
      <c r="Y328" s="324"/>
      <c r="Z328" s="324"/>
      <c r="AA328" s="324"/>
      <c r="AB328" s="324"/>
      <c r="AC328" s="324"/>
      <c r="AD328" s="324">
        <f t="shared" si="42"/>
        <v>0</v>
      </c>
      <c r="AE328" s="319"/>
      <c r="AF328" s="325"/>
      <c r="AG328" s="325"/>
      <c r="AH328" s="325"/>
      <c r="AI328" s="325"/>
      <c r="AJ328" s="325"/>
      <c r="AK328" s="325"/>
      <c r="AL328" s="325"/>
      <c r="AM328" s="325"/>
      <c r="AN328" s="325"/>
      <c r="AO328" s="325"/>
      <c r="AP328" s="325"/>
      <c r="AQ328" s="325"/>
      <c r="AR328" s="325">
        <f t="shared" si="43"/>
        <v>0</v>
      </c>
      <c r="AS328" s="325">
        <f t="shared" si="40"/>
        <v>0</v>
      </c>
      <c r="AT328" s="325">
        <f t="shared" si="41"/>
        <v>0</v>
      </c>
    </row>
    <row r="329" spans="1:46" x14ac:dyDescent="0.35">
      <c r="A329" s="321" t="s">
        <v>1282</v>
      </c>
      <c r="B329" s="321" t="s">
        <v>1283</v>
      </c>
      <c r="C329" s="322" t="s">
        <v>520</v>
      </c>
      <c r="D329" s="323" t="s">
        <v>1319</v>
      </c>
      <c r="E329" s="323" t="s">
        <v>1320</v>
      </c>
      <c r="F329" s="323" t="s">
        <v>1321</v>
      </c>
      <c r="G329" s="323" t="s">
        <v>1892</v>
      </c>
      <c r="H329" s="323" t="s">
        <v>1323</v>
      </c>
      <c r="I329" s="322" t="s">
        <v>957</v>
      </c>
      <c r="J329" s="323" t="s">
        <v>872</v>
      </c>
      <c r="K329" s="323" t="s">
        <v>725</v>
      </c>
      <c r="L329" s="322" t="s">
        <v>1553</v>
      </c>
      <c r="M329" s="323" t="s">
        <v>1554</v>
      </c>
      <c r="N329" s="323"/>
      <c r="O329" s="322"/>
      <c r="P329" s="323"/>
      <c r="Q329" s="323"/>
      <c r="R329" s="324"/>
      <c r="S329" s="324"/>
      <c r="T329" s="324"/>
      <c r="U329" s="324"/>
      <c r="V329" s="324"/>
      <c r="W329" s="324"/>
      <c r="X329" s="324"/>
      <c r="Y329" s="324"/>
      <c r="Z329" s="324"/>
      <c r="AA329" s="324"/>
      <c r="AB329" s="324"/>
      <c r="AC329" s="324"/>
      <c r="AD329" s="324">
        <f t="shared" si="42"/>
        <v>0</v>
      </c>
      <c r="AE329" s="319"/>
      <c r="AF329" s="325"/>
      <c r="AG329" s="325"/>
      <c r="AH329" s="325"/>
      <c r="AI329" s="325"/>
      <c r="AJ329" s="325"/>
      <c r="AK329" s="325"/>
      <c r="AL329" s="325"/>
      <c r="AM329" s="325"/>
      <c r="AN329" s="325"/>
      <c r="AO329" s="325"/>
      <c r="AP329" s="325"/>
      <c r="AQ329" s="325"/>
      <c r="AR329" s="325">
        <f t="shared" si="43"/>
        <v>0</v>
      </c>
      <c r="AS329" s="325">
        <f t="shared" si="40"/>
        <v>0</v>
      </c>
      <c r="AT329" s="325">
        <f t="shared" si="41"/>
        <v>0</v>
      </c>
    </row>
    <row r="330" spans="1:46" x14ac:dyDescent="0.35">
      <c r="A330" s="321" t="s">
        <v>1282</v>
      </c>
      <c r="B330" s="321" t="s">
        <v>1283</v>
      </c>
      <c r="C330" s="322" t="s">
        <v>520</v>
      </c>
      <c r="D330" s="323" t="s">
        <v>1319</v>
      </c>
      <c r="E330" s="323" t="s">
        <v>1320</v>
      </c>
      <c r="F330" s="323" t="s">
        <v>1555</v>
      </c>
      <c r="G330" s="323" t="s">
        <v>1892</v>
      </c>
      <c r="H330" s="323" t="s">
        <v>1556</v>
      </c>
      <c r="I330" s="322" t="s">
        <v>937</v>
      </c>
      <c r="J330" s="323" t="s">
        <v>715</v>
      </c>
      <c r="K330" s="323" t="s">
        <v>977</v>
      </c>
      <c r="L330" s="322" t="s">
        <v>1557</v>
      </c>
      <c r="M330" s="323" t="s">
        <v>1556</v>
      </c>
      <c r="N330" s="323"/>
      <c r="O330" s="322"/>
      <c r="P330" s="323"/>
      <c r="Q330" s="323"/>
      <c r="R330" s="324"/>
      <c r="S330" s="324"/>
      <c r="T330" s="324"/>
      <c r="U330" s="324"/>
      <c r="V330" s="324"/>
      <c r="W330" s="324"/>
      <c r="X330" s="324"/>
      <c r="Y330" s="324"/>
      <c r="Z330" s="324"/>
      <c r="AA330" s="324"/>
      <c r="AB330" s="324"/>
      <c r="AC330" s="324"/>
      <c r="AD330" s="324">
        <f t="shared" si="42"/>
        <v>0</v>
      </c>
      <c r="AE330" s="319"/>
      <c r="AF330" s="325"/>
      <c r="AG330" s="325"/>
      <c r="AH330" s="325"/>
      <c r="AI330" s="325"/>
      <c r="AJ330" s="325"/>
      <c r="AK330" s="325"/>
      <c r="AL330" s="325"/>
      <c r="AM330" s="325"/>
      <c r="AN330" s="325"/>
      <c r="AO330" s="325"/>
      <c r="AP330" s="325"/>
      <c r="AQ330" s="325"/>
      <c r="AR330" s="325">
        <f t="shared" si="43"/>
        <v>0</v>
      </c>
      <c r="AS330" s="325">
        <f t="shared" si="40"/>
        <v>0</v>
      </c>
      <c r="AT330" s="325">
        <f t="shared" si="41"/>
        <v>0</v>
      </c>
    </row>
    <row r="331" spans="1:46" x14ac:dyDescent="0.35">
      <c r="A331" s="321" t="s">
        <v>1282</v>
      </c>
      <c r="B331" s="321" t="s">
        <v>1283</v>
      </c>
      <c r="C331" s="322" t="s">
        <v>520</v>
      </c>
      <c r="D331" s="323" t="s">
        <v>1319</v>
      </c>
      <c r="E331" s="323" t="s">
        <v>1320</v>
      </c>
      <c r="F331" s="323" t="s">
        <v>1860</v>
      </c>
      <c r="G331" s="323" t="s">
        <v>1892</v>
      </c>
      <c r="H331" s="323" t="s">
        <v>1861</v>
      </c>
      <c r="I331" s="322" t="s">
        <v>843</v>
      </c>
      <c r="J331" s="331" t="s">
        <v>936</v>
      </c>
      <c r="K331" s="323" t="s">
        <v>493</v>
      </c>
      <c r="L331" s="322" t="s">
        <v>1863</v>
      </c>
      <c r="M331" s="323" t="s">
        <v>1864</v>
      </c>
      <c r="N331" s="331"/>
      <c r="O331" s="322"/>
      <c r="P331" s="331"/>
      <c r="Q331" s="331"/>
      <c r="R331" s="324"/>
      <c r="S331" s="324"/>
      <c r="T331" s="324"/>
      <c r="U331" s="324"/>
      <c r="V331" s="324"/>
      <c r="W331" s="324"/>
      <c r="X331" s="324"/>
      <c r="Y331" s="324"/>
      <c r="Z331" s="324"/>
      <c r="AA331" s="324"/>
      <c r="AB331" s="324"/>
      <c r="AC331" s="324"/>
      <c r="AD331" s="326">
        <f t="shared" si="42"/>
        <v>0</v>
      </c>
      <c r="AE331" s="319"/>
      <c r="AF331" s="325"/>
      <c r="AG331" s="325"/>
      <c r="AH331" s="325"/>
      <c r="AI331" s="325"/>
      <c r="AJ331" s="325"/>
      <c r="AK331" s="325"/>
      <c r="AL331" s="325"/>
      <c r="AM331" s="325"/>
      <c r="AN331" s="325"/>
      <c r="AO331" s="325"/>
      <c r="AP331" s="325"/>
      <c r="AQ331" s="325"/>
      <c r="AR331" s="325">
        <f t="shared" si="43"/>
        <v>0</v>
      </c>
      <c r="AS331" s="325">
        <f t="shared" si="40"/>
        <v>0</v>
      </c>
      <c r="AT331" s="325">
        <f t="shared" si="41"/>
        <v>0</v>
      </c>
    </row>
    <row r="332" spans="1:46" x14ac:dyDescent="0.35">
      <c r="A332" s="321" t="s">
        <v>1282</v>
      </c>
      <c r="B332" s="321" t="s">
        <v>1283</v>
      </c>
      <c r="C332" s="322" t="s">
        <v>520</v>
      </c>
      <c r="D332" s="323" t="s">
        <v>1319</v>
      </c>
      <c r="E332" s="323" t="s">
        <v>1320</v>
      </c>
      <c r="F332" s="323" t="s">
        <v>1375</v>
      </c>
      <c r="G332" s="323" t="s">
        <v>1892</v>
      </c>
      <c r="H332" s="323" t="s">
        <v>1564</v>
      </c>
      <c r="I332" s="322" t="s">
        <v>1964</v>
      </c>
      <c r="J332" s="323" t="s">
        <v>1019</v>
      </c>
      <c r="K332" s="323" t="s">
        <v>729</v>
      </c>
      <c r="L332" s="322" t="s">
        <v>1965</v>
      </c>
      <c r="M332" s="323" t="s">
        <v>1966</v>
      </c>
      <c r="N332" s="323"/>
      <c r="O332" s="322"/>
      <c r="P332" s="323"/>
      <c r="Q332" s="323"/>
      <c r="R332" s="324"/>
      <c r="S332" s="324"/>
      <c r="T332" s="324"/>
      <c r="U332" s="324"/>
      <c r="V332" s="324"/>
      <c r="W332" s="324"/>
      <c r="X332" s="324"/>
      <c r="Y332" s="324"/>
      <c r="Z332" s="324"/>
      <c r="AA332" s="324"/>
      <c r="AB332" s="324"/>
      <c r="AC332" s="324"/>
      <c r="AD332" s="324">
        <f t="shared" si="42"/>
        <v>0</v>
      </c>
      <c r="AE332" s="319"/>
      <c r="AF332" s="325"/>
      <c r="AG332" s="325"/>
      <c r="AH332" s="325"/>
      <c r="AI332" s="325"/>
      <c r="AJ332" s="325"/>
      <c r="AK332" s="325"/>
      <c r="AL332" s="325"/>
      <c r="AM332" s="325"/>
      <c r="AN332" s="325"/>
      <c r="AO332" s="325"/>
      <c r="AP332" s="325"/>
      <c r="AQ332" s="325"/>
      <c r="AR332" s="325">
        <f t="shared" si="43"/>
        <v>0</v>
      </c>
      <c r="AS332" s="325">
        <f t="shared" si="40"/>
        <v>0</v>
      </c>
      <c r="AT332" s="325">
        <f t="shared" si="41"/>
        <v>0</v>
      </c>
    </row>
    <row r="333" spans="1:46" x14ac:dyDescent="0.35">
      <c r="A333" s="321" t="s">
        <v>1282</v>
      </c>
      <c r="B333" s="321" t="s">
        <v>1283</v>
      </c>
      <c r="C333" s="322" t="s">
        <v>520</v>
      </c>
      <c r="D333" s="323" t="s">
        <v>1319</v>
      </c>
      <c r="E333" s="323" t="s">
        <v>1320</v>
      </c>
      <c r="F333" s="323" t="s">
        <v>1375</v>
      </c>
      <c r="G333" s="323" t="s">
        <v>1892</v>
      </c>
      <c r="H333" s="323" t="s">
        <v>1564</v>
      </c>
      <c r="I333" s="322" t="s">
        <v>837</v>
      </c>
      <c r="J333" s="323" t="s">
        <v>728</v>
      </c>
      <c r="K333" s="323" t="s">
        <v>729</v>
      </c>
      <c r="L333" s="322" t="s">
        <v>1565</v>
      </c>
      <c r="M333" s="323" t="s">
        <v>1566</v>
      </c>
      <c r="N333" s="323"/>
      <c r="O333" s="322"/>
      <c r="P333" s="323"/>
      <c r="Q333" s="323"/>
      <c r="R333" s="324"/>
      <c r="S333" s="324"/>
      <c r="T333" s="324"/>
      <c r="U333" s="324"/>
      <c r="V333" s="324"/>
      <c r="W333" s="324"/>
      <c r="X333" s="324"/>
      <c r="Y333" s="324"/>
      <c r="Z333" s="324"/>
      <c r="AA333" s="324"/>
      <c r="AB333" s="324"/>
      <c r="AC333" s="324"/>
      <c r="AD333" s="324">
        <f t="shared" si="42"/>
        <v>0</v>
      </c>
      <c r="AE333" s="319"/>
      <c r="AF333" s="325"/>
      <c r="AG333" s="325"/>
      <c r="AH333" s="325"/>
      <c r="AI333" s="325"/>
      <c r="AJ333" s="325"/>
      <c r="AK333" s="325"/>
      <c r="AL333" s="325"/>
      <c r="AM333" s="325"/>
      <c r="AN333" s="325"/>
      <c r="AO333" s="325"/>
      <c r="AP333" s="325"/>
      <c r="AQ333" s="325"/>
      <c r="AR333" s="325">
        <f t="shared" si="43"/>
        <v>0</v>
      </c>
      <c r="AS333" s="325">
        <f t="shared" si="40"/>
        <v>0</v>
      </c>
      <c r="AT333" s="325">
        <f t="shared" si="41"/>
        <v>0</v>
      </c>
    </row>
    <row r="334" spans="1:46" x14ac:dyDescent="0.35">
      <c r="A334" s="321" t="s">
        <v>1282</v>
      </c>
      <c r="B334" s="321" t="s">
        <v>1283</v>
      </c>
      <c r="C334" s="322" t="s">
        <v>520</v>
      </c>
      <c r="D334" s="323" t="s">
        <v>1319</v>
      </c>
      <c r="E334" s="323" t="s">
        <v>1320</v>
      </c>
      <c r="F334" s="323" t="s">
        <v>1967</v>
      </c>
      <c r="G334" s="323" t="s">
        <v>1892</v>
      </c>
      <c r="H334" s="323" t="s">
        <v>1968</v>
      </c>
      <c r="I334" s="322" t="s">
        <v>1969</v>
      </c>
      <c r="J334" s="323" t="s">
        <v>1970</v>
      </c>
      <c r="K334" s="323" t="s">
        <v>729</v>
      </c>
      <c r="L334" s="322" t="s">
        <v>1971</v>
      </c>
      <c r="M334" s="323" t="s">
        <v>1972</v>
      </c>
      <c r="N334" s="323"/>
      <c r="O334" s="322"/>
      <c r="P334" s="323"/>
      <c r="Q334" s="323"/>
      <c r="R334" s="324"/>
      <c r="S334" s="324"/>
      <c r="T334" s="324"/>
      <c r="U334" s="324"/>
      <c r="V334" s="324"/>
      <c r="W334" s="324"/>
      <c r="X334" s="324"/>
      <c r="Y334" s="324"/>
      <c r="Z334" s="324"/>
      <c r="AA334" s="324"/>
      <c r="AB334" s="324"/>
      <c r="AC334" s="324"/>
      <c r="AD334" s="324">
        <f t="shared" si="42"/>
        <v>0</v>
      </c>
      <c r="AE334" s="319"/>
      <c r="AF334" s="325"/>
      <c r="AG334" s="325"/>
      <c r="AH334" s="325"/>
      <c r="AI334" s="325"/>
      <c r="AJ334" s="325"/>
      <c r="AK334" s="325"/>
      <c r="AL334" s="325"/>
      <c r="AM334" s="325"/>
      <c r="AN334" s="325"/>
      <c r="AO334" s="325"/>
      <c r="AP334" s="325"/>
      <c r="AQ334" s="325"/>
      <c r="AR334" s="325">
        <f t="shared" si="43"/>
        <v>0</v>
      </c>
      <c r="AS334" s="325">
        <f t="shared" ref="AS334:AS359" si="44">AD334-AR334</f>
        <v>0</v>
      </c>
      <c r="AT334" s="325">
        <f t="shared" ref="AT334:AT359" si="45">IFERROR(AS334/AR334,0)</f>
        <v>0</v>
      </c>
    </row>
    <row r="335" spans="1:46" x14ac:dyDescent="0.35">
      <c r="A335" s="321" t="s">
        <v>1282</v>
      </c>
      <c r="B335" s="321" t="s">
        <v>1283</v>
      </c>
      <c r="C335" s="322" t="s">
        <v>520</v>
      </c>
      <c r="D335" s="323" t="s">
        <v>1319</v>
      </c>
      <c r="E335" s="323" t="s">
        <v>1320</v>
      </c>
      <c r="F335" s="323" t="s">
        <v>1526</v>
      </c>
      <c r="G335" s="323" t="s">
        <v>1892</v>
      </c>
      <c r="H335" s="323" t="s">
        <v>1968</v>
      </c>
      <c r="I335" s="322" t="s">
        <v>1973</v>
      </c>
      <c r="J335" s="323" t="s">
        <v>1573</v>
      </c>
      <c r="K335" s="323" t="s">
        <v>755</v>
      </c>
      <c r="L335" s="322" t="s">
        <v>1574</v>
      </c>
      <c r="M335" s="323" t="s">
        <v>1575</v>
      </c>
      <c r="N335" s="323"/>
      <c r="O335" s="322"/>
      <c r="P335" s="323"/>
      <c r="Q335" s="323"/>
      <c r="R335" s="324"/>
      <c r="S335" s="324"/>
      <c r="T335" s="324"/>
      <c r="U335" s="324"/>
      <c r="V335" s="324"/>
      <c r="W335" s="324"/>
      <c r="X335" s="324"/>
      <c r="Y335" s="324"/>
      <c r="Z335" s="324"/>
      <c r="AA335" s="324"/>
      <c r="AB335" s="324"/>
      <c r="AC335" s="324"/>
      <c r="AD335" s="324">
        <f t="shared" si="42"/>
        <v>0</v>
      </c>
      <c r="AE335" s="319"/>
      <c r="AF335" s="325"/>
      <c r="AG335" s="325"/>
      <c r="AH335" s="325"/>
      <c r="AI335" s="325"/>
      <c r="AJ335" s="325"/>
      <c r="AK335" s="325"/>
      <c r="AL335" s="325"/>
      <c r="AM335" s="325"/>
      <c r="AN335" s="325"/>
      <c r="AO335" s="325"/>
      <c r="AP335" s="325"/>
      <c r="AQ335" s="325"/>
      <c r="AR335" s="325">
        <f t="shared" si="43"/>
        <v>0</v>
      </c>
      <c r="AS335" s="325">
        <f t="shared" si="44"/>
        <v>0</v>
      </c>
      <c r="AT335" s="325">
        <f t="shared" si="45"/>
        <v>0</v>
      </c>
    </row>
    <row r="336" spans="1:46" x14ac:dyDescent="0.35">
      <c r="A336" s="321" t="s">
        <v>1282</v>
      </c>
      <c r="B336" s="321" t="s">
        <v>1283</v>
      </c>
      <c r="C336" s="322" t="s">
        <v>520</v>
      </c>
      <c r="D336" s="323" t="s">
        <v>1319</v>
      </c>
      <c r="E336" s="323" t="s">
        <v>1320</v>
      </c>
      <c r="F336" s="323" t="s">
        <v>1576</v>
      </c>
      <c r="G336" s="323" t="s">
        <v>1892</v>
      </c>
      <c r="H336" s="323" t="s">
        <v>1577</v>
      </c>
      <c r="I336" s="322" t="s">
        <v>1974</v>
      </c>
      <c r="J336" s="323" t="s">
        <v>1022</v>
      </c>
      <c r="K336" s="323" t="s">
        <v>729</v>
      </c>
      <c r="L336" s="322" t="s">
        <v>1579</v>
      </c>
      <c r="M336" s="323" t="s">
        <v>1580</v>
      </c>
      <c r="N336" s="323"/>
      <c r="O336" s="322"/>
      <c r="P336" s="323"/>
      <c r="Q336" s="323"/>
      <c r="R336" s="324"/>
      <c r="S336" s="324"/>
      <c r="T336" s="324"/>
      <c r="U336" s="324"/>
      <c r="V336" s="324"/>
      <c r="W336" s="324"/>
      <c r="X336" s="324"/>
      <c r="Y336" s="324"/>
      <c r="Z336" s="324"/>
      <c r="AA336" s="324"/>
      <c r="AB336" s="324"/>
      <c r="AC336" s="324"/>
      <c r="AD336" s="324">
        <f t="shared" si="42"/>
        <v>0</v>
      </c>
      <c r="AE336" s="319"/>
      <c r="AF336" s="325"/>
      <c r="AG336" s="325"/>
      <c r="AH336" s="325"/>
      <c r="AI336" s="325"/>
      <c r="AJ336" s="325"/>
      <c r="AK336" s="325"/>
      <c r="AL336" s="325"/>
      <c r="AM336" s="325"/>
      <c r="AN336" s="325"/>
      <c r="AO336" s="325"/>
      <c r="AP336" s="325"/>
      <c r="AQ336" s="325"/>
      <c r="AR336" s="325">
        <f t="shared" si="43"/>
        <v>0</v>
      </c>
      <c r="AS336" s="325">
        <f t="shared" si="44"/>
        <v>0</v>
      </c>
      <c r="AT336" s="325">
        <f t="shared" si="45"/>
        <v>0</v>
      </c>
    </row>
    <row r="337" spans="1:46" x14ac:dyDescent="0.35">
      <c r="A337" s="321" t="s">
        <v>1282</v>
      </c>
      <c r="B337" s="321" t="s">
        <v>1283</v>
      </c>
      <c r="C337" s="322" t="s">
        <v>520</v>
      </c>
      <c r="D337" s="323" t="s">
        <v>1319</v>
      </c>
      <c r="E337" s="323" t="s">
        <v>1320</v>
      </c>
      <c r="F337" s="323" t="s">
        <v>1576</v>
      </c>
      <c r="G337" s="323" t="s">
        <v>1892</v>
      </c>
      <c r="H337" s="323" t="s">
        <v>1577</v>
      </c>
      <c r="I337" s="322" t="s">
        <v>1975</v>
      </c>
      <c r="J337" s="323" t="s">
        <v>983</v>
      </c>
      <c r="K337" s="323" t="s">
        <v>984</v>
      </c>
      <c r="L337" s="322" t="s">
        <v>1976</v>
      </c>
      <c r="M337" s="323" t="s">
        <v>1977</v>
      </c>
      <c r="N337" s="323"/>
      <c r="O337" s="322"/>
      <c r="P337" s="323"/>
      <c r="Q337" s="323"/>
      <c r="R337" s="324"/>
      <c r="S337" s="324"/>
      <c r="T337" s="324"/>
      <c r="U337" s="324"/>
      <c r="V337" s="324"/>
      <c r="W337" s="324"/>
      <c r="X337" s="324"/>
      <c r="Y337" s="324"/>
      <c r="Z337" s="324"/>
      <c r="AA337" s="324"/>
      <c r="AB337" s="324"/>
      <c r="AC337" s="324"/>
      <c r="AD337" s="324">
        <f t="shared" si="42"/>
        <v>0</v>
      </c>
      <c r="AE337" s="319"/>
      <c r="AF337" s="325"/>
      <c r="AG337" s="325"/>
      <c r="AH337" s="325"/>
      <c r="AI337" s="325"/>
      <c r="AJ337" s="325"/>
      <c r="AK337" s="325"/>
      <c r="AL337" s="325"/>
      <c r="AM337" s="325"/>
      <c r="AN337" s="325"/>
      <c r="AO337" s="325"/>
      <c r="AP337" s="325"/>
      <c r="AQ337" s="325"/>
      <c r="AR337" s="325">
        <f t="shared" si="43"/>
        <v>0</v>
      </c>
      <c r="AS337" s="325">
        <f t="shared" si="44"/>
        <v>0</v>
      </c>
      <c r="AT337" s="325">
        <f t="shared" si="45"/>
        <v>0</v>
      </c>
    </row>
    <row r="338" spans="1:46" x14ac:dyDescent="0.35">
      <c r="A338" s="321" t="s">
        <v>1282</v>
      </c>
      <c r="B338" s="321" t="s">
        <v>1283</v>
      </c>
      <c r="C338" s="322" t="s">
        <v>520</v>
      </c>
      <c r="D338" s="323" t="s">
        <v>1319</v>
      </c>
      <c r="E338" s="323" t="s">
        <v>1320</v>
      </c>
      <c r="F338" s="323" t="s">
        <v>1576</v>
      </c>
      <c r="G338" s="323" t="s">
        <v>1892</v>
      </c>
      <c r="H338" s="323" t="s">
        <v>1577</v>
      </c>
      <c r="I338" s="322" t="s">
        <v>1978</v>
      </c>
      <c r="J338" s="323" t="s">
        <v>983</v>
      </c>
      <c r="K338" s="323" t="s">
        <v>984</v>
      </c>
      <c r="L338" s="322" t="s">
        <v>1976</v>
      </c>
      <c r="M338" s="323" t="s">
        <v>1977</v>
      </c>
      <c r="N338" s="323"/>
      <c r="O338" s="322"/>
      <c r="P338" s="323"/>
      <c r="Q338" s="323"/>
      <c r="R338" s="324"/>
      <c r="S338" s="324"/>
      <c r="T338" s="324"/>
      <c r="U338" s="324"/>
      <c r="V338" s="324"/>
      <c r="W338" s="324"/>
      <c r="X338" s="324"/>
      <c r="Y338" s="324"/>
      <c r="Z338" s="324"/>
      <c r="AA338" s="324"/>
      <c r="AB338" s="324"/>
      <c r="AC338" s="324"/>
      <c r="AD338" s="324">
        <f t="shared" si="42"/>
        <v>0</v>
      </c>
      <c r="AE338" s="319"/>
      <c r="AF338" s="325"/>
      <c r="AG338" s="325"/>
      <c r="AH338" s="325"/>
      <c r="AI338" s="325"/>
      <c r="AJ338" s="325"/>
      <c r="AK338" s="325"/>
      <c r="AL338" s="325"/>
      <c r="AM338" s="325"/>
      <c r="AN338" s="325"/>
      <c r="AO338" s="325"/>
      <c r="AP338" s="325"/>
      <c r="AQ338" s="325"/>
      <c r="AR338" s="325">
        <f t="shared" si="43"/>
        <v>0</v>
      </c>
      <c r="AS338" s="325">
        <f t="shared" si="44"/>
        <v>0</v>
      </c>
      <c r="AT338" s="325">
        <f t="shared" si="45"/>
        <v>0</v>
      </c>
    </row>
    <row r="339" spans="1:46" x14ac:dyDescent="0.35">
      <c r="A339" s="321" t="s">
        <v>1282</v>
      </c>
      <c r="B339" s="321" t="s">
        <v>1283</v>
      </c>
      <c r="C339" s="322" t="s">
        <v>520</v>
      </c>
      <c r="D339" s="323" t="s">
        <v>1319</v>
      </c>
      <c r="E339" s="323" t="s">
        <v>1320</v>
      </c>
      <c r="F339" s="323" t="s">
        <v>1581</v>
      </c>
      <c r="G339" s="323" t="s">
        <v>1892</v>
      </c>
      <c r="H339" s="323" t="s">
        <v>1582</v>
      </c>
      <c r="I339" s="322" t="s">
        <v>839</v>
      </c>
      <c r="J339" s="323" t="s">
        <v>985</v>
      </c>
      <c r="K339" s="323" t="s">
        <v>716</v>
      </c>
      <c r="L339" s="322" t="s">
        <v>1584</v>
      </c>
      <c r="M339" s="323" t="s">
        <v>1585</v>
      </c>
      <c r="N339" s="323"/>
      <c r="O339" s="322"/>
      <c r="P339" s="323"/>
      <c r="Q339" s="323"/>
      <c r="R339" s="324"/>
      <c r="S339" s="324"/>
      <c r="T339" s="324"/>
      <c r="U339" s="324"/>
      <c r="V339" s="324"/>
      <c r="W339" s="324"/>
      <c r="X339" s="324"/>
      <c r="Y339" s="324"/>
      <c r="Z339" s="324"/>
      <c r="AA339" s="324"/>
      <c r="AB339" s="324"/>
      <c r="AC339" s="324"/>
      <c r="AD339" s="324">
        <f t="shared" si="42"/>
        <v>0</v>
      </c>
      <c r="AF339" s="327"/>
      <c r="AG339" s="327"/>
      <c r="AH339" s="327"/>
      <c r="AI339" s="327"/>
      <c r="AJ339" s="327"/>
      <c r="AK339" s="327"/>
      <c r="AL339" s="327"/>
      <c r="AM339" s="327"/>
      <c r="AN339" s="327"/>
      <c r="AO339" s="327"/>
      <c r="AP339" s="327"/>
      <c r="AQ339" s="327"/>
      <c r="AR339" s="325">
        <f t="shared" si="43"/>
        <v>0</v>
      </c>
      <c r="AS339" s="327">
        <f t="shared" si="44"/>
        <v>0</v>
      </c>
      <c r="AT339" s="327">
        <f t="shared" si="45"/>
        <v>0</v>
      </c>
    </row>
    <row r="340" spans="1:46" x14ac:dyDescent="0.35">
      <c r="A340" s="321" t="s">
        <v>1282</v>
      </c>
      <c r="B340" s="321" t="s">
        <v>1283</v>
      </c>
      <c r="C340" s="322" t="s">
        <v>520</v>
      </c>
      <c r="D340" s="323" t="s">
        <v>1319</v>
      </c>
      <c r="E340" s="323" t="s">
        <v>1320</v>
      </c>
      <c r="F340" s="323" t="s">
        <v>1581</v>
      </c>
      <c r="G340" s="323" t="s">
        <v>1892</v>
      </c>
      <c r="H340" s="323" t="s">
        <v>1582</v>
      </c>
      <c r="I340" s="322" t="s">
        <v>1979</v>
      </c>
      <c r="J340" s="323" t="s">
        <v>1980</v>
      </c>
      <c r="K340" s="323" t="s">
        <v>716</v>
      </c>
      <c r="L340" s="322" t="s">
        <v>1586</v>
      </c>
      <c r="M340" s="323"/>
      <c r="N340" s="323"/>
      <c r="O340" s="322"/>
      <c r="P340" s="323"/>
      <c r="Q340" s="323"/>
      <c r="R340" s="324"/>
      <c r="S340" s="324"/>
      <c r="T340" s="324"/>
      <c r="U340" s="324"/>
      <c r="V340" s="324"/>
      <c r="W340" s="324"/>
      <c r="X340" s="324"/>
      <c r="Y340" s="324"/>
      <c r="Z340" s="324"/>
      <c r="AA340" s="324"/>
      <c r="AB340" s="324"/>
      <c r="AC340" s="324"/>
      <c r="AD340" s="324"/>
      <c r="AF340" s="327"/>
      <c r="AG340" s="327"/>
      <c r="AH340" s="327"/>
      <c r="AI340" s="327"/>
      <c r="AJ340" s="327"/>
      <c r="AK340" s="327"/>
      <c r="AL340" s="327"/>
      <c r="AM340" s="327"/>
      <c r="AN340" s="327"/>
      <c r="AO340" s="327"/>
      <c r="AP340" s="327"/>
      <c r="AQ340" s="327"/>
      <c r="AR340" s="325">
        <f t="shared" si="43"/>
        <v>0</v>
      </c>
      <c r="AS340" s="327">
        <f t="shared" si="44"/>
        <v>0</v>
      </c>
      <c r="AT340" s="327">
        <f t="shared" si="45"/>
        <v>0</v>
      </c>
    </row>
    <row r="341" spans="1:46" x14ac:dyDescent="0.35">
      <c r="A341" s="321" t="s">
        <v>1282</v>
      </c>
      <c r="B341" s="321" t="s">
        <v>1283</v>
      </c>
      <c r="C341" s="322" t="s">
        <v>520</v>
      </c>
      <c r="D341" s="323" t="s">
        <v>1319</v>
      </c>
      <c r="E341" s="323" t="s">
        <v>1320</v>
      </c>
      <c r="F341" s="323" t="s">
        <v>1581</v>
      </c>
      <c r="G341" s="323" t="s">
        <v>1892</v>
      </c>
      <c r="H341" s="323" t="s">
        <v>1582</v>
      </c>
      <c r="I341" s="322" t="s">
        <v>916</v>
      </c>
      <c r="J341" s="323" t="s">
        <v>981</v>
      </c>
      <c r="K341" s="323" t="s">
        <v>982</v>
      </c>
      <c r="L341" s="322" t="s">
        <v>1981</v>
      </c>
      <c r="M341" s="323" t="s">
        <v>1982</v>
      </c>
      <c r="N341" s="323"/>
      <c r="O341" s="322"/>
      <c r="P341" s="323"/>
      <c r="Q341" s="323"/>
      <c r="R341" s="324"/>
      <c r="S341" s="324"/>
      <c r="T341" s="324"/>
      <c r="U341" s="324"/>
      <c r="V341" s="324"/>
      <c r="W341" s="324"/>
      <c r="X341" s="324"/>
      <c r="Y341" s="324"/>
      <c r="Z341" s="324"/>
      <c r="AA341" s="324"/>
      <c r="AB341" s="324"/>
      <c r="AC341" s="324"/>
      <c r="AD341" s="324">
        <f t="shared" ref="AD341:AD358" si="46">SUM(R341:AC341)</f>
        <v>0</v>
      </c>
      <c r="AF341" s="327"/>
      <c r="AG341" s="327"/>
      <c r="AH341" s="327"/>
      <c r="AI341" s="327"/>
      <c r="AJ341" s="327"/>
      <c r="AK341" s="327"/>
      <c r="AL341" s="327"/>
      <c r="AM341" s="327"/>
      <c r="AN341" s="327"/>
      <c r="AO341" s="327"/>
      <c r="AP341" s="327"/>
      <c r="AQ341" s="327"/>
      <c r="AR341" s="325">
        <f t="shared" si="43"/>
        <v>0</v>
      </c>
      <c r="AS341" s="327">
        <f t="shared" si="44"/>
        <v>0</v>
      </c>
      <c r="AT341" s="327">
        <f t="shared" si="45"/>
        <v>0</v>
      </c>
    </row>
    <row r="342" spans="1:46" x14ac:dyDescent="0.35">
      <c r="A342" s="321" t="s">
        <v>1282</v>
      </c>
      <c r="B342" s="321" t="s">
        <v>1283</v>
      </c>
      <c r="C342" s="322" t="s">
        <v>520</v>
      </c>
      <c r="D342" s="323" t="s">
        <v>1319</v>
      </c>
      <c r="E342" s="323" t="s">
        <v>1320</v>
      </c>
      <c r="F342" s="323" t="s">
        <v>1581</v>
      </c>
      <c r="G342" s="323" t="s">
        <v>1892</v>
      </c>
      <c r="H342" s="323" t="s">
        <v>1582</v>
      </c>
      <c r="I342" s="322" t="s">
        <v>963</v>
      </c>
      <c r="J342" s="323" t="s">
        <v>981</v>
      </c>
      <c r="K342" s="323" t="s">
        <v>982</v>
      </c>
      <c r="L342" s="322" t="s">
        <v>1981</v>
      </c>
      <c r="M342" s="323" t="s">
        <v>1982</v>
      </c>
      <c r="N342" s="323"/>
      <c r="O342" s="322"/>
      <c r="P342" s="323"/>
      <c r="Q342" s="323"/>
      <c r="R342" s="324"/>
      <c r="S342" s="324"/>
      <c r="T342" s="324"/>
      <c r="U342" s="324"/>
      <c r="V342" s="324"/>
      <c r="W342" s="324"/>
      <c r="X342" s="324"/>
      <c r="Y342" s="324"/>
      <c r="Z342" s="324"/>
      <c r="AA342" s="324"/>
      <c r="AB342" s="324"/>
      <c r="AC342" s="324"/>
      <c r="AD342" s="324">
        <f t="shared" si="46"/>
        <v>0</v>
      </c>
      <c r="AF342" s="327"/>
      <c r="AG342" s="327"/>
      <c r="AH342" s="327"/>
      <c r="AI342" s="327"/>
      <c r="AJ342" s="327"/>
      <c r="AK342" s="327"/>
      <c r="AL342" s="327"/>
      <c r="AM342" s="327"/>
      <c r="AN342" s="327"/>
      <c r="AO342" s="327"/>
      <c r="AP342" s="327"/>
      <c r="AQ342" s="327"/>
      <c r="AR342" s="325">
        <f t="shared" si="43"/>
        <v>0</v>
      </c>
      <c r="AS342" s="327">
        <f t="shared" si="44"/>
        <v>0</v>
      </c>
      <c r="AT342" s="327">
        <f t="shared" si="45"/>
        <v>0</v>
      </c>
    </row>
    <row r="343" spans="1:46" x14ac:dyDescent="0.35">
      <c r="A343" s="321" t="s">
        <v>1282</v>
      </c>
      <c r="B343" s="321" t="s">
        <v>1283</v>
      </c>
      <c r="C343" s="322" t="s">
        <v>520</v>
      </c>
      <c r="D343" s="323" t="s">
        <v>1319</v>
      </c>
      <c r="E343" s="323" t="s">
        <v>1320</v>
      </c>
      <c r="F343" s="323" t="s">
        <v>1581</v>
      </c>
      <c r="G343" s="323" t="s">
        <v>1892</v>
      </c>
      <c r="H343" s="323" t="s">
        <v>1582</v>
      </c>
      <c r="I343" s="322" t="s">
        <v>846</v>
      </c>
      <c r="J343" s="323" t="s">
        <v>734</v>
      </c>
      <c r="K343" s="323" t="s">
        <v>729</v>
      </c>
      <c r="L343" s="322" t="s">
        <v>1588</v>
      </c>
      <c r="M343" s="323" t="s">
        <v>1589</v>
      </c>
      <c r="N343" s="323"/>
      <c r="O343" s="322"/>
      <c r="P343" s="323"/>
      <c r="Q343" s="323"/>
      <c r="R343" s="324"/>
      <c r="S343" s="324"/>
      <c r="T343" s="324"/>
      <c r="U343" s="324"/>
      <c r="V343" s="324"/>
      <c r="W343" s="324"/>
      <c r="X343" s="324"/>
      <c r="Y343" s="324"/>
      <c r="Z343" s="324"/>
      <c r="AA343" s="324"/>
      <c r="AB343" s="324"/>
      <c r="AC343" s="324"/>
      <c r="AD343" s="324">
        <f t="shared" si="46"/>
        <v>0</v>
      </c>
      <c r="AF343" s="327"/>
      <c r="AG343" s="327"/>
      <c r="AH343" s="327"/>
      <c r="AI343" s="327"/>
      <c r="AJ343" s="327"/>
      <c r="AK343" s="327"/>
      <c r="AL343" s="327"/>
      <c r="AM343" s="327"/>
      <c r="AN343" s="327"/>
      <c r="AO343" s="327"/>
      <c r="AP343" s="327"/>
      <c r="AQ343" s="327"/>
      <c r="AR343" s="325">
        <f t="shared" si="43"/>
        <v>0</v>
      </c>
      <c r="AS343" s="327">
        <f t="shared" si="44"/>
        <v>0</v>
      </c>
      <c r="AT343" s="327">
        <f t="shared" si="45"/>
        <v>0</v>
      </c>
    </row>
    <row r="344" spans="1:46" x14ac:dyDescent="0.35">
      <c r="A344" s="314" t="s">
        <v>1282</v>
      </c>
      <c r="B344" s="314" t="s">
        <v>1283</v>
      </c>
      <c r="C344" s="315" t="s">
        <v>520</v>
      </c>
      <c r="D344" s="315"/>
      <c r="E344" s="315"/>
      <c r="F344" s="315"/>
      <c r="G344" s="315"/>
      <c r="H344" s="316" t="s">
        <v>1983</v>
      </c>
      <c r="I344" s="316" t="s">
        <v>1984</v>
      </c>
      <c r="J344" s="328"/>
      <c r="K344" s="315"/>
      <c r="L344" s="315"/>
      <c r="M344" s="315"/>
      <c r="N344" s="328"/>
      <c r="O344" s="316" t="s">
        <v>1984</v>
      </c>
      <c r="P344" s="328"/>
      <c r="Q344" s="328"/>
      <c r="R344" s="318">
        <f t="shared" ref="R344:AB344" si="47">SUM(R345:R358)</f>
        <v>0</v>
      </c>
      <c r="S344" s="318">
        <f t="shared" si="47"/>
        <v>0</v>
      </c>
      <c r="T344" s="318">
        <f t="shared" si="47"/>
        <v>0</v>
      </c>
      <c r="U344" s="318">
        <f t="shared" si="47"/>
        <v>0</v>
      </c>
      <c r="V344" s="318">
        <f t="shared" si="47"/>
        <v>0</v>
      </c>
      <c r="W344" s="318">
        <f t="shared" si="47"/>
        <v>0</v>
      </c>
      <c r="X344" s="318">
        <f t="shared" si="47"/>
        <v>0</v>
      </c>
      <c r="Y344" s="318">
        <f t="shared" si="47"/>
        <v>0</v>
      </c>
      <c r="Z344" s="318">
        <f t="shared" si="47"/>
        <v>0</v>
      </c>
      <c r="AA344" s="318">
        <f t="shared" si="47"/>
        <v>0</v>
      </c>
      <c r="AB344" s="318">
        <f t="shared" si="47"/>
        <v>0</v>
      </c>
      <c r="AC344" s="318">
        <f>SUM(AC345:AC358)</f>
        <v>0</v>
      </c>
      <c r="AD344" s="318">
        <f t="shared" si="46"/>
        <v>0</v>
      </c>
      <c r="AF344" s="318">
        <f>SUM(AF345:AF358)</f>
        <v>0</v>
      </c>
      <c r="AG344" s="318">
        <f t="shared" ref="AG344:AR344" si="48">SUM(AG345:AG358)</f>
        <v>0</v>
      </c>
      <c r="AH344" s="318">
        <f t="shared" si="48"/>
        <v>0</v>
      </c>
      <c r="AI344" s="318">
        <f t="shared" si="48"/>
        <v>0</v>
      </c>
      <c r="AJ344" s="318">
        <f t="shared" si="48"/>
        <v>0</v>
      </c>
      <c r="AK344" s="318">
        <f t="shared" si="48"/>
        <v>0</v>
      </c>
      <c r="AL344" s="318">
        <f t="shared" si="48"/>
        <v>0</v>
      </c>
      <c r="AM344" s="318">
        <f t="shared" si="48"/>
        <v>0</v>
      </c>
      <c r="AN344" s="318">
        <f t="shared" si="48"/>
        <v>0</v>
      </c>
      <c r="AO344" s="318">
        <f t="shared" si="48"/>
        <v>0</v>
      </c>
      <c r="AP344" s="318">
        <f t="shared" si="48"/>
        <v>0</v>
      </c>
      <c r="AQ344" s="318">
        <f t="shared" si="48"/>
        <v>0</v>
      </c>
      <c r="AR344" s="318">
        <f t="shared" si="48"/>
        <v>0</v>
      </c>
      <c r="AS344" s="318">
        <f t="shared" si="44"/>
        <v>0</v>
      </c>
      <c r="AT344" s="318">
        <f t="shared" si="45"/>
        <v>0</v>
      </c>
    </row>
    <row r="345" spans="1:46" x14ac:dyDescent="0.35">
      <c r="A345" s="321" t="s">
        <v>1282</v>
      </c>
      <c r="B345" s="321" t="s">
        <v>1283</v>
      </c>
      <c r="C345" s="322" t="s">
        <v>520</v>
      </c>
      <c r="D345" s="323" t="s">
        <v>854</v>
      </c>
      <c r="E345" s="323" t="s">
        <v>1592</v>
      </c>
      <c r="F345" s="323" t="s">
        <v>1593</v>
      </c>
      <c r="G345" s="323" t="s">
        <v>854</v>
      </c>
      <c r="H345" s="323" t="s">
        <v>1592</v>
      </c>
      <c r="I345" s="322" t="s">
        <v>1985</v>
      </c>
      <c r="J345" s="323" t="s">
        <v>1095</v>
      </c>
      <c r="K345" s="323" t="s">
        <v>1096</v>
      </c>
      <c r="L345" s="322" t="s">
        <v>1594</v>
      </c>
      <c r="M345" s="323" t="s">
        <v>1595</v>
      </c>
      <c r="N345" s="323"/>
      <c r="O345" s="322"/>
      <c r="P345" s="323"/>
      <c r="Q345" s="323"/>
      <c r="R345" s="324"/>
      <c r="S345" s="324"/>
      <c r="T345" s="324"/>
      <c r="U345" s="324"/>
      <c r="V345" s="324"/>
      <c r="W345" s="324"/>
      <c r="X345" s="324"/>
      <c r="Y345" s="324"/>
      <c r="Z345" s="324"/>
      <c r="AA345" s="324"/>
      <c r="AB345" s="324"/>
      <c r="AC345" s="324"/>
      <c r="AD345" s="324">
        <f t="shared" si="46"/>
        <v>0</v>
      </c>
      <c r="AF345" s="327"/>
      <c r="AG345" s="327"/>
      <c r="AH345" s="327"/>
      <c r="AI345" s="327"/>
      <c r="AJ345" s="327"/>
      <c r="AK345" s="327"/>
      <c r="AL345" s="327"/>
      <c r="AM345" s="327"/>
      <c r="AN345" s="327"/>
      <c r="AO345" s="327"/>
      <c r="AP345" s="327"/>
      <c r="AQ345" s="327"/>
      <c r="AR345" s="325">
        <f t="shared" si="43"/>
        <v>0</v>
      </c>
      <c r="AS345" s="327">
        <f t="shared" si="44"/>
        <v>0</v>
      </c>
      <c r="AT345" s="327">
        <f t="shared" si="45"/>
        <v>0</v>
      </c>
    </row>
    <row r="346" spans="1:46" x14ac:dyDescent="0.35">
      <c r="A346" s="321" t="s">
        <v>1282</v>
      </c>
      <c r="B346" s="321" t="s">
        <v>1283</v>
      </c>
      <c r="C346" s="322" t="s">
        <v>520</v>
      </c>
      <c r="D346" s="323" t="s">
        <v>854</v>
      </c>
      <c r="E346" s="323" t="s">
        <v>1592</v>
      </c>
      <c r="F346" s="323" t="s">
        <v>1593</v>
      </c>
      <c r="G346" s="323" t="s">
        <v>854</v>
      </c>
      <c r="H346" s="323" t="s">
        <v>1592</v>
      </c>
      <c r="I346" s="322" t="s">
        <v>1986</v>
      </c>
      <c r="J346" s="323" t="s">
        <v>1873</v>
      </c>
      <c r="K346" s="323" t="s">
        <v>1038</v>
      </c>
      <c r="L346" s="322" t="s">
        <v>1600</v>
      </c>
      <c r="M346" s="323" t="s">
        <v>1601</v>
      </c>
      <c r="N346" s="323"/>
      <c r="O346" s="322"/>
      <c r="P346" s="323"/>
      <c r="Q346" s="323"/>
      <c r="R346" s="324"/>
      <c r="S346" s="324"/>
      <c r="T346" s="324"/>
      <c r="U346" s="324"/>
      <c r="V346" s="324"/>
      <c r="W346" s="324"/>
      <c r="X346" s="324"/>
      <c r="Y346" s="324"/>
      <c r="Z346" s="324"/>
      <c r="AA346" s="324"/>
      <c r="AB346" s="324"/>
      <c r="AC346" s="324"/>
      <c r="AD346" s="324">
        <f t="shared" si="46"/>
        <v>0</v>
      </c>
      <c r="AF346" s="327"/>
      <c r="AG346" s="327"/>
      <c r="AH346" s="327"/>
      <c r="AI346" s="327"/>
      <c r="AJ346" s="327"/>
      <c r="AK346" s="327"/>
      <c r="AL346" s="327"/>
      <c r="AM346" s="327"/>
      <c r="AN346" s="327"/>
      <c r="AO346" s="327"/>
      <c r="AP346" s="327"/>
      <c r="AQ346" s="327"/>
      <c r="AR346" s="325">
        <f t="shared" si="43"/>
        <v>0</v>
      </c>
      <c r="AS346" s="327">
        <f t="shared" si="44"/>
        <v>0</v>
      </c>
      <c r="AT346" s="327">
        <f t="shared" si="45"/>
        <v>0</v>
      </c>
    </row>
    <row r="347" spans="1:46" x14ac:dyDescent="0.35">
      <c r="A347" s="321" t="s">
        <v>1282</v>
      </c>
      <c r="B347" s="321" t="s">
        <v>1283</v>
      </c>
      <c r="C347" s="322" t="s">
        <v>520</v>
      </c>
      <c r="D347" s="323" t="s">
        <v>854</v>
      </c>
      <c r="E347" s="323" t="s">
        <v>1592</v>
      </c>
      <c r="F347" s="323" t="s">
        <v>1593</v>
      </c>
      <c r="G347" s="323" t="s">
        <v>854</v>
      </c>
      <c r="H347" s="323" t="s">
        <v>1592</v>
      </c>
      <c r="I347" s="322" t="s">
        <v>959</v>
      </c>
      <c r="J347" s="323" t="s">
        <v>1092</v>
      </c>
      <c r="K347" s="323" t="s">
        <v>1602</v>
      </c>
      <c r="L347" s="322" t="s">
        <v>1603</v>
      </c>
      <c r="M347" s="323" t="s">
        <v>1604</v>
      </c>
      <c r="N347" s="323"/>
      <c r="O347" s="322"/>
      <c r="P347" s="323"/>
      <c r="Q347" s="323"/>
      <c r="R347" s="324"/>
      <c r="S347" s="324"/>
      <c r="T347" s="324"/>
      <c r="U347" s="324"/>
      <c r="V347" s="324"/>
      <c r="W347" s="324"/>
      <c r="X347" s="324"/>
      <c r="Y347" s="324"/>
      <c r="Z347" s="324"/>
      <c r="AA347" s="324"/>
      <c r="AB347" s="324"/>
      <c r="AC347" s="324"/>
      <c r="AD347" s="324">
        <f t="shared" si="46"/>
        <v>0</v>
      </c>
      <c r="AF347" s="327"/>
      <c r="AG347" s="327"/>
      <c r="AH347" s="327"/>
      <c r="AI347" s="327"/>
      <c r="AJ347" s="327"/>
      <c r="AK347" s="327"/>
      <c r="AL347" s="327"/>
      <c r="AM347" s="327"/>
      <c r="AN347" s="327"/>
      <c r="AO347" s="327"/>
      <c r="AP347" s="327"/>
      <c r="AQ347" s="327"/>
      <c r="AR347" s="325">
        <f t="shared" si="43"/>
        <v>0</v>
      </c>
      <c r="AS347" s="327">
        <f t="shared" si="44"/>
        <v>0</v>
      </c>
      <c r="AT347" s="327">
        <f t="shared" si="45"/>
        <v>0</v>
      </c>
    </row>
    <row r="348" spans="1:46" x14ac:dyDescent="0.35">
      <c r="A348" s="321" t="s">
        <v>1282</v>
      </c>
      <c r="B348" s="321" t="s">
        <v>1283</v>
      </c>
      <c r="C348" s="322" t="s">
        <v>520</v>
      </c>
      <c r="D348" s="323" t="s">
        <v>854</v>
      </c>
      <c r="E348" s="323" t="s">
        <v>1592</v>
      </c>
      <c r="F348" s="323" t="s">
        <v>1593</v>
      </c>
      <c r="G348" s="323" t="s">
        <v>854</v>
      </c>
      <c r="H348" s="323" t="s">
        <v>1592</v>
      </c>
      <c r="I348" s="322" t="s">
        <v>1987</v>
      </c>
      <c r="J348" s="323" t="s">
        <v>1106</v>
      </c>
      <c r="K348" s="323" t="s">
        <v>1107</v>
      </c>
      <c r="L348" s="322" t="s">
        <v>1605</v>
      </c>
      <c r="M348" s="323" t="s">
        <v>1606</v>
      </c>
      <c r="N348" s="323"/>
      <c r="O348" s="322"/>
      <c r="P348" s="323"/>
      <c r="Q348" s="323"/>
      <c r="R348" s="324"/>
      <c r="S348" s="324"/>
      <c r="T348" s="324"/>
      <c r="U348" s="324"/>
      <c r="V348" s="324"/>
      <c r="W348" s="324"/>
      <c r="X348" s="324"/>
      <c r="Y348" s="324"/>
      <c r="Z348" s="324"/>
      <c r="AA348" s="324"/>
      <c r="AB348" s="324"/>
      <c r="AC348" s="324"/>
      <c r="AD348" s="324">
        <f t="shared" si="46"/>
        <v>0</v>
      </c>
      <c r="AF348" s="327"/>
      <c r="AG348" s="327"/>
      <c r="AH348" s="327"/>
      <c r="AI348" s="327"/>
      <c r="AJ348" s="327"/>
      <c r="AK348" s="327"/>
      <c r="AL348" s="327"/>
      <c r="AM348" s="327"/>
      <c r="AN348" s="327"/>
      <c r="AO348" s="327"/>
      <c r="AP348" s="327"/>
      <c r="AQ348" s="327"/>
      <c r="AR348" s="325">
        <f t="shared" si="43"/>
        <v>0</v>
      </c>
      <c r="AS348" s="327">
        <f t="shared" si="44"/>
        <v>0</v>
      </c>
      <c r="AT348" s="327">
        <f t="shared" si="45"/>
        <v>0</v>
      </c>
    </row>
    <row r="349" spans="1:46" x14ac:dyDescent="0.35">
      <c r="A349" s="321" t="s">
        <v>1282</v>
      </c>
      <c r="B349" s="321" t="s">
        <v>1283</v>
      </c>
      <c r="C349" s="322" t="s">
        <v>520</v>
      </c>
      <c r="D349" s="323" t="s">
        <v>854</v>
      </c>
      <c r="E349" s="323" t="s">
        <v>1592</v>
      </c>
      <c r="F349" s="323" t="s">
        <v>1593</v>
      </c>
      <c r="G349" s="323" t="s">
        <v>854</v>
      </c>
      <c r="H349" s="323" t="s">
        <v>1592</v>
      </c>
      <c r="I349" s="322" t="s">
        <v>1988</v>
      </c>
      <c r="J349" s="323" t="s">
        <v>1989</v>
      </c>
      <c r="K349" s="323" t="s">
        <v>1602</v>
      </c>
      <c r="L349" s="322" t="s">
        <v>1607</v>
      </c>
      <c r="M349" s="323" t="s">
        <v>1608</v>
      </c>
      <c r="N349" s="323"/>
      <c r="O349" s="322"/>
      <c r="P349" s="323"/>
      <c r="Q349" s="323"/>
      <c r="R349" s="324"/>
      <c r="S349" s="324"/>
      <c r="T349" s="324"/>
      <c r="U349" s="324"/>
      <c r="V349" s="324"/>
      <c r="W349" s="324"/>
      <c r="X349" s="324"/>
      <c r="Y349" s="324"/>
      <c r="Z349" s="324"/>
      <c r="AA349" s="324"/>
      <c r="AB349" s="324"/>
      <c r="AC349" s="324"/>
      <c r="AD349" s="324">
        <f t="shared" si="46"/>
        <v>0</v>
      </c>
      <c r="AF349" s="327"/>
      <c r="AG349" s="327"/>
      <c r="AH349" s="327"/>
      <c r="AI349" s="327"/>
      <c r="AJ349" s="327"/>
      <c r="AK349" s="327"/>
      <c r="AL349" s="327"/>
      <c r="AM349" s="327"/>
      <c r="AN349" s="327"/>
      <c r="AO349" s="327"/>
      <c r="AP349" s="327"/>
      <c r="AQ349" s="327"/>
      <c r="AR349" s="325">
        <f t="shared" si="43"/>
        <v>0</v>
      </c>
      <c r="AS349" s="327">
        <f t="shared" si="44"/>
        <v>0</v>
      </c>
      <c r="AT349" s="327">
        <f t="shared" si="45"/>
        <v>0</v>
      </c>
    </row>
    <row r="350" spans="1:46" x14ac:dyDescent="0.35">
      <c r="A350" s="321" t="s">
        <v>1282</v>
      </c>
      <c r="B350" s="321" t="s">
        <v>1283</v>
      </c>
      <c r="C350" s="322" t="s">
        <v>520</v>
      </c>
      <c r="D350" s="323" t="s">
        <v>854</v>
      </c>
      <c r="E350" s="323" t="s">
        <v>1592</v>
      </c>
      <c r="F350" s="323" t="s">
        <v>1593</v>
      </c>
      <c r="G350" s="323" t="s">
        <v>854</v>
      </c>
      <c r="H350" s="323" t="s">
        <v>1592</v>
      </c>
      <c r="I350" s="322" t="s">
        <v>915</v>
      </c>
      <c r="J350" s="323" t="s">
        <v>1130</v>
      </c>
      <c r="K350" s="323" t="s">
        <v>1131</v>
      </c>
      <c r="L350" s="322" t="s">
        <v>1611</v>
      </c>
      <c r="M350" s="323" t="s">
        <v>1612</v>
      </c>
      <c r="N350" s="323"/>
      <c r="O350" s="322"/>
      <c r="P350" s="323"/>
      <c r="Q350" s="323"/>
      <c r="R350" s="324"/>
      <c r="S350" s="324"/>
      <c r="T350" s="324"/>
      <c r="U350" s="324"/>
      <c r="V350" s="324"/>
      <c r="W350" s="324"/>
      <c r="X350" s="324"/>
      <c r="Y350" s="324"/>
      <c r="Z350" s="324"/>
      <c r="AA350" s="324"/>
      <c r="AB350" s="324"/>
      <c r="AC350" s="324"/>
      <c r="AD350" s="324">
        <f t="shared" si="46"/>
        <v>0</v>
      </c>
      <c r="AF350" s="327"/>
      <c r="AG350" s="327"/>
      <c r="AH350" s="327"/>
      <c r="AI350" s="327"/>
      <c r="AJ350" s="327"/>
      <c r="AK350" s="327"/>
      <c r="AL350" s="327"/>
      <c r="AM350" s="327"/>
      <c r="AN350" s="327"/>
      <c r="AO350" s="327"/>
      <c r="AP350" s="327"/>
      <c r="AQ350" s="327"/>
      <c r="AR350" s="325">
        <f t="shared" si="43"/>
        <v>0</v>
      </c>
      <c r="AS350" s="327">
        <f t="shared" si="44"/>
        <v>0</v>
      </c>
      <c r="AT350" s="327">
        <f t="shared" si="45"/>
        <v>0</v>
      </c>
    </row>
    <row r="351" spans="1:46" x14ac:dyDescent="0.35">
      <c r="A351" s="321" t="s">
        <v>1282</v>
      </c>
      <c r="B351" s="321" t="s">
        <v>1283</v>
      </c>
      <c r="C351" s="322" t="s">
        <v>520</v>
      </c>
      <c r="D351" s="323" t="s">
        <v>854</v>
      </c>
      <c r="E351" s="323" t="s">
        <v>1592</v>
      </c>
      <c r="F351" s="323" t="s">
        <v>1593</v>
      </c>
      <c r="G351" s="323" t="s">
        <v>854</v>
      </c>
      <c r="H351" s="323" t="s">
        <v>1592</v>
      </c>
      <c r="I351" s="322" t="s">
        <v>1990</v>
      </c>
      <c r="J351" s="323" t="s">
        <v>1083</v>
      </c>
      <c r="K351" s="323" t="s">
        <v>1613</v>
      </c>
      <c r="L351" s="322" t="s">
        <v>1614</v>
      </c>
      <c r="M351" s="323" t="s">
        <v>1615</v>
      </c>
      <c r="N351" s="323"/>
      <c r="O351" s="322"/>
      <c r="P351" s="323"/>
      <c r="Q351" s="323"/>
      <c r="R351" s="324"/>
      <c r="S351" s="324"/>
      <c r="T351" s="324"/>
      <c r="U351" s="324"/>
      <c r="V351" s="324"/>
      <c r="W351" s="324"/>
      <c r="X351" s="324"/>
      <c r="Y351" s="324"/>
      <c r="Z351" s="324"/>
      <c r="AA351" s="324"/>
      <c r="AB351" s="324"/>
      <c r="AC351" s="324"/>
      <c r="AD351" s="324">
        <f t="shared" si="46"/>
        <v>0</v>
      </c>
      <c r="AF351" s="327"/>
      <c r="AG351" s="327"/>
      <c r="AH351" s="327"/>
      <c r="AI351" s="327"/>
      <c r="AJ351" s="327"/>
      <c r="AK351" s="327"/>
      <c r="AL351" s="327"/>
      <c r="AM351" s="327"/>
      <c r="AN351" s="327"/>
      <c r="AO351" s="327"/>
      <c r="AP351" s="327"/>
      <c r="AQ351" s="327"/>
      <c r="AR351" s="325">
        <f t="shared" si="43"/>
        <v>0</v>
      </c>
      <c r="AS351" s="327">
        <f t="shared" si="44"/>
        <v>0</v>
      </c>
      <c r="AT351" s="327">
        <f t="shared" si="45"/>
        <v>0</v>
      </c>
    </row>
    <row r="352" spans="1:46" x14ac:dyDescent="0.35">
      <c r="A352" s="321" t="s">
        <v>1282</v>
      </c>
      <c r="B352" s="321" t="s">
        <v>1283</v>
      </c>
      <c r="C352" s="322" t="s">
        <v>520</v>
      </c>
      <c r="D352" s="323" t="s">
        <v>854</v>
      </c>
      <c r="E352" s="323" t="s">
        <v>1592</v>
      </c>
      <c r="F352" s="323" t="s">
        <v>1593</v>
      </c>
      <c r="G352" s="323" t="s">
        <v>854</v>
      </c>
      <c r="H352" s="323" t="s">
        <v>1592</v>
      </c>
      <c r="I352" s="322" t="s">
        <v>1991</v>
      </c>
      <c r="J352" s="323" t="s">
        <v>1617</v>
      </c>
      <c r="K352" s="323" t="s">
        <v>1618</v>
      </c>
      <c r="L352" s="322" t="s">
        <v>1619</v>
      </c>
      <c r="M352" s="323" t="s">
        <v>1620</v>
      </c>
      <c r="N352" s="323"/>
      <c r="O352" s="322"/>
      <c r="P352" s="323"/>
      <c r="Q352" s="323"/>
      <c r="R352" s="324"/>
      <c r="S352" s="324"/>
      <c r="T352" s="324"/>
      <c r="U352" s="324"/>
      <c r="V352" s="324"/>
      <c r="W352" s="324"/>
      <c r="X352" s="324"/>
      <c r="Y352" s="324"/>
      <c r="Z352" s="324"/>
      <c r="AA352" s="324"/>
      <c r="AB352" s="324"/>
      <c r="AC352" s="324"/>
      <c r="AD352" s="324">
        <f t="shared" si="46"/>
        <v>0</v>
      </c>
      <c r="AF352" s="327"/>
      <c r="AG352" s="327"/>
      <c r="AH352" s="327"/>
      <c r="AI352" s="327"/>
      <c r="AJ352" s="327"/>
      <c r="AK352" s="327"/>
      <c r="AL352" s="327"/>
      <c r="AM352" s="327"/>
      <c r="AN352" s="327"/>
      <c r="AO352" s="327"/>
      <c r="AP352" s="327"/>
      <c r="AQ352" s="327"/>
      <c r="AR352" s="325">
        <f t="shared" si="43"/>
        <v>0</v>
      </c>
      <c r="AS352" s="327">
        <f t="shared" si="44"/>
        <v>0</v>
      </c>
      <c r="AT352" s="327">
        <f t="shared" si="45"/>
        <v>0</v>
      </c>
    </row>
    <row r="353" spans="1:46" x14ac:dyDescent="0.35">
      <c r="A353" s="321" t="s">
        <v>1282</v>
      </c>
      <c r="B353" s="321" t="s">
        <v>1283</v>
      </c>
      <c r="C353" s="322" t="s">
        <v>520</v>
      </c>
      <c r="D353" s="323" t="s">
        <v>854</v>
      </c>
      <c r="E353" s="323" t="s">
        <v>1592</v>
      </c>
      <c r="F353" s="323" t="s">
        <v>1593</v>
      </c>
      <c r="G353" s="323" t="s">
        <v>854</v>
      </c>
      <c r="H353" s="323" t="s">
        <v>1592</v>
      </c>
      <c r="I353" s="322" t="s">
        <v>1992</v>
      </c>
      <c r="J353" s="323" t="s">
        <v>1993</v>
      </c>
      <c r="K353" s="323" t="s">
        <v>1882</v>
      </c>
      <c r="L353" s="322" t="s">
        <v>1994</v>
      </c>
      <c r="M353" s="323" t="s">
        <v>1995</v>
      </c>
      <c r="N353" s="323"/>
      <c r="O353" s="322"/>
      <c r="P353" s="323"/>
      <c r="Q353" s="323"/>
      <c r="R353" s="324"/>
      <c r="S353" s="324"/>
      <c r="T353" s="324"/>
      <c r="U353" s="324"/>
      <c r="V353" s="324"/>
      <c r="W353" s="324"/>
      <c r="X353" s="324"/>
      <c r="Y353" s="324"/>
      <c r="Z353" s="324"/>
      <c r="AA353" s="324"/>
      <c r="AB353" s="324"/>
      <c r="AC353" s="324"/>
      <c r="AD353" s="324">
        <f t="shared" si="46"/>
        <v>0</v>
      </c>
      <c r="AF353" s="327"/>
      <c r="AG353" s="327"/>
      <c r="AH353" s="327"/>
      <c r="AI353" s="327"/>
      <c r="AJ353" s="327"/>
      <c r="AK353" s="327"/>
      <c r="AL353" s="327"/>
      <c r="AM353" s="327"/>
      <c r="AN353" s="327"/>
      <c r="AO353" s="327"/>
      <c r="AP353" s="327"/>
      <c r="AQ353" s="327"/>
      <c r="AR353" s="325">
        <f t="shared" si="43"/>
        <v>0</v>
      </c>
      <c r="AS353" s="327">
        <f t="shared" si="44"/>
        <v>0</v>
      </c>
      <c r="AT353" s="327">
        <f t="shared" si="45"/>
        <v>0</v>
      </c>
    </row>
    <row r="354" spans="1:46" x14ac:dyDescent="0.35">
      <c r="A354" s="321" t="s">
        <v>1282</v>
      </c>
      <c r="B354" s="321" t="s">
        <v>1283</v>
      </c>
      <c r="C354" s="322" t="s">
        <v>520</v>
      </c>
      <c r="D354" s="323" t="s">
        <v>854</v>
      </c>
      <c r="E354" s="323" t="s">
        <v>1592</v>
      </c>
      <c r="F354" s="323" t="s">
        <v>1593</v>
      </c>
      <c r="G354" s="323" t="s">
        <v>854</v>
      </c>
      <c r="H354" s="323" t="s">
        <v>1592</v>
      </c>
      <c r="I354" s="322" t="s">
        <v>1996</v>
      </c>
      <c r="J354" s="323" t="s">
        <v>1997</v>
      </c>
      <c r="K354" s="323" t="s">
        <v>1882</v>
      </c>
      <c r="L354" s="322" t="s">
        <v>1998</v>
      </c>
      <c r="M354" s="323" t="s">
        <v>1999</v>
      </c>
      <c r="N354" s="323"/>
      <c r="O354" s="322"/>
      <c r="P354" s="323"/>
      <c r="Q354" s="323"/>
      <c r="R354" s="324"/>
      <c r="S354" s="324"/>
      <c r="T354" s="324"/>
      <c r="U354" s="324"/>
      <c r="V354" s="324"/>
      <c r="W354" s="324"/>
      <c r="X354" s="324"/>
      <c r="Y354" s="324"/>
      <c r="Z354" s="324"/>
      <c r="AA354" s="324"/>
      <c r="AB354" s="324"/>
      <c r="AC354" s="324"/>
      <c r="AD354" s="324">
        <f t="shared" si="46"/>
        <v>0</v>
      </c>
      <c r="AF354" s="327"/>
      <c r="AG354" s="327"/>
      <c r="AH354" s="327"/>
      <c r="AI354" s="327"/>
      <c r="AJ354" s="327"/>
      <c r="AK354" s="327"/>
      <c r="AL354" s="327"/>
      <c r="AM354" s="327"/>
      <c r="AN354" s="327"/>
      <c r="AO354" s="327"/>
      <c r="AP354" s="327"/>
      <c r="AQ354" s="327"/>
      <c r="AR354" s="325">
        <f t="shared" si="43"/>
        <v>0</v>
      </c>
      <c r="AS354" s="327">
        <f t="shared" si="44"/>
        <v>0</v>
      </c>
      <c r="AT354" s="327">
        <f t="shared" si="45"/>
        <v>0</v>
      </c>
    </row>
    <row r="355" spans="1:46" x14ac:dyDescent="0.35">
      <c r="A355" s="321" t="s">
        <v>1282</v>
      </c>
      <c r="B355" s="321" t="s">
        <v>1283</v>
      </c>
      <c r="C355" s="322" t="s">
        <v>520</v>
      </c>
      <c r="D355" s="323" t="s">
        <v>854</v>
      </c>
      <c r="E355" s="323" t="s">
        <v>1592</v>
      </c>
      <c r="F355" s="323" t="s">
        <v>1593</v>
      </c>
      <c r="G355" s="323" t="s">
        <v>854</v>
      </c>
      <c r="H355" s="323" t="s">
        <v>1592</v>
      </c>
      <c r="I355" s="322" t="s">
        <v>2000</v>
      </c>
      <c r="J355" s="323" t="s">
        <v>1881</v>
      </c>
      <c r="K355" s="323" t="s">
        <v>1882</v>
      </c>
      <c r="L355" s="322" t="s">
        <v>1883</v>
      </c>
      <c r="M355" s="323" t="s">
        <v>1884</v>
      </c>
      <c r="N355" s="323"/>
      <c r="O355" s="322"/>
      <c r="P355" s="323"/>
      <c r="Q355" s="323"/>
      <c r="R355" s="324"/>
      <c r="S355" s="324"/>
      <c r="T355" s="324"/>
      <c r="U355" s="324"/>
      <c r="V355" s="324"/>
      <c r="W355" s="324"/>
      <c r="X355" s="324"/>
      <c r="Y355" s="324"/>
      <c r="Z355" s="324"/>
      <c r="AA355" s="324"/>
      <c r="AB355" s="324"/>
      <c r="AC355" s="324"/>
      <c r="AD355" s="324">
        <f t="shared" si="46"/>
        <v>0</v>
      </c>
      <c r="AF355" s="327"/>
      <c r="AG355" s="327"/>
      <c r="AH355" s="327"/>
      <c r="AI355" s="327"/>
      <c r="AJ355" s="327"/>
      <c r="AK355" s="327"/>
      <c r="AL355" s="327"/>
      <c r="AM355" s="327"/>
      <c r="AN355" s="327"/>
      <c r="AO355" s="327"/>
      <c r="AP355" s="327"/>
      <c r="AQ355" s="327"/>
      <c r="AR355" s="325">
        <f t="shared" si="43"/>
        <v>0</v>
      </c>
      <c r="AS355" s="327">
        <f t="shared" si="44"/>
        <v>0</v>
      </c>
      <c r="AT355" s="327">
        <f t="shared" si="45"/>
        <v>0</v>
      </c>
    </row>
    <row r="356" spans="1:46" x14ac:dyDescent="0.35">
      <c r="A356" s="321" t="s">
        <v>1282</v>
      </c>
      <c r="B356" s="321" t="s">
        <v>1283</v>
      </c>
      <c r="C356" s="322" t="s">
        <v>520</v>
      </c>
      <c r="D356" s="323" t="s">
        <v>854</v>
      </c>
      <c r="E356" s="323" t="s">
        <v>1592</v>
      </c>
      <c r="F356" s="323" t="s">
        <v>1593</v>
      </c>
      <c r="G356" s="323" t="s">
        <v>854</v>
      </c>
      <c r="H356" s="323" t="s">
        <v>1592</v>
      </c>
      <c r="I356" s="322" t="s">
        <v>2001</v>
      </c>
      <c r="J356" s="323" t="s">
        <v>2002</v>
      </c>
      <c r="K356" s="323" t="s">
        <v>2003</v>
      </c>
      <c r="L356" s="322" t="s">
        <v>2004</v>
      </c>
      <c r="M356" s="323" t="s">
        <v>2005</v>
      </c>
      <c r="N356" s="323"/>
      <c r="O356" s="322"/>
      <c r="P356" s="323"/>
      <c r="Q356" s="323"/>
      <c r="R356" s="324"/>
      <c r="S356" s="324"/>
      <c r="T356" s="324"/>
      <c r="U356" s="324"/>
      <c r="V356" s="324"/>
      <c r="W356" s="324"/>
      <c r="X356" s="324"/>
      <c r="Y356" s="324"/>
      <c r="Z356" s="324"/>
      <c r="AA356" s="324"/>
      <c r="AB356" s="324"/>
      <c r="AC356" s="324"/>
      <c r="AD356" s="324">
        <f t="shared" si="46"/>
        <v>0</v>
      </c>
      <c r="AE356" s="319"/>
      <c r="AF356" s="342"/>
      <c r="AG356" s="342"/>
      <c r="AH356" s="342"/>
      <c r="AI356" s="342"/>
      <c r="AJ356" s="342"/>
      <c r="AK356" s="342"/>
      <c r="AL356" s="342"/>
      <c r="AM356" s="342"/>
      <c r="AN356" s="342"/>
      <c r="AO356" s="342"/>
      <c r="AP356" s="342"/>
      <c r="AQ356" s="342"/>
      <c r="AR356" s="325">
        <f t="shared" si="43"/>
        <v>0</v>
      </c>
      <c r="AS356" s="342">
        <f t="shared" si="44"/>
        <v>0</v>
      </c>
      <c r="AT356" s="342">
        <f t="shared" si="45"/>
        <v>0</v>
      </c>
    </row>
    <row r="357" spans="1:46" x14ac:dyDescent="0.35">
      <c r="A357" s="321" t="s">
        <v>1282</v>
      </c>
      <c r="B357" s="321" t="s">
        <v>1283</v>
      </c>
      <c r="C357" s="322" t="s">
        <v>520</v>
      </c>
      <c r="D357" s="323" t="s">
        <v>854</v>
      </c>
      <c r="E357" s="323" t="s">
        <v>1592</v>
      </c>
      <c r="F357" s="323" t="s">
        <v>1593</v>
      </c>
      <c r="G357" s="323" t="s">
        <v>854</v>
      </c>
      <c r="H357" s="323" t="s">
        <v>1592</v>
      </c>
      <c r="I357" s="322" t="s">
        <v>2006</v>
      </c>
      <c r="J357" s="323" t="s">
        <v>1622</v>
      </c>
      <c r="K357" s="323" t="s">
        <v>1623</v>
      </c>
      <c r="L357" s="322" t="s">
        <v>1624</v>
      </c>
      <c r="M357" s="323" t="s">
        <v>1625</v>
      </c>
      <c r="N357" s="323"/>
      <c r="O357" s="322"/>
      <c r="P357" s="323"/>
      <c r="Q357" s="323"/>
      <c r="R357" s="324"/>
      <c r="S357" s="324"/>
      <c r="T357" s="324"/>
      <c r="U357" s="324"/>
      <c r="V357" s="324"/>
      <c r="W357" s="324"/>
      <c r="X357" s="324"/>
      <c r="Y357" s="324"/>
      <c r="Z357" s="324"/>
      <c r="AA357" s="324"/>
      <c r="AB357" s="324"/>
      <c r="AC357" s="324"/>
      <c r="AD357" s="326">
        <f t="shared" si="46"/>
        <v>0</v>
      </c>
      <c r="AE357" s="319"/>
      <c r="AF357" s="342"/>
      <c r="AG357" s="342"/>
      <c r="AH357" s="342"/>
      <c r="AI357" s="342"/>
      <c r="AJ357" s="342"/>
      <c r="AK357" s="342"/>
      <c r="AL357" s="342"/>
      <c r="AM357" s="342"/>
      <c r="AN357" s="342"/>
      <c r="AO357" s="342"/>
      <c r="AP357" s="342"/>
      <c r="AQ357" s="342"/>
      <c r="AR357" s="325">
        <f t="shared" si="43"/>
        <v>0</v>
      </c>
      <c r="AS357" s="342">
        <f t="shared" si="44"/>
        <v>0</v>
      </c>
      <c r="AT357" s="342">
        <f t="shared" si="45"/>
        <v>0</v>
      </c>
    </row>
    <row r="358" spans="1:46" x14ac:dyDescent="0.35">
      <c r="A358" s="321" t="s">
        <v>1282</v>
      </c>
      <c r="B358" s="321" t="s">
        <v>1283</v>
      </c>
      <c r="C358" s="322" t="s">
        <v>520</v>
      </c>
      <c r="D358" s="323" t="s">
        <v>854</v>
      </c>
      <c r="E358" s="323" t="s">
        <v>1592</v>
      </c>
      <c r="F358" s="323" t="s">
        <v>1593</v>
      </c>
      <c r="G358" s="323" t="s">
        <v>854</v>
      </c>
      <c r="H358" s="323" t="s">
        <v>1592</v>
      </c>
      <c r="I358" s="322" t="s">
        <v>2007</v>
      </c>
      <c r="J358" s="323" t="s">
        <v>2008</v>
      </c>
      <c r="K358" s="323" t="s">
        <v>2009</v>
      </c>
      <c r="L358" s="322" t="s">
        <v>2010</v>
      </c>
      <c r="M358" s="323" t="s">
        <v>2011</v>
      </c>
      <c r="N358" s="323"/>
      <c r="O358" s="322"/>
      <c r="P358" s="323"/>
      <c r="Q358" s="323"/>
      <c r="R358" s="324"/>
      <c r="S358" s="324"/>
      <c r="T358" s="324"/>
      <c r="U358" s="324"/>
      <c r="V358" s="324"/>
      <c r="W358" s="324"/>
      <c r="X358" s="324"/>
      <c r="Y358" s="324"/>
      <c r="Z358" s="324"/>
      <c r="AA358" s="324"/>
      <c r="AB358" s="324"/>
      <c r="AC358" s="324"/>
      <c r="AD358" s="324">
        <f t="shared" si="46"/>
        <v>0</v>
      </c>
      <c r="AE358" s="319"/>
      <c r="AF358" s="343"/>
      <c r="AG358" s="343"/>
      <c r="AH358" s="343"/>
      <c r="AI358" s="343"/>
      <c r="AJ358" s="343"/>
      <c r="AK358" s="343"/>
      <c r="AL358" s="343"/>
      <c r="AM358" s="343"/>
      <c r="AN358" s="343"/>
      <c r="AO358" s="343"/>
      <c r="AP358" s="343"/>
      <c r="AQ358" s="343"/>
      <c r="AR358" s="325">
        <f t="shared" si="43"/>
        <v>0</v>
      </c>
      <c r="AS358" s="343">
        <f t="shared" si="44"/>
        <v>0</v>
      </c>
      <c r="AT358" s="343">
        <f t="shared" si="45"/>
        <v>0</v>
      </c>
    </row>
    <row r="359" spans="1:46" x14ac:dyDescent="0.35">
      <c r="A359" s="321" t="s">
        <v>1282</v>
      </c>
      <c r="B359" s="321" t="s">
        <v>1283</v>
      </c>
      <c r="C359" s="344" t="s">
        <v>2012</v>
      </c>
      <c r="D359" s="344" t="s">
        <v>2012</v>
      </c>
      <c r="E359" s="344" t="s">
        <v>2012</v>
      </c>
      <c r="F359" s="344" t="s">
        <v>2012</v>
      </c>
      <c r="G359" s="344" t="s">
        <v>2012</v>
      </c>
      <c r="H359" s="344" t="s">
        <v>2012</v>
      </c>
      <c r="I359" s="344" t="s">
        <v>2012</v>
      </c>
      <c r="J359" s="344" t="s">
        <v>2012</v>
      </c>
      <c r="K359" s="344"/>
      <c r="L359" s="344" t="s">
        <v>2012</v>
      </c>
      <c r="M359" s="344" t="s">
        <v>2012</v>
      </c>
      <c r="N359" s="344"/>
      <c r="O359" s="344" t="s">
        <v>2012</v>
      </c>
      <c r="P359" s="344" t="s">
        <v>2012</v>
      </c>
      <c r="Q359" s="344"/>
      <c r="R359" s="345">
        <f t="shared" ref="R359:AC359" si="49">SUM(R$10:R$22,R$24,R$26:R$40,R$42:R$110,R$123:R$135,R$137:R$153,R$155:R$231,R$243:R$255,R$257:R$343)</f>
        <v>0</v>
      </c>
      <c r="S359" s="345">
        <f t="shared" si="49"/>
        <v>0</v>
      </c>
      <c r="T359" s="345">
        <f t="shared" si="49"/>
        <v>0</v>
      </c>
      <c r="U359" s="345">
        <f t="shared" si="49"/>
        <v>0</v>
      </c>
      <c r="V359" s="345">
        <f t="shared" si="49"/>
        <v>0</v>
      </c>
      <c r="W359" s="345">
        <f t="shared" si="49"/>
        <v>0</v>
      </c>
      <c r="X359" s="345">
        <f t="shared" si="49"/>
        <v>0</v>
      </c>
      <c r="Y359" s="345">
        <f t="shared" si="49"/>
        <v>0</v>
      </c>
      <c r="Z359" s="345">
        <f t="shared" si="49"/>
        <v>0</v>
      </c>
      <c r="AA359" s="345">
        <f t="shared" si="49"/>
        <v>0</v>
      </c>
      <c r="AB359" s="345">
        <f t="shared" si="49"/>
        <v>0</v>
      </c>
      <c r="AC359" s="345">
        <f t="shared" si="49"/>
        <v>0</v>
      </c>
      <c r="AD359" s="345">
        <f>SUM(AD$10:AD$22,AD$24,AD$26:AD$40,AD$42:AD$110,AD$112:AD$121,AD$123:AD$135,AD$137:AD$153,AD$155:AD$231,AD$233:AD$241,AD$243:AD$255,AD$257:AD$343,AD$345:AD$358)</f>
        <v>0</v>
      </c>
      <c r="AE359" s="319"/>
      <c r="AF359" s="345">
        <f t="shared" ref="AF359:AR359" si="50">SUM(AF$10:AF$22,AF$24,AF$26:AF$40,AF$42:AF$110,AF$112:AF$121,AF$123:AF$135,AF$137:AF$153,AF$155:AF$231,AF$233:AF$241,AF$243:AF$255,AF$257:AF$343,AF$345:AF$358)</f>
        <v>0</v>
      </c>
      <c r="AG359" s="345">
        <f t="shared" si="50"/>
        <v>0</v>
      </c>
      <c r="AH359" s="345">
        <f t="shared" si="50"/>
        <v>0</v>
      </c>
      <c r="AI359" s="345">
        <f t="shared" si="50"/>
        <v>0</v>
      </c>
      <c r="AJ359" s="345">
        <f t="shared" si="50"/>
        <v>0</v>
      </c>
      <c r="AK359" s="345">
        <f t="shared" si="50"/>
        <v>0</v>
      </c>
      <c r="AL359" s="345">
        <f t="shared" si="50"/>
        <v>0</v>
      </c>
      <c r="AM359" s="345">
        <f t="shared" si="50"/>
        <v>0</v>
      </c>
      <c r="AN359" s="345">
        <f t="shared" si="50"/>
        <v>0</v>
      </c>
      <c r="AO359" s="345">
        <f t="shared" si="50"/>
        <v>0</v>
      </c>
      <c r="AP359" s="345">
        <f t="shared" si="50"/>
        <v>0</v>
      </c>
      <c r="AQ359" s="345">
        <f t="shared" si="50"/>
        <v>0</v>
      </c>
      <c r="AR359" s="345">
        <f t="shared" si="50"/>
        <v>0</v>
      </c>
      <c r="AS359" s="344">
        <f t="shared" si="44"/>
        <v>0</v>
      </c>
      <c r="AT359" s="344">
        <f t="shared" si="45"/>
        <v>0</v>
      </c>
    </row>
    <row r="360" spans="1:46" x14ac:dyDescent="0.35">
      <c r="A360" s="346" t="s">
        <v>1282</v>
      </c>
      <c r="B360" s="346" t="s">
        <v>1283</v>
      </c>
      <c r="C360" s="347"/>
      <c r="D360" s="348" t="s">
        <v>2013</v>
      </c>
      <c r="E360" s="348"/>
      <c r="F360" s="348"/>
      <c r="G360" s="348"/>
      <c r="H360" s="348" t="s">
        <v>2013</v>
      </c>
      <c r="I360" s="349"/>
      <c r="J360" s="348" t="s">
        <v>2013</v>
      </c>
      <c r="K360" s="348"/>
      <c r="L360" s="349"/>
      <c r="M360" s="348"/>
      <c r="N360" s="348"/>
      <c r="O360" s="350"/>
      <c r="P360" s="348" t="s">
        <v>2013</v>
      </c>
      <c r="Q360" s="348"/>
      <c r="R360" s="351"/>
      <c r="S360" s="351"/>
      <c r="T360" s="351"/>
      <c r="U360" s="351"/>
      <c r="V360" s="351"/>
      <c r="W360" s="351"/>
      <c r="X360" s="351"/>
      <c r="Y360" s="351"/>
      <c r="Z360" s="351"/>
      <c r="AA360" s="351"/>
      <c r="AB360" s="351"/>
      <c r="AC360" s="351"/>
      <c r="AD360" s="352"/>
      <c r="AE360" s="319"/>
    </row>
    <row r="361" spans="1:46" x14ac:dyDescent="0.35">
      <c r="AD361" s="353"/>
      <c r="AE361" s="319"/>
    </row>
    <row r="362" spans="1:46" x14ac:dyDescent="0.35">
      <c r="Y362" s="286"/>
      <c r="Z362" s="286"/>
      <c r="AA362" s="286"/>
      <c r="AB362" s="286"/>
      <c r="AC362" s="286"/>
      <c r="AD362" s="353"/>
      <c r="AE362" s="319"/>
    </row>
    <row r="363" spans="1:46" x14ac:dyDescent="0.35">
      <c r="Y363" s="353"/>
      <c r="Z363" s="353"/>
      <c r="AA363" s="353"/>
      <c r="AB363" s="353"/>
      <c r="AC363" s="353"/>
      <c r="AD363" s="353"/>
    </row>
    <row r="365" spans="1:46" x14ac:dyDescent="0.35">
      <c r="Y365" s="353"/>
      <c r="Z365" s="353"/>
      <c r="AA365" s="353"/>
      <c r="AB365" s="353"/>
      <c r="AC365" s="35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T36"/>
  <sheetViews>
    <sheetView workbookViewId="0"/>
  </sheetViews>
  <sheetFormatPr defaultRowHeight="14.5" x14ac:dyDescent="0.35"/>
  <sheetData>
    <row r="1" spans="1:20" x14ac:dyDescent="0.35">
      <c r="A1" s="505" t="s">
        <v>2014</v>
      </c>
      <c r="B1" s="505" t="s">
        <v>772</v>
      </c>
      <c r="D1" s="505" t="s">
        <v>2015</v>
      </c>
      <c r="E1" s="505" t="s">
        <v>773</v>
      </c>
      <c r="G1" s="505" t="s">
        <v>786</v>
      </c>
      <c r="H1" s="505" t="s">
        <v>787</v>
      </c>
      <c r="J1" s="505" t="s">
        <v>354</v>
      </c>
      <c r="L1" s="505" t="s">
        <v>2016</v>
      </c>
      <c r="N1" s="505" t="s">
        <v>2017</v>
      </c>
      <c r="P1" s="505" t="s">
        <v>2018</v>
      </c>
      <c r="Q1" s="505" t="s">
        <v>2019</v>
      </c>
      <c r="R1" s="505" t="s">
        <v>2020</v>
      </c>
    </row>
    <row r="2" spans="1:20" x14ac:dyDescent="0.35">
      <c r="A2" s="506" t="s">
        <v>2021</v>
      </c>
      <c r="B2" s="506" t="s">
        <v>2022</v>
      </c>
      <c r="D2" s="506" t="s">
        <v>2023</v>
      </c>
      <c r="E2" s="506" t="s">
        <v>2024</v>
      </c>
      <c r="H2" s="507" t="s">
        <v>356</v>
      </c>
      <c r="J2" s="507" t="s">
        <v>356</v>
      </c>
      <c r="L2" s="506" t="s">
        <v>2025</v>
      </c>
      <c r="N2" s="508">
        <v>0.1</v>
      </c>
      <c r="P2" s="506" t="s">
        <v>2026</v>
      </c>
      <c r="Q2" s="506" t="s">
        <v>2027</v>
      </c>
      <c r="R2" s="506" t="s">
        <v>2028</v>
      </c>
      <c r="T2" s="509"/>
    </row>
    <row r="3" spans="1:20" x14ac:dyDescent="0.35">
      <c r="A3" s="506" t="s">
        <v>2029</v>
      </c>
      <c r="B3" s="506" t="s">
        <v>2030</v>
      </c>
      <c r="D3" s="506" t="s">
        <v>2031</v>
      </c>
      <c r="E3" s="506" t="s">
        <v>2032</v>
      </c>
      <c r="H3" s="507" t="s">
        <v>379</v>
      </c>
      <c r="J3" s="507" t="s">
        <v>379</v>
      </c>
      <c r="L3" s="506" t="s">
        <v>799</v>
      </c>
      <c r="N3" s="508">
        <v>0.2</v>
      </c>
      <c r="P3" s="506" t="s">
        <v>2026</v>
      </c>
      <c r="Q3" s="506" t="s">
        <v>2033</v>
      </c>
      <c r="R3" s="506" t="s">
        <v>2028</v>
      </c>
    </row>
    <row r="4" spans="1:20" x14ac:dyDescent="0.35">
      <c r="A4" s="506" t="s">
        <v>2034</v>
      </c>
      <c r="B4" s="506" t="s">
        <v>925</v>
      </c>
      <c r="D4" s="506" t="s">
        <v>2035</v>
      </c>
      <c r="E4" s="506" t="s">
        <v>2036</v>
      </c>
      <c r="H4" s="507" t="s">
        <v>389</v>
      </c>
      <c r="J4" s="507" t="s">
        <v>389</v>
      </c>
      <c r="N4" s="508">
        <v>0.3</v>
      </c>
      <c r="P4" s="506" t="s">
        <v>2026</v>
      </c>
      <c r="Q4" s="506" t="s">
        <v>2037</v>
      </c>
      <c r="R4" s="506" t="s">
        <v>2028</v>
      </c>
    </row>
    <row r="5" spans="1:20" x14ac:dyDescent="0.35">
      <c r="A5" s="506" t="s">
        <v>2038</v>
      </c>
      <c r="B5" s="506" t="s">
        <v>2039</v>
      </c>
      <c r="H5" s="507" t="s">
        <v>414</v>
      </c>
      <c r="J5" s="507" t="s">
        <v>414</v>
      </c>
      <c r="N5" s="508">
        <v>0.4</v>
      </c>
      <c r="P5" s="506" t="s">
        <v>2026</v>
      </c>
      <c r="Q5" s="506" t="s">
        <v>2040</v>
      </c>
      <c r="R5" s="506" t="s">
        <v>2041</v>
      </c>
    </row>
    <row r="6" spans="1:20" x14ac:dyDescent="0.35">
      <c r="A6" s="506" t="s">
        <v>2042</v>
      </c>
      <c r="H6" s="507" t="s">
        <v>2043</v>
      </c>
      <c r="J6" s="507" t="s">
        <v>454</v>
      </c>
      <c r="N6" s="508">
        <v>0.5</v>
      </c>
      <c r="P6" s="506" t="s">
        <v>2026</v>
      </c>
      <c r="Q6" s="506" t="s">
        <v>1087</v>
      </c>
      <c r="R6" s="506" t="s">
        <v>2044</v>
      </c>
    </row>
    <row r="7" spans="1:20" x14ac:dyDescent="0.35">
      <c r="A7" s="506" t="s">
        <v>2045</v>
      </c>
      <c r="H7" s="507" t="s">
        <v>401</v>
      </c>
      <c r="J7" s="507" t="s">
        <v>2043</v>
      </c>
      <c r="N7" s="508">
        <v>0.6</v>
      </c>
      <c r="P7" s="506" t="s">
        <v>2026</v>
      </c>
      <c r="Q7" s="506" t="s">
        <v>2046</v>
      </c>
      <c r="R7" s="506" t="s">
        <v>2044</v>
      </c>
    </row>
    <row r="8" spans="1:20" x14ac:dyDescent="0.35">
      <c r="A8" s="506" t="s">
        <v>2047</v>
      </c>
      <c r="H8" s="507" t="s">
        <v>394</v>
      </c>
      <c r="J8" s="507" t="s">
        <v>401</v>
      </c>
      <c r="N8" s="508">
        <v>0.7</v>
      </c>
      <c r="P8" s="506" t="s">
        <v>2026</v>
      </c>
      <c r="Q8" s="506" t="s">
        <v>2048</v>
      </c>
      <c r="R8" s="506" t="s">
        <v>2044</v>
      </c>
    </row>
    <row r="9" spans="1:20" x14ac:dyDescent="0.35">
      <c r="A9" s="506" t="s">
        <v>2049</v>
      </c>
      <c r="H9" s="507" t="s">
        <v>392</v>
      </c>
      <c r="J9" s="507" t="s">
        <v>394</v>
      </c>
      <c r="N9" s="508">
        <v>0.8</v>
      </c>
      <c r="P9" s="506" t="s">
        <v>2026</v>
      </c>
      <c r="Q9" s="506" t="s">
        <v>2050</v>
      </c>
      <c r="R9" s="506" t="s">
        <v>2051</v>
      </c>
    </row>
    <row r="10" spans="1:20" x14ac:dyDescent="0.35">
      <c r="A10" s="506" t="s">
        <v>2052</v>
      </c>
      <c r="H10" s="507" t="s">
        <v>359</v>
      </c>
      <c r="J10" s="507" t="s">
        <v>392</v>
      </c>
      <c r="N10" s="508">
        <v>0.9</v>
      </c>
      <c r="P10" s="506" t="s">
        <v>2026</v>
      </c>
      <c r="Q10" s="506" t="s">
        <v>2053</v>
      </c>
      <c r="R10" s="506" t="s">
        <v>2051</v>
      </c>
    </row>
    <row r="11" spans="1:20" x14ac:dyDescent="0.35">
      <c r="H11" s="507" t="s">
        <v>369</v>
      </c>
      <c r="J11" s="507" t="s">
        <v>359</v>
      </c>
      <c r="N11" s="508">
        <v>1</v>
      </c>
      <c r="P11" s="506" t="s">
        <v>2026</v>
      </c>
      <c r="Q11" s="506" t="s">
        <v>2054</v>
      </c>
      <c r="R11" s="506" t="s">
        <v>2051</v>
      </c>
    </row>
    <row r="12" spans="1:20" x14ac:dyDescent="0.35">
      <c r="H12" s="507" t="s">
        <v>388</v>
      </c>
      <c r="J12" s="507" t="s">
        <v>369</v>
      </c>
      <c r="P12" s="506" t="s">
        <v>2026</v>
      </c>
      <c r="Q12" s="506" t="s">
        <v>1091</v>
      </c>
      <c r="R12" s="506" t="s">
        <v>2055</v>
      </c>
    </row>
    <row r="13" spans="1:20" x14ac:dyDescent="0.35">
      <c r="H13" s="507" t="s">
        <v>377</v>
      </c>
      <c r="J13" s="507" t="s">
        <v>388</v>
      </c>
      <c r="P13" s="506" t="s">
        <v>2026</v>
      </c>
      <c r="Q13" s="506" t="s">
        <v>2056</v>
      </c>
      <c r="R13" s="506" t="s">
        <v>2055</v>
      </c>
    </row>
    <row r="14" spans="1:20" x14ac:dyDescent="0.35">
      <c r="H14" s="507" t="s">
        <v>381</v>
      </c>
      <c r="J14" s="507" t="s">
        <v>377</v>
      </c>
      <c r="P14" s="506" t="s">
        <v>2026</v>
      </c>
      <c r="Q14" s="506" t="s">
        <v>2057</v>
      </c>
      <c r="R14" s="506" t="s">
        <v>2055</v>
      </c>
    </row>
    <row r="15" spans="1:20" x14ac:dyDescent="0.35">
      <c r="H15" s="507" t="s">
        <v>384</v>
      </c>
      <c r="J15" s="507" t="s">
        <v>381</v>
      </c>
    </row>
    <row r="16" spans="1:20" x14ac:dyDescent="0.35">
      <c r="H16" s="507" t="s">
        <v>1093</v>
      </c>
      <c r="J16" s="507" t="s">
        <v>384</v>
      </c>
    </row>
    <row r="17" spans="8:18" x14ac:dyDescent="0.35">
      <c r="H17" s="507" t="s">
        <v>1037</v>
      </c>
      <c r="J17" s="507" t="s">
        <v>390</v>
      </c>
      <c r="P17" s="506" t="s">
        <v>2026</v>
      </c>
      <c r="Q17" s="506" t="s">
        <v>2058</v>
      </c>
      <c r="R17" s="506" t="s">
        <v>2059</v>
      </c>
    </row>
    <row r="18" spans="8:18" x14ac:dyDescent="0.35">
      <c r="H18" s="507" t="s">
        <v>1049</v>
      </c>
      <c r="J18" s="507" t="s">
        <v>466</v>
      </c>
      <c r="P18" s="506" t="s">
        <v>2026</v>
      </c>
      <c r="Q18" s="506" t="s">
        <v>2060</v>
      </c>
      <c r="R18" s="506" t="s">
        <v>2059</v>
      </c>
    </row>
    <row r="19" spans="8:18" x14ac:dyDescent="0.35">
      <c r="H19" s="507" t="s">
        <v>1188</v>
      </c>
      <c r="J19" s="507" t="s">
        <v>467</v>
      </c>
      <c r="P19" s="506" t="s">
        <v>2026</v>
      </c>
      <c r="Q19" s="506" t="s">
        <v>2061</v>
      </c>
      <c r="R19" s="506" t="s">
        <v>2059</v>
      </c>
    </row>
    <row r="20" spans="8:18" x14ac:dyDescent="0.35">
      <c r="H20" s="507" t="s">
        <v>2062</v>
      </c>
      <c r="J20" s="507" t="s">
        <v>469</v>
      </c>
      <c r="P20" s="506" t="s">
        <v>2063</v>
      </c>
      <c r="Q20" s="506" t="s">
        <v>2064</v>
      </c>
      <c r="R20" s="506" t="s">
        <v>2065</v>
      </c>
    </row>
    <row r="21" spans="8:18" x14ac:dyDescent="0.35">
      <c r="H21" s="507" t="s">
        <v>2066</v>
      </c>
      <c r="P21" s="506" t="s">
        <v>2063</v>
      </c>
      <c r="Q21" s="506" t="s">
        <v>2067</v>
      </c>
      <c r="R21" s="506" t="s">
        <v>2065</v>
      </c>
    </row>
    <row r="22" spans="8:18" x14ac:dyDescent="0.35">
      <c r="H22" s="507" t="s">
        <v>2068</v>
      </c>
      <c r="P22" s="506" t="s">
        <v>2063</v>
      </c>
      <c r="Q22" s="506" t="s">
        <v>2069</v>
      </c>
      <c r="R22" s="506" t="s">
        <v>2065</v>
      </c>
    </row>
    <row r="23" spans="8:18" x14ac:dyDescent="0.35">
      <c r="H23" s="507" t="s">
        <v>2070</v>
      </c>
    </row>
    <row r="24" spans="8:18" x14ac:dyDescent="0.35">
      <c r="H24" s="507" t="s">
        <v>2071</v>
      </c>
      <c r="P24" s="506" t="s">
        <v>2063</v>
      </c>
      <c r="Q24" s="506" t="s">
        <v>2072</v>
      </c>
      <c r="R24" s="506" t="s">
        <v>2073</v>
      </c>
    </row>
    <row r="25" spans="8:18" x14ac:dyDescent="0.35">
      <c r="H25" s="507" t="s">
        <v>2074</v>
      </c>
    </row>
    <row r="26" spans="8:18" x14ac:dyDescent="0.35">
      <c r="H26" s="507" t="s">
        <v>2075</v>
      </c>
    </row>
    <row r="27" spans="8:18" x14ac:dyDescent="0.35">
      <c r="H27" s="507" t="s">
        <v>2076</v>
      </c>
      <c r="P27" s="506" t="s">
        <v>2063</v>
      </c>
      <c r="Q27" s="506" t="s">
        <v>2077</v>
      </c>
      <c r="R27" s="506" t="s">
        <v>2078</v>
      </c>
    </row>
    <row r="28" spans="8:18" x14ac:dyDescent="0.35">
      <c r="H28" s="507" t="s">
        <v>2079</v>
      </c>
      <c r="P28" s="506" t="s">
        <v>2063</v>
      </c>
      <c r="Q28" s="506" t="s">
        <v>2080</v>
      </c>
      <c r="R28" s="506" t="s">
        <v>2078</v>
      </c>
    </row>
    <row r="29" spans="8:18" x14ac:dyDescent="0.35">
      <c r="H29" s="507" t="s">
        <v>2081</v>
      </c>
      <c r="P29" s="506" t="s">
        <v>2063</v>
      </c>
      <c r="Q29" s="506" t="s">
        <v>2082</v>
      </c>
      <c r="R29" s="506" t="s">
        <v>2078</v>
      </c>
    </row>
    <row r="30" spans="8:18" x14ac:dyDescent="0.35">
      <c r="H30" s="507" t="s">
        <v>2083</v>
      </c>
      <c r="P30" s="506" t="s">
        <v>2063</v>
      </c>
      <c r="Q30" s="506" t="s">
        <v>2084</v>
      </c>
      <c r="R30" s="506" t="s">
        <v>2085</v>
      </c>
    </row>
    <row r="31" spans="8:18" x14ac:dyDescent="0.35">
      <c r="H31" s="507" t="s">
        <v>2086</v>
      </c>
      <c r="P31" s="506" t="s">
        <v>2063</v>
      </c>
      <c r="Q31" s="506" t="s">
        <v>2087</v>
      </c>
      <c r="R31" s="506" t="s">
        <v>2088</v>
      </c>
    </row>
    <row r="32" spans="8:18" x14ac:dyDescent="0.35">
      <c r="H32" s="507" t="s">
        <v>2089</v>
      </c>
      <c r="P32" s="506" t="s">
        <v>2063</v>
      </c>
      <c r="Q32" s="506" t="s">
        <v>2090</v>
      </c>
      <c r="R32" s="506" t="s">
        <v>2088</v>
      </c>
    </row>
    <row r="33" spans="8:18" x14ac:dyDescent="0.35">
      <c r="H33" s="507" t="s">
        <v>390</v>
      </c>
      <c r="P33" s="506" t="s">
        <v>2063</v>
      </c>
      <c r="Q33" s="506" t="s">
        <v>2091</v>
      </c>
      <c r="R33" s="506" t="s">
        <v>2088</v>
      </c>
    </row>
    <row r="34" spans="8:18" x14ac:dyDescent="0.35">
      <c r="H34" s="507" t="s">
        <v>466</v>
      </c>
    </row>
    <row r="35" spans="8:18" x14ac:dyDescent="0.35">
      <c r="H35" s="507" t="s">
        <v>467</v>
      </c>
    </row>
    <row r="36" spans="8:18" x14ac:dyDescent="0.35">
      <c r="H36" s="507" t="s">
        <v>469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3:E45"/>
  <sheetViews>
    <sheetView workbookViewId="0"/>
  </sheetViews>
  <sheetFormatPr defaultRowHeight="14.5" x14ac:dyDescent="0.35"/>
  <sheetData>
    <row r="3" spans="2:5" ht="65" x14ac:dyDescent="0.35">
      <c r="B3" s="481" t="s">
        <v>2092</v>
      </c>
      <c r="C3" s="249" t="s">
        <v>482</v>
      </c>
      <c r="D3" s="249" t="s">
        <v>483</v>
      </c>
      <c r="E3" s="250" t="s">
        <v>762</v>
      </c>
    </row>
    <row r="4" spans="2:5" x14ac:dyDescent="0.35">
      <c r="B4" s="251" t="s">
        <v>1591</v>
      </c>
      <c r="C4" s="252">
        <v>6274001901</v>
      </c>
      <c r="D4" s="253" t="s">
        <v>1095</v>
      </c>
      <c r="E4" s="253" t="s">
        <v>1096</v>
      </c>
    </row>
    <row r="5" spans="2:5" x14ac:dyDescent="0.35">
      <c r="B5" s="251" t="s">
        <v>1591</v>
      </c>
      <c r="C5" s="252">
        <v>6274001902</v>
      </c>
      <c r="D5" s="253" t="s">
        <v>1597</v>
      </c>
      <c r="E5" s="253" t="s">
        <v>1038</v>
      </c>
    </row>
    <row r="6" spans="2:5" x14ac:dyDescent="0.35">
      <c r="B6" s="251" t="s">
        <v>1591</v>
      </c>
      <c r="C6" s="252">
        <v>6274001903</v>
      </c>
      <c r="D6" s="253" t="s">
        <v>896</v>
      </c>
      <c r="E6" s="253" t="s">
        <v>1038</v>
      </c>
    </row>
    <row r="7" spans="2:5" x14ac:dyDescent="0.35">
      <c r="B7" s="251" t="s">
        <v>1591</v>
      </c>
      <c r="C7" s="252">
        <v>6274001904</v>
      </c>
      <c r="D7" s="253" t="s">
        <v>1092</v>
      </c>
      <c r="E7" s="253" t="s">
        <v>1602</v>
      </c>
    </row>
    <row r="8" spans="2:5" x14ac:dyDescent="0.35">
      <c r="B8" s="251" t="s">
        <v>1591</v>
      </c>
      <c r="C8" s="252">
        <v>6274001905</v>
      </c>
      <c r="D8" s="253" t="s">
        <v>1106</v>
      </c>
      <c r="E8" s="253" t="s">
        <v>1107</v>
      </c>
    </row>
    <row r="9" spans="2:5" x14ac:dyDescent="0.35">
      <c r="B9" s="251" t="s">
        <v>1591</v>
      </c>
      <c r="C9" s="252">
        <v>6274001906</v>
      </c>
      <c r="D9" s="253" t="s">
        <v>1071</v>
      </c>
      <c r="E9" s="253" t="s">
        <v>1038</v>
      </c>
    </row>
    <row r="10" spans="2:5" x14ac:dyDescent="0.35">
      <c r="B10" s="251" t="s">
        <v>1591</v>
      </c>
      <c r="C10" s="252">
        <v>6274001907</v>
      </c>
      <c r="D10" s="253" t="s">
        <v>1610</v>
      </c>
      <c r="E10" s="253" t="s">
        <v>1131</v>
      </c>
    </row>
    <row r="11" spans="2:5" x14ac:dyDescent="0.35">
      <c r="B11" s="251" t="s">
        <v>1591</v>
      </c>
      <c r="C11" s="252">
        <v>6274001909</v>
      </c>
      <c r="D11" s="253" t="s">
        <v>1083</v>
      </c>
      <c r="E11" s="253" t="s">
        <v>1613</v>
      </c>
    </row>
    <row r="12" spans="2:5" x14ac:dyDescent="0.35">
      <c r="B12" s="251" t="s">
        <v>1591</v>
      </c>
      <c r="C12" s="252">
        <v>6274001910</v>
      </c>
      <c r="D12" s="253" t="s">
        <v>1617</v>
      </c>
      <c r="E12" s="253" t="s">
        <v>1618</v>
      </c>
    </row>
    <row r="13" spans="2:5" x14ac:dyDescent="0.35">
      <c r="B13" s="251" t="s">
        <v>1591</v>
      </c>
      <c r="C13" s="252">
        <v>6274001915</v>
      </c>
      <c r="D13" s="253" t="s">
        <v>1622</v>
      </c>
      <c r="E13" s="253" t="s">
        <v>1623</v>
      </c>
    </row>
    <row r="14" spans="2:5" x14ac:dyDescent="0.35">
      <c r="B14" s="251" t="s">
        <v>1984</v>
      </c>
      <c r="C14" s="252">
        <v>6424001901</v>
      </c>
      <c r="D14" s="253" t="s">
        <v>1095</v>
      </c>
      <c r="E14" s="253" t="s">
        <v>1096</v>
      </c>
    </row>
    <row r="15" spans="2:5" x14ac:dyDescent="0.35">
      <c r="B15" s="251" t="s">
        <v>1984</v>
      </c>
      <c r="C15" s="252">
        <v>6424001903</v>
      </c>
      <c r="D15" s="253" t="s">
        <v>1873</v>
      </c>
      <c r="E15" s="253" t="s">
        <v>1038</v>
      </c>
    </row>
    <row r="16" spans="2:5" x14ac:dyDescent="0.35">
      <c r="B16" s="251" t="s">
        <v>1984</v>
      </c>
      <c r="C16" s="252">
        <v>6424001904</v>
      </c>
      <c r="D16" s="253" t="s">
        <v>1092</v>
      </c>
      <c r="E16" s="253" t="s">
        <v>1602</v>
      </c>
    </row>
    <row r="17" spans="2:5" x14ac:dyDescent="0.35">
      <c r="B17" s="251" t="s">
        <v>1984</v>
      </c>
      <c r="C17" s="252">
        <v>6424001905</v>
      </c>
      <c r="D17" s="253" t="s">
        <v>1106</v>
      </c>
      <c r="E17" s="253" t="s">
        <v>1107</v>
      </c>
    </row>
    <row r="18" spans="2:5" x14ac:dyDescent="0.35">
      <c r="B18" s="251" t="s">
        <v>1984</v>
      </c>
      <c r="C18" s="252">
        <v>6424001906</v>
      </c>
      <c r="D18" s="253" t="s">
        <v>1989</v>
      </c>
      <c r="E18" s="253" t="s">
        <v>1602</v>
      </c>
    </row>
    <row r="19" spans="2:5" x14ac:dyDescent="0.35">
      <c r="B19" s="251" t="s">
        <v>1984</v>
      </c>
      <c r="C19" s="252">
        <v>6424001907</v>
      </c>
      <c r="D19" s="253" t="s">
        <v>1130</v>
      </c>
      <c r="E19" s="253" t="s">
        <v>1131</v>
      </c>
    </row>
    <row r="20" spans="2:5" x14ac:dyDescent="0.35">
      <c r="B20" s="251" t="s">
        <v>1984</v>
      </c>
      <c r="C20" s="252">
        <v>6424001909</v>
      </c>
      <c r="D20" s="253" t="s">
        <v>1083</v>
      </c>
      <c r="E20" s="253" t="s">
        <v>1613</v>
      </c>
    </row>
    <row r="21" spans="2:5" x14ac:dyDescent="0.35">
      <c r="B21" s="251" t="s">
        <v>1984</v>
      </c>
      <c r="C21" s="252">
        <v>6424001910</v>
      </c>
      <c r="D21" s="253" t="s">
        <v>1617</v>
      </c>
      <c r="E21" s="253" t="s">
        <v>1618</v>
      </c>
    </row>
    <row r="22" spans="2:5" x14ac:dyDescent="0.35">
      <c r="B22" s="251" t="s">
        <v>1984</v>
      </c>
      <c r="C22" s="252">
        <v>6424001911</v>
      </c>
      <c r="D22" s="253" t="s">
        <v>1993</v>
      </c>
      <c r="E22" s="253" t="s">
        <v>1882</v>
      </c>
    </row>
    <row r="23" spans="2:5" x14ac:dyDescent="0.35">
      <c r="B23" s="251" t="s">
        <v>1984</v>
      </c>
      <c r="C23" s="252">
        <v>6424001912</v>
      </c>
      <c r="D23" s="253" t="s">
        <v>1997</v>
      </c>
      <c r="E23" s="253" t="s">
        <v>1882</v>
      </c>
    </row>
    <row r="24" spans="2:5" x14ac:dyDescent="0.35">
      <c r="B24" s="251" t="s">
        <v>1984</v>
      </c>
      <c r="C24" s="252">
        <v>6424001913</v>
      </c>
      <c r="D24" s="253" t="s">
        <v>1881</v>
      </c>
      <c r="E24" s="253" t="s">
        <v>1882</v>
      </c>
    </row>
    <row r="25" spans="2:5" x14ac:dyDescent="0.35">
      <c r="B25" s="251" t="s">
        <v>1984</v>
      </c>
      <c r="C25" s="252">
        <v>6424001914</v>
      </c>
      <c r="D25" s="253" t="s">
        <v>2002</v>
      </c>
      <c r="E25" s="253" t="s">
        <v>2003</v>
      </c>
    </row>
    <row r="26" spans="2:5" x14ac:dyDescent="0.35">
      <c r="B26" s="251" t="s">
        <v>1984</v>
      </c>
      <c r="C26" s="252">
        <v>6424001915</v>
      </c>
      <c r="D26" s="253" t="s">
        <v>1622</v>
      </c>
      <c r="E26" s="253" t="s">
        <v>1623</v>
      </c>
    </row>
    <row r="27" spans="2:5" x14ac:dyDescent="0.35">
      <c r="B27" s="251" t="s">
        <v>1984</v>
      </c>
      <c r="C27" s="252">
        <v>6424001916</v>
      </c>
      <c r="D27" s="253" t="s">
        <v>2008</v>
      </c>
      <c r="E27" s="253" t="s">
        <v>2009</v>
      </c>
    </row>
    <row r="29" spans="2:5" ht="65" x14ac:dyDescent="0.35">
      <c r="B29" s="481" t="s">
        <v>2093</v>
      </c>
      <c r="C29" s="249" t="s">
        <v>482</v>
      </c>
      <c r="D29" s="249" t="s">
        <v>483</v>
      </c>
      <c r="E29" s="250" t="s">
        <v>762</v>
      </c>
    </row>
    <row r="30" spans="2:5" x14ac:dyDescent="0.35">
      <c r="B30" s="251" t="s">
        <v>2094</v>
      </c>
      <c r="C30" s="252">
        <v>6271003001</v>
      </c>
      <c r="D30" s="253" t="s">
        <v>702</v>
      </c>
      <c r="E30" s="253" t="s">
        <v>493</v>
      </c>
    </row>
    <row r="31" spans="2:5" x14ac:dyDescent="0.35">
      <c r="B31" s="251" t="s">
        <v>2094</v>
      </c>
      <c r="C31" s="252">
        <v>6277003702</v>
      </c>
      <c r="D31" s="253" t="s">
        <v>730</v>
      </c>
      <c r="E31" s="253" t="s">
        <v>731</v>
      </c>
    </row>
    <row r="32" spans="2:5" x14ac:dyDescent="0.35">
      <c r="B32" s="251" t="s">
        <v>2094</v>
      </c>
      <c r="C32" s="252">
        <v>6273006501</v>
      </c>
      <c r="D32" s="253" t="s">
        <v>737</v>
      </c>
      <c r="E32" s="253" t="s">
        <v>738</v>
      </c>
    </row>
    <row r="33" spans="2:5" x14ac:dyDescent="0.35">
      <c r="B33" s="251" t="s">
        <v>2094</v>
      </c>
      <c r="C33" s="252">
        <v>6273002001</v>
      </c>
      <c r="D33" s="253" t="s">
        <v>745</v>
      </c>
      <c r="E33" s="253" t="s">
        <v>738</v>
      </c>
    </row>
    <row r="34" spans="2:5" x14ac:dyDescent="0.35">
      <c r="B34" s="251" t="s">
        <v>2094</v>
      </c>
      <c r="C34" s="252">
        <v>6277002204</v>
      </c>
      <c r="D34" s="253" t="s">
        <v>747</v>
      </c>
      <c r="E34" s="253" t="s">
        <v>738</v>
      </c>
    </row>
    <row r="35" spans="2:5" x14ac:dyDescent="0.35">
      <c r="B35" s="251" t="s">
        <v>2094</v>
      </c>
      <c r="C35" s="252">
        <v>6277002301</v>
      </c>
      <c r="D35" s="253" t="s">
        <v>749</v>
      </c>
      <c r="E35" s="253" t="s">
        <v>750</v>
      </c>
    </row>
    <row r="36" spans="2:5" x14ac:dyDescent="0.35">
      <c r="B36" s="251" t="s">
        <v>2094</v>
      </c>
      <c r="C36" s="252">
        <v>6273001908</v>
      </c>
      <c r="D36" s="253" t="s">
        <v>751</v>
      </c>
      <c r="E36" s="253" t="s">
        <v>725</v>
      </c>
    </row>
    <row r="37" spans="2:5" x14ac:dyDescent="0.35">
      <c r="B37" s="251" t="s">
        <v>2095</v>
      </c>
      <c r="C37" s="252">
        <v>6421003001</v>
      </c>
      <c r="D37" s="253" t="s">
        <v>702</v>
      </c>
      <c r="E37" s="253" t="s">
        <v>493</v>
      </c>
    </row>
    <row r="38" spans="2:5" x14ac:dyDescent="0.35">
      <c r="B38" s="251" t="s">
        <v>2095</v>
      </c>
      <c r="C38" s="252">
        <v>6427003101</v>
      </c>
      <c r="D38" s="253" t="s">
        <v>705</v>
      </c>
      <c r="E38" s="253" t="s">
        <v>493</v>
      </c>
    </row>
    <row r="39" spans="2:5" x14ac:dyDescent="0.35">
      <c r="B39" s="251" t="s">
        <v>2095</v>
      </c>
      <c r="C39" s="252">
        <v>6423003002</v>
      </c>
      <c r="D39" s="253" t="s">
        <v>872</v>
      </c>
      <c r="E39" s="253" t="s">
        <v>725</v>
      </c>
    </row>
    <row r="40" spans="2:5" x14ac:dyDescent="0.35">
      <c r="B40" s="251" t="s">
        <v>2095</v>
      </c>
      <c r="C40" s="252">
        <v>6423006501</v>
      </c>
      <c r="D40" s="253" t="s">
        <v>979</v>
      </c>
      <c r="E40" s="253" t="s">
        <v>738</v>
      </c>
    </row>
    <row r="41" spans="2:5" x14ac:dyDescent="0.35">
      <c r="B41" s="251" t="s">
        <v>2095</v>
      </c>
      <c r="C41" s="252">
        <v>6427002001</v>
      </c>
      <c r="D41" s="253" t="s">
        <v>746</v>
      </c>
      <c r="E41" s="253" t="s">
        <v>738</v>
      </c>
    </row>
    <row r="42" spans="2:5" x14ac:dyDescent="0.35">
      <c r="B42" s="251" t="s">
        <v>2095</v>
      </c>
      <c r="C42" s="252">
        <v>6427002301</v>
      </c>
      <c r="D42" s="253" t="s">
        <v>749</v>
      </c>
      <c r="E42" s="253" t="s">
        <v>750</v>
      </c>
    </row>
    <row r="43" spans="2:5" x14ac:dyDescent="0.35">
      <c r="B43" s="251" t="s">
        <v>2095</v>
      </c>
      <c r="C43" s="252">
        <v>6427003802</v>
      </c>
      <c r="D43" s="253" t="s">
        <v>993</v>
      </c>
      <c r="E43" s="253" t="s">
        <v>755</v>
      </c>
    </row>
    <row r="44" spans="2:5" x14ac:dyDescent="0.35">
      <c r="B44" s="251" t="s">
        <v>2095</v>
      </c>
      <c r="C44" s="252">
        <v>6427005801</v>
      </c>
      <c r="D44" s="253" t="s">
        <v>1013</v>
      </c>
      <c r="E44" s="253" t="s">
        <v>1014</v>
      </c>
    </row>
    <row r="45" spans="2:5" x14ac:dyDescent="0.35">
      <c r="B45" s="251" t="s">
        <v>2095</v>
      </c>
      <c r="C45" s="252">
        <v>6423001908</v>
      </c>
      <c r="D45" s="253" t="s">
        <v>751</v>
      </c>
      <c r="E45" s="253" t="s">
        <v>725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f09a27-9771-47e1-b9df-a49ccb752b2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3A8507A2A88F46A95105FB86887821" ma:contentTypeVersion="16" ma:contentTypeDescription="Create a new document." ma:contentTypeScope="" ma:versionID="afd88ccd273a29f43274d90ad9cb4a33">
  <xsd:schema xmlns:xsd="http://www.w3.org/2001/XMLSchema" xmlns:xs="http://www.w3.org/2001/XMLSchema" xmlns:p="http://schemas.microsoft.com/office/2006/metadata/properties" xmlns:ns3="0df09a27-9771-47e1-b9df-a49ccb752b23" xmlns:ns4="da0191db-049f-49dc-a4a6-d804a7c1caa4" targetNamespace="http://schemas.microsoft.com/office/2006/metadata/properties" ma:root="true" ma:fieldsID="c980d1dccea66b983f4d7b9b0ae798d9" ns3:_="" ns4:_="">
    <xsd:import namespace="0df09a27-9771-47e1-b9df-a49ccb752b23"/>
    <xsd:import namespace="da0191db-049f-49dc-a4a6-d804a7c1caa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09a27-9771-47e1-b9df-a49ccb752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191db-049f-49dc-a4a6-d804a7c1caa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425121-0463-418A-B9E1-94D2891175B1}">
  <ds:schemaRefs>
    <ds:schemaRef ds:uri="http://schemas.microsoft.com/office/2006/metadata/properties"/>
    <ds:schemaRef ds:uri="http://www.w3.org/XML/1998/namespace"/>
    <ds:schemaRef ds:uri="0df09a27-9771-47e1-b9df-a49ccb752b2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a0191db-049f-49dc-a4a6-d804a7c1caa4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21F221B-8579-4C27-9105-98B4938975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f09a27-9771-47e1-b9df-a49ccb752b23"/>
    <ds:schemaRef ds:uri="da0191db-049f-49dc-a4a6-d804a7c1ca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A4F7A6A-E9AD-406B-A113-54D1DEB73B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Timeline &amp; PIC</vt:lpstr>
      <vt:lpstr>Thongtin</vt:lpstr>
      <vt:lpstr>KH hanh dong</vt:lpstr>
      <vt:lpstr>KDKD DAY DAI</vt:lpstr>
      <vt:lpstr>KH DAY DAI</vt:lpstr>
      <vt:lpstr>Cong suat</vt:lpstr>
      <vt:lpstr>Dinh muc</vt:lpstr>
      <vt:lpstr>Dinh muc (2)</vt:lpstr>
      <vt:lpstr>Dinh bien_HCNS</vt:lpstr>
      <vt:lpstr>LUONG</vt:lpstr>
      <vt:lpstr>GB</vt:lpstr>
      <vt:lpstr>KQKD PET</vt:lpstr>
      <vt:lpstr>KQKD HD</vt:lpstr>
      <vt:lpstr>KQKD Tong hop</vt:lpstr>
      <vt:lpstr>1.NVL Chai</vt:lpstr>
      <vt:lpstr>2.Hao hut &amp; % chai </vt:lpstr>
      <vt:lpstr>3.Thanh pham</vt:lpstr>
      <vt:lpstr>4.Doanh thu</vt:lpstr>
      <vt:lpstr>CPSX</vt:lpstr>
      <vt:lpstr>CPBH</vt:lpstr>
      <vt:lpstr>CPQL</vt:lpstr>
      <vt:lpstr>CP_Kg</vt:lpstr>
      <vt:lpstr>PB_TSCD</vt:lpstr>
      <vt:lpstr>PB_TSCD DC</vt:lpstr>
      <vt:lpstr>PB_CPTT</vt:lpstr>
      <vt:lpstr>FORM OH</vt:lpstr>
      <vt:lpstr>MD</vt:lpstr>
      <vt:lpstr>DATA Phan bo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Duy, Lâm Thanh</dc:creator>
  <cp:keywords/>
  <dc:description/>
  <cp:lastModifiedBy>Cư, Lê Hoành</cp:lastModifiedBy>
  <cp:revision/>
  <dcterms:created xsi:type="dcterms:W3CDTF">2015-06-05T18:17:20Z</dcterms:created>
  <dcterms:modified xsi:type="dcterms:W3CDTF">2026-02-04T08:34:44Z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0x0101009B3A8507A2A88F46A95105FB86887821</vt:lpwstr>
  </property>
</Properties>
</file>