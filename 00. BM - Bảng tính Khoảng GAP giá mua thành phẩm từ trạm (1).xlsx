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Chuan hoa SAP Dai Loc\"/>
    </mc:Choice>
  </mc:AlternateContent>
  <xr:revisionPtr revIDLastSave="0" documentId="13_ncr:1_{2E4AD23B-124B-4554-B358-FA54BCBA4911}" xr6:coauthVersionLast="47" xr6:coauthVersionMax="47" xr10:uidLastSave="{00000000-0000-0000-0000-000000000000}"/>
  <bookViews>
    <workbookView xWindow="-110" yWindow="-110" windowWidth="19420" windowHeight="10300" tabRatio="729" firstSheet="1" activeTab="1" xr2:uid="{00000000-000D-0000-FFFF-FFFF00000000}"/>
  </bookViews>
  <sheets>
    <sheet name="De xuat gia ban chai 1" sheetId="5" state="hidden" r:id="rId1"/>
    <sheet name="BM00" sheetId="7" r:id="rId2"/>
    <sheet name="BM01" sheetId="8" r:id="rId3"/>
    <sheet name="BM01 (2)" sheetId="10" r:id="rId4"/>
    <sheet name="So Sánh" sheetId="9" r:id="rId5"/>
    <sheet name="De xuat gia ban vay" sheetId="6" state="hidden" r:id="rId6"/>
  </sheets>
  <definedNames>
    <definedName name="_xlnm.Print_Area" localSheetId="1">BM00!$A$1:$I$15</definedName>
    <definedName name="_xlnm.Print_Area" localSheetId="2">'BM01'!$A$1:$I$16</definedName>
    <definedName name="_xlnm.Print_Area" localSheetId="3">'BM01 (2)'!$A$1:$I$16</definedName>
    <definedName name="_xlnm.Print_Area" localSheetId="4">'So Sánh'!$A$1:$I$15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7" l="1"/>
  <c r="D29" i="7"/>
  <c r="D28" i="7"/>
  <c r="D29" i="9"/>
  <c r="D28" i="9"/>
  <c r="D24" i="9"/>
  <c r="D23" i="10"/>
  <c r="D23" i="8"/>
  <c r="D25" i="8"/>
  <c r="D28" i="10"/>
  <c r="D27" i="10"/>
  <c r="D26" i="10"/>
  <c r="D24" i="10"/>
  <c r="D22" i="10"/>
  <c r="D31" i="10"/>
  <c r="D30" i="10"/>
  <c r="D29" i="10"/>
  <c r="D25" i="10"/>
  <c r="D21" i="10"/>
  <c r="D20" i="10"/>
  <c r="D19" i="10"/>
  <c r="J15" i="10"/>
  <c r="F15" i="10"/>
  <c r="H15" i="10" s="1"/>
  <c r="D15" i="10"/>
  <c r="J13" i="10"/>
  <c r="F13" i="10"/>
  <c r="H13" i="10" s="1"/>
  <c r="J12" i="10"/>
  <c r="F12" i="10"/>
  <c r="H12" i="10" s="1"/>
  <c r="J11" i="10"/>
  <c r="F11" i="10"/>
  <c r="H11" i="10" s="1"/>
  <c r="J10" i="10"/>
  <c r="H10" i="10"/>
  <c r="F10" i="10"/>
  <c r="D31" i="8"/>
  <c r="D30" i="8"/>
  <c r="D29" i="8"/>
  <c r="D28" i="8"/>
  <c r="J10" i="8"/>
  <c r="H10" i="8"/>
  <c r="F10" i="8"/>
  <c r="D19" i="9"/>
  <c r="L10" i="9" l="1"/>
  <c r="L11" i="9"/>
  <c r="L12" i="9"/>
  <c r="L13" i="9"/>
  <c r="L14" i="9"/>
  <c r="L9" i="9"/>
  <c r="J9" i="9"/>
  <c r="J14" i="9"/>
  <c r="J12" i="9"/>
  <c r="J11" i="9"/>
  <c r="J10" i="9"/>
  <c r="J15" i="8"/>
  <c r="J11" i="8"/>
  <c r="J12" i="8"/>
  <c r="J13" i="8"/>
  <c r="D30" i="9"/>
  <c r="D27" i="9"/>
  <c r="D26" i="9"/>
  <c r="D25" i="9"/>
  <c r="D23" i="9"/>
  <c r="D22" i="9"/>
  <c r="D21" i="9"/>
  <c r="D20" i="9"/>
  <c r="D18" i="9"/>
  <c r="D14" i="9"/>
  <c r="F12" i="9"/>
  <c r="H12" i="9" s="1"/>
  <c r="F11" i="9"/>
  <c r="H11" i="9" s="1"/>
  <c r="H10" i="9"/>
  <c r="F10" i="9"/>
  <c r="F9" i="9"/>
  <c r="H9" i="9" s="1"/>
  <c r="D27" i="8"/>
  <c r="D26" i="8"/>
  <c r="D24" i="8"/>
  <c r="D22" i="8"/>
  <c r="D21" i="8"/>
  <c r="D20" i="8"/>
  <c r="D19" i="8"/>
  <c r="D15" i="8"/>
  <c r="F13" i="8"/>
  <c r="H13" i="8" s="1"/>
  <c r="F12" i="8"/>
  <c r="H12" i="8" s="1"/>
  <c r="F11" i="8"/>
  <c r="H11" i="8" s="1"/>
  <c r="D30" i="7"/>
  <c r="D23" i="7"/>
  <c r="D25" i="7"/>
  <c r="D24" i="7"/>
  <c r="D22" i="7"/>
  <c r="D21" i="7"/>
  <c r="D26" i="7"/>
  <c r="D20" i="7"/>
  <c r="D19" i="7"/>
  <c r="D18" i="7"/>
  <c r="F14" i="9" l="1"/>
  <c r="H14" i="9" s="1"/>
  <c r="F15" i="8"/>
  <c r="H15" i="8" s="1"/>
  <c r="D14" i="7"/>
  <c r="F14" i="7" s="1"/>
  <c r="H14" i="7" s="1"/>
  <c r="F12" i="7" l="1"/>
  <c r="F11" i="7"/>
  <c r="F10" i="7"/>
  <c r="H10" i="7" s="1"/>
  <c r="F9" i="7"/>
  <c r="I18" i="5"/>
  <c r="H18" i="5"/>
  <c r="G18" i="5"/>
  <c r="F18" i="5"/>
  <c r="B18" i="5"/>
  <c r="H11" i="7" l="1"/>
  <c r="H12" i="7"/>
  <c r="H9" i="7"/>
</calcChain>
</file>

<file path=xl/sharedStrings.xml><?xml version="1.0" encoding="utf-8"?>
<sst xmlns="http://schemas.openxmlformats.org/spreadsheetml/2006/main" count="240" uniqueCount="89">
  <si>
    <t>STT</t>
  </si>
  <si>
    <t>Đại Lộc</t>
  </si>
  <si>
    <t>Khánh Nga</t>
  </si>
  <si>
    <t>Đồng Lâm</t>
  </si>
  <si>
    <t>ĐỀ XUẤT GIÁ BÁN CHAI, VẢY CỦA CÁC TRẠM CHO DTR (áp dụng từ 01/07/2025)</t>
  </si>
  <si>
    <t>ĐVT: đồng/ký</t>
  </si>
  <si>
    <t>Thành phẩm (chai sau phân loại)</t>
  </si>
  <si>
    <t>Giá đang mua NCC ngoài</t>
  </si>
  <si>
    <t>Giá KHNS</t>
  </si>
  <si>
    <t>Giá đang áp dụng</t>
  </si>
  <si>
    <t>Giá áp dụng từ tháng 7</t>
  </si>
  <si>
    <t>Ghi chú</t>
  </si>
  <si>
    <t>Chai PET B1.1</t>
  </si>
  <si>
    <t>Chai PET B1.2</t>
  </si>
  <si>
    <t>Thực tế không phát sinh sản lượng</t>
  </si>
  <si>
    <t>Chai PET B1.3</t>
  </si>
  <si>
    <t>Chai PET B2.1</t>
  </si>
  <si>
    <t>Chai PET B2.2</t>
  </si>
  <si>
    <t>Chai PET B3</t>
  </si>
  <si>
    <t>Chai PET B4</t>
  </si>
  <si>
    <t>Chai PET B5</t>
  </si>
  <si>
    <t>Chai PET B6.2</t>
  </si>
  <si>
    <t>Chai PET B7.2</t>
  </si>
  <si>
    <t>Nắp HD Ép, cổ chai</t>
  </si>
  <si>
    <t>PP (quai)</t>
  </si>
  <si>
    <t>Lợi nhuận sau thuế cả năm 2025 ước tính (đã tính khấu hao và chi phí)</t>
  </si>
  <si>
    <t>TH1: duy trì sản lượng mua NVL như hiện tại đến cuối năm</t>
  </si>
  <si>
    <t>-1,8 tỷ</t>
  </si>
  <si>
    <t>+0,3 tỷ</t>
  </si>
  <si>
    <t>+0,4 tỷ</t>
  </si>
  <si>
    <t>- Duy trì Đ.Lộc mua 1.000 tấn chai/tháng đến cuối năm
- KN &amp; Đ.Lâm 550 tấn/tháng</t>
  </si>
  <si>
    <t>TH2: tăng sản lượng mua NVL theo mục tiêu của Ban DA chuổi cung ứng</t>
  </si>
  <si>
    <t>+2 tỷ</t>
  </si>
  <si>
    <t>+2,5 tỷ</t>
  </si>
  <si>
    <t>+3,0 tỷ</t>
  </si>
  <si>
    <t>- Tăng dần sản lượng mua chai đến cuối năm của Đ.Lộc lên 1.500 tấn chai/tháng (+80tấn/tháng)
- KN đến cuối năm tăng lên 900 tấn (+60tấn/tháng) 
- Đ.Lâm 1.000 tấn (+70 tấn/tháng)</t>
  </si>
  <si>
    <t>Vảy PET B1.A6</t>
  </si>
  <si>
    <t>Vảy PET B1.2</t>
  </si>
  <si>
    <t>Vảy PET B1.3</t>
  </si>
  <si>
    <t>Vảy PET B2.1</t>
  </si>
  <si>
    <t>Vảy PET B2.2</t>
  </si>
  <si>
    <t>Vảy PET B3</t>
  </si>
  <si>
    <t>Vảy PET B4</t>
  </si>
  <si>
    <t>Vảy PET B5</t>
  </si>
  <si>
    <t>Vảy PET B6.2</t>
  </si>
  <si>
    <t>Vảy PET B7.2</t>
  </si>
  <si>
    <t>Vảy Nắp HD Ép, cổ chai</t>
  </si>
  <si>
    <t>Vảy PP (quai)</t>
  </si>
  <si>
    <t>ĐỀ XUẤT GIÁ BÁN VẢY CỦA CÁC TRẠM CHO DTR (áp dụng từ 01/07/2025)</t>
  </si>
  <si>
    <t>B1.1 + B1.2 + B1.3 + B2.1 + B3 + B6.1</t>
  </si>
  <si>
    <t>Chai PET nhóm 1</t>
  </si>
  <si>
    <t>Chai PET nhóm 2</t>
  </si>
  <si>
    <t>Chai PET nhóm 3</t>
  </si>
  <si>
    <t>Chai PET nhóm 4</t>
  </si>
  <si>
    <t>Nắp HD Ép, cổ chai, PP (quai)</t>
  </si>
  <si>
    <t>Nhóm chai PET</t>
  </si>
  <si>
    <t>Giá B0</t>
  </si>
  <si>
    <t>Tỷ lệ</t>
  </si>
  <si>
    <t>Quy ra tiền</t>
  </si>
  <si>
    <t>Hao hụt</t>
  </si>
  <si>
    <t>Thành phần chai PET sau phân loại</t>
  </si>
  <si>
    <t>Gap (đảm bảo chi phí và lợi nhuận)</t>
  </si>
  <si>
    <t>Giá từ tháng 8</t>
  </si>
  <si>
    <t>B4 + B5</t>
  </si>
  <si>
    <t>B2.2 + B6.2</t>
  </si>
  <si>
    <t>B. Giá mua Vảy</t>
  </si>
  <si>
    <t>A. Giá mua Chai</t>
  </si>
  <si>
    <t>Vảy B6.2</t>
  </si>
  <si>
    <t>Nhóm 1</t>
  </si>
  <si>
    <t>Giá mua đề xuất</t>
  </si>
  <si>
    <t>Giá mua theo công thức</t>
  </si>
  <si>
    <t>BẢNG TÍNH GIÁ MUA CHAI, VẢY TỪ CÁC TRẠM</t>
  </si>
  <si>
    <t>Giá đề xuất</t>
  </si>
  <si>
    <t>Tên Chai</t>
  </si>
  <si>
    <t>Chai PET B6.1</t>
  </si>
  <si>
    <t>Vảy PET B6.2_A6</t>
  </si>
  <si>
    <t>Chai PET B1 KPL (B1.2)</t>
  </si>
  <si>
    <t>Mã SAP</t>
  </si>
  <si>
    <t>BẢNG COPY QUA TỜ TRÌNH DUYỆT</t>
  </si>
  <si>
    <t>[1]</t>
  </si>
  <si>
    <t>[2]</t>
  </si>
  <si>
    <t>[3]</t>
  </si>
  <si>
    <t>[4]</t>
  </si>
  <si>
    <t>[6]</t>
  </si>
  <si>
    <t>[8]</t>
  </si>
  <si>
    <t>GAP B0-Giá Mua</t>
  </si>
  <si>
    <t>[5]=[3]*[4]</t>
  </si>
  <si>
    <t>[7]=[3]+[5]+[6]</t>
  </si>
  <si>
    <t>[9]=[8]-[3]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</si>
</sst>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FF"/>
      <name val="Arial"/>
      <family val="2"/>
    </font>
    <font>
      <sz val="10"/>
      <color rgb="FF0066FF"/>
      <name val="Arial"/>
      <family val="2"/>
    </font>
    <font>
      <sz val="11"/>
      <color rgb="FF0066FF"/>
      <name val="Calibri"/>
      <family val="2"/>
      <scheme val="minor"/>
    </font>
    <font>
      <sz val="11"/>
      <color rgb="FF0066FF"/>
      <name val="Arial"/>
      <family val="2"/>
    </font>
    <font>
      <b/>
      <sz val="11"/>
      <color rgb="FF0066FF"/>
      <name val="Arial"/>
      <family val="2"/>
    </font>
    <font>
      <b/>
      <sz val="14"/>
      <color rgb="FF0066FF"/>
      <name val="Calibri"/>
      <family val="2"/>
      <scheme val="minor"/>
    </font>
    <font>
      <b/>
      <sz val="12"/>
      <color rgb="FF0066FF"/>
      <name val="Calibri Light"/>
      <family val="1"/>
      <scheme val="major"/>
    </font>
    <font>
      <sz val="12"/>
      <color rgb="FF0066FF"/>
      <name val="Calibri Light"/>
      <family val="1"/>
      <scheme val="major"/>
    </font>
    <font>
      <b/>
      <sz val="11"/>
      <color rgb="FF0066FF"/>
      <name val="Calibri"/>
      <family val="2"/>
      <scheme val="minor"/>
    </font>
    <font>
      <b/>
      <sz val="12"/>
      <color rgb="FF0000FF"/>
      <name val="Calibri Light"/>
      <family val="1"/>
      <scheme val="major"/>
    </font>
    <font>
      <sz val="12"/>
      <color rgb="FF0000FF"/>
      <name val="Calibri Light"/>
      <family val="1"/>
      <scheme val="major"/>
    </font>
    <font>
      <sz val="8"/>
      <name val="Calibri"/>
      <family val="2"/>
      <scheme val="minor"/>
    </font>
    <font>
      <b/>
      <sz val="12"/>
      <color rgb="FF0066FF"/>
      <name val="Calibri"/>
      <family val="2"/>
      <scheme val="minor"/>
    </font>
    <font>
      <b/>
      <sz val="16"/>
      <color rgb="FF0066FF"/>
      <name val="Calibri"/>
      <family val="2"/>
      <scheme val="minor"/>
    </font>
    <font>
      <i/>
      <sz val="9"/>
      <color rgb="FF0066FF"/>
      <name val="Calibri"/>
      <family val="2"/>
      <scheme val="minor"/>
    </font>
    <font>
      <b/>
      <i/>
      <sz val="9"/>
      <color rgb="FF0066FF"/>
      <name val="Calibri Light"/>
      <family val="1"/>
      <scheme val="major"/>
    </font>
    <font>
      <sz val="12"/>
      <color rgb="FFC00000"/>
      <name val="Calibri Light"/>
      <family val="1"/>
      <scheme val="major"/>
    </font>
    <font>
      <b/>
      <sz val="12"/>
      <color rgb="FFC00000"/>
      <name val="Calibri Light"/>
      <family val="1"/>
      <scheme val="major"/>
    </font>
    <font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rgb="FFFFC000"/>
      </right>
      <top style="thin">
        <color auto="1"/>
      </top>
      <bottom/>
      <diagonal/>
    </border>
    <border>
      <left style="medium">
        <color rgb="FFFFC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C000"/>
      </right>
      <top/>
      <bottom style="thin">
        <color indexed="64"/>
      </bottom>
      <diagonal/>
    </border>
    <border>
      <left style="medium">
        <color rgb="FFFFC000"/>
      </left>
      <right style="thin">
        <color auto="1"/>
      </right>
      <top/>
      <bottom/>
      <diagonal/>
    </border>
    <border>
      <left style="thin">
        <color auto="1"/>
      </left>
      <right style="medium">
        <color rgb="FFFFC000"/>
      </right>
      <top/>
      <bottom/>
      <diagonal/>
    </border>
    <border>
      <left style="medium">
        <color rgb="FFFFC000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rgb="FFFFC000"/>
      </right>
      <top style="thin">
        <color indexed="64"/>
      </top>
      <bottom style="hair">
        <color indexed="64"/>
      </bottom>
      <diagonal/>
    </border>
    <border>
      <left style="medium">
        <color rgb="FFFFC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rgb="FFFFC000"/>
      </right>
      <top style="hair">
        <color indexed="64"/>
      </top>
      <bottom style="hair">
        <color indexed="64"/>
      </bottom>
      <diagonal/>
    </border>
    <border>
      <left style="medium">
        <color rgb="FFFFC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C000"/>
      </right>
      <top style="hair">
        <color indexed="64"/>
      </top>
      <bottom style="thin">
        <color indexed="64"/>
      </bottom>
      <diagonal/>
    </border>
    <border>
      <left style="medium">
        <color rgb="FFFFC000"/>
      </left>
      <right style="thin">
        <color indexed="64"/>
      </right>
      <top style="hair">
        <color indexed="64"/>
      </top>
      <bottom style="medium">
        <color rgb="FFFFC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FFC000"/>
      </bottom>
      <diagonal/>
    </border>
    <border>
      <left style="thin">
        <color indexed="64"/>
      </left>
      <right style="medium">
        <color rgb="FFFFC000"/>
      </right>
      <top style="hair">
        <color indexed="64"/>
      </top>
      <bottom style="medium">
        <color rgb="FFFFC000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 style="medium">
        <color theme="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5"/>
      </right>
      <top style="thin">
        <color auto="1"/>
      </top>
      <bottom style="thin">
        <color auto="1"/>
      </bottom>
      <diagonal/>
    </border>
    <border>
      <left style="medium">
        <color theme="5"/>
      </left>
      <right style="thin">
        <color auto="1"/>
      </right>
      <top style="thin">
        <color auto="1"/>
      </top>
      <bottom style="medium">
        <color theme="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5"/>
      </bottom>
      <diagonal/>
    </border>
    <border>
      <left style="thin">
        <color auto="1"/>
      </left>
      <right style="medium">
        <color theme="5"/>
      </right>
      <top style="thin">
        <color auto="1"/>
      </top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 style="thin">
        <color theme="0" tint="-4.9989318521683403E-2"/>
      </bottom>
      <diagonal/>
    </border>
    <border>
      <left/>
      <right/>
      <top style="medium">
        <color theme="5"/>
      </top>
      <bottom style="thin">
        <color theme="0" tint="-4.9989318521683403E-2"/>
      </bottom>
      <diagonal/>
    </border>
    <border>
      <left/>
      <right style="medium">
        <color theme="5"/>
      </right>
      <top style="medium">
        <color theme="5"/>
      </top>
      <bottom style="thin">
        <color theme="0" tint="-4.9989318521683403E-2"/>
      </bottom>
      <diagonal/>
    </border>
    <border>
      <left/>
      <right style="medium">
        <color theme="5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8" fillId="4" borderId="2" xfId="0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left" vertical="center" wrapText="1"/>
    </xf>
    <xf numFmtId="164" fontId="3" fillId="3" borderId="3" xfId="1" quotePrefix="1" applyNumberFormat="1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0" fontId="9" fillId="5" borderId="4" xfId="2" applyFont="1" applyFill="1" applyBorder="1" applyAlignment="1">
      <alignment horizontal="center" vertical="center" wrapText="1"/>
    </xf>
    <xf numFmtId="0" fontId="9" fillId="5" borderId="4" xfId="2" applyFont="1" applyFill="1" applyBorder="1" applyAlignment="1">
      <alignment horizontal="left" vertical="center" wrapText="1"/>
    </xf>
    <xf numFmtId="164" fontId="3" fillId="5" borderId="4" xfId="1" quotePrefix="1" applyNumberFormat="1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left" vertical="center" wrapText="1"/>
    </xf>
    <xf numFmtId="164" fontId="3" fillId="3" borderId="4" xfId="1" quotePrefix="1" applyNumberFormat="1" applyFont="1" applyFill="1" applyBorder="1" applyAlignment="1">
      <alignment horizontal="center" vertical="center" wrapText="1"/>
    </xf>
    <xf numFmtId="0" fontId="9" fillId="3" borderId="5" xfId="2" applyFont="1" applyFill="1" applyBorder="1" applyAlignment="1">
      <alignment horizontal="center" vertical="center" wrapText="1"/>
    </xf>
    <xf numFmtId="0" fontId="9" fillId="3" borderId="5" xfId="2" applyFont="1" applyFill="1" applyBorder="1" applyAlignment="1">
      <alignment horizontal="left" vertical="center" wrapText="1"/>
    </xf>
    <xf numFmtId="164" fontId="3" fillId="3" borderId="5" xfId="1" quotePrefix="1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 wrapText="1"/>
    </xf>
    <xf numFmtId="0" fontId="4" fillId="0" borderId="6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3" borderId="2" xfId="2" applyFont="1" applyFill="1" applyBorder="1" applyAlignment="1">
      <alignment horizontal="center" vertical="center" wrapText="1"/>
    </xf>
    <xf numFmtId="0" fontId="12" fillId="3" borderId="2" xfId="2" applyFont="1" applyFill="1" applyBorder="1" applyAlignment="1">
      <alignment horizontal="left" vertical="center" wrapText="1"/>
    </xf>
    <xf numFmtId="164" fontId="2" fillId="3" borderId="2" xfId="1" quotePrefix="1" applyNumberFormat="1" applyFont="1" applyFill="1" applyBorder="1" applyAlignment="1">
      <alignment horizontal="right" vertical="center" wrapText="1"/>
    </xf>
    <xf numFmtId="165" fontId="12" fillId="3" borderId="2" xfId="2" applyNumberFormat="1" applyFont="1" applyFill="1" applyBorder="1" applyAlignment="1">
      <alignment horizontal="center" vertical="center" wrapText="1"/>
    </xf>
    <xf numFmtId="164" fontId="2" fillId="3" borderId="2" xfId="1" quotePrefix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4" borderId="1" xfId="2" applyFont="1" applyFill="1" applyBorder="1" applyAlignment="1">
      <alignment horizontal="center" vertical="center" wrapText="1"/>
    </xf>
    <xf numFmtId="164" fontId="9" fillId="3" borderId="3" xfId="1" applyNumberFormat="1" applyFont="1" applyFill="1" applyBorder="1" applyAlignment="1">
      <alignment horizontal="left" vertical="center" wrapText="1"/>
    </xf>
    <xf numFmtId="164" fontId="9" fillId="3" borderId="4" xfId="1" applyNumberFormat="1" applyFont="1" applyFill="1" applyBorder="1" applyAlignment="1">
      <alignment horizontal="left" vertical="center" wrapText="1"/>
    </xf>
    <xf numFmtId="9" fontId="9" fillId="3" borderId="3" xfId="2" applyNumberFormat="1" applyFont="1" applyFill="1" applyBorder="1" applyAlignment="1">
      <alignment horizontal="center" vertical="center" wrapText="1"/>
    </xf>
    <xf numFmtId="9" fontId="9" fillId="3" borderId="4" xfId="2" applyNumberFormat="1" applyFont="1" applyFill="1" applyBorder="1" applyAlignment="1">
      <alignment horizontal="center" vertical="center" wrapText="1"/>
    </xf>
    <xf numFmtId="164" fontId="9" fillId="3" borderId="3" xfId="1" applyNumberFormat="1" applyFont="1" applyFill="1" applyBorder="1" applyAlignment="1">
      <alignment horizontal="center" vertical="center" wrapText="1"/>
    </xf>
    <xf numFmtId="164" fontId="9" fillId="3" borderId="4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9" fontId="9" fillId="3" borderId="5" xfId="2" applyNumberFormat="1" applyFont="1" applyFill="1" applyBorder="1" applyAlignment="1">
      <alignment horizontal="center" vertical="center" wrapText="1"/>
    </xf>
    <xf numFmtId="164" fontId="9" fillId="3" borderId="5" xfId="1" applyNumberFormat="1" applyFont="1" applyFill="1" applyBorder="1" applyAlignment="1">
      <alignment horizontal="center" vertical="center" wrapText="1"/>
    </xf>
    <xf numFmtId="164" fontId="9" fillId="3" borderId="5" xfId="1" applyNumberFormat="1" applyFont="1" applyFill="1" applyBorder="1" applyAlignment="1">
      <alignment horizontal="left" vertical="center" wrapText="1"/>
    </xf>
    <xf numFmtId="0" fontId="8" fillId="6" borderId="17" xfId="2" applyFont="1" applyFill="1" applyBorder="1" applyAlignment="1">
      <alignment horizontal="center" vertical="center" wrapText="1"/>
    </xf>
    <xf numFmtId="0" fontId="8" fillId="6" borderId="1" xfId="2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left" vertical="center" wrapText="1"/>
    </xf>
    <xf numFmtId="164" fontId="5" fillId="3" borderId="2" xfId="1" quotePrefix="1" applyNumberFormat="1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 indent="1"/>
    </xf>
    <xf numFmtId="164" fontId="5" fillId="3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0" fontId="5" fillId="3" borderId="2" xfId="2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vertical="center"/>
    </xf>
    <xf numFmtId="0" fontId="10" fillId="0" borderId="23" xfId="0" applyFont="1" applyBorder="1" applyAlignment="1">
      <alignment horizontal="right" vertical="center"/>
    </xf>
    <xf numFmtId="0" fontId="8" fillId="6" borderId="28" xfId="2" applyFont="1" applyFill="1" applyBorder="1" applyAlignment="1">
      <alignment horizontal="center" vertical="center" wrapText="1"/>
    </xf>
    <xf numFmtId="0" fontId="8" fillId="6" borderId="29" xfId="0" applyFont="1" applyFill="1" applyBorder="1" applyAlignment="1">
      <alignment horizontal="center" vertical="center" wrapText="1"/>
    </xf>
    <xf numFmtId="0" fontId="9" fillId="3" borderId="30" xfId="2" applyFont="1" applyFill="1" applyBorder="1" applyAlignment="1">
      <alignment horizontal="left" vertical="center" wrapText="1"/>
    </xf>
    <xf numFmtId="164" fontId="3" fillId="3" borderId="31" xfId="1" quotePrefix="1" applyNumberFormat="1" applyFont="1" applyFill="1" applyBorder="1" applyAlignment="1">
      <alignment horizontal="center" vertical="center" wrapText="1"/>
    </xf>
    <xf numFmtId="0" fontId="9" fillId="3" borderId="32" xfId="2" applyFont="1" applyFill="1" applyBorder="1" applyAlignment="1">
      <alignment horizontal="left" vertical="center" wrapText="1"/>
    </xf>
    <xf numFmtId="164" fontId="3" fillId="3" borderId="33" xfId="1" quotePrefix="1" applyNumberFormat="1" applyFont="1" applyFill="1" applyBorder="1" applyAlignment="1">
      <alignment horizontal="center" vertical="center" wrapText="1"/>
    </xf>
    <xf numFmtId="0" fontId="9" fillId="3" borderId="34" xfId="2" applyFont="1" applyFill="1" applyBorder="1" applyAlignment="1">
      <alignment horizontal="left" vertical="center" wrapText="1"/>
    </xf>
    <xf numFmtId="164" fontId="3" fillId="3" borderId="35" xfId="1" quotePrefix="1" applyNumberFormat="1" applyFont="1" applyFill="1" applyBorder="1" applyAlignment="1">
      <alignment horizontal="center" vertical="center" wrapText="1"/>
    </xf>
    <xf numFmtId="0" fontId="9" fillId="3" borderId="36" xfId="2" applyFont="1" applyFill="1" applyBorder="1" applyAlignment="1">
      <alignment horizontal="left" vertical="center" wrapText="1"/>
    </xf>
    <xf numFmtId="0" fontId="9" fillId="3" borderId="37" xfId="2" applyFont="1" applyFill="1" applyBorder="1" applyAlignment="1">
      <alignment horizontal="left" vertical="center" wrapText="1"/>
    </xf>
    <xf numFmtId="164" fontId="9" fillId="3" borderId="37" xfId="1" applyNumberFormat="1" applyFont="1" applyFill="1" applyBorder="1" applyAlignment="1">
      <alignment horizontal="left" vertical="center" wrapText="1"/>
    </xf>
    <xf numFmtId="9" fontId="9" fillId="3" borderId="37" xfId="2" applyNumberFormat="1" applyFont="1" applyFill="1" applyBorder="1" applyAlignment="1">
      <alignment horizontal="center" vertical="center" wrapText="1"/>
    </xf>
    <xf numFmtId="164" fontId="9" fillId="3" borderId="37" xfId="1" applyNumberFormat="1" applyFont="1" applyFill="1" applyBorder="1" applyAlignment="1">
      <alignment horizontal="center" vertical="center" wrapText="1"/>
    </xf>
    <xf numFmtId="164" fontId="3" fillId="3" borderId="37" xfId="1" quotePrefix="1" applyNumberFormat="1" applyFont="1" applyFill="1" applyBorder="1" applyAlignment="1">
      <alignment horizontal="center" vertical="center" wrapText="1"/>
    </xf>
    <xf numFmtId="164" fontId="3" fillId="3" borderId="38" xfId="1" quotePrefix="1" applyNumberFormat="1" applyFont="1" applyFill="1" applyBorder="1" applyAlignment="1">
      <alignment horizontal="center" vertical="center" wrapText="1"/>
    </xf>
    <xf numFmtId="164" fontId="4" fillId="0" borderId="0" xfId="1" applyNumberFormat="1" applyFont="1" applyAlignment="1">
      <alignment vertical="center"/>
    </xf>
    <xf numFmtId="164" fontId="5" fillId="7" borderId="2" xfId="1" quotePrefix="1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right" vertical="center"/>
    </xf>
    <xf numFmtId="0" fontId="4" fillId="0" borderId="39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8" fillId="4" borderId="2" xfId="2" applyFont="1" applyFill="1" applyBorder="1" applyAlignment="1">
      <alignment horizontal="center" vertical="center" wrapText="1"/>
    </xf>
    <xf numFmtId="0" fontId="8" fillId="6" borderId="42" xfId="2" applyFont="1" applyFill="1" applyBorder="1" applyAlignment="1">
      <alignment horizontal="center" vertical="center" wrapText="1"/>
    </xf>
    <xf numFmtId="0" fontId="8" fillId="6" borderId="2" xfId="2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3" borderId="42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164" fontId="9" fillId="3" borderId="2" xfId="1" applyNumberFormat="1" applyFont="1" applyFill="1" applyBorder="1" applyAlignment="1">
      <alignment horizontal="left" vertical="center" wrapText="1"/>
    </xf>
    <xf numFmtId="9" fontId="9" fillId="3" borderId="2" xfId="2" applyNumberFormat="1" applyFont="1" applyFill="1" applyBorder="1" applyAlignment="1">
      <alignment horizontal="center" vertical="center" wrapText="1"/>
    </xf>
    <xf numFmtId="164" fontId="9" fillId="3" borderId="2" xfId="1" applyNumberFormat="1" applyFont="1" applyFill="1" applyBorder="1" applyAlignment="1">
      <alignment horizontal="center" vertical="center" wrapText="1"/>
    </xf>
    <xf numFmtId="164" fontId="3" fillId="3" borderId="2" xfId="1" quotePrefix="1" applyNumberFormat="1" applyFont="1" applyFill="1" applyBorder="1" applyAlignment="1">
      <alignment horizontal="center" vertical="center" wrapText="1"/>
    </xf>
    <xf numFmtId="0" fontId="9" fillId="3" borderId="44" xfId="2" applyFont="1" applyFill="1" applyBorder="1" applyAlignment="1">
      <alignment horizontal="left" vertical="center" wrapText="1"/>
    </xf>
    <xf numFmtId="0" fontId="9" fillId="3" borderId="45" xfId="2" applyFont="1" applyFill="1" applyBorder="1" applyAlignment="1">
      <alignment horizontal="left" vertical="center" wrapText="1"/>
    </xf>
    <xf numFmtId="164" fontId="9" fillId="3" borderId="45" xfId="1" applyNumberFormat="1" applyFont="1" applyFill="1" applyBorder="1" applyAlignment="1">
      <alignment horizontal="left" vertical="center" wrapText="1"/>
    </xf>
    <xf numFmtId="9" fontId="9" fillId="3" borderId="45" xfId="2" applyNumberFormat="1" applyFont="1" applyFill="1" applyBorder="1" applyAlignment="1">
      <alignment horizontal="center" vertical="center" wrapText="1"/>
    </xf>
    <xf numFmtId="164" fontId="9" fillId="3" borderId="45" xfId="1" applyNumberFormat="1" applyFont="1" applyFill="1" applyBorder="1" applyAlignment="1">
      <alignment horizontal="center" vertical="center" wrapText="1"/>
    </xf>
    <xf numFmtId="164" fontId="3" fillId="3" borderId="45" xfId="1" quotePrefix="1" applyNumberFormat="1" applyFont="1" applyFill="1" applyBorder="1" applyAlignment="1">
      <alignment horizontal="center" vertical="center" wrapText="1"/>
    </xf>
    <xf numFmtId="0" fontId="16" fillId="0" borderId="40" xfId="0" applyFont="1" applyBorder="1" applyAlignment="1">
      <alignment vertical="center"/>
    </xf>
    <xf numFmtId="0" fontId="17" fillId="0" borderId="42" xfId="2" applyFont="1" applyBorder="1" applyAlignment="1">
      <alignment horizontal="center" vertical="center" wrapText="1"/>
    </xf>
    <xf numFmtId="0" fontId="17" fillId="0" borderId="2" xfId="2" applyFont="1" applyBorder="1" applyAlignment="1">
      <alignment horizontal="center" vertical="center" wrapText="1"/>
    </xf>
    <xf numFmtId="0" fontId="17" fillId="0" borderId="43" xfId="2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4" fillId="0" borderId="50" xfId="0" applyFont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8" fillId="6" borderId="43" xfId="0" applyFont="1" applyFill="1" applyBorder="1" applyAlignment="1">
      <alignment horizontal="center" vertical="center" wrapText="1"/>
    </xf>
    <xf numFmtId="164" fontId="18" fillId="3" borderId="2" xfId="1" applyNumberFormat="1" applyFont="1" applyFill="1" applyBorder="1" applyAlignment="1">
      <alignment horizontal="left" vertical="center" wrapText="1"/>
    </xf>
    <xf numFmtId="164" fontId="18" fillId="3" borderId="45" xfId="1" applyNumberFormat="1" applyFont="1" applyFill="1" applyBorder="1" applyAlignment="1">
      <alignment horizontal="left" vertical="center" wrapText="1"/>
    </xf>
    <xf numFmtId="164" fontId="20" fillId="0" borderId="43" xfId="0" applyNumberFormat="1" applyFont="1" applyBorder="1" applyAlignment="1">
      <alignment vertical="center"/>
    </xf>
    <xf numFmtId="164" fontId="20" fillId="0" borderId="46" xfId="0" applyNumberFormat="1" applyFont="1" applyBorder="1" applyAlignment="1">
      <alignment vertical="center"/>
    </xf>
    <xf numFmtId="0" fontId="19" fillId="4" borderId="43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4" borderId="42" xfId="2" applyFont="1" applyFill="1" applyBorder="1" applyAlignment="1">
      <alignment horizontal="center" vertical="center" wrapText="1"/>
    </xf>
    <xf numFmtId="0" fontId="8" fillId="4" borderId="2" xfId="2" applyFont="1" applyFill="1" applyBorder="1" applyAlignment="1">
      <alignment horizontal="center" vertical="center" wrapText="1"/>
    </xf>
    <xf numFmtId="0" fontId="19" fillId="4" borderId="2" xfId="2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7" xfId="2" applyFont="1" applyFill="1" applyBorder="1" applyAlignment="1">
      <alignment horizontal="center" vertical="center" wrapText="1"/>
    </xf>
    <xf numFmtId="0" fontId="8" fillId="4" borderId="8" xfId="2" applyFont="1" applyFill="1" applyBorder="1" applyAlignment="1">
      <alignment horizontal="center" vertical="center" wrapText="1"/>
    </xf>
    <xf numFmtId="0" fontId="8" fillId="4" borderId="9" xfId="2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4" fillId="0" borderId="11" xfId="0" quotePrefix="1" applyFont="1" applyBorder="1" applyAlignment="1">
      <alignment horizontal="left" vertical="center" wrapText="1"/>
    </xf>
    <xf numFmtId="0" fontId="4" fillId="0" borderId="13" xfId="0" quotePrefix="1" applyFont="1" applyBorder="1" applyAlignment="1">
      <alignment horizontal="left" vertical="center" wrapText="1"/>
    </xf>
    <xf numFmtId="0" fontId="9" fillId="3" borderId="14" xfId="2" applyFont="1" applyFill="1" applyBorder="1" applyAlignment="1">
      <alignment horizontal="left" vertical="center" wrapText="1"/>
    </xf>
    <xf numFmtId="0" fontId="9" fillId="3" borderId="15" xfId="2" applyFont="1" applyFill="1" applyBorder="1" applyAlignment="1">
      <alignment horizontal="left" vertical="center" wrapText="1"/>
    </xf>
    <xf numFmtId="0" fontId="9" fillId="3" borderId="16" xfId="2" applyFont="1" applyFill="1" applyBorder="1" applyAlignment="1">
      <alignment horizontal="left" vertical="center" wrapText="1"/>
    </xf>
    <xf numFmtId="0" fontId="4" fillId="0" borderId="14" xfId="0" quotePrefix="1" applyFont="1" applyBorder="1" applyAlignment="1">
      <alignment horizontal="left" vertical="center" wrapText="1"/>
    </xf>
    <xf numFmtId="0" fontId="4" fillId="0" borderId="16" xfId="0" quotePrefix="1" applyFont="1" applyBorder="1" applyAlignment="1">
      <alignment horizontal="left" vertical="center" wrapText="1"/>
    </xf>
    <xf numFmtId="0" fontId="9" fillId="3" borderId="11" xfId="2" applyFont="1" applyFill="1" applyBorder="1" applyAlignment="1">
      <alignment horizontal="left" vertical="center" wrapText="1"/>
    </xf>
    <xf numFmtId="0" fontId="9" fillId="3" borderId="12" xfId="2" applyFont="1" applyFill="1" applyBorder="1" applyAlignment="1">
      <alignment horizontal="left" vertical="center" wrapText="1"/>
    </xf>
    <xf numFmtId="0" fontId="9" fillId="3" borderId="13" xfId="2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4" borderId="1" xfId="2" applyFont="1" applyFill="1" applyBorder="1" applyAlignment="1">
      <alignment horizontal="center" vertical="center" wrapText="1"/>
    </xf>
    <xf numFmtId="0" fontId="8" fillId="4" borderId="10" xfId="2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8" fillId="4" borderId="24" xfId="2" applyFont="1" applyFill="1" applyBorder="1" applyAlignment="1">
      <alignment horizontal="center" vertical="center" wrapText="1"/>
    </xf>
    <xf numFmtId="0" fontId="8" fillId="4" borderId="26" xfId="2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vertical="center"/>
    </xf>
  </cellXfs>
  <cellStyles count="4">
    <cellStyle name="Comma" xfId="1" builtinId="3"/>
    <cellStyle name="Comma 3 2" xfId="3" xr:uid="{8D701E90-9F8B-4950-B59E-A1075B4F7695}"/>
    <cellStyle name="Normal" xfId="0" builtinId="0"/>
    <cellStyle name="Normal 3" xfId="2" xr:uid="{189737CE-C3A6-4F1D-B00E-29FFAD3F31A4}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59764</xdr:rowOff>
    </xdr:from>
    <xdr:to>
      <xdr:col>2</xdr:col>
      <xdr:colOff>67235</xdr:colOff>
      <xdr:row>1</xdr:row>
      <xdr:rowOff>170837</xdr:rowOff>
    </xdr:to>
    <xdr:pic>
      <xdr:nvPicPr>
        <xdr:cNvPr id="2" name="Picture 1" descr="A green and grey recycle sign&#10;&#10;Description automatically generated">
          <a:extLst>
            <a:ext uri="{FF2B5EF4-FFF2-40B4-BE49-F238E27FC236}">
              <a16:creationId xmlns:a16="http://schemas.microsoft.com/office/drawing/2014/main" id="{12A4DBE8-D36C-38C5-F8D7-756A19140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764"/>
          <a:ext cx="1359647" cy="2978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59764</xdr:rowOff>
    </xdr:from>
    <xdr:to>
      <xdr:col>2</xdr:col>
      <xdr:colOff>67235</xdr:colOff>
      <xdr:row>1</xdr:row>
      <xdr:rowOff>170837</xdr:rowOff>
    </xdr:to>
    <xdr:pic>
      <xdr:nvPicPr>
        <xdr:cNvPr id="2" name="Picture 1" descr="A green and grey recycle sign&#10;&#10;Description automatically generated">
          <a:extLst>
            <a:ext uri="{FF2B5EF4-FFF2-40B4-BE49-F238E27FC236}">
              <a16:creationId xmlns:a16="http://schemas.microsoft.com/office/drawing/2014/main" id="{1487FE07-2D78-48F4-962C-2B2B53074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764"/>
          <a:ext cx="1379458" cy="2951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59764</xdr:rowOff>
    </xdr:from>
    <xdr:to>
      <xdr:col>2</xdr:col>
      <xdr:colOff>67235</xdr:colOff>
      <xdr:row>1</xdr:row>
      <xdr:rowOff>170837</xdr:rowOff>
    </xdr:to>
    <xdr:pic>
      <xdr:nvPicPr>
        <xdr:cNvPr id="2" name="Picture 1" descr="A green and grey recycle sign&#10;&#10;Description automatically generated">
          <a:extLst>
            <a:ext uri="{FF2B5EF4-FFF2-40B4-BE49-F238E27FC236}">
              <a16:creationId xmlns:a16="http://schemas.microsoft.com/office/drawing/2014/main" id="{1BE8022E-6E23-40CE-99A7-42D12E9C5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764"/>
          <a:ext cx="1356285" cy="2952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59764</xdr:rowOff>
    </xdr:from>
    <xdr:to>
      <xdr:col>2</xdr:col>
      <xdr:colOff>67235</xdr:colOff>
      <xdr:row>1</xdr:row>
      <xdr:rowOff>170837</xdr:rowOff>
    </xdr:to>
    <xdr:pic>
      <xdr:nvPicPr>
        <xdr:cNvPr id="2" name="Picture 1" descr="A green and grey recycle sign&#10;&#10;Description automatically generated">
          <a:extLst>
            <a:ext uri="{FF2B5EF4-FFF2-40B4-BE49-F238E27FC236}">
              <a16:creationId xmlns:a16="http://schemas.microsoft.com/office/drawing/2014/main" id="{3E544AED-395E-4E5F-8B37-7A10F0D7A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764"/>
          <a:ext cx="1379458" cy="2951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56B6-0044-4DF9-B52B-736E9217353D}">
  <dimension ref="A1:K20"/>
  <sheetViews>
    <sheetView topLeftCell="B9" workbookViewId="0">
      <selection activeCell="F20" sqref="F20"/>
    </sheetView>
  </sheetViews>
  <sheetFormatPr defaultColWidth="8.7265625" defaultRowHeight="14.5" x14ac:dyDescent="0.35"/>
  <cols>
    <col min="1" max="1" width="8.7265625" style="1" hidden="1" customWidth="1"/>
    <col min="2" max="2" width="7.81640625" style="1" customWidth="1"/>
    <col min="3" max="3" width="27.36328125" style="1" customWidth="1"/>
    <col min="4" max="4" width="10.90625" style="1" customWidth="1"/>
    <col min="5" max="9" width="11.26953125" style="1" customWidth="1"/>
    <col min="10" max="10" width="35.453125" style="1" customWidth="1"/>
    <col min="11" max="11" width="30.36328125" style="1" customWidth="1"/>
    <col min="12" max="16384" width="8.7265625" style="1"/>
  </cols>
  <sheetData>
    <row r="1" spans="2:11" ht="18.5" x14ac:dyDescent="0.35">
      <c r="B1" s="128" t="s">
        <v>4</v>
      </c>
      <c r="C1" s="128"/>
      <c r="D1" s="128"/>
      <c r="E1" s="128"/>
      <c r="F1" s="128"/>
      <c r="G1" s="128"/>
      <c r="H1" s="128"/>
      <c r="I1" s="128"/>
      <c r="J1" s="128"/>
    </row>
    <row r="2" spans="2:11" x14ac:dyDescent="0.35">
      <c r="J2" s="2" t="s">
        <v>5</v>
      </c>
    </row>
    <row r="3" spans="2:11" ht="15.5" x14ac:dyDescent="0.35">
      <c r="B3" s="129" t="s">
        <v>0</v>
      </c>
      <c r="C3" s="129" t="s">
        <v>6</v>
      </c>
      <c r="D3" s="129" t="s">
        <v>7</v>
      </c>
      <c r="E3" s="131" t="s">
        <v>8</v>
      </c>
      <c r="F3" s="133" t="s">
        <v>9</v>
      </c>
      <c r="G3" s="134"/>
      <c r="H3" s="135"/>
      <c r="I3" s="131" t="s">
        <v>10</v>
      </c>
      <c r="J3" s="131" t="s">
        <v>11</v>
      </c>
    </row>
    <row r="4" spans="2:11" ht="30.5" customHeight="1" x14ac:dyDescent="0.35">
      <c r="B4" s="130"/>
      <c r="C4" s="130"/>
      <c r="D4" s="130"/>
      <c r="E4" s="132"/>
      <c r="F4" s="3" t="s">
        <v>1</v>
      </c>
      <c r="G4" s="3" t="s">
        <v>2</v>
      </c>
      <c r="H4" s="3" t="s">
        <v>3</v>
      </c>
      <c r="I4" s="132"/>
      <c r="J4" s="132"/>
    </row>
    <row r="5" spans="2:11" ht="15.9" x14ac:dyDescent="0.35">
      <c r="B5" s="4">
        <v>1</v>
      </c>
      <c r="C5" s="5" t="s">
        <v>12</v>
      </c>
      <c r="D5" s="6">
        <v>18200</v>
      </c>
      <c r="E5" s="6">
        <v>18000</v>
      </c>
      <c r="F5" s="6">
        <v>19200</v>
      </c>
      <c r="G5" s="6">
        <v>18640</v>
      </c>
      <c r="H5" s="6">
        <v>18617</v>
      </c>
      <c r="I5" s="6">
        <v>19300</v>
      </c>
      <c r="J5" s="6"/>
      <c r="K5" s="7"/>
    </row>
    <row r="6" spans="2:11" ht="15.5" x14ac:dyDescent="0.35">
      <c r="B6" s="8">
        <v>2</v>
      </c>
      <c r="C6" s="9" t="s">
        <v>13</v>
      </c>
      <c r="D6" s="10"/>
      <c r="E6" s="10">
        <v>18000</v>
      </c>
      <c r="F6" s="10"/>
      <c r="G6" s="10"/>
      <c r="H6" s="10">
        <v>0</v>
      </c>
      <c r="I6" s="10">
        <v>19300</v>
      </c>
      <c r="J6" s="10" t="s">
        <v>14</v>
      </c>
    </row>
    <row r="7" spans="2:11" ht="15.9" x14ac:dyDescent="0.35">
      <c r="B7" s="11">
        <v>3</v>
      </c>
      <c r="C7" s="12" t="s">
        <v>15</v>
      </c>
      <c r="D7" s="13"/>
      <c r="E7" s="13">
        <v>18000</v>
      </c>
      <c r="F7" s="13">
        <v>19011</v>
      </c>
      <c r="G7" s="13">
        <v>18890</v>
      </c>
      <c r="H7" s="13">
        <v>18890</v>
      </c>
      <c r="I7" s="13">
        <v>19300</v>
      </c>
      <c r="J7" s="13"/>
      <c r="K7" s="7"/>
    </row>
    <row r="8" spans="2:11" ht="15.5" x14ac:dyDescent="0.35">
      <c r="B8" s="8">
        <v>4</v>
      </c>
      <c r="C8" s="9" t="s">
        <v>16</v>
      </c>
      <c r="D8" s="10"/>
      <c r="E8" s="10">
        <v>14500</v>
      </c>
      <c r="F8" s="10"/>
      <c r="G8" s="10"/>
      <c r="H8" s="10">
        <v>0</v>
      </c>
      <c r="I8" s="10">
        <v>19300</v>
      </c>
      <c r="J8" s="10" t="s">
        <v>14</v>
      </c>
    </row>
    <row r="9" spans="2:11" ht="15.9" x14ac:dyDescent="0.35">
      <c r="B9" s="11">
        <v>5</v>
      </c>
      <c r="C9" s="12" t="s">
        <v>17</v>
      </c>
      <c r="D9" s="13"/>
      <c r="E9" s="13">
        <v>14500</v>
      </c>
      <c r="F9" s="13">
        <v>18794</v>
      </c>
      <c r="G9" s="13">
        <v>18651</v>
      </c>
      <c r="H9" s="13">
        <v>18540</v>
      </c>
      <c r="I9" s="13">
        <v>16500</v>
      </c>
      <c r="J9" s="13"/>
    </row>
    <row r="10" spans="2:11" ht="15.5" x14ac:dyDescent="0.35">
      <c r="B10" s="8">
        <v>6</v>
      </c>
      <c r="C10" s="9" t="s">
        <v>18</v>
      </c>
      <c r="D10" s="10">
        <v>17500</v>
      </c>
      <c r="E10" s="10">
        <v>18000</v>
      </c>
      <c r="F10" s="10"/>
      <c r="G10" s="10"/>
      <c r="H10" s="10">
        <v>0</v>
      </c>
      <c r="I10" s="10">
        <v>19300</v>
      </c>
      <c r="J10" s="10" t="s">
        <v>14</v>
      </c>
    </row>
    <row r="11" spans="2:11" ht="15.9" x14ac:dyDescent="0.35">
      <c r="B11" s="11">
        <v>7</v>
      </c>
      <c r="C11" s="12" t="s">
        <v>19</v>
      </c>
      <c r="D11" s="13"/>
      <c r="E11" s="13">
        <v>14500</v>
      </c>
      <c r="F11" s="13">
        <v>18687</v>
      </c>
      <c r="G11" s="13">
        <v>18543</v>
      </c>
      <c r="H11" s="13">
        <v>18570</v>
      </c>
      <c r="I11" s="13">
        <v>16500</v>
      </c>
      <c r="J11" s="13"/>
      <c r="K11" s="7"/>
    </row>
    <row r="12" spans="2:11" ht="15.9" x14ac:dyDescent="0.35">
      <c r="B12" s="11">
        <v>8</v>
      </c>
      <c r="C12" s="12" t="s">
        <v>20</v>
      </c>
      <c r="D12" s="13"/>
      <c r="E12" s="13">
        <v>14500</v>
      </c>
      <c r="F12" s="13">
        <v>18680</v>
      </c>
      <c r="G12" s="13">
        <v>18563</v>
      </c>
      <c r="H12" s="13">
        <v>18648</v>
      </c>
      <c r="I12" s="13">
        <v>16500</v>
      </c>
      <c r="J12" s="13"/>
      <c r="K12" s="7"/>
    </row>
    <row r="13" spans="2:11" ht="15.9" x14ac:dyDescent="0.35">
      <c r="B13" s="11">
        <v>9</v>
      </c>
      <c r="C13" s="12" t="s">
        <v>21</v>
      </c>
      <c r="D13" s="13"/>
      <c r="E13" s="13">
        <v>14000</v>
      </c>
      <c r="F13" s="13">
        <v>19259</v>
      </c>
      <c r="G13" s="13">
        <v>18607</v>
      </c>
      <c r="H13" s="13">
        <v>18696</v>
      </c>
      <c r="I13" s="13">
        <v>16500</v>
      </c>
      <c r="J13" s="13"/>
    </row>
    <row r="14" spans="2:11" ht="15.9" x14ac:dyDescent="0.35">
      <c r="B14" s="11">
        <v>10</v>
      </c>
      <c r="C14" s="12" t="s">
        <v>22</v>
      </c>
      <c r="D14" s="13">
        <v>6500</v>
      </c>
      <c r="E14" s="13"/>
      <c r="F14" s="13">
        <v>8000</v>
      </c>
      <c r="G14" s="13"/>
      <c r="H14" s="13">
        <v>0</v>
      </c>
      <c r="I14" s="13">
        <v>8000</v>
      </c>
      <c r="J14" s="13"/>
    </row>
    <row r="15" spans="2:11" ht="15.5" x14ac:dyDescent="0.35">
      <c r="B15" s="11">
        <v>11</v>
      </c>
      <c r="C15" s="12" t="s">
        <v>23</v>
      </c>
      <c r="D15" s="13"/>
      <c r="E15" s="13">
        <v>14000</v>
      </c>
      <c r="F15" s="13">
        <v>10000</v>
      </c>
      <c r="G15" s="13">
        <v>10000</v>
      </c>
      <c r="H15" s="13">
        <v>10000</v>
      </c>
      <c r="I15" s="13">
        <v>13000</v>
      </c>
      <c r="J15" s="13"/>
    </row>
    <row r="16" spans="2:11" ht="15.9" x14ac:dyDescent="0.35">
      <c r="B16" s="14">
        <v>12</v>
      </c>
      <c r="C16" s="15" t="s">
        <v>24</v>
      </c>
      <c r="D16" s="16"/>
      <c r="E16" s="16">
        <v>2000</v>
      </c>
      <c r="F16" s="16">
        <v>10000</v>
      </c>
      <c r="G16" s="16">
        <v>10000</v>
      </c>
      <c r="H16" s="16">
        <v>0</v>
      </c>
      <c r="I16" s="16">
        <v>10000</v>
      </c>
      <c r="J16" s="16"/>
    </row>
    <row r="17" spans="2:10" ht="2" customHeight="1" x14ac:dyDescent="0.35"/>
    <row r="18" spans="2:10" ht="15.5" x14ac:dyDescent="0.35">
      <c r="B18" s="17" t="str">
        <f>B3</f>
        <v>STT</v>
      </c>
      <c r="C18" s="113" t="s">
        <v>25</v>
      </c>
      <c r="D18" s="114"/>
      <c r="E18" s="115"/>
      <c r="F18" s="17" t="str">
        <f>F4</f>
        <v>Đại Lộc</v>
      </c>
      <c r="G18" s="17" t="str">
        <f t="shared" ref="G18:H18" si="0">G4</f>
        <v>Khánh Nga</v>
      </c>
      <c r="H18" s="17" t="str">
        <f t="shared" si="0"/>
        <v>Đồng Lâm</v>
      </c>
      <c r="I18" s="116" t="str">
        <f>J3</f>
        <v>Ghi chú</v>
      </c>
      <c r="J18" s="117"/>
    </row>
    <row r="19" spans="2:10" ht="30.5" customHeight="1" x14ac:dyDescent="0.35">
      <c r="B19" s="18">
        <v>1</v>
      </c>
      <c r="C19" s="125" t="s">
        <v>26</v>
      </c>
      <c r="D19" s="126"/>
      <c r="E19" s="127"/>
      <c r="F19" s="19" t="s">
        <v>27</v>
      </c>
      <c r="G19" s="19" t="s">
        <v>28</v>
      </c>
      <c r="H19" s="19" t="s">
        <v>29</v>
      </c>
      <c r="I19" s="118" t="s">
        <v>30</v>
      </c>
      <c r="J19" s="119"/>
    </row>
    <row r="20" spans="2:10" ht="62.5" customHeight="1" x14ac:dyDescent="0.35">
      <c r="B20" s="14">
        <v>2</v>
      </c>
      <c r="C20" s="120" t="s">
        <v>31</v>
      </c>
      <c r="D20" s="121"/>
      <c r="E20" s="122"/>
      <c r="F20" s="20" t="s">
        <v>32</v>
      </c>
      <c r="G20" s="20" t="s">
        <v>33</v>
      </c>
      <c r="H20" s="20" t="s">
        <v>34</v>
      </c>
      <c r="I20" s="123" t="s">
        <v>35</v>
      </c>
      <c r="J20" s="124"/>
    </row>
  </sheetData>
  <mergeCells count="14">
    <mergeCell ref="B1:J1"/>
    <mergeCell ref="B3:B4"/>
    <mergeCell ref="C3:C4"/>
    <mergeCell ref="D3:D4"/>
    <mergeCell ref="E3:E4"/>
    <mergeCell ref="F3:H3"/>
    <mergeCell ref="I3:I4"/>
    <mergeCell ref="J3:J4"/>
    <mergeCell ref="C18:E18"/>
    <mergeCell ref="I18:J18"/>
    <mergeCell ref="I19:J19"/>
    <mergeCell ref="C20:E20"/>
    <mergeCell ref="I20:J20"/>
    <mergeCell ref="C19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8526E-B344-4F53-BE3C-73D507F36514}">
  <sheetPr>
    <pageSetUpPr fitToPage="1"/>
  </sheetPr>
  <dimension ref="A2:I30"/>
  <sheetViews>
    <sheetView tabSelected="1" topLeftCell="B6" zoomScale="85" zoomScaleNormal="85" zoomScaleSheetLayoutView="115" workbookViewId="0">
      <selection activeCell="G17" sqref="G17"/>
    </sheetView>
  </sheetViews>
  <sheetFormatPr defaultColWidth="8.7265625" defaultRowHeight="14.5" x14ac:dyDescent="0.35"/>
  <cols>
    <col min="1" max="1" width="8.7265625" style="1" hidden="1" customWidth="1"/>
    <col min="2" max="2" width="18.453125" style="1" customWidth="1"/>
    <col min="3" max="3" width="34.1796875" style="1" bestFit="1" customWidth="1"/>
    <col min="4" max="4" width="14.90625" style="1" customWidth="1"/>
    <col min="5" max="5" width="10.1796875" style="1" customWidth="1"/>
    <col min="6" max="6" width="11" style="1" customWidth="1"/>
    <col min="7" max="7" width="14.08984375" style="1" customWidth="1"/>
    <col min="8" max="8" width="13.08984375" style="1" customWidth="1"/>
    <col min="9" max="9" width="12.453125" style="1" customWidth="1"/>
    <col min="10" max="10" width="19.453125" style="1" customWidth="1"/>
    <col min="11" max="11" width="17" style="1" customWidth="1"/>
    <col min="12" max="12" width="10.08984375" style="1" customWidth="1"/>
    <col min="13" max="16384" width="8.7265625" style="1"/>
  </cols>
  <sheetData>
    <row r="2" spans="2:9" ht="15" thickBot="1" x14ac:dyDescent="0.4"/>
    <row r="3" spans="2:9" ht="21" x14ac:dyDescent="0.35">
      <c r="B3" s="136" t="s">
        <v>71</v>
      </c>
      <c r="C3" s="137"/>
      <c r="D3" s="137"/>
      <c r="E3" s="137"/>
      <c r="F3" s="137"/>
      <c r="G3" s="137"/>
      <c r="H3" s="137"/>
      <c r="I3" s="138"/>
    </row>
    <row r="4" spans="2:9" ht="15.9" x14ac:dyDescent="0.35">
      <c r="B4" s="139"/>
      <c r="C4" s="108"/>
      <c r="D4" s="108"/>
      <c r="E4" s="108"/>
      <c r="F4" s="108"/>
      <c r="G4" s="108"/>
      <c r="H4" s="108"/>
      <c r="I4" s="140"/>
    </row>
    <row r="5" spans="2:9" x14ac:dyDescent="0.35">
      <c r="B5" s="51"/>
      <c r="I5" s="52" t="s">
        <v>5</v>
      </c>
    </row>
    <row r="6" spans="2:9" ht="19" customHeight="1" x14ac:dyDescent="0.35">
      <c r="B6" s="141" t="s">
        <v>55</v>
      </c>
      <c r="C6" s="129" t="s">
        <v>60</v>
      </c>
      <c r="D6" s="129" t="s">
        <v>56</v>
      </c>
      <c r="E6" s="113" t="s">
        <v>59</v>
      </c>
      <c r="F6" s="115"/>
      <c r="G6" s="129" t="s">
        <v>61</v>
      </c>
      <c r="H6" s="131" t="s">
        <v>70</v>
      </c>
      <c r="I6" s="143" t="s">
        <v>69</v>
      </c>
    </row>
    <row r="7" spans="2:9" ht="30" customHeight="1" x14ac:dyDescent="0.35">
      <c r="B7" s="142"/>
      <c r="C7" s="130"/>
      <c r="D7" s="130"/>
      <c r="E7" s="29" t="s">
        <v>57</v>
      </c>
      <c r="F7" s="29" t="s">
        <v>58</v>
      </c>
      <c r="G7" s="130"/>
      <c r="H7" s="132"/>
      <c r="I7" s="144"/>
    </row>
    <row r="8" spans="2:9" ht="20" customHeight="1" x14ac:dyDescent="0.35">
      <c r="B8" s="53" t="s">
        <v>66</v>
      </c>
      <c r="C8" s="40"/>
      <c r="D8" s="40"/>
      <c r="E8" s="41"/>
      <c r="F8" s="41"/>
      <c r="G8" s="40"/>
      <c r="H8" s="42"/>
      <c r="I8" s="54"/>
    </row>
    <row r="9" spans="2:9" ht="20" customHeight="1" x14ac:dyDescent="0.35">
      <c r="B9" s="55" t="s">
        <v>50</v>
      </c>
      <c r="C9" s="5" t="s">
        <v>49</v>
      </c>
      <c r="D9" s="30">
        <v>12800</v>
      </c>
      <c r="E9" s="32">
        <v>0.14000000000000001</v>
      </c>
      <c r="F9" s="34">
        <f>D9*E9</f>
        <v>1792.0000000000002</v>
      </c>
      <c r="G9" s="30">
        <v>3500</v>
      </c>
      <c r="H9" s="6">
        <f>D9+F9+G9</f>
        <v>18092</v>
      </c>
      <c r="I9" s="56">
        <v>18200</v>
      </c>
    </row>
    <row r="10" spans="2:9" ht="20" customHeight="1" x14ac:dyDescent="0.35">
      <c r="B10" s="57" t="s">
        <v>51</v>
      </c>
      <c r="C10" s="12" t="s">
        <v>63</v>
      </c>
      <c r="D10" s="31">
        <v>12800</v>
      </c>
      <c r="E10" s="33">
        <v>0.14000000000000001</v>
      </c>
      <c r="F10" s="35">
        <f t="shared" ref="F10:F12" si="0">D10*E10</f>
        <v>1792.0000000000002</v>
      </c>
      <c r="G10" s="31">
        <v>500</v>
      </c>
      <c r="H10" s="13">
        <f>D10+F10+G10</f>
        <v>15092</v>
      </c>
      <c r="I10" s="58">
        <v>15200</v>
      </c>
    </row>
    <row r="11" spans="2:9" ht="20" customHeight="1" x14ac:dyDescent="0.35">
      <c r="B11" s="57" t="s">
        <v>52</v>
      </c>
      <c r="C11" s="12" t="s">
        <v>64</v>
      </c>
      <c r="D11" s="31">
        <v>12800</v>
      </c>
      <c r="E11" s="33">
        <v>0.14000000000000001</v>
      </c>
      <c r="F11" s="35">
        <f t="shared" si="0"/>
        <v>1792.0000000000002</v>
      </c>
      <c r="G11" s="31">
        <v>2000</v>
      </c>
      <c r="H11" s="13">
        <f t="shared" ref="H11:H12" si="1">D11+F11+G11</f>
        <v>16592</v>
      </c>
      <c r="I11" s="58">
        <v>16600</v>
      </c>
    </row>
    <row r="12" spans="2:9" ht="20" customHeight="1" x14ac:dyDescent="0.35">
      <c r="B12" s="59" t="s">
        <v>53</v>
      </c>
      <c r="C12" s="15" t="s">
        <v>54</v>
      </c>
      <c r="D12" s="39">
        <v>12800</v>
      </c>
      <c r="E12" s="37">
        <v>0.14000000000000001</v>
      </c>
      <c r="F12" s="38">
        <f t="shared" si="0"/>
        <v>1792.0000000000002</v>
      </c>
      <c r="G12" s="39">
        <v>-5000</v>
      </c>
      <c r="H12" s="16">
        <f t="shared" si="1"/>
        <v>9592</v>
      </c>
      <c r="I12" s="60">
        <v>10000</v>
      </c>
    </row>
    <row r="13" spans="2:9" ht="20" customHeight="1" x14ac:dyDescent="0.35">
      <c r="B13" s="53" t="s">
        <v>65</v>
      </c>
      <c r="C13" s="40"/>
      <c r="D13" s="40"/>
      <c r="E13" s="41"/>
      <c r="F13" s="41"/>
      <c r="G13" s="40"/>
      <c r="H13" s="42"/>
      <c r="I13" s="54"/>
    </row>
    <row r="14" spans="2:9" ht="20" customHeight="1" thickBot="1" x14ac:dyDescent="0.4">
      <c r="B14" s="61" t="s">
        <v>68</v>
      </c>
      <c r="C14" s="62" t="s">
        <v>67</v>
      </c>
      <c r="D14" s="63">
        <f>I11</f>
        <v>16600</v>
      </c>
      <c r="E14" s="64">
        <v>0.08</v>
      </c>
      <c r="F14" s="65">
        <f>D14*E14</f>
        <v>1328</v>
      </c>
      <c r="G14" s="63">
        <v>2000</v>
      </c>
      <c r="H14" s="66">
        <f>D14+F14+G14</f>
        <v>19928</v>
      </c>
      <c r="I14" s="67">
        <v>20500</v>
      </c>
    </row>
    <row r="16" spans="2:9" x14ac:dyDescent="0.35">
      <c r="B16" s="106" t="s">
        <v>78</v>
      </c>
      <c r="C16" s="106"/>
      <c r="D16" s="106"/>
    </row>
    <row r="17" spans="2:8" x14ac:dyDescent="0.35">
      <c r="B17" s="47" t="s">
        <v>77</v>
      </c>
      <c r="C17" s="48" t="s">
        <v>73</v>
      </c>
      <c r="D17" s="47" t="s">
        <v>72</v>
      </c>
    </row>
    <row r="18" spans="2:8" x14ac:dyDescent="0.35">
      <c r="B18" s="49"/>
      <c r="C18" s="43" t="s">
        <v>12</v>
      </c>
      <c r="D18" s="44">
        <f>$I$9</f>
        <v>18200</v>
      </c>
    </row>
    <row r="19" spans="2:8" ht="15.5" customHeight="1" x14ac:dyDescent="0.35">
      <c r="B19" s="49"/>
      <c r="C19" s="43" t="s">
        <v>76</v>
      </c>
      <c r="D19" s="44">
        <f>$I$9</f>
        <v>18200</v>
      </c>
    </row>
    <row r="20" spans="2:8" x14ac:dyDescent="0.35">
      <c r="B20" s="49"/>
      <c r="C20" s="43" t="s">
        <v>15</v>
      </c>
      <c r="D20" s="44">
        <f>$I$9</f>
        <v>18200</v>
      </c>
    </row>
    <row r="21" spans="2:8" x14ac:dyDescent="0.35">
      <c r="B21" s="49">
        <v>150000004</v>
      </c>
      <c r="C21" s="43" t="s">
        <v>16</v>
      </c>
      <c r="D21" s="44">
        <f>$I$9</f>
        <v>18200</v>
      </c>
    </row>
    <row r="22" spans="2:8" x14ac:dyDescent="0.35">
      <c r="B22" s="49">
        <v>150000050</v>
      </c>
      <c r="C22" s="43" t="s">
        <v>17</v>
      </c>
      <c r="D22" s="44">
        <f>$I$11</f>
        <v>16600</v>
      </c>
    </row>
    <row r="23" spans="2:8" x14ac:dyDescent="0.35">
      <c r="B23" s="49">
        <v>150000005</v>
      </c>
      <c r="C23" s="43" t="s">
        <v>18</v>
      </c>
      <c r="D23" s="44">
        <f>$I$9</f>
        <v>18200</v>
      </c>
    </row>
    <row r="24" spans="2:8" x14ac:dyDescent="0.35">
      <c r="B24" s="49">
        <v>150000014</v>
      </c>
      <c r="C24" s="43" t="s">
        <v>19</v>
      </c>
      <c r="D24" s="44">
        <f>$I$10</f>
        <v>15200</v>
      </c>
    </row>
    <row r="25" spans="2:8" x14ac:dyDescent="0.35">
      <c r="B25" s="49">
        <v>150000015</v>
      </c>
      <c r="C25" s="43" t="s">
        <v>20</v>
      </c>
      <c r="D25" s="44">
        <f>$I$10</f>
        <v>15200</v>
      </c>
    </row>
    <row r="26" spans="2:8" x14ac:dyDescent="0.35">
      <c r="B26" s="49">
        <v>150000016</v>
      </c>
      <c r="C26" s="43" t="s">
        <v>74</v>
      </c>
      <c r="D26" s="44">
        <f>$I$9</f>
        <v>18200</v>
      </c>
    </row>
    <row r="27" spans="2:8" x14ac:dyDescent="0.35">
      <c r="B27" s="49">
        <v>150000114</v>
      </c>
      <c r="C27" s="43" t="s">
        <v>21</v>
      </c>
      <c r="D27" s="44">
        <f>$I$11</f>
        <v>16600</v>
      </c>
    </row>
    <row r="28" spans="2:8" s="36" customFormat="1" x14ac:dyDescent="0.35">
      <c r="B28" s="49"/>
      <c r="C28" s="43" t="s">
        <v>23</v>
      </c>
      <c r="D28" s="44">
        <f>$I$12</f>
        <v>10000</v>
      </c>
      <c r="G28" s="1"/>
      <c r="H28" s="1"/>
    </row>
    <row r="29" spans="2:8" x14ac:dyDescent="0.35">
      <c r="B29" s="49"/>
      <c r="C29" s="43" t="s">
        <v>24</v>
      </c>
      <c r="D29" s="44">
        <f>$I$12</f>
        <v>10000</v>
      </c>
    </row>
    <row r="30" spans="2:8" x14ac:dyDescent="0.35">
      <c r="B30" s="50">
        <v>150000061</v>
      </c>
      <c r="C30" s="45" t="s">
        <v>75</v>
      </c>
      <c r="D30" s="145">
        <f>I14</f>
        <v>20500</v>
      </c>
    </row>
  </sheetData>
  <mergeCells count="10">
    <mergeCell ref="B16:D16"/>
    <mergeCell ref="B3:I3"/>
    <mergeCell ref="B4:I4"/>
    <mergeCell ref="B6:B7"/>
    <mergeCell ref="C6:C7"/>
    <mergeCell ref="D6:D7"/>
    <mergeCell ref="E6:F6"/>
    <mergeCell ref="G6:G7"/>
    <mergeCell ref="H6:H7"/>
    <mergeCell ref="I6:I7"/>
  </mergeCells>
  <phoneticPr fontId="13" type="noConversion"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BE3D-4A14-499D-9CD2-B495062C760E}">
  <sheetPr>
    <pageSetUpPr fitToPage="1"/>
  </sheetPr>
  <dimension ref="A2:J31"/>
  <sheetViews>
    <sheetView showGridLines="0" topLeftCell="B7" zoomScale="70" zoomScaleNormal="70" zoomScaleSheetLayoutView="115" workbookViewId="0">
      <selection activeCell="E15" sqref="E15"/>
    </sheetView>
  </sheetViews>
  <sheetFormatPr defaultColWidth="8.7265625" defaultRowHeight="14.5" x14ac:dyDescent="0.35"/>
  <cols>
    <col min="1" max="1" width="8.7265625" style="1" hidden="1" customWidth="1"/>
    <col min="2" max="2" width="18.453125" style="1" customWidth="1"/>
    <col min="3" max="3" width="34.1796875" style="1" bestFit="1" customWidth="1"/>
    <col min="4" max="4" width="14.90625" style="1" customWidth="1"/>
    <col min="5" max="5" width="10.1796875" style="1" customWidth="1"/>
    <col min="6" max="6" width="11" style="1" customWidth="1"/>
    <col min="7" max="7" width="14.08984375" style="1" customWidth="1"/>
    <col min="8" max="8" width="13.08984375" style="1" customWidth="1"/>
    <col min="9" max="9" width="12.453125" style="1" customWidth="1"/>
    <col min="10" max="10" width="19.453125" style="1" customWidth="1"/>
    <col min="11" max="11" width="17" style="1" customWidth="1"/>
    <col min="12" max="12" width="10.08984375" style="1" customWidth="1"/>
    <col min="13" max="16384" width="8.7265625" style="1"/>
  </cols>
  <sheetData>
    <row r="2" spans="1:10" ht="15" thickBot="1" x14ac:dyDescent="0.4"/>
    <row r="3" spans="1:10" ht="21" x14ac:dyDescent="0.35">
      <c r="A3" s="71"/>
      <c r="B3" s="103" t="s">
        <v>71</v>
      </c>
      <c r="C3" s="104"/>
      <c r="D3" s="104"/>
      <c r="E3" s="104"/>
      <c r="F3" s="104"/>
      <c r="G3" s="104"/>
      <c r="H3" s="104"/>
      <c r="I3" s="104"/>
      <c r="J3" s="105"/>
    </row>
    <row r="4" spans="1:10" ht="15.9" x14ac:dyDescent="0.35">
      <c r="A4" s="72"/>
      <c r="B4" s="107"/>
      <c r="C4" s="108"/>
      <c r="D4" s="108"/>
      <c r="E4" s="108"/>
      <c r="F4" s="108"/>
      <c r="G4" s="108"/>
      <c r="H4" s="108"/>
      <c r="I4" s="108"/>
      <c r="J4" s="95"/>
    </row>
    <row r="5" spans="1:10" x14ac:dyDescent="0.35">
      <c r="A5" s="72"/>
      <c r="B5" s="96"/>
      <c r="I5" s="70"/>
      <c r="J5" s="95" t="s">
        <v>5</v>
      </c>
    </row>
    <row r="6" spans="1:10" ht="19" customHeight="1" x14ac:dyDescent="0.35">
      <c r="A6" s="72"/>
      <c r="B6" s="109" t="s">
        <v>55</v>
      </c>
      <c r="C6" s="110" t="s">
        <v>60</v>
      </c>
      <c r="D6" s="110" t="s">
        <v>56</v>
      </c>
      <c r="E6" s="110" t="s">
        <v>59</v>
      </c>
      <c r="F6" s="110"/>
      <c r="G6" s="111" t="s">
        <v>61</v>
      </c>
      <c r="H6" s="112" t="s">
        <v>70</v>
      </c>
      <c r="I6" s="112" t="s">
        <v>69</v>
      </c>
      <c r="J6" s="102" t="s">
        <v>85</v>
      </c>
    </row>
    <row r="7" spans="1:10" ht="30" customHeight="1" x14ac:dyDescent="0.35">
      <c r="A7" s="72"/>
      <c r="B7" s="109"/>
      <c r="C7" s="110"/>
      <c r="D7" s="110"/>
      <c r="E7" s="74" t="s">
        <v>57</v>
      </c>
      <c r="F7" s="74" t="s">
        <v>58</v>
      </c>
      <c r="G7" s="111"/>
      <c r="H7" s="112"/>
      <c r="I7" s="112"/>
      <c r="J7" s="102"/>
    </row>
    <row r="8" spans="1:10" s="94" customFormat="1" ht="11.75" x14ac:dyDescent="0.35">
      <c r="A8" s="90"/>
      <c r="B8" s="91" t="s">
        <v>79</v>
      </c>
      <c r="C8" s="92" t="s">
        <v>80</v>
      </c>
      <c r="D8" s="92" t="s">
        <v>81</v>
      </c>
      <c r="E8" s="92" t="s">
        <v>82</v>
      </c>
      <c r="F8" s="92" t="s">
        <v>86</v>
      </c>
      <c r="G8" s="92" t="s">
        <v>83</v>
      </c>
      <c r="H8" s="92" t="s">
        <v>87</v>
      </c>
      <c r="I8" s="92" t="s">
        <v>84</v>
      </c>
      <c r="J8" s="93" t="s">
        <v>88</v>
      </c>
    </row>
    <row r="9" spans="1:10" ht="20" customHeight="1" x14ac:dyDescent="0.35">
      <c r="A9" s="72"/>
      <c r="B9" s="75" t="s">
        <v>66</v>
      </c>
      <c r="C9" s="76"/>
      <c r="D9" s="76"/>
      <c r="E9" s="76"/>
      <c r="F9" s="76"/>
      <c r="G9" s="76"/>
      <c r="H9" s="77"/>
      <c r="I9" s="77"/>
      <c r="J9" s="97"/>
    </row>
    <row r="10" spans="1:10" ht="20" customHeight="1" x14ac:dyDescent="0.35">
      <c r="A10" s="72"/>
      <c r="B10" s="78" t="s">
        <v>50</v>
      </c>
      <c r="C10" s="79" t="s">
        <v>49</v>
      </c>
      <c r="D10" s="80">
        <v>10000</v>
      </c>
      <c r="E10" s="81">
        <v>0.11</v>
      </c>
      <c r="F10" s="82">
        <f>D10*E10</f>
        <v>1100</v>
      </c>
      <c r="G10" s="98">
        <v>3500</v>
      </c>
      <c r="H10" s="83">
        <f>D10+F10+G10</f>
        <v>14600</v>
      </c>
      <c r="I10" s="83">
        <v>15000</v>
      </c>
      <c r="J10" s="100">
        <f>I10-D10</f>
        <v>5000</v>
      </c>
    </row>
    <row r="11" spans="1:10" ht="20" customHeight="1" x14ac:dyDescent="0.35">
      <c r="A11" s="72"/>
      <c r="B11" s="78" t="s">
        <v>51</v>
      </c>
      <c r="C11" s="79" t="s">
        <v>63</v>
      </c>
      <c r="D11" s="80">
        <v>10000</v>
      </c>
      <c r="E11" s="81">
        <v>0.11</v>
      </c>
      <c r="F11" s="82">
        <f t="shared" ref="F11:F13" si="0">D11*E11</f>
        <v>1100</v>
      </c>
      <c r="G11" s="98">
        <v>500</v>
      </c>
      <c r="H11" s="83">
        <f>D11+F11+G11</f>
        <v>11600</v>
      </c>
      <c r="I11" s="83">
        <v>12000</v>
      </c>
      <c r="J11" s="100">
        <f t="shared" ref="J11:J15" si="1">I11-D11</f>
        <v>2000</v>
      </c>
    </row>
    <row r="12" spans="1:10" ht="20" customHeight="1" x14ac:dyDescent="0.35">
      <c r="A12" s="72"/>
      <c r="B12" s="78" t="s">
        <v>52</v>
      </c>
      <c r="C12" s="79" t="s">
        <v>64</v>
      </c>
      <c r="D12" s="80">
        <v>10000</v>
      </c>
      <c r="E12" s="81">
        <v>0.11</v>
      </c>
      <c r="F12" s="82">
        <f t="shared" si="0"/>
        <v>1100</v>
      </c>
      <c r="G12" s="98">
        <v>2000</v>
      </c>
      <c r="H12" s="83">
        <f t="shared" ref="H12:H13" si="2">D12+F12+G12</f>
        <v>13100</v>
      </c>
      <c r="I12" s="83">
        <v>13500</v>
      </c>
      <c r="J12" s="100">
        <f t="shared" si="1"/>
        <v>3500</v>
      </c>
    </row>
    <row r="13" spans="1:10" ht="20" customHeight="1" x14ac:dyDescent="0.35">
      <c r="A13" s="72"/>
      <c r="B13" s="78" t="s">
        <v>53</v>
      </c>
      <c r="C13" s="79" t="s">
        <v>54</v>
      </c>
      <c r="D13" s="80">
        <v>10000</v>
      </c>
      <c r="E13" s="81">
        <v>0.11</v>
      </c>
      <c r="F13" s="82">
        <f t="shared" si="0"/>
        <v>1100</v>
      </c>
      <c r="G13" s="98">
        <v>-5000</v>
      </c>
      <c r="H13" s="83">
        <f t="shared" si="2"/>
        <v>6100</v>
      </c>
      <c r="I13" s="83">
        <v>6500</v>
      </c>
      <c r="J13" s="100">
        <f t="shared" si="1"/>
        <v>-3500</v>
      </c>
    </row>
    <row r="14" spans="1:10" ht="20" customHeight="1" x14ac:dyDescent="0.35">
      <c r="A14" s="72"/>
      <c r="B14" s="75" t="s">
        <v>65</v>
      </c>
      <c r="C14" s="76"/>
      <c r="D14" s="76"/>
      <c r="E14" s="76"/>
      <c r="F14" s="76"/>
      <c r="G14" s="76"/>
      <c r="H14" s="77"/>
      <c r="I14" s="77"/>
      <c r="J14" s="97"/>
    </row>
    <row r="15" spans="1:10" ht="20" customHeight="1" thickBot="1" x14ac:dyDescent="0.4">
      <c r="A15" s="73"/>
      <c r="B15" s="84" t="s">
        <v>68</v>
      </c>
      <c r="C15" s="85" t="s">
        <v>67</v>
      </c>
      <c r="D15" s="86">
        <f>I12</f>
        <v>13500</v>
      </c>
      <c r="E15" s="87">
        <v>0.08</v>
      </c>
      <c r="F15" s="88">
        <f>D15*E15</f>
        <v>1080</v>
      </c>
      <c r="G15" s="99">
        <v>2000</v>
      </c>
      <c r="H15" s="89">
        <f>D15+F15+G15</f>
        <v>16580</v>
      </c>
      <c r="I15" s="89">
        <v>16500</v>
      </c>
      <c r="J15" s="101">
        <f t="shared" si="1"/>
        <v>3000</v>
      </c>
    </row>
    <row r="17" spans="2:8" x14ac:dyDescent="0.35">
      <c r="B17" s="106" t="s">
        <v>78</v>
      </c>
      <c r="C17" s="106"/>
      <c r="D17" s="106"/>
    </row>
    <row r="18" spans="2:8" x14ac:dyDescent="0.35">
      <c r="B18" s="47" t="s">
        <v>77</v>
      </c>
      <c r="C18" s="48" t="s">
        <v>73</v>
      </c>
      <c r="D18" s="47" t="s">
        <v>72</v>
      </c>
    </row>
    <row r="19" spans="2:8" x14ac:dyDescent="0.35">
      <c r="B19" s="49"/>
      <c r="C19" s="43" t="s">
        <v>12</v>
      </c>
      <c r="D19" s="44">
        <f>$I$10</f>
        <v>15000</v>
      </c>
    </row>
    <row r="20" spans="2:8" ht="15.5" customHeight="1" x14ac:dyDescent="0.35">
      <c r="B20" s="49"/>
      <c r="C20" s="43" t="s">
        <v>76</v>
      </c>
      <c r="D20" s="44">
        <f>$I$10</f>
        <v>15000</v>
      </c>
    </row>
    <row r="21" spans="2:8" x14ac:dyDescent="0.35">
      <c r="B21" s="49"/>
      <c r="C21" s="43" t="s">
        <v>15</v>
      </c>
      <c r="D21" s="44">
        <f>$I$10</f>
        <v>15000</v>
      </c>
    </row>
    <row r="22" spans="2:8" x14ac:dyDescent="0.35">
      <c r="B22" s="49">
        <v>150000004</v>
      </c>
      <c r="C22" s="43" t="s">
        <v>16</v>
      </c>
      <c r="D22" s="44">
        <f>$I$10</f>
        <v>15000</v>
      </c>
    </row>
    <row r="23" spans="2:8" x14ac:dyDescent="0.35">
      <c r="B23" s="49">
        <v>150000050</v>
      </c>
      <c r="C23" s="43" t="s">
        <v>17</v>
      </c>
      <c r="D23" s="44">
        <f>$I$12</f>
        <v>13500</v>
      </c>
    </row>
    <row r="24" spans="2:8" x14ac:dyDescent="0.35">
      <c r="B24" s="49">
        <v>150000005</v>
      </c>
      <c r="C24" s="43" t="s">
        <v>18</v>
      </c>
      <c r="D24" s="44">
        <f>$I$10</f>
        <v>15000</v>
      </c>
    </row>
    <row r="25" spans="2:8" x14ac:dyDescent="0.35">
      <c r="B25" s="49">
        <v>150000014</v>
      </c>
      <c r="C25" s="43" t="s">
        <v>19</v>
      </c>
      <c r="D25" s="44">
        <f>$I$11</f>
        <v>12000</v>
      </c>
    </row>
    <row r="26" spans="2:8" x14ac:dyDescent="0.35">
      <c r="B26" s="49">
        <v>150000015</v>
      </c>
      <c r="C26" s="43" t="s">
        <v>20</v>
      </c>
      <c r="D26" s="44">
        <f>$I$11</f>
        <v>12000</v>
      </c>
    </row>
    <row r="27" spans="2:8" x14ac:dyDescent="0.35">
      <c r="B27" s="49">
        <v>150000016</v>
      </c>
      <c r="C27" s="43" t="s">
        <v>74</v>
      </c>
      <c r="D27" s="44">
        <f>$I$10</f>
        <v>15000</v>
      </c>
    </row>
    <row r="28" spans="2:8" x14ac:dyDescent="0.35">
      <c r="B28" s="49">
        <v>150000114</v>
      </c>
      <c r="C28" s="43" t="s">
        <v>21</v>
      </c>
      <c r="D28" s="44">
        <f>$I$12</f>
        <v>13500</v>
      </c>
    </row>
    <row r="29" spans="2:8" s="36" customFormat="1" x14ac:dyDescent="0.35">
      <c r="B29" s="49"/>
      <c r="C29" s="43" t="s">
        <v>23</v>
      </c>
      <c r="D29" s="44">
        <f>$I$13</f>
        <v>6500</v>
      </c>
      <c r="G29" s="1"/>
      <c r="H29" s="1"/>
    </row>
    <row r="30" spans="2:8" x14ac:dyDescent="0.35">
      <c r="B30" s="49"/>
      <c r="C30" s="43" t="s">
        <v>24</v>
      </c>
      <c r="D30" s="44">
        <f>$I$13</f>
        <v>6500</v>
      </c>
    </row>
    <row r="31" spans="2:8" x14ac:dyDescent="0.35">
      <c r="B31" s="50">
        <v>150000061</v>
      </c>
      <c r="C31" s="45" t="s">
        <v>75</v>
      </c>
      <c r="D31" s="46">
        <f>I15</f>
        <v>16500</v>
      </c>
    </row>
  </sheetData>
  <mergeCells count="11">
    <mergeCell ref="J6:J7"/>
    <mergeCell ref="B3:J3"/>
    <mergeCell ref="B17:D17"/>
    <mergeCell ref="B4:I4"/>
    <mergeCell ref="B6:B7"/>
    <mergeCell ref="C6:C7"/>
    <mergeCell ref="D6:D7"/>
    <mergeCell ref="E6:F6"/>
    <mergeCell ref="G6:G7"/>
    <mergeCell ref="H6:H7"/>
    <mergeCell ref="I6:I7"/>
  </mergeCells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4DB4D-6FF5-411B-8A2F-DEE0FB936C20}">
  <sheetPr>
    <pageSetUpPr fitToPage="1"/>
  </sheetPr>
  <dimension ref="A2:J31"/>
  <sheetViews>
    <sheetView showGridLines="0" topLeftCell="B6" zoomScale="70" zoomScaleNormal="70" zoomScaleSheetLayoutView="115" workbookViewId="0">
      <selection activeCell="E15" sqref="E15"/>
    </sheetView>
  </sheetViews>
  <sheetFormatPr defaultColWidth="8.7265625" defaultRowHeight="14.5" x14ac:dyDescent="0.35"/>
  <cols>
    <col min="1" max="1" width="8.7265625" style="1" hidden="1" customWidth="1"/>
    <col min="2" max="2" width="18.453125" style="1" customWidth="1"/>
    <col min="3" max="3" width="34.1796875" style="1" bestFit="1" customWidth="1"/>
    <col min="4" max="4" width="14.90625" style="1" customWidth="1"/>
    <col min="5" max="5" width="10.1796875" style="1" customWidth="1"/>
    <col min="6" max="6" width="11" style="1" customWidth="1"/>
    <col min="7" max="7" width="14.08984375" style="1" customWidth="1"/>
    <col min="8" max="8" width="13.08984375" style="1" customWidth="1"/>
    <col min="9" max="9" width="12.453125" style="1" customWidth="1"/>
    <col min="10" max="10" width="19.453125" style="1" customWidth="1"/>
    <col min="11" max="11" width="17" style="1" customWidth="1"/>
    <col min="12" max="12" width="10.08984375" style="1" customWidth="1"/>
    <col min="13" max="16384" width="8.7265625" style="1"/>
  </cols>
  <sheetData>
    <row r="2" spans="1:10" ht="15" thickBot="1" x14ac:dyDescent="0.4"/>
    <row r="3" spans="1:10" ht="21" x14ac:dyDescent="0.35">
      <c r="A3" s="71"/>
      <c r="B3" s="103" t="s">
        <v>71</v>
      </c>
      <c r="C3" s="104"/>
      <c r="D3" s="104"/>
      <c r="E3" s="104"/>
      <c r="F3" s="104"/>
      <c r="G3" s="104"/>
      <c r="H3" s="104"/>
      <c r="I3" s="104"/>
      <c r="J3" s="105"/>
    </row>
    <row r="4" spans="1:10" ht="15.5" x14ac:dyDescent="0.35">
      <c r="A4" s="72"/>
      <c r="B4" s="107"/>
      <c r="C4" s="108"/>
      <c r="D4" s="108"/>
      <c r="E4" s="108"/>
      <c r="F4" s="108"/>
      <c r="G4" s="108"/>
      <c r="H4" s="108"/>
      <c r="I4" s="108"/>
      <c r="J4" s="95"/>
    </row>
    <row r="5" spans="1:10" x14ac:dyDescent="0.35">
      <c r="A5" s="72"/>
      <c r="B5" s="96"/>
      <c r="I5" s="70"/>
      <c r="J5" s="95" t="s">
        <v>5</v>
      </c>
    </row>
    <row r="6" spans="1:10" ht="19" customHeight="1" x14ac:dyDescent="0.35">
      <c r="A6" s="72"/>
      <c r="B6" s="109" t="s">
        <v>55</v>
      </c>
      <c r="C6" s="110" t="s">
        <v>60</v>
      </c>
      <c r="D6" s="110" t="s">
        <v>56</v>
      </c>
      <c r="E6" s="110" t="s">
        <v>59</v>
      </c>
      <c r="F6" s="110"/>
      <c r="G6" s="111" t="s">
        <v>61</v>
      </c>
      <c r="H6" s="112" t="s">
        <v>70</v>
      </c>
      <c r="I6" s="112" t="s">
        <v>69</v>
      </c>
      <c r="J6" s="102" t="s">
        <v>85</v>
      </c>
    </row>
    <row r="7" spans="1:10" ht="30" customHeight="1" x14ac:dyDescent="0.35">
      <c r="A7" s="72"/>
      <c r="B7" s="109"/>
      <c r="C7" s="110"/>
      <c r="D7" s="110"/>
      <c r="E7" s="74" t="s">
        <v>57</v>
      </c>
      <c r="F7" s="74" t="s">
        <v>58</v>
      </c>
      <c r="G7" s="111"/>
      <c r="H7" s="112"/>
      <c r="I7" s="112"/>
      <c r="J7" s="102"/>
    </row>
    <row r="8" spans="1:10" s="94" customFormat="1" ht="12" x14ac:dyDescent="0.35">
      <c r="A8" s="90"/>
      <c r="B8" s="91" t="s">
        <v>79</v>
      </c>
      <c r="C8" s="92" t="s">
        <v>80</v>
      </c>
      <c r="D8" s="92" t="s">
        <v>81</v>
      </c>
      <c r="E8" s="92" t="s">
        <v>82</v>
      </c>
      <c r="F8" s="92" t="s">
        <v>86</v>
      </c>
      <c r="G8" s="92" t="s">
        <v>83</v>
      </c>
      <c r="H8" s="92" t="s">
        <v>87</v>
      </c>
      <c r="I8" s="92" t="s">
        <v>84</v>
      </c>
      <c r="J8" s="93" t="s">
        <v>88</v>
      </c>
    </row>
    <row r="9" spans="1:10" ht="20" customHeight="1" x14ac:dyDescent="0.35">
      <c r="A9" s="72"/>
      <c r="B9" s="75" t="s">
        <v>66</v>
      </c>
      <c r="C9" s="76"/>
      <c r="D9" s="76"/>
      <c r="E9" s="76"/>
      <c r="F9" s="76"/>
      <c r="G9" s="76"/>
      <c r="H9" s="77"/>
      <c r="I9" s="77"/>
      <c r="J9" s="97"/>
    </row>
    <row r="10" spans="1:10" ht="20" customHeight="1" x14ac:dyDescent="0.35">
      <c r="A10" s="72"/>
      <c r="B10" s="78" t="s">
        <v>50</v>
      </c>
      <c r="C10" s="79" t="s">
        <v>49</v>
      </c>
      <c r="D10" s="80">
        <v>10000</v>
      </c>
      <c r="E10" s="81">
        <v>0.11</v>
      </c>
      <c r="F10" s="82">
        <f>D10*E10</f>
        <v>1100</v>
      </c>
      <c r="G10" s="98">
        <v>3500</v>
      </c>
      <c r="H10" s="83">
        <f>D10+F10+G10</f>
        <v>14600</v>
      </c>
      <c r="I10" s="83">
        <v>15000</v>
      </c>
      <c r="J10" s="100">
        <f>I10-D10</f>
        <v>5000</v>
      </c>
    </row>
    <row r="11" spans="1:10" ht="20" customHeight="1" x14ac:dyDescent="0.35">
      <c r="A11" s="72"/>
      <c r="B11" s="78" t="s">
        <v>51</v>
      </c>
      <c r="C11" s="79" t="s">
        <v>63</v>
      </c>
      <c r="D11" s="80">
        <v>10000</v>
      </c>
      <c r="E11" s="81">
        <v>0.11</v>
      </c>
      <c r="F11" s="82">
        <f t="shared" ref="F11:F13" si="0">D11*E11</f>
        <v>1100</v>
      </c>
      <c r="G11" s="98">
        <v>500</v>
      </c>
      <c r="H11" s="83">
        <f>D11+F11+G11</f>
        <v>11600</v>
      </c>
      <c r="I11" s="83">
        <v>12000</v>
      </c>
      <c r="J11" s="100">
        <f t="shared" ref="J11:J15" si="1">I11-D11</f>
        <v>2000</v>
      </c>
    </row>
    <row r="12" spans="1:10" ht="20" customHeight="1" x14ac:dyDescent="0.35">
      <c r="A12" s="72"/>
      <c r="B12" s="78" t="s">
        <v>52</v>
      </c>
      <c r="C12" s="79" t="s">
        <v>64</v>
      </c>
      <c r="D12" s="80">
        <v>10000</v>
      </c>
      <c r="E12" s="81">
        <v>0.11</v>
      </c>
      <c r="F12" s="82">
        <f t="shared" si="0"/>
        <v>1100</v>
      </c>
      <c r="G12" s="98">
        <v>2000</v>
      </c>
      <c r="H12" s="83">
        <f t="shared" ref="H12:H13" si="2">D12+F12+G12</f>
        <v>13100</v>
      </c>
      <c r="I12" s="83">
        <v>13500</v>
      </c>
      <c r="J12" s="100">
        <f t="shared" si="1"/>
        <v>3500</v>
      </c>
    </row>
    <row r="13" spans="1:10" ht="20" customHeight="1" x14ac:dyDescent="0.35">
      <c r="A13" s="72"/>
      <c r="B13" s="78" t="s">
        <v>53</v>
      </c>
      <c r="C13" s="79" t="s">
        <v>54</v>
      </c>
      <c r="D13" s="80">
        <v>10000</v>
      </c>
      <c r="E13" s="81">
        <v>0.11</v>
      </c>
      <c r="F13" s="82">
        <f t="shared" si="0"/>
        <v>1100</v>
      </c>
      <c r="G13" s="98">
        <v>-5000</v>
      </c>
      <c r="H13" s="83">
        <f t="shared" si="2"/>
        <v>6100</v>
      </c>
      <c r="I13" s="83">
        <v>6500</v>
      </c>
      <c r="J13" s="100">
        <f t="shared" si="1"/>
        <v>-3500</v>
      </c>
    </row>
    <row r="14" spans="1:10" ht="20" customHeight="1" x14ac:dyDescent="0.35">
      <c r="A14" s="72"/>
      <c r="B14" s="75" t="s">
        <v>65</v>
      </c>
      <c r="C14" s="76"/>
      <c r="D14" s="76"/>
      <c r="E14" s="76"/>
      <c r="F14" s="76"/>
      <c r="G14" s="76"/>
      <c r="H14" s="77"/>
      <c r="I14" s="77"/>
      <c r="J14" s="97"/>
    </row>
    <row r="15" spans="1:10" ht="20" customHeight="1" thickBot="1" x14ac:dyDescent="0.4">
      <c r="A15" s="73"/>
      <c r="B15" s="84" t="s">
        <v>68</v>
      </c>
      <c r="C15" s="85" t="s">
        <v>67</v>
      </c>
      <c r="D15" s="86">
        <f>I12</f>
        <v>13500</v>
      </c>
      <c r="E15" s="87">
        <v>0.08</v>
      </c>
      <c r="F15" s="88">
        <f>D15*E15</f>
        <v>1080</v>
      </c>
      <c r="G15" s="99">
        <v>2000</v>
      </c>
      <c r="H15" s="89">
        <f>D15+F15+G15</f>
        <v>16580</v>
      </c>
      <c r="I15" s="89">
        <v>16500</v>
      </c>
      <c r="J15" s="101">
        <f t="shared" si="1"/>
        <v>3000</v>
      </c>
    </row>
    <row r="17" spans="2:8" x14ac:dyDescent="0.35">
      <c r="B17" s="106" t="s">
        <v>78</v>
      </c>
      <c r="C17" s="106"/>
      <c r="D17" s="106"/>
    </row>
    <row r="18" spans="2:8" x14ac:dyDescent="0.35">
      <c r="B18" s="47" t="s">
        <v>77</v>
      </c>
      <c r="C18" s="48" t="s">
        <v>73</v>
      </c>
      <c r="D18" s="47" t="s">
        <v>72</v>
      </c>
    </row>
    <row r="19" spans="2:8" x14ac:dyDescent="0.35">
      <c r="B19" s="49"/>
      <c r="C19" s="43" t="s">
        <v>12</v>
      </c>
      <c r="D19" s="44">
        <f>$I$10</f>
        <v>15000</v>
      </c>
    </row>
    <row r="20" spans="2:8" ht="15.5" customHeight="1" x14ac:dyDescent="0.35">
      <c r="B20" s="49"/>
      <c r="C20" s="43" t="s">
        <v>76</v>
      </c>
      <c r="D20" s="44">
        <f>$I$10</f>
        <v>15000</v>
      </c>
    </row>
    <row r="21" spans="2:8" x14ac:dyDescent="0.35">
      <c r="B21" s="49"/>
      <c r="C21" s="43" t="s">
        <v>15</v>
      </c>
      <c r="D21" s="44">
        <f>$I$10</f>
        <v>15000</v>
      </c>
    </row>
    <row r="22" spans="2:8" x14ac:dyDescent="0.35">
      <c r="B22" s="49">
        <v>150000004</v>
      </c>
      <c r="C22" s="43" t="s">
        <v>16</v>
      </c>
      <c r="D22" s="44">
        <f>$I$10</f>
        <v>15000</v>
      </c>
    </row>
    <row r="23" spans="2:8" x14ac:dyDescent="0.35">
      <c r="B23" s="49">
        <v>150000050</v>
      </c>
      <c r="C23" s="43" t="s">
        <v>17</v>
      </c>
      <c r="D23" s="44">
        <f>$I$12</f>
        <v>13500</v>
      </c>
    </row>
    <row r="24" spans="2:8" x14ac:dyDescent="0.35">
      <c r="B24" s="49">
        <v>150000005</v>
      </c>
      <c r="C24" s="43" t="s">
        <v>18</v>
      </c>
      <c r="D24" s="44">
        <f>$I$10</f>
        <v>15000</v>
      </c>
    </row>
    <row r="25" spans="2:8" x14ac:dyDescent="0.35">
      <c r="B25" s="49">
        <v>150000014</v>
      </c>
      <c r="C25" s="43" t="s">
        <v>19</v>
      </c>
      <c r="D25" s="44">
        <f>$I$11</f>
        <v>12000</v>
      </c>
    </row>
    <row r="26" spans="2:8" x14ac:dyDescent="0.35">
      <c r="B26" s="49">
        <v>150000015</v>
      </c>
      <c r="C26" s="43" t="s">
        <v>20</v>
      </c>
      <c r="D26" s="44">
        <f>$I$11</f>
        <v>12000</v>
      </c>
    </row>
    <row r="27" spans="2:8" x14ac:dyDescent="0.35">
      <c r="B27" s="49">
        <v>150000016</v>
      </c>
      <c r="C27" s="43" t="s">
        <v>74</v>
      </c>
      <c r="D27" s="44">
        <f>$I$10</f>
        <v>15000</v>
      </c>
    </row>
    <row r="28" spans="2:8" x14ac:dyDescent="0.35">
      <c r="B28" s="49">
        <v>150000114</v>
      </c>
      <c r="C28" s="43" t="s">
        <v>21</v>
      </c>
      <c r="D28" s="44">
        <f>$I$12</f>
        <v>13500</v>
      </c>
    </row>
    <row r="29" spans="2:8" s="36" customFormat="1" x14ac:dyDescent="0.35">
      <c r="B29" s="49"/>
      <c r="C29" s="43" t="s">
        <v>23</v>
      </c>
      <c r="D29" s="44">
        <f>$I$13</f>
        <v>6500</v>
      </c>
      <c r="G29" s="1"/>
      <c r="H29" s="1"/>
    </row>
    <row r="30" spans="2:8" x14ac:dyDescent="0.35">
      <c r="B30" s="49"/>
      <c r="C30" s="43" t="s">
        <v>24</v>
      </c>
      <c r="D30" s="44">
        <f>$I$13</f>
        <v>6500</v>
      </c>
    </row>
    <row r="31" spans="2:8" x14ac:dyDescent="0.35">
      <c r="B31" s="50">
        <v>150000061</v>
      </c>
      <c r="C31" s="45" t="s">
        <v>75</v>
      </c>
      <c r="D31" s="46">
        <f>I15</f>
        <v>16500</v>
      </c>
    </row>
  </sheetData>
  <mergeCells count="11">
    <mergeCell ref="B17:D17"/>
    <mergeCell ref="B3:J3"/>
    <mergeCell ref="B4:I4"/>
    <mergeCell ref="B6:B7"/>
    <mergeCell ref="C6:C7"/>
    <mergeCell ref="D6:D7"/>
    <mergeCell ref="E6:F6"/>
    <mergeCell ref="G6:G7"/>
    <mergeCell ref="H6:H7"/>
    <mergeCell ref="I6:I7"/>
    <mergeCell ref="J6:J7"/>
  </mergeCells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1678-1C1C-4243-BE27-1BF9F86C7742}">
  <sheetPr>
    <pageSetUpPr fitToPage="1"/>
  </sheetPr>
  <dimension ref="A2:L30"/>
  <sheetViews>
    <sheetView topLeftCell="B6" zoomScaleNormal="100" zoomScaleSheetLayoutView="115" workbookViewId="0">
      <selection activeCell="E14" sqref="E14"/>
    </sheetView>
  </sheetViews>
  <sheetFormatPr defaultColWidth="8.7265625" defaultRowHeight="14.5" outlineLevelCol="1" x14ac:dyDescent="0.35"/>
  <cols>
    <col min="1" max="1" width="8.7265625" style="1" hidden="1" customWidth="1"/>
    <col min="2" max="2" width="18.453125" style="1" customWidth="1"/>
    <col min="3" max="3" width="34.1796875" style="1" bestFit="1" customWidth="1"/>
    <col min="4" max="4" width="14.90625" style="1" customWidth="1"/>
    <col min="5" max="5" width="10.1796875" style="1" customWidth="1" outlineLevel="1"/>
    <col min="6" max="6" width="11" style="1" customWidth="1" outlineLevel="1"/>
    <col min="7" max="7" width="14.08984375" style="1" customWidth="1" outlineLevel="1"/>
    <col min="8" max="8" width="13.08984375" style="1" customWidth="1" outlineLevel="1"/>
    <col min="9" max="9" width="12.453125" style="1" customWidth="1"/>
    <col min="10" max="10" width="7.1796875" style="1" bestFit="1" customWidth="1"/>
    <col min="11" max="11" width="7.54296875" style="1" bestFit="1" customWidth="1"/>
    <col min="12" max="12" width="10.08984375" style="1" customWidth="1"/>
    <col min="13" max="16384" width="8.7265625" style="1"/>
  </cols>
  <sheetData>
    <row r="2" spans="2:12" ht="15" thickBot="1" x14ac:dyDescent="0.4"/>
    <row r="3" spans="2:12" ht="21" x14ac:dyDescent="0.35">
      <c r="B3" s="136" t="s">
        <v>71</v>
      </c>
      <c r="C3" s="137"/>
      <c r="D3" s="137"/>
      <c r="E3" s="137"/>
      <c r="F3" s="137"/>
      <c r="G3" s="137"/>
      <c r="H3" s="137"/>
      <c r="I3" s="138"/>
    </row>
    <row r="4" spans="2:12" ht="15.5" x14ac:dyDescent="0.35">
      <c r="B4" s="139"/>
      <c r="C4" s="108"/>
      <c r="D4" s="108"/>
      <c r="E4" s="108"/>
      <c r="F4" s="108"/>
      <c r="G4" s="108"/>
      <c r="H4" s="108"/>
      <c r="I4" s="140"/>
      <c r="J4" s="1" t="s">
        <v>56</v>
      </c>
      <c r="K4" s="1" t="s">
        <v>56</v>
      </c>
    </row>
    <row r="5" spans="2:12" x14ac:dyDescent="0.35">
      <c r="B5" s="51"/>
      <c r="I5" s="52" t="s">
        <v>5</v>
      </c>
      <c r="J5" s="68">
        <v>9500</v>
      </c>
      <c r="K5" s="68">
        <v>10000</v>
      </c>
    </row>
    <row r="6" spans="2:12" ht="19" customHeight="1" x14ac:dyDescent="0.35">
      <c r="B6" s="141" t="s">
        <v>55</v>
      </c>
      <c r="C6" s="129" t="s">
        <v>60</v>
      </c>
      <c r="D6" s="129" t="s">
        <v>56</v>
      </c>
      <c r="E6" s="113" t="s">
        <v>59</v>
      </c>
      <c r="F6" s="115"/>
      <c r="G6" s="129" t="s">
        <v>61</v>
      </c>
      <c r="H6" s="131" t="s">
        <v>70</v>
      </c>
      <c r="I6" s="143" t="s">
        <v>69</v>
      </c>
      <c r="J6" s="68"/>
      <c r="K6" s="68"/>
    </row>
    <row r="7" spans="2:12" ht="30" customHeight="1" x14ac:dyDescent="0.35">
      <c r="B7" s="142"/>
      <c r="C7" s="130"/>
      <c r="D7" s="130"/>
      <c r="E7" s="29" t="s">
        <v>57</v>
      </c>
      <c r="F7" s="29" t="s">
        <v>58</v>
      </c>
      <c r="G7" s="130"/>
      <c r="H7" s="132"/>
      <c r="I7" s="144"/>
      <c r="J7" s="68"/>
      <c r="K7" s="68"/>
    </row>
    <row r="8" spans="2:12" ht="20" customHeight="1" x14ac:dyDescent="0.35">
      <c r="B8" s="53" t="s">
        <v>66</v>
      </c>
      <c r="C8" s="40"/>
      <c r="D8" s="40"/>
      <c r="E8" s="41"/>
      <c r="F8" s="41"/>
      <c r="G8" s="40"/>
      <c r="H8" s="42"/>
      <c r="I8" s="54"/>
      <c r="J8" s="68"/>
      <c r="K8" s="68"/>
    </row>
    <row r="9" spans="2:12" ht="20" customHeight="1" x14ac:dyDescent="0.35">
      <c r="B9" s="55" t="s">
        <v>50</v>
      </c>
      <c r="C9" s="5" t="s">
        <v>49</v>
      </c>
      <c r="D9" s="30">
        <v>9500</v>
      </c>
      <c r="E9" s="32">
        <v>0.11</v>
      </c>
      <c r="F9" s="34">
        <f>D9*E9</f>
        <v>1045</v>
      </c>
      <c r="G9" s="30">
        <v>3500</v>
      </c>
      <c r="H9" s="6">
        <f>D9+F9+G9</f>
        <v>14045</v>
      </c>
      <c r="I9" s="56">
        <v>14500</v>
      </c>
      <c r="J9" s="68">
        <f>I9-D9</f>
        <v>5000</v>
      </c>
      <c r="K9" s="68">
        <v>5000</v>
      </c>
      <c r="L9" s="7">
        <f>J9-K9</f>
        <v>0</v>
      </c>
    </row>
    <row r="10" spans="2:12" ht="20" customHeight="1" x14ac:dyDescent="0.35">
      <c r="B10" s="57" t="s">
        <v>51</v>
      </c>
      <c r="C10" s="12" t="s">
        <v>63</v>
      </c>
      <c r="D10" s="30">
        <v>9500</v>
      </c>
      <c r="E10" s="32">
        <v>0.11</v>
      </c>
      <c r="F10" s="35">
        <f t="shared" ref="F10:F12" si="0">D10*E10</f>
        <v>1045</v>
      </c>
      <c r="G10" s="31">
        <v>500</v>
      </c>
      <c r="H10" s="13">
        <f>D10+F10+G10</f>
        <v>11045</v>
      </c>
      <c r="I10" s="58">
        <v>11500</v>
      </c>
      <c r="J10" s="68">
        <f t="shared" ref="J10:J14" si="1">I10-D10</f>
        <v>2000</v>
      </c>
      <c r="K10" s="68">
        <v>2000</v>
      </c>
      <c r="L10" s="7">
        <f t="shared" ref="L10:L14" si="2">J10-K10</f>
        <v>0</v>
      </c>
    </row>
    <row r="11" spans="2:12" ht="20" customHeight="1" x14ac:dyDescent="0.35">
      <c r="B11" s="57" t="s">
        <v>52</v>
      </c>
      <c r="C11" s="12" t="s">
        <v>64</v>
      </c>
      <c r="D11" s="30">
        <v>9500</v>
      </c>
      <c r="E11" s="32">
        <v>0.11</v>
      </c>
      <c r="F11" s="35">
        <f t="shared" si="0"/>
        <v>1045</v>
      </c>
      <c r="G11" s="31">
        <v>2000</v>
      </c>
      <c r="H11" s="13">
        <f t="shared" ref="H11:H12" si="3">D11+F11+G11</f>
        <v>12545</v>
      </c>
      <c r="I11" s="58">
        <v>13000</v>
      </c>
      <c r="J11" s="68">
        <f t="shared" si="1"/>
        <v>3500</v>
      </c>
      <c r="K11" s="68">
        <v>3500</v>
      </c>
      <c r="L11" s="7">
        <f t="shared" si="2"/>
        <v>0</v>
      </c>
    </row>
    <row r="12" spans="2:12" ht="20" customHeight="1" x14ac:dyDescent="0.35">
      <c r="B12" s="59" t="s">
        <v>53</v>
      </c>
      <c r="C12" s="15" t="s">
        <v>54</v>
      </c>
      <c r="D12" s="30">
        <v>9500</v>
      </c>
      <c r="E12" s="32">
        <v>0.11</v>
      </c>
      <c r="F12" s="38">
        <f t="shared" si="0"/>
        <v>1045</v>
      </c>
      <c r="G12" s="39">
        <v>-5000</v>
      </c>
      <c r="H12" s="16">
        <f t="shared" si="3"/>
        <v>5545</v>
      </c>
      <c r="I12" s="60">
        <v>6000</v>
      </c>
      <c r="J12" s="68">
        <f t="shared" si="1"/>
        <v>-3500</v>
      </c>
      <c r="K12" s="68">
        <v>-3500</v>
      </c>
      <c r="L12" s="7">
        <f t="shared" si="2"/>
        <v>0</v>
      </c>
    </row>
    <row r="13" spans="2:12" ht="20" customHeight="1" x14ac:dyDescent="0.35">
      <c r="B13" s="53" t="s">
        <v>65</v>
      </c>
      <c r="C13" s="40"/>
      <c r="D13" s="40"/>
      <c r="E13" s="41"/>
      <c r="F13" s="41"/>
      <c r="G13" s="40"/>
      <c r="H13" s="42"/>
      <c r="I13" s="54"/>
      <c r="J13" s="68"/>
      <c r="K13" s="68"/>
      <c r="L13" s="7">
        <f t="shared" si="2"/>
        <v>0</v>
      </c>
    </row>
    <row r="14" spans="2:12" ht="20" customHeight="1" thickBot="1" x14ac:dyDescent="0.4">
      <c r="B14" s="61" t="s">
        <v>68</v>
      </c>
      <c r="C14" s="62" t="s">
        <v>67</v>
      </c>
      <c r="D14" s="63">
        <f>I11</f>
        <v>13000</v>
      </c>
      <c r="E14" s="64">
        <v>0.08</v>
      </c>
      <c r="F14" s="65">
        <f>D14*E14</f>
        <v>1040</v>
      </c>
      <c r="G14" s="63">
        <v>2000</v>
      </c>
      <c r="H14" s="66">
        <f>D14+F14+G14</f>
        <v>16040</v>
      </c>
      <c r="I14" s="67">
        <v>16000</v>
      </c>
      <c r="J14" s="68">
        <f t="shared" si="1"/>
        <v>3000</v>
      </c>
      <c r="K14" s="68">
        <v>3000</v>
      </c>
      <c r="L14" s="7">
        <f t="shared" si="2"/>
        <v>0</v>
      </c>
    </row>
    <row r="16" spans="2:12" x14ac:dyDescent="0.35">
      <c r="B16" s="106" t="s">
        <v>78</v>
      </c>
      <c r="C16" s="106"/>
      <c r="D16" s="106"/>
    </row>
    <row r="17" spans="2:8" x14ac:dyDescent="0.35">
      <c r="B17" s="47" t="s">
        <v>77</v>
      </c>
      <c r="C17" s="48" t="s">
        <v>73</v>
      </c>
      <c r="D17" s="47" t="s">
        <v>72</v>
      </c>
    </row>
    <row r="18" spans="2:8" x14ac:dyDescent="0.35">
      <c r="B18" s="49"/>
      <c r="C18" s="43" t="s">
        <v>12</v>
      </c>
      <c r="D18" s="44">
        <f>$I$9</f>
        <v>14500</v>
      </c>
    </row>
    <row r="19" spans="2:8" ht="15.5" customHeight="1" x14ac:dyDescent="0.35">
      <c r="B19" s="49"/>
      <c r="C19" s="43" t="s">
        <v>76</v>
      </c>
      <c r="D19" s="69">
        <f>D18-500</f>
        <v>14000</v>
      </c>
    </row>
    <row r="20" spans="2:8" x14ac:dyDescent="0.35">
      <c r="B20" s="49"/>
      <c r="C20" s="43" t="s">
        <v>15</v>
      </c>
      <c r="D20" s="44">
        <f>$I$9</f>
        <v>14500</v>
      </c>
    </row>
    <row r="21" spans="2:8" x14ac:dyDescent="0.35">
      <c r="B21" s="49">
        <v>150000004</v>
      </c>
      <c r="C21" s="43" t="s">
        <v>16</v>
      </c>
      <c r="D21" s="44">
        <f>$I$9</f>
        <v>14500</v>
      </c>
    </row>
    <row r="22" spans="2:8" x14ac:dyDescent="0.35">
      <c r="B22" s="49">
        <v>150000050</v>
      </c>
      <c r="C22" s="43" t="s">
        <v>17</v>
      </c>
      <c r="D22" s="44">
        <f>$I$11</f>
        <v>13000</v>
      </c>
    </row>
    <row r="23" spans="2:8" x14ac:dyDescent="0.35">
      <c r="B23" s="49">
        <v>150000005</v>
      </c>
      <c r="C23" s="43" t="s">
        <v>18</v>
      </c>
      <c r="D23" s="44">
        <f>$I$9</f>
        <v>14500</v>
      </c>
    </row>
    <row r="24" spans="2:8" x14ac:dyDescent="0.35">
      <c r="B24" s="49">
        <v>150000014</v>
      </c>
      <c r="C24" s="43" t="s">
        <v>19</v>
      </c>
      <c r="D24" s="44">
        <f>$I$10</f>
        <v>11500</v>
      </c>
    </row>
    <row r="25" spans="2:8" x14ac:dyDescent="0.35">
      <c r="B25" s="49">
        <v>150000015</v>
      </c>
      <c r="C25" s="43" t="s">
        <v>20</v>
      </c>
      <c r="D25" s="44">
        <f>$I$10</f>
        <v>11500</v>
      </c>
    </row>
    <row r="26" spans="2:8" x14ac:dyDescent="0.35">
      <c r="B26" s="49">
        <v>150000016</v>
      </c>
      <c r="C26" s="43" t="s">
        <v>74</v>
      </c>
      <c r="D26" s="44">
        <f>$I$9</f>
        <v>14500</v>
      </c>
    </row>
    <row r="27" spans="2:8" x14ac:dyDescent="0.35">
      <c r="B27" s="49">
        <v>150000114</v>
      </c>
      <c r="C27" s="43" t="s">
        <v>21</v>
      </c>
      <c r="D27" s="44">
        <f>$I$11</f>
        <v>13000</v>
      </c>
    </row>
    <row r="28" spans="2:8" s="36" customFormat="1" x14ac:dyDescent="0.35">
      <c r="B28" s="49"/>
      <c r="C28" s="43" t="s">
        <v>23</v>
      </c>
      <c r="D28" s="44">
        <f>$I$12</f>
        <v>6000</v>
      </c>
      <c r="G28" s="1"/>
      <c r="H28" s="1"/>
    </row>
    <row r="29" spans="2:8" x14ac:dyDescent="0.35">
      <c r="B29" s="49"/>
      <c r="C29" s="43" t="s">
        <v>24</v>
      </c>
      <c r="D29" s="44">
        <f>$I$12</f>
        <v>6000</v>
      </c>
    </row>
    <row r="30" spans="2:8" x14ac:dyDescent="0.35">
      <c r="B30" s="50">
        <v>150000061</v>
      </c>
      <c r="C30" s="45" t="s">
        <v>75</v>
      </c>
      <c r="D30" s="46">
        <f>I14</f>
        <v>16000</v>
      </c>
    </row>
  </sheetData>
  <mergeCells count="10">
    <mergeCell ref="B16:D16"/>
    <mergeCell ref="B3:I3"/>
    <mergeCell ref="B4:I4"/>
    <mergeCell ref="B6:B7"/>
    <mergeCell ref="C6:C7"/>
    <mergeCell ref="D6:D7"/>
    <mergeCell ref="E6:F6"/>
    <mergeCell ref="G6:G7"/>
    <mergeCell ref="H6:H7"/>
    <mergeCell ref="I6:I7"/>
  </mergeCells>
  <pageMargins left="0.7" right="0.7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3F49-4CE6-4263-A18D-40CF8ABDA016}">
  <dimension ref="B1:J15"/>
  <sheetViews>
    <sheetView workbookViewId="0">
      <selection activeCell="G20" sqref="G20"/>
    </sheetView>
  </sheetViews>
  <sheetFormatPr defaultRowHeight="14.5" x14ac:dyDescent="0.35"/>
  <cols>
    <col min="1" max="1" width="2.81640625" customWidth="1"/>
    <col min="3" max="3" width="24.453125" customWidth="1"/>
    <col min="4" max="4" width="12.7265625" customWidth="1"/>
    <col min="5" max="5" width="10.90625" customWidth="1"/>
    <col min="6" max="6" width="10.7265625" customWidth="1"/>
    <col min="7" max="7" width="11.81640625" customWidth="1"/>
    <col min="10" max="10" width="21" customWidth="1"/>
  </cols>
  <sheetData>
    <row r="1" spans="2:10" ht="18.5" x14ac:dyDescent="0.35">
      <c r="B1" s="28" t="s">
        <v>48</v>
      </c>
      <c r="C1" s="28"/>
      <c r="D1" s="28"/>
      <c r="E1" s="28"/>
      <c r="F1" s="28"/>
      <c r="G1" s="28"/>
      <c r="H1" s="28"/>
      <c r="I1" s="28"/>
      <c r="J1" s="28"/>
    </row>
    <row r="2" spans="2:10" x14ac:dyDescent="0.35">
      <c r="G2" s="2" t="s">
        <v>5</v>
      </c>
    </row>
    <row r="3" spans="2:10" ht="46.5" x14ac:dyDescent="0.35">
      <c r="B3" s="21" t="s">
        <v>0</v>
      </c>
      <c r="C3" s="21" t="s">
        <v>6</v>
      </c>
      <c r="D3" s="21" t="s">
        <v>7</v>
      </c>
      <c r="E3" s="21" t="s">
        <v>8</v>
      </c>
      <c r="F3" s="21" t="s">
        <v>9</v>
      </c>
      <c r="G3" s="22" t="s">
        <v>62</v>
      </c>
    </row>
    <row r="4" spans="2:10" ht="15.5" x14ac:dyDescent="0.35">
      <c r="B4" s="23">
        <v>1</v>
      </c>
      <c r="C4" s="24" t="s">
        <v>36</v>
      </c>
      <c r="D4" s="25">
        <v>19500</v>
      </c>
      <c r="E4" s="25">
        <v>19500</v>
      </c>
      <c r="F4" s="26"/>
      <c r="G4" s="27">
        <v>23000</v>
      </c>
    </row>
    <row r="5" spans="2:10" ht="15.9" hidden="1" x14ac:dyDescent="0.35">
      <c r="B5" s="23">
        <v>2</v>
      </c>
      <c r="C5" s="24" t="s">
        <v>37</v>
      </c>
      <c r="D5" s="25"/>
      <c r="E5" s="25">
        <v>19500</v>
      </c>
      <c r="F5" s="26"/>
      <c r="G5" s="27"/>
    </row>
    <row r="6" spans="2:10" ht="15.9" hidden="1" x14ac:dyDescent="0.35">
      <c r="B6" s="23">
        <v>3</v>
      </c>
      <c r="C6" s="24" t="s">
        <v>38</v>
      </c>
      <c r="D6" s="25"/>
      <c r="E6" s="25">
        <v>19500</v>
      </c>
      <c r="F6" s="26"/>
      <c r="G6" s="27"/>
    </row>
    <row r="7" spans="2:10" ht="15.9" hidden="1" x14ac:dyDescent="0.35">
      <c r="B7" s="23">
        <v>4</v>
      </c>
      <c r="C7" s="24" t="s">
        <v>39</v>
      </c>
      <c r="D7" s="25"/>
      <c r="E7" s="25">
        <v>17500</v>
      </c>
      <c r="F7" s="26"/>
      <c r="G7" s="27"/>
    </row>
    <row r="8" spans="2:10" ht="15.9" hidden="1" x14ac:dyDescent="0.35">
      <c r="B8" s="23">
        <v>5</v>
      </c>
      <c r="C8" s="24" t="s">
        <v>40</v>
      </c>
      <c r="D8" s="25"/>
      <c r="E8" s="25">
        <v>17500</v>
      </c>
      <c r="F8" s="26"/>
      <c r="G8" s="27"/>
    </row>
    <row r="9" spans="2:10" ht="15.9" hidden="1" x14ac:dyDescent="0.35">
      <c r="B9" s="23">
        <v>6</v>
      </c>
      <c r="C9" s="24" t="s">
        <v>41</v>
      </c>
      <c r="D9" s="25"/>
      <c r="E9" s="25">
        <v>17500</v>
      </c>
      <c r="F9" s="26"/>
      <c r="G9" s="27"/>
    </row>
    <row r="10" spans="2:10" ht="15.9" hidden="1" x14ac:dyDescent="0.35">
      <c r="B10" s="23">
        <v>7</v>
      </c>
      <c r="C10" s="24" t="s">
        <v>42</v>
      </c>
      <c r="D10" s="25"/>
      <c r="E10" s="25">
        <v>17500</v>
      </c>
      <c r="F10" s="26"/>
      <c r="G10" s="27"/>
    </row>
    <row r="11" spans="2:10" ht="15.9" hidden="1" x14ac:dyDescent="0.35">
      <c r="B11" s="23">
        <v>8</v>
      </c>
      <c r="C11" s="24" t="s">
        <v>43</v>
      </c>
      <c r="D11" s="25"/>
      <c r="E11" s="25">
        <v>17500</v>
      </c>
      <c r="F11" s="26"/>
      <c r="G11" s="27"/>
    </row>
    <row r="12" spans="2:10" ht="15.5" x14ac:dyDescent="0.35">
      <c r="B12" s="23">
        <v>9</v>
      </c>
      <c r="C12" s="24" t="s">
        <v>44</v>
      </c>
      <c r="D12" s="25"/>
      <c r="E12" s="25">
        <v>18500</v>
      </c>
      <c r="F12" s="26"/>
      <c r="G12" s="27">
        <v>20000</v>
      </c>
    </row>
    <row r="13" spans="2:10" ht="15.9" hidden="1" x14ac:dyDescent="0.35">
      <c r="B13" s="23">
        <v>10</v>
      </c>
      <c r="C13" s="24" t="s">
        <v>45</v>
      </c>
      <c r="D13" s="25"/>
      <c r="E13" s="25">
        <v>17500</v>
      </c>
      <c r="F13" s="26"/>
      <c r="G13" s="27"/>
    </row>
    <row r="14" spans="2:10" ht="15.5" x14ac:dyDescent="0.35">
      <c r="B14" s="23">
        <v>11</v>
      </c>
      <c r="C14" s="24" t="s">
        <v>46</v>
      </c>
      <c r="D14" s="26"/>
      <c r="E14" s="26"/>
      <c r="F14" s="26"/>
      <c r="G14" s="27">
        <v>16500</v>
      </c>
    </row>
    <row r="15" spans="2:10" ht="15.9" hidden="1" x14ac:dyDescent="0.35">
      <c r="B15" s="23">
        <v>12</v>
      </c>
      <c r="C15" s="24" t="s">
        <v>47</v>
      </c>
      <c r="D15" s="26"/>
      <c r="E15" s="26"/>
      <c r="F15" s="26"/>
      <c r="G15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De xuat gia ban chai 1</vt:lpstr>
      <vt:lpstr>BM00</vt:lpstr>
      <vt:lpstr>BM01</vt:lpstr>
      <vt:lpstr>BM01 (2)</vt:lpstr>
      <vt:lpstr>So Sánh</vt:lpstr>
      <vt:lpstr>De xuat gia ban vay</vt:lpstr>
      <vt:lpstr>BM00!Print_Area</vt:lpstr>
      <vt:lpstr>'BM01'!Print_Area</vt:lpstr>
      <vt:lpstr>'BM01 (2)'!Print_Area</vt:lpstr>
      <vt:lpstr>'So Sánh'!Print_Area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Hoàng, Phạm Đình</dc:creator>
  <cp:lastModifiedBy>Cư, Lê Hoành</cp:lastModifiedBy>
  <cp:lastPrinted>2025-08-18T03:03:22Z</cp:lastPrinted>
  <dcterms:created xsi:type="dcterms:W3CDTF">2015-06-05T18:17:20Z</dcterms:created>
  <dcterms:modified xsi:type="dcterms:W3CDTF">2026-03-25T02:11:05Z</dcterms:modified>
</cp:coreProperties>
</file>