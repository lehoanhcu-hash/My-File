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FFAC032E-525F-485A-BA6E-FF9EDB52367F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BOM" sheetId="1" r:id="rId1"/>
    <sheet name="ROUTING" sheetId="2" r:id="rId2"/>
    <sheet name="BOM (2)" sheetId="3" r:id="rId3"/>
    <sheet name="BOM (Long)" sheetId="9" r:id="rId4"/>
    <sheet name="BOM (3NS26)" sheetId="8" r:id="rId5"/>
    <sheet name="BOM (DLoc)" sheetId="4" r:id="rId6"/>
    <sheet name="BOM (KN)" sheetId="5" r:id="rId7"/>
    <sheet name="BOM (Dlam)" sheetId="6" r:id="rId8"/>
    <sheet name="Bản giá mua từ trạm 02.26" sheetId="7" r:id="rId9"/>
    <sheet name="Bản giá mua từ trạm 03.26" sheetId="10" r:id="rId10"/>
  </sheets>
  <externalReferences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4" l="1"/>
  <c r="P7" i="4"/>
  <c r="R7" i="4"/>
  <c r="S7" i="4"/>
  <c r="M7" i="4"/>
  <c r="Z6" i="8"/>
  <c r="X6" i="8"/>
  <c r="V6" i="8"/>
  <c r="Z6" i="4"/>
  <c r="X6" i="4"/>
  <c r="V6" i="4"/>
  <c r="Z6" i="6"/>
  <c r="X6" i="6"/>
  <c r="V6" i="6"/>
  <c r="Z6" i="5" l="1"/>
  <c r="X6" i="5"/>
  <c r="V6" i="5"/>
  <c r="O27" i="9" l="1"/>
  <c r="O28" i="9" s="1"/>
  <c r="O27" i="8"/>
  <c r="O28" i="4"/>
  <c r="O27" i="5"/>
  <c r="O28" i="5" s="1"/>
  <c r="O28" i="6"/>
  <c r="I6" i="4"/>
  <c r="M15" i="10"/>
  <c r="M12" i="10"/>
  <c r="M11" i="10"/>
  <c r="M10" i="10"/>
  <c r="M9" i="10"/>
  <c r="L9" i="10"/>
  <c r="D44" i="10"/>
  <c r="D41" i="10"/>
  <c r="D40" i="10"/>
  <c r="D38" i="10"/>
  <c r="D32" i="10"/>
  <c r="D47" i="10" s="1"/>
  <c r="I31" i="10"/>
  <c r="H31" i="10"/>
  <c r="G31" i="10"/>
  <c r="D31" i="10"/>
  <c r="D46" i="10" s="1"/>
  <c r="D30" i="10"/>
  <c r="D45" i="10" s="1"/>
  <c r="I29" i="10"/>
  <c r="H29" i="10"/>
  <c r="G29" i="10"/>
  <c r="D29" i="10"/>
  <c r="D28" i="10"/>
  <c r="D43" i="10" s="1"/>
  <c r="D27" i="10"/>
  <c r="D26" i="10"/>
  <c r="D42" i="10" s="1"/>
  <c r="D25" i="10"/>
  <c r="D24" i="10"/>
  <c r="D23" i="10"/>
  <c r="D39" i="10" s="1"/>
  <c r="D22" i="10"/>
  <c r="D21" i="10"/>
  <c r="D37" i="10" s="1"/>
  <c r="D20" i="10"/>
  <c r="D36" i="10" s="1"/>
  <c r="D19" i="10"/>
  <c r="D35" i="10" s="1"/>
  <c r="F13" i="10"/>
  <c r="H13" i="10" s="1"/>
  <c r="F12" i="10"/>
  <c r="H12" i="10" s="1"/>
  <c r="L12" i="10" s="1"/>
  <c r="F11" i="10"/>
  <c r="H11" i="10" s="1"/>
  <c r="F10" i="10"/>
  <c r="H10" i="10" s="1"/>
  <c r="L10" i="10" s="1"/>
  <c r="F9" i="10"/>
  <c r="H9" i="10" s="1"/>
  <c r="I6" i="5"/>
  <c r="H7" i="4"/>
  <c r="I6" i="9"/>
  <c r="G31" i="9"/>
  <c r="D30" i="9"/>
  <c r="D29" i="9"/>
  <c r="D28" i="9"/>
  <c r="F28" i="9" s="1"/>
  <c r="H28" i="9" s="1"/>
  <c r="D27" i="9"/>
  <c r="D31" i="9" s="1"/>
  <c r="G26" i="9"/>
  <c r="G21" i="9"/>
  <c r="E21" i="9"/>
  <c r="Q20" i="9"/>
  <c r="P20" i="9"/>
  <c r="R20" i="9" s="1"/>
  <c r="S20" i="9" s="1"/>
  <c r="T20" i="9" s="1"/>
  <c r="D20" i="9"/>
  <c r="D21" i="9" s="1"/>
  <c r="Q19" i="9"/>
  <c r="P19" i="9"/>
  <c r="R19" i="9" s="1"/>
  <c r="S19" i="9" s="1"/>
  <c r="T19" i="9" s="1"/>
  <c r="Q18" i="9"/>
  <c r="R18" i="9" s="1"/>
  <c r="S18" i="9" s="1"/>
  <c r="T18" i="9" s="1"/>
  <c r="P18" i="9"/>
  <c r="Q17" i="9"/>
  <c r="P17" i="9"/>
  <c r="R17" i="9" s="1"/>
  <c r="S17" i="9" s="1"/>
  <c r="T17" i="9" s="1"/>
  <c r="Z16" i="9"/>
  <c r="Y16" i="9"/>
  <c r="X16" i="9"/>
  <c r="W16" i="9"/>
  <c r="V16" i="9"/>
  <c r="U16" i="9"/>
  <c r="Q16" i="9"/>
  <c r="P16" i="9"/>
  <c r="R16" i="9" s="1"/>
  <c r="S16" i="9" s="1"/>
  <c r="T16" i="9" s="1"/>
  <c r="Q15" i="9"/>
  <c r="P15" i="9"/>
  <c r="R15" i="9" s="1"/>
  <c r="S15" i="9" s="1"/>
  <c r="T15" i="9" s="1"/>
  <c r="AE15" i="9" s="1"/>
  <c r="Z14" i="9"/>
  <c r="Y14" i="9"/>
  <c r="X14" i="9"/>
  <c r="W14" i="9"/>
  <c r="V14" i="9"/>
  <c r="U14" i="9"/>
  <c r="F14" i="9"/>
  <c r="H14" i="9" s="1"/>
  <c r="Z13" i="9"/>
  <c r="Y13" i="9"/>
  <c r="X13" i="9"/>
  <c r="W13" i="9"/>
  <c r="V13" i="9"/>
  <c r="U13" i="9"/>
  <c r="O13" i="9"/>
  <c r="F13" i="9"/>
  <c r="H13" i="9" s="1"/>
  <c r="H12" i="9"/>
  <c r="F12" i="9"/>
  <c r="Z11" i="9"/>
  <c r="Y11" i="9"/>
  <c r="X11" i="9"/>
  <c r="W11" i="9"/>
  <c r="V11" i="9"/>
  <c r="U11" i="9"/>
  <c r="O11" i="9"/>
  <c r="F11" i="9"/>
  <c r="H11" i="9" s="1"/>
  <c r="Z10" i="9"/>
  <c r="Y10" i="9"/>
  <c r="X10" i="9"/>
  <c r="W10" i="9"/>
  <c r="V10" i="9"/>
  <c r="U10" i="9"/>
  <c r="F10" i="9"/>
  <c r="H10" i="9" s="1"/>
  <c r="Z9" i="9"/>
  <c r="Y9" i="9"/>
  <c r="X9" i="9"/>
  <c r="W9" i="9"/>
  <c r="V9" i="9"/>
  <c r="U9" i="9"/>
  <c r="F9" i="9"/>
  <c r="H9" i="9" s="1"/>
  <c r="O8" i="9"/>
  <c r="O12" i="9" s="1"/>
  <c r="F8" i="9"/>
  <c r="H8" i="9" s="1"/>
  <c r="Z7" i="9"/>
  <c r="Y7" i="9"/>
  <c r="X7" i="9"/>
  <c r="W7" i="9"/>
  <c r="V7" i="9"/>
  <c r="U7" i="9"/>
  <c r="F7" i="9"/>
  <c r="F21" i="9" s="1"/>
  <c r="Z6" i="9"/>
  <c r="X6" i="9"/>
  <c r="V6" i="9"/>
  <c r="E6" i="9"/>
  <c r="Z5" i="9"/>
  <c r="X5" i="9"/>
  <c r="V5" i="9"/>
  <c r="I6" i="6"/>
  <c r="P7" i="8"/>
  <c r="P21" i="1"/>
  <c r="M21" i="1"/>
  <c r="N7" i="1" s="1"/>
  <c r="O28" i="8" l="1"/>
  <c r="D15" i="10"/>
  <c r="L11" i="10"/>
  <c r="M5" i="9"/>
  <c r="H7" i="9"/>
  <c r="H21" i="9" s="1"/>
  <c r="I9" i="9" s="1"/>
  <c r="F27" i="9"/>
  <c r="I11" i="9"/>
  <c r="V5" i="4"/>
  <c r="M10" i="9" l="1"/>
  <c r="AF7" i="9"/>
  <c r="F15" i="10"/>
  <c r="H15" i="10" s="1"/>
  <c r="L15" i="10" s="1"/>
  <c r="M7" i="9"/>
  <c r="M14" i="9"/>
  <c r="M28" i="9" s="1"/>
  <c r="M13" i="9"/>
  <c r="M27" i="9" s="1"/>
  <c r="M11" i="9"/>
  <c r="M9" i="9"/>
  <c r="J9" i="9"/>
  <c r="K9" i="9" s="1"/>
  <c r="Q9" i="9" s="1"/>
  <c r="P9" i="9"/>
  <c r="J11" i="9"/>
  <c r="K11" i="9" s="1"/>
  <c r="Q11" i="9" s="1"/>
  <c r="P11" i="9"/>
  <c r="R11" i="9" s="1"/>
  <c r="F31" i="9"/>
  <c r="H27" i="9"/>
  <c r="H31" i="9" s="1"/>
  <c r="F26" i="9"/>
  <c r="I14" i="9"/>
  <c r="I10" i="9"/>
  <c r="I12" i="9"/>
  <c r="I8" i="9"/>
  <c r="I7" i="9"/>
  <c r="I13" i="9"/>
  <c r="G31" i="8"/>
  <c r="D30" i="8"/>
  <c r="D29" i="8"/>
  <c r="D28" i="8"/>
  <c r="F28" i="8" s="1"/>
  <c r="H28" i="8" s="1"/>
  <c r="D27" i="8"/>
  <c r="D31" i="8" s="1"/>
  <c r="G26" i="8"/>
  <c r="G21" i="8"/>
  <c r="E21" i="8"/>
  <c r="R20" i="8"/>
  <c r="S20" i="8" s="1"/>
  <c r="T20" i="8" s="1"/>
  <c r="Q20" i="8"/>
  <c r="P20" i="8"/>
  <c r="D20" i="8"/>
  <c r="D21" i="8" s="1"/>
  <c r="Q19" i="8"/>
  <c r="P19" i="8"/>
  <c r="R19" i="8" s="1"/>
  <c r="S19" i="8" s="1"/>
  <c r="T19" i="8" s="1"/>
  <c r="Q18" i="8"/>
  <c r="P18" i="8"/>
  <c r="R18" i="8" s="1"/>
  <c r="S18" i="8" s="1"/>
  <c r="T18" i="8" s="1"/>
  <c r="Q17" i="8"/>
  <c r="P17" i="8"/>
  <c r="R17" i="8" s="1"/>
  <c r="S17" i="8" s="1"/>
  <c r="T17" i="8" s="1"/>
  <c r="Z16" i="8"/>
  <c r="Y16" i="8"/>
  <c r="X16" i="8"/>
  <c r="W16" i="8"/>
  <c r="V16" i="8"/>
  <c r="U16" i="8"/>
  <c r="R16" i="8"/>
  <c r="S16" i="8" s="1"/>
  <c r="T16" i="8" s="1"/>
  <c r="Q16" i="8"/>
  <c r="P16" i="8"/>
  <c r="Q15" i="8"/>
  <c r="P15" i="8"/>
  <c r="R15" i="8" s="1"/>
  <c r="S15" i="8" s="1"/>
  <c r="T15" i="8" s="1"/>
  <c r="AE15" i="8" s="1"/>
  <c r="Z14" i="8"/>
  <c r="Y14" i="8"/>
  <c r="X14" i="8"/>
  <c r="W14" i="8"/>
  <c r="V14" i="8"/>
  <c r="U14" i="8"/>
  <c r="H14" i="8"/>
  <c r="F14" i="8"/>
  <c r="Z13" i="8"/>
  <c r="Y13" i="8"/>
  <c r="X13" i="8"/>
  <c r="W13" i="8"/>
  <c r="V13" i="8"/>
  <c r="U13" i="8"/>
  <c r="O13" i="8"/>
  <c r="F13" i="8"/>
  <c r="H13" i="8" s="1"/>
  <c r="O12" i="8"/>
  <c r="F12" i="8"/>
  <c r="H12" i="8" s="1"/>
  <c r="Z11" i="8"/>
  <c r="Y11" i="8"/>
  <c r="X11" i="8"/>
  <c r="W11" i="8"/>
  <c r="V11" i="8"/>
  <c r="U11" i="8"/>
  <c r="O11" i="8"/>
  <c r="F11" i="8"/>
  <c r="H11" i="8" s="1"/>
  <c r="Z10" i="8"/>
  <c r="Y10" i="8"/>
  <c r="X10" i="8"/>
  <c r="W10" i="8"/>
  <c r="V10" i="8"/>
  <c r="U10" i="8"/>
  <c r="F10" i="8"/>
  <c r="H10" i="8" s="1"/>
  <c r="Z9" i="8"/>
  <c r="Y9" i="8"/>
  <c r="X9" i="8"/>
  <c r="W9" i="8"/>
  <c r="V9" i="8"/>
  <c r="U9" i="8"/>
  <c r="F9" i="8"/>
  <c r="H9" i="8" s="1"/>
  <c r="O8" i="8"/>
  <c r="F8" i="8"/>
  <c r="H8" i="8" s="1"/>
  <c r="Z7" i="8"/>
  <c r="Y7" i="8"/>
  <c r="X7" i="8"/>
  <c r="W7" i="8"/>
  <c r="V7" i="8"/>
  <c r="U7" i="8"/>
  <c r="F7" i="8"/>
  <c r="F21" i="8" s="1"/>
  <c r="I6" i="8"/>
  <c r="E6" i="8"/>
  <c r="Z5" i="8"/>
  <c r="X5" i="8"/>
  <c r="V5" i="8"/>
  <c r="O27" i="6"/>
  <c r="I31" i="7"/>
  <c r="I29" i="7"/>
  <c r="H31" i="7"/>
  <c r="H29" i="7"/>
  <c r="G31" i="7"/>
  <c r="G29" i="7"/>
  <c r="O27" i="4"/>
  <c r="D32" i="7"/>
  <c r="D47" i="7" s="1"/>
  <c r="D31" i="7"/>
  <c r="D46" i="7" s="1"/>
  <c r="D30" i="7"/>
  <c r="D45" i="7" s="1"/>
  <c r="D29" i="7"/>
  <c r="D44" i="7" s="1"/>
  <c r="D28" i="7"/>
  <c r="D43" i="7" s="1"/>
  <c r="D27" i="7"/>
  <c r="D26" i="7"/>
  <c r="D42" i="7" s="1"/>
  <c r="D25" i="7"/>
  <c r="D41" i="7" s="1"/>
  <c r="D24" i="7"/>
  <c r="D40" i="7" s="1"/>
  <c r="D23" i="7"/>
  <c r="D39" i="7" s="1"/>
  <c r="D22" i="7"/>
  <c r="D38" i="7" s="1"/>
  <c r="D21" i="7"/>
  <c r="D37" i="7" s="1"/>
  <c r="D20" i="7"/>
  <c r="D36" i="7" s="1"/>
  <c r="D19" i="7"/>
  <c r="D35" i="7" s="1"/>
  <c r="F13" i="7"/>
  <c r="H13" i="7" s="1"/>
  <c r="F12" i="7"/>
  <c r="H12" i="7" s="1"/>
  <c r="L12" i="7" s="1"/>
  <c r="F11" i="7"/>
  <c r="H11" i="7" s="1"/>
  <c r="F10" i="7"/>
  <c r="H10" i="7" s="1"/>
  <c r="L10" i="7" s="1"/>
  <c r="F9" i="7"/>
  <c r="H9" i="7" s="1"/>
  <c r="L9" i="7" s="1"/>
  <c r="M31" i="9" l="1"/>
  <c r="N27" i="9" s="1"/>
  <c r="M21" i="9"/>
  <c r="N11" i="9" s="1"/>
  <c r="S11" i="9"/>
  <c r="T11" i="9" s="1"/>
  <c r="AE11" i="9" s="1"/>
  <c r="J13" i="9"/>
  <c r="K13" i="9" s="1"/>
  <c r="Q13" i="9" s="1"/>
  <c r="I26" i="9"/>
  <c r="P13" i="9"/>
  <c r="J12" i="9"/>
  <c r="K12" i="9" s="1"/>
  <c r="Q12" i="9" s="1"/>
  <c r="P12" i="9"/>
  <c r="R12" i="9" s="1"/>
  <c r="S12" i="9" s="1"/>
  <c r="T12" i="9" s="1"/>
  <c r="AE12" i="9" s="1"/>
  <c r="P10" i="9"/>
  <c r="J10" i="9"/>
  <c r="K10" i="9" s="1"/>
  <c r="Q10" i="9" s="1"/>
  <c r="P14" i="9"/>
  <c r="J14" i="9"/>
  <c r="K14" i="9" s="1"/>
  <c r="Q14" i="9" s="1"/>
  <c r="P7" i="9"/>
  <c r="I21" i="9"/>
  <c r="P21" i="9" s="1"/>
  <c r="P22" i="9" s="1"/>
  <c r="J7" i="9"/>
  <c r="J8" i="9"/>
  <c r="K8" i="9" s="1"/>
  <c r="Q8" i="9" s="1"/>
  <c r="P8" i="9"/>
  <c r="R8" i="9" s="1"/>
  <c r="S8" i="9" s="1"/>
  <c r="T8" i="9" s="1"/>
  <c r="AE8" i="9" s="1"/>
  <c r="R9" i="9"/>
  <c r="S9" i="9" s="1"/>
  <c r="T9" i="9" s="1"/>
  <c r="AE9" i="9" s="1"/>
  <c r="M5" i="8"/>
  <c r="I13" i="8"/>
  <c r="I10" i="8"/>
  <c r="I14" i="8"/>
  <c r="I12" i="8"/>
  <c r="H7" i="8"/>
  <c r="H21" i="8" s="1"/>
  <c r="F27" i="8"/>
  <c r="I7" i="8"/>
  <c r="I11" i="8"/>
  <c r="I9" i="8"/>
  <c r="I8" i="8"/>
  <c r="D15" i="7"/>
  <c r="L11" i="7"/>
  <c r="N28" i="9" l="1"/>
  <c r="N12" i="9"/>
  <c r="N15" i="9"/>
  <c r="T21" i="9"/>
  <c r="N8" i="9"/>
  <c r="N10" i="9"/>
  <c r="N9" i="9"/>
  <c r="N13" i="9"/>
  <c r="N7" i="9"/>
  <c r="N17" i="9"/>
  <c r="N14" i="9"/>
  <c r="N16" i="9"/>
  <c r="M14" i="8"/>
  <c r="M28" i="8" s="1"/>
  <c r="M9" i="8"/>
  <c r="R14" i="9"/>
  <c r="S14" i="9" s="1"/>
  <c r="T14" i="9" s="1"/>
  <c r="AE14" i="9" s="1"/>
  <c r="I27" i="9"/>
  <c r="J27" i="9" s="1"/>
  <c r="K27" i="9" s="1"/>
  <c r="I28" i="9"/>
  <c r="J28" i="9" s="1"/>
  <c r="K28" i="9" s="1"/>
  <c r="K7" i="9"/>
  <c r="J6" i="9"/>
  <c r="R10" i="9"/>
  <c r="S10" i="9" s="1"/>
  <c r="T10" i="9" s="1"/>
  <c r="AE10" i="9" s="1"/>
  <c r="R13" i="9"/>
  <c r="S13" i="9" s="1"/>
  <c r="T13" i="9" s="1"/>
  <c r="AE13" i="9" s="1"/>
  <c r="M7" i="8"/>
  <c r="M11" i="8"/>
  <c r="M13" i="8"/>
  <c r="M27" i="8" s="1"/>
  <c r="M10" i="8"/>
  <c r="P12" i="8"/>
  <c r="R12" i="8" s="1"/>
  <c r="S12" i="8" s="1"/>
  <c r="T12" i="8" s="1"/>
  <c r="AE12" i="8" s="1"/>
  <c r="J12" i="8"/>
  <c r="K12" i="8" s="1"/>
  <c r="Q12" i="8" s="1"/>
  <c r="P14" i="8"/>
  <c r="J14" i="8"/>
  <c r="K14" i="8" s="1"/>
  <c r="Q14" i="8" s="1"/>
  <c r="P10" i="8"/>
  <c r="J10" i="8"/>
  <c r="K10" i="8" s="1"/>
  <c r="Q10" i="8" s="1"/>
  <c r="P8" i="8"/>
  <c r="J8" i="8"/>
  <c r="K8" i="8" s="1"/>
  <c r="Q8" i="8" s="1"/>
  <c r="J9" i="8"/>
  <c r="K9" i="8" s="1"/>
  <c r="Q9" i="8" s="1"/>
  <c r="P9" i="8"/>
  <c r="R9" i="8" s="1"/>
  <c r="I26" i="8"/>
  <c r="P13" i="8"/>
  <c r="J13" i="8"/>
  <c r="K13" i="8" s="1"/>
  <c r="Q13" i="8" s="1"/>
  <c r="J11" i="8"/>
  <c r="K11" i="8" s="1"/>
  <c r="Q11" i="8" s="1"/>
  <c r="P11" i="8"/>
  <c r="R11" i="8" s="1"/>
  <c r="I21" i="8"/>
  <c r="P21" i="8" s="1"/>
  <c r="P22" i="8" s="1"/>
  <c r="J7" i="8"/>
  <c r="F31" i="8"/>
  <c r="H27" i="8"/>
  <c r="H31" i="8" s="1"/>
  <c r="F26" i="8"/>
  <c r="H15" i="7"/>
  <c r="L15" i="7" s="1"/>
  <c r="F15" i="7"/>
  <c r="M31" i="8" l="1"/>
  <c r="N28" i="8" s="1"/>
  <c r="K6" i="9"/>
  <c r="Q7" i="9"/>
  <c r="R7" i="9" s="1"/>
  <c r="S7" i="9" s="1"/>
  <c r="T7" i="9" s="1"/>
  <c r="AE7" i="9" s="1"/>
  <c r="S11" i="8"/>
  <c r="T11" i="8" s="1"/>
  <c r="AE11" i="8" s="1"/>
  <c r="M21" i="8"/>
  <c r="S9" i="8"/>
  <c r="T9" i="8" s="1"/>
  <c r="AE9" i="8" s="1"/>
  <c r="R13" i="8"/>
  <c r="S13" i="8" s="1"/>
  <c r="T13" i="8" s="1"/>
  <c r="AE13" i="8" s="1"/>
  <c r="I27" i="8"/>
  <c r="J27" i="8" s="1"/>
  <c r="K27" i="8" s="1"/>
  <c r="I28" i="8"/>
  <c r="J28" i="8" s="1"/>
  <c r="K28" i="8" s="1"/>
  <c r="K7" i="8"/>
  <c r="J6" i="8"/>
  <c r="R8" i="8"/>
  <c r="S8" i="8" s="1"/>
  <c r="T8" i="8" s="1"/>
  <c r="AE8" i="8" s="1"/>
  <c r="R10" i="8"/>
  <c r="S10" i="8" s="1"/>
  <c r="T10" i="8" s="1"/>
  <c r="AE10" i="8" s="1"/>
  <c r="R14" i="8"/>
  <c r="S14" i="8" s="1"/>
  <c r="T14" i="8" s="1"/>
  <c r="AE14" i="8" s="1"/>
  <c r="M5" i="4"/>
  <c r="G31" i="6"/>
  <c r="G26" i="6" s="1"/>
  <c r="D30" i="6"/>
  <c r="D29" i="6"/>
  <c r="D28" i="6"/>
  <c r="F28" i="6" s="1"/>
  <c r="H28" i="6" s="1"/>
  <c r="D27" i="6"/>
  <c r="D31" i="6" s="1"/>
  <c r="G21" i="6"/>
  <c r="E21" i="6"/>
  <c r="P20" i="6"/>
  <c r="D20" i="6"/>
  <c r="D21" i="6" s="1"/>
  <c r="P19" i="6"/>
  <c r="P18" i="6"/>
  <c r="P17" i="6"/>
  <c r="Y16" i="6"/>
  <c r="W16" i="6"/>
  <c r="U16" i="6"/>
  <c r="P16" i="6"/>
  <c r="P15" i="6"/>
  <c r="Y14" i="6"/>
  <c r="W14" i="6"/>
  <c r="U14" i="6"/>
  <c r="F14" i="6"/>
  <c r="H14" i="6" s="1"/>
  <c r="Y13" i="6"/>
  <c r="W13" i="6"/>
  <c r="V13" i="6"/>
  <c r="U13" i="6"/>
  <c r="O13" i="6"/>
  <c r="F13" i="6"/>
  <c r="H13" i="6" s="1"/>
  <c r="F12" i="6"/>
  <c r="H12" i="6" s="1"/>
  <c r="Y11" i="6"/>
  <c r="W11" i="6"/>
  <c r="U11" i="6"/>
  <c r="O11" i="6"/>
  <c r="F11" i="6"/>
  <c r="H11" i="6" s="1"/>
  <c r="Y10" i="6"/>
  <c r="W10" i="6"/>
  <c r="U10" i="6"/>
  <c r="F10" i="6"/>
  <c r="H10" i="6" s="1"/>
  <c r="Y9" i="6"/>
  <c r="W9" i="6"/>
  <c r="V9" i="6"/>
  <c r="U9" i="6"/>
  <c r="H9" i="6"/>
  <c r="F9" i="6"/>
  <c r="O8" i="6"/>
  <c r="O12" i="6" s="1"/>
  <c r="F8" i="6"/>
  <c r="H8" i="6" s="1"/>
  <c r="Y7" i="6"/>
  <c r="W7" i="6"/>
  <c r="V7" i="6"/>
  <c r="U7" i="6"/>
  <c r="F7" i="6"/>
  <c r="F21" i="6" s="1"/>
  <c r="Q6" i="6"/>
  <c r="E6" i="6"/>
  <c r="V5" i="6"/>
  <c r="G31" i="5"/>
  <c r="D30" i="5"/>
  <c r="D29" i="5"/>
  <c r="F28" i="5"/>
  <c r="H28" i="5" s="1"/>
  <c r="D28" i="5"/>
  <c r="D27" i="5"/>
  <c r="D31" i="5" s="1"/>
  <c r="G26" i="5"/>
  <c r="G21" i="5"/>
  <c r="E21" i="5"/>
  <c r="P20" i="5"/>
  <c r="D20" i="5"/>
  <c r="D21" i="5" s="1"/>
  <c r="P19" i="5"/>
  <c r="P18" i="5"/>
  <c r="P17" i="5"/>
  <c r="Y16" i="5"/>
  <c r="W16" i="5"/>
  <c r="U16" i="5"/>
  <c r="P16" i="5"/>
  <c r="P15" i="5"/>
  <c r="Y14" i="5"/>
  <c r="W14" i="5"/>
  <c r="U14" i="5"/>
  <c r="F14" i="5"/>
  <c r="H14" i="5" s="1"/>
  <c r="Y13" i="5"/>
  <c r="W13" i="5"/>
  <c r="V13" i="5"/>
  <c r="U13" i="5"/>
  <c r="O13" i="5"/>
  <c r="F13" i="5"/>
  <c r="H13" i="5" s="1"/>
  <c r="H12" i="5"/>
  <c r="F12" i="5"/>
  <c r="Y11" i="5"/>
  <c r="W11" i="5"/>
  <c r="U11" i="5"/>
  <c r="O11" i="5"/>
  <c r="F11" i="5"/>
  <c r="H11" i="5" s="1"/>
  <c r="Y10" i="5"/>
  <c r="W10" i="5"/>
  <c r="U10" i="5"/>
  <c r="F10" i="5"/>
  <c r="H10" i="5" s="1"/>
  <c r="Y9" i="5"/>
  <c r="W9" i="5"/>
  <c r="V9" i="5"/>
  <c r="U9" i="5"/>
  <c r="H9" i="5"/>
  <c r="F9" i="5"/>
  <c r="O8" i="5"/>
  <c r="O12" i="5" s="1"/>
  <c r="F8" i="5"/>
  <c r="H8" i="5" s="1"/>
  <c r="Y7" i="5"/>
  <c r="W7" i="5"/>
  <c r="V7" i="5"/>
  <c r="U7" i="5"/>
  <c r="F7" i="5"/>
  <c r="F21" i="5" s="1"/>
  <c r="Q6" i="5"/>
  <c r="E6" i="5"/>
  <c r="V5" i="5"/>
  <c r="G31" i="4"/>
  <c r="G26" i="4" s="1"/>
  <c r="D30" i="4"/>
  <c r="D29" i="4"/>
  <c r="D28" i="4"/>
  <c r="F28" i="4" s="1"/>
  <c r="H28" i="4" s="1"/>
  <c r="D27" i="4"/>
  <c r="D31" i="4" s="1"/>
  <c r="G21" i="4"/>
  <c r="E21" i="4"/>
  <c r="P20" i="4"/>
  <c r="D20" i="4"/>
  <c r="D21" i="4" s="1"/>
  <c r="P19" i="4"/>
  <c r="P18" i="4"/>
  <c r="P17" i="4"/>
  <c r="Y16" i="4"/>
  <c r="W16" i="4"/>
  <c r="U16" i="4"/>
  <c r="P16" i="4"/>
  <c r="P15" i="4"/>
  <c r="Y14" i="4"/>
  <c r="W14" i="4"/>
  <c r="U14" i="4"/>
  <c r="F14" i="4"/>
  <c r="H14" i="4" s="1"/>
  <c r="Y13" i="4"/>
  <c r="W13" i="4"/>
  <c r="V13" i="4"/>
  <c r="U13" i="4"/>
  <c r="O13" i="4"/>
  <c r="F13" i="4"/>
  <c r="H13" i="4" s="1"/>
  <c r="H12" i="4"/>
  <c r="F12" i="4"/>
  <c r="Y11" i="4"/>
  <c r="W11" i="4"/>
  <c r="U11" i="4"/>
  <c r="O11" i="4"/>
  <c r="H11" i="4"/>
  <c r="F11" i="4"/>
  <c r="Y10" i="4"/>
  <c r="W10" i="4"/>
  <c r="U10" i="4"/>
  <c r="F10" i="4"/>
  <c r="H10" i="4" s="1"/>
  <c r="Y9" i="4"/>
  <c r="W9" i="4"/>
  <c r="V9" i="4"/>
  <c r="U9" i="4"/>
  <c r="H9" i="4"/>
  <c r="F9" i="4"/>
  <c r="O8" i="4"/>
  <c r="O12" i="4" s="1"/>
  <c r="F8" i="4"/>
  <c r="H8" i="4" s="1"/>
  <c r="Y7" i="4"/>
  <c r="W7" i="4"/>
  <c r="V7" i="4"/>
  <c r="U7" i="4"/>
  <c r="F7" i="4"/>
  <c r="F21" i="4" s="1"/>
  <c r="Q6" i="4"/>
  <c r="E6" i="4"/>
  <c r="Z6" i="3"/>
  <c r="X6" i="3"/>
  <c r="V6" i="3"/>
  <c r="N27" i="8" l="1"/>
  <c r="G19" i="7"/>
  <c r="G27" i="7" s="1"/>
  <c r="G19" i="10"/>
  <c r="Q18" i="5"/>
  <c r="R18" i="5" s="1"/>
  <c r="S18" i="5" s="1"/>
  <c r="T18" i="5" s="1"/>
  <c r="Q16" i="5"/>
  <c r="R16" i="5" s="1"/>
  <c r="S16" i="5" s="1"/>
  <c r="T16" i="5" s="1"/>
  <c r="Q19" i="5"/>
  <c r="R19" i="5" s="1"/>
  <c r="S19" i="5" s="1"/>
  <c r="T19" i="5" s="1"/>
  <c r="N13" i="8"/>
  <c r="N11" i="8"/>
  <c r="N10" i="8"/>
  <c r="N9" i="8"/>
  <c r="N7" i="8"/>
  <c r="N14" i="8"/>
  <c r="N16" i="8"/>
  <c r="T21" i="8"/>
  <c r="N8" i="8"/>
  <c r="N12" i="8"/>
  <c r="N15" i="8"/>
  <c r="N17" i="8"/>
  <c r="Q16" i="4"/>
  <c r="R16" i="4" s="1"/>
  <c r="S16" i="4" s="1"/>
  <c r="T16" i="4" s="1"/>
  <c r="Q15" i="4"/>
  <c r="R15" i="4" s="1"/>
  <c r="S15" i="4" s="1"/>
  <c r="T15" i="4" s="1"/>
  <c r="AE15" i="4" s="1"/>
  <c r="Q19" i="4"/>
  <c r="R19" i="4" s="1"/>
  <c r="S19" i="4" s="1"/>
  <c r="T19" i="4" s="1"/>
  <c r="Q18" i="4"/>
  <c r="R18" i="4" s="1"/>
  <c r="S18" i="4" s="1"/>
  <c r="T18" i="4" s="1"/>
  <c r="Q20" i="4"/>
  <c r="R20" i="4" s="1"/>
  <c r="S20" i="4" s="1"/>
  <c r="T20" i="4" s="1"/>
  <c r="Q17" i="4"/>
  <c r="R17" i="4" s="1"/>
  <c r="S17" i="4" s="1"/>
  <c r="T17" i="4" s="1"/>
  <c r="Q19" i="6"/>
  <c r="R19" i="6" s="1"/>
  <c r="S19" i="6" s="1"/>
  <c r="T19" i="6" s="1"/>
  <c r="Q18" i="6"/>
  <c r="R18" i="6" s="1"/>
  <c r="S18" i="6" s="1"/>
  <c r="T18" i="6" s="1"/>
  <c r="Q15" i="6"/>
  <c r="R15" i="6" s="1"/>
  <c r="S15" i="6" s="1"/>
  <c r="T15" i="6" s="1"/>
  <c r="AE15" i="6" s="1"/>
  <c r="Q16" i="6"/>
  <c r="R16" i="6" s="1"/>
  <c r="S16" i="6" s="1"/>
  <c r="T16" i="6" s="1"/>
  <c r="Q20" i="6"/>
  <c r="R20" i="6" s="1"/>
  <c r="S20" i="6" s="1"/>
  <c r="T20" i="6" s="1"/>
  <c r="Q17" i="6"/>
  <c r="R17" i="6" s="1"/>
  <c r="S17" i="6" s="1"/>
  <c r="T17" i="6" s="1"/>
  <c r="Q15" i="5"/>
  <c r="R15" i="5" s="1"/>
  <c r="S15" i="5" s="1"/>
  <c r="T15" i="5" s="1"/>
  <c r="AE15" i="5" s="1"/>
  <c r="Q20" i="5"/>
  <c r="R20" i="5" s="1"/>
  <c r="S20" i="5" s="1"/>
  <c r="T20" i="5" s="1"/>
  <c r="Q17" i="5"/>
  <c r="R17" i="5" s="1"/>
  <c r="S17" i="5" s="1"/>
  <c r="T17" i="5" s="1"/>
  <c r="K6" i="8"/>
  <c r="Q7" i="8"/>
  <c r="R7" i="8" s="1"/>
  <c r="S7" i="8" s="1"/>
  <c r="T7" i="8" s="1"/>
  <c r="AE7" i="8" s="1"/>
  <c r="I12" i="6"/>
  <c r="H7" i="6"/>
  <c r="H21" i="6" s="1"/>
  <c r="I8" i="6" s="1"/>
  <c r="F27" i="6"/>
  <c r="I9" i="6"/>
  <c r="H7" i="5"/>
  <c r="H21" i="5" s="1"/>
  <c r="I13" i="5" s="1"/>
  <c r="F27" i="5"/>
  <c r="I14" i="5"/>
  <c r="I7" i="5"/>
  <c r="I11" i="5"/>
  <c r="I10" i="5"/>
  <c r="I12" i="5"/>
  <c r="I9" i="5"/>
  <c r="I8" i="5"/>
  <c r="H21" i="4"/>
  <c r="F27" i="4"/>
  <c r="I7" i="4"/>
  <c r="I11" i="4"/>
  <c r="G20" i="7" l="1"/>
  <c r="G24" i="7"/>
  <c r="G22" i="7"/>
  <c r="G21" i="7"/>
  <c r="G21" i="10"/>
  <c r="G22" i="10"/>
  <c r="G20" i="10"/>
  <c r="G27" i="10"/>
  <c r="G24" i="10"/>
  <c r="P8" i="6"/>
  <c r="J8" i="6"/>
  <c r="K8" i="6" s="1"/>
  <c r="Q8" i="6" s="1"/>
  <c r="J9" i="6"/>
  <c r="K9" i="6" s="1"/>
  <c r="Q9" i="6" s="1"/>
  <c r="P9" i="6"/>
  <c r="P12" i="6"/>
  <c r="J12" i="6"/>
  <c r="K12" i="6" s="1"/>
  <c r="Q12" i="6" s="1"/>
  <c r="F31" i="6"/>
  <c r="F26" i="6" s="1"/>
  <c r="H27" i="6"/>
  <c r="H31" i="6" s="1"/>
  <c r="I7" i="6"/>
  <c r="I11" i="6"/>
  <c r="I14" i="6"/>
  <c r="I10" i="6"/>
  <c r="I13" i="6"/>
  <c r="I26" i="5"/>
  <c r="P13" i="5"/>
  <c r="J13" i="5"/>
  <c r="K13" i="5" s="1"/>
  <c r="Q13" i="5" s="1"/>
  <c r="J9" i="5"/>
  <c r="K9" i="5" s="1"/>
  <c r="Q9" i="5" s="1"/>
  <c r="P9" i="5"/>
  <c r="J10" i="5"/>
  <c r="K10" i="5" s="1"/>
  <c r="Q10" i="5" s="1"/>
  <c r="P10" i="5"/>
  <c r="P7" i="5"/>
  <c r="I21" i="5"/>
  <c r="P21" i="5" s="1"/>
  <c r="P22" i="5" s="1"/>
  <c r="J7" i="5"/>
  <c r="F26" i="5"/>
  <c r="F31" i="5"/>
  <c r="H27" i="5"/>
  <c r="H31" i="5" s="1"/>
  <c r="J11" i="5"/>
  <c r="K11" i="5" s="1"/>
  <c r="Q11" i="5" s="1"/>
  <c r="P11" i="5"/>
  <c r="P8" i="5"/>
  <c r="J8" i="5"/>
  <c r="K8" i="5" s="1"/>
  <c r="Q8" i="5" s="1"/>
  <c r="J12" i="5"/>
  <c r="K12" i="5" s="1"/>
  <c r="Q12" i="5" s="1"/>
  <c r="P12" i="5"/>
  <c r="P14" i="5"/>
  <c r="J14" i="5"/>
  <c r="K14" i="5" s="1"/>
  <c r="Q14" i="5" s="1"/>
  <c r="J11" i="4"/>
  <c r="K11" i="4" s="1"/>
  <c r="Q11" i="4" s="1"/>
  <c r="P11" i="4"/>
  <c r="F31" i="4"/>
  <c r="H27" i="4"/>
  <c r="H31" i="4" s="1"/>
  <c r="F26" i="4"/>
  <c r="I8" i="4"/>
  <c r="I13" i="4"/>
  <c r="I10" i="4"/>
  <c r="I12" i="4"/>
  <c r="I14" i="4"/>
  <c r="J7" i="4"/>
  <c r="I9" i="4"/>
  <c r="I21" i="4" l="1"/>
  <c r="P9" i="4"/>
  <c r="R10" i="5"/>
  <c r="R12" i="5"/>
  <c r="S12" i="5" s="1"/>
  <c r="T12" i="5" s="1"/>
  <c r="AE12" i="5" s="1"/>
  <c r="R9" i="5"/>
  <c r="R11" i="5"/>
  <c r="J10" i="6"/>
  <c r="K10" i="6" s="1"/>
  <c r="Q10" i="6" s="1"/>
  <c r="P10" i="6"/>
  <c r="J11" i="6"/>
  <c r="K11" i="6" s="1"/>
  <c r="Q11" i="6" s="1"/>
  <c r="P11" i="6"/>
  <c r="R12" i="6"/>
  <c r="S12" i="6" s="1"/>
  <c r="T12" i="6" s="1"/>
  <c r="AE12" i="6" s="1"/>
  <c r="R9" i="6"/>
  <c r="P14" i="6"/>
  <c r="J14" i="6"/>
  <c r="K14" i="6" s="1"/>
  <c r="Q14" i="6" s="1"/>
  <c r="I26" i="6"/>
  <c r="P13" i="6"/>
  <c r="J13" i="6"/>
  <c r="K13" i="6" s="1"/>
  <c r="Q13" i="6" s="1"/>
  <c r="P7" i="6"/>
  <c r="I21" i="6"/>
  <c r="J7" i="6"/>
  <c r="R8" i="6"/>
  <c r="S8" i="6" s="1"/>
  <c r="T8" i="6" s="1"/>
  <c r="AE8" i="6" s="1"/>
  <c r="I28" i="5"/>
  <c r="J28" i="5" s="1"/>
  <c r="K28" i="5" s="1"/>
  <c r="I27" i="5"/>
  <c r="J27" i="5" s="1"/>
  <c r="K27" i="5" s="1"/>
  <c r="K7" i="5"/>
  <c r="J6" i="5"/>
  <c r="R14" i="5"/>
  <c r="R8" i="5"/>
  <c r="S8" i="5" s="1"/>
  <c r="T8" i="5" s="1"/>
  <c r="AE8" i="5" s="1"/>
  <c r="R13" i="5"/>
  <c r="P12" i="4"/>
  <c r="J12" i="4"/>
  <c r="K12" i="4" s="1"/>
  <c r="Q12" i="4" s="1"/>
  <c r="P10" i="4"/>
  <c r="J10" i="4"/>
  <c r="K10" i="4" s="1"/>
  <c r="Q10" i="4" s="1"/>
  <c r="J9" i="4"/>
  <c r="K9" i="4" s="1"/>
  <c r="Q9" i="4" s="1"/>
  <c r="J8" i="4"/>
  <c r="K8" i="4" s="1"/>
  <c r="Q8" i="4" s="1"/>
  <c r="P8" i="4"/>
  <c r="P14" i="4"/>
  <c r="J14" i="4"/>
  <c r="K14" i="4" s="1"/>
  <c r="Q14" i="4" s="1"/>
  <c r="K7" i="4"/>
  <c r="I26" i="4"/>
  <c r="P13" i="4"/>
  <c r="J13" i="4"/>
  <c r="K13" i="4" s="1"/>
  <c r="Q13" i="4" s="1"/>
  <c r="R11" i="4"/>
  <c r="P21" i="4" l="1"/>
  <c r="P22" i="4" s="1"/>
  <c r="J6" i="4"/>
  <c r="P21" i="6"/>
  <c r="P22" i="6" s="1"/>
  <c r="R13" i="4"/>
  <c r="R12" i="4"/>
  <c r="S12" i="4" s="1"/>
  <c r="T12" i="4" s="1"/>
  <c r="AE12" i="4" s="1"/>
  <c r="R9" i="4"/>
  <c r="R10" i="6"/>
  <c r="K7" i="6"/>
  <c r="J6" i="6"/>
  <c r="R13" i="6"/>
  <c r="I27" i="6"/>
  <c r="J27" i="6" s="1"/>
  <c r="K27" i="6" s="1"/>
  <c r="I28" i="6"/>
  <c r="J28" i="6" s="1"/>
  <c r="K28" i="6" s="1"/>
  <c r="R14" i="6"/>
  <c r="R11" i="6"/>
  <c r="Q7" i="5"/>
  <c r="R7" i="5" s="1"/>
  <c r="K6" i="5"/>
  <c r="I27" i="4"/>
  <c r="J27" i="4" s="1"/>
  <c r="K27" i="4" s="1"/>
  <c r="I28" i="4"/>
  <c r="J28" i="4" s="1"/>
  <c r="K28" i="4" s="1"/>
  <c r="R8" i="4"/>
  <c r="S8" i="4" s="1"/>
  <c r="T8" i="4" s="1"/>
  <c r="AE8" i="4" s="1"/>
  <c r="Q7" i="4"/>
  <c r="K6" i="4"/>
  <c r="R10" i="4"/>
  <c r="R14" i="4"/>
  <c r="K6" i="6" l="1"/>
  <c r="Q7" i="6"/>
  <c r="R7" i="6" s="1"/>
  <c r="X5" i="6" l="1"/>
  <c r="X13" i="6"/>
  <c r="X7" i="6"/>
  <c r="X9" i="6"/>
  <c r="Z16" i="6"/>
  <c r="Z5" i="6"/>
  <c r="M5" i="6" s="1"/>
  <c r="M7" i="6" s="1"/>
  <c r="I19" i="10" s="1"/>
  <c r="I27" i="10" s="1"/>
  <c r="X11" i="6" l="1"/>
  <c r="V11" i="6"/>
  <c r="X10" i="6"/>
  <c r="V10" i="6"/>
  <c r="X16" i="6"/>
  <c r="V16" i="6"/>
  <c r="V14" i="6"/>
  <c r="X14" i="6"/>
  <c r="X9" i="4"/>
  <c r="X9" i="5"/>
  <c r="X13" i="4"/>
  <c r="X13" i="5"/>
  <c r="Z5" i="4"/>
  <c r="Z5" i="5"/>
  <c r="X11" i="5"/>
  <c r="V11" i="5"/>
  <c r="V10" i="5"/>
  <c r="X10" i="5"/>
  <c r="Z16" i="4"/>
  <c r="Z16" i="5"/>
  <c r="X7" i="4"/>
  <c r="X7" i="5"/>
  <c r="X16" i="5"/>
  <c r="V16" i="5"/>
  <c r="X14" i="5"/>
  <c r="V14" i="5"/>
  <c r="X5" i="4"/>
  <c r="X5" i="5"/>
  <c r="M5" i="5" s="1"/>
  <c r="M7" i="5" s="1"/>
  <c r="X11" i="4"/>
  <c r="V11" i="4"/>
  <c r="X10" i="4"/>
  <c r="V10" i="4"/>
  <c r="X16" i="4"/>
  <c r="V16" i="4"/>
  <c r="V14" i="4"/>
  <c r="X14" i="4"/>
  <c r="Z9" i="6"/>
  <c r="Z11" i="6"/>
  <c r="Z7" i="6"/>
  <c r="Z13" i="6"/>
  <c r="Z14" i="6"/>
  <c r="Z10" i="6"/>
  <c r="H19" i="7" l="1"/>
  <c r="I22" i="7" s="1"/>
  <c r="H19" i="10"/>
  <c r="M9" i="6"/>
  <c r="M14" i="6"/>
  <c r="M10" i="6"/>
  <c r="M13" i="6"/>
  <c r="M11" i="6"/>
  <c r="I19" i="7"/>
  <c r="I27" i="7" s="1"/>
  <c r="Z14" i="4"/>
  <c r="Z14" i="5"/>
  <c r="Z11" i="4"/>
  <c r="Z11" i="5"/>
  <c r="Z9" i="4"/>
  <c r="Z9" i="5"/>
  <c r="M9" i="5"/>
  <c r="M11" i="5"/>
  <c r="M14" i="5"/>
  <c r="M13" i="5"/>
  <c r="H28" i="10" s="1"/>
  <c r="M10" i="5"/>
  <c r="Z13" i="4"/>
  <c r="Z13" i="5"/>
  <c r="Z7" i="4"/>
  <c r="Z7" i="5"/>
  <c r="Z10" i="4"/>
  <c r="Z10" i="5"/>
  <c r="M11" i="4"/>
  <c r="M14" i="4"/>
  <c r="M10" i="4"/>
  <c r="M9" i="4"/>
  <c r="M13" i="4"/>
  <c r="G28" i="10" s="1"/>
  <c r="I24" i="7" l="1"/>
  <c r="I20" i="7"/>
  <c r="H22" i="7"/>
  <c r="H27" i="7"/>
  <c r="H21" i="7"/>
  <c r="H24" i="7"/>
  <c r="H20" i="7"/>
  <c r="I21" i="7"/>
  <c r="I25" i="7"/>
  <c r="I25" i="10"/>
  <c r="G23" i="7"/>
  <c r="G23" i="10"/>
  <c r="M21" i="4"/>
  <c r="N13" i="4" s="1"/>
  <c r="G30" i="7"/>
  <c r="G30" i="10"/>
  <c r="M28" i="4"/>
  <c r="H25" i="7"/>
  <c r="H25" i="10"/>
  <c r="I30" i="7"/>
  <c r="M28" i="6"/>
  <c r="I30" i="10"/>
  <c r="H30" i="7"/>
  <c r="H30" i="10"/>
  <c r="M28" i="5"/>
  <c r="I23" i="7"/>
  <c r="I23" i="10"/>
  <c r="H23" i="7"/>
  <c r="H23" i="10"/>
  <c r="I26" i="7"/>
  <c r="I26" i="10"/>
  <c r="I21" i="10"/>
  <c r="I22" i="10"/>
  <c r="H22" i="10"/>
  <c r="H20" i="10"/>
  <c r="H27" i="10"/>
  <c r="I20" i="10"/>
  <c r="H24" i="10"/>
  <c r="I24" i="10"/>
  <c r="H21" i="10"/>
  <c r="H26" i="7"/>
  <c r="H26" i="10"/>
  <c r="G25" i="7"/>
  <c r="G25" i="10"/>
  <c r="G26" i="7"/>
  <c r="G26" i="10"/>
  <c r="I28" i="10"/>
  <c r="M27" i="6"/>
  <c r="I32" i="10" s="1"/>
  <c r="I28" i="7"/>
  <c r="H28" i="7"/>
  <c r="M27" i="5"/>
  <c r="H32" i="10" s="1"/>
  <c r="G28" i="7"/>
  <c r="M27" i="4"/>
  <c r="G32" i="10" s="1"/>
  <c r="M21" i="6"/>
  <c r="N7" i="6" s="1"/>
  <c r="S7" i="6"/>
  <c r="T7" i="6" s="1"/>
  <c r="AE7" i="6" s="1"/>
  <c r="S11" i="6"/>
  <c r="T11" i="6" s="1"/>
  <c r="AE11" i="6" s="1"/>
  <c r="S13" i="6"/>
  <c r="T13" i="6" s="1"/>
  <c r="AE13" i="6" s="1"/>
  <c r="S10" i="6"/>
  <c r="T10" i="6" s="1"/>
  <c r="AE10" i="6" s="1"/>
  <c r="S14" i="6"/>
  <c r="T14" i="6" s="1"/>
  <c r="AE14" i="6" s="1"/>
  <c r="S9" i="6"/>
  <c r="T9" i="6" s="1"/>
  <c r="AE9" i="6" s="1"/>
  <c r="S10" i="5"/>
  <c r="T10" i="5" s="1"/>
  <c r="AE10" i="5" s="1"/>
  <c r="S13" i="5"/>
  <c r="T13" i="5" s="1"/>
  <c r="AE13" i="5" s="1"/>
  <c r="S14" i="5"/>
  <c r="T14" i="5" s="1"/>
  <c r="AE14" i="5" s="1"/>
  <c r="M21" i="5"/>
  <c r="N11" i="5" s="1"/>
  <c r="S7" i="5"/>
  <c r="T7" i="5" s="1"/>
  <c r="AE7" i="5" s="1"/>
  <c r="S11" i="5"/>
  <c r="T11" i="5" s="1"/>
  <c r="AE11" i="5" s="1"/>
  <c r="S9" i="5"/>
  <c r="T9" i="5" s="1"/>
  <c r="AE9" i="5" s="1"/>
  <c r="S13" i="4"/>
  <c r="T13" i="4" s="1"/>
  <c r="AE13" i="4" s="1"/>
  <c r="S9" i="4"/>
  <c r="T9" i="4" s="1"/>
  <c r="AE9" i="4" s="1"/>
  <c r="S10" i="4"/>
  <c r="T10" i="4" s="1"/>
  <c r="AE10" i="4" s="1"/>
  <c r="S14" i="4"/>
  <c r="T14" i="4" s="1"/>
  <c r="AE14" i="4" s="1"/>
  <c r="T7" i="4"/>
  <c r="AE7" i="4" s="1"/>
  <c r="S11" i="4"/>
  <c r="T11" i="4" s="1"/>
  <c r="AE11" i="4" s="1"/>
  <c r="N10" i="6" l="1"/>
  <c r="H32" i="7"/>
  <c r="M31" i="5"/>
  <c r="N28" i="5" s="1"/>
  <c r="N9" i="6"/>
  <c r="I32" i="7"/>
  <c r="M31" i="6"/>
  <c r="N28" i="6" s="1"/>
  <c r="N14" i="6"/>
  <c r="G32" i="7"/>
  <c r="M31" i="4"/>
  <c r="N13" i="6"/>
  <c r="N11" i="6"/>
  <c r="N17" i="6"/>
  <c r="N15" i="6"/>
  <c r="N8" i="6"/>
  <c r="N12" i="6"/>
  <c r="T21" i="6"/>
  <c r="N16" i="6"/>
  <c r="N7" i="5"/>
  <c r="N11" i="4"/>
  <c r="N9" i="5"/>
  <c r="N17" i="5"/>
  <c r="N16" i="5"/>
  <c r="N8" i="5"/>
  <c r="N15" i="5"/>
  <c r="N12" i="5"/>
  <c r="T21" i="5"/>
  <c r="N14" i="5"/>
  <c r="N13" i="5"/>
  <c r="N10" i="5"/>
  <c r="N15" i="4"/>
  <c r="N17" i="4"/>
  <c r="N8" i="4"/>
  <c r="T21" i="4"/>
  <c r="N16" i="4"/>
  <c r="N12" i="4"/>
  <c r="N14" i="4"/>
  <c r="N10" i="4"/>
  <c r="N9" i="4"/>
  <c r="N27" i="5" l="1"/>
  <c r="N27" i="6"/>
  <c r="N27" i="4"/>
  <c r="N28" i="4"/>
  <c r="AE15" i="3"/>
  <c r="AE12" i="3"/>
  <c r="AE8" i="3"/>
  <c r="O8" i="3" l="1"/>
  <c r="Q7" i="3"/>
  <c r="Y16" i="3"/>
  <c r="Y14" i="3"/>
  <c r="Y13" i="3"/>
  <c r="Y10" i="3"/>
  <c r="Y11" i="3"/>
  <c r="Y9" i="3"/>
  <c r="Y7" i="3"/>
  <c r="V5" i="3"/>
  <c r="V13" i="3"/>
  <c r="V9" i="3"/>
  <c r="V7" i="3"/>
  <c r="W16" i="3"/>
  <c r="W14" i="3"/>
  <c r="W13" i="3"/>
  <c r="W11" i="3"/>
  <c r="W10" i="3"/>
  <c r="W9" i="3"/>
  <c r="W7" i="3"/>
  <c r="U16" i="3"/>
  <c r="U14" i="3"/>
  <c r="U11" i="3"/>
  <c r="U10" i="3"/>
  <c r="U13" i="3"/>
  <c r="U9" i="3"/>
  <c r="U7" i="3"/>
  <c r="X5" i="3" l="1"/>
  <c r="X13" i="3"/>
  <c r="X7" i="3"/>
  <c r="X9" i="3"/>
  <c r="Z16" i="3"/>
  <c r="Z5" i="3"/>
  <c r="M5" i="3" l="1"/>
  <c r="V11" i="3"/>
  <c r="X11" i="3"/>
  <c r="V10" i="3"/>
  <c r="X10" i="3"/>
  <c r="V16" i="3"/>
  <c r="X16" i="3"/>
  <c r="V14" i="3"/>
  <c r="X14" i="3"/>
  <c r="Z9" i="3"/>
  <c r="Z11" i="3"/>
  <c r="Z7" i="3"/>
  <c r="Z13" i="3"/>
  <c r="Z14" i="3"/>
  <c r="Z10" i="3"/>
  <c r="M13" i="3" l="1"/>
  <c r="M14" i="3"/>
  <c r="M10" i="3"/>
  <c r="M11" i="3"/>
  <c r="M7" i="3"/>
  <c r="M9" i="3"/>
  <c r="M21" i="3" l="1"/>
  <c r="O27" i="3"/>
  <c r="O11" i="3"/>
  <c r="O13" i="3"/>
  <c r="O12" i="3"/>
  <c r="M31" i="3"/>
  <c r="N28" i="3" s="1"/>
  <c r="G31" i="3"/>
  <c r="D30" i="3"/>
  <c r="D29" i="3"/>
  <c r="D28" i="3"/>
  <c r="F28" i="3" s="1"/>
  <c r="F27" i="3"/>
  <c r="D27" i="3"/>
  <c r="G26" i="3"/>
  <c r="G21" i="3"/>
  <c r="E21" i="3"/>
  <c r="Q20" i="3"/>
  <c r="P20" i="3"/>
  <c r="R20" i="3" s="1"/>
  <c r="S20" i="3" s="1"/>
  <c r="T20" i="3" s="1"/>
  <c r="D20" i="3"/>
  <c r="D21" i="3" s="1"/>
  <c r="Q19" i="3"/>
  <c r="P19" i="3"/>
  <c r="Q18" i="3"/>
  <c r="P18" i="3"/>
  <c r="R18" i="3" s="1"/>
  <c r="S18" i="3" s="1"/>
  <c r="T18" i="3" s="1"/>
  <c r="Q17" i="3"/>
  <c r="P17" i="3"/>
  <c r="R17" i="3" s="1"/>
  <c r="S17" i="3" s="1"/>
  <c r="T17" i="3" s="1"/>
  <c r="Q16" i="3"/>
  <c r="P16" i="3"/>
  <c r="R16" i="3" s="1"/>
  <c r="S16" i="3" s="1"/>
  <c r="T16" i="3" s="1"/>
  <c r="Q15" i="3"/>
  <c r="P15" i="3"/>
  <c r="F14" i="3"/>
  <c r="H14" i="3" s="1"/>
  <c r="F13" i="3"/>
  <c r="H13" i="3" s="1"/>
  <c r="H12" i="3"/>
  <c r="F12" i="3"/>
  <c r="F11" i="3"/>
  <c r="H11" i="3" s="1"/>
  <c r="F10" i="3"/>
  <c r="H10" i="3" s="1"/>
  <c r="F9" i="3"/>
  <c r="H9" i="3" s="1"/>
  <c r="F8" i="3"/>
  <c r="H8" i="3" s="1"/>
  <c r="F7" i="3"/>
  <c r="I6" i="3"/>
  <c r="E6" i="3"/>
  <c r="I5" i="2"/>
  <c r="H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7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7" i="1"/>
  <c r="M31" i="1"/>
  <c r="N28" i="1" s="1"/>
  <c r="N14" i="1"/>
  <c r="N11" i="1"/>
  <c r="N10" i="1"/>
  <c r="P22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6" i="1"/>
  <c r="H9" i="1"/>
  <c r="H8" i="1"/>
  <c r="H27" i="1"/>
  <c r="F21" i="1"/>
  <c r="E6" i="1"/>
  <c r="F31" i="1"/>
  <c r="F26" i="1" s="1"/>
  <c r="G26" i="1"/>
  <c r="G31" i="1"/>
  <c r="H28" i="1"/>
  <c r="H31" i="1"/>
  <c r="D30" i="1"/>
  <c r="D29" i="1"/>
  <c r="D28" i="1"/>
  <c r="F28" i="1" s="1"/>
  <c r="D27" i="1"/>
  <c r="F27" i="1" s="1"/>
  <c r="D31" i="3" l="1"/>
  <c r="F31" i="3"/>
  <c r="F21" i="3"/>
  <c r="N27" i="3"/>
  <c r="R19" i="3"/>
  <c r="S19" i="3" s="1"/>
  <c r="T19" i="3" s="1"/>
  <c r="R15" i="3"/>
  <c r="S15" i="3" s="1"/>
  <c r="T15" i="3" s="1"/>
  <c r="F26" i="3"/>
  <c r="H28" i="3"/>
  <c r="H7" i="3"/>
  <c r="H21" i="3" s="1"/>
  <c r="H27" i="3"/>
  <c r="H31" i="3" s="1"/>
  <c r="N27" i="1"/>
  <c r="D31" i="1"/>
  <c r="N12" i="3" l="1"/>
  <c r="N13" i="3"/>
  <c r="N14" i="3"/>
  <c r="N15" i="3"/>
  <c r="I11" i="3"/>
  <c r="I12" i="3"/>
  <c r="I10" i="3"/>
  <c r="I8" i="3"/>
  <c r="I9" i="3"/>
  <c r="N17" i="3"/>
  <c r="N8" i="3"/>
  <c r="N16" i="3"/>
  <c r="T21" i="3"/>
  <c r="I14" i="3"/>
  <c r="N7" i="3"/>
  <c r="N11" i="3"/>
  <c r="I13" i="3"/>
  <c r="I7" i="3"/>
  <c r="N10" i="3"/>
  <c r="N9" i="3"/>
  <c r="G21" i="1"/>
  <c r="F8" i="1"/>
  <c r="F12" i="1"/>
  <c r="H12" i="1" s="1"/>
  <c r="M7" i="1"/>
  <c r="J13" i="3" l="1"/>
  <c r="K13" i="3" s="1"/>
  <c r="Q13" i="3" s="1"/>
  <c r="P13" i="3"/>
  <c r="R13" i="3" s="1"/>
  <c r="S13" i="3" s="1"/>
  <c r="T13" i="3" s="1"/>
  <c r="AE13" i="3" s="1"/>
  <c r="I26" i="3"/>
  <c r="P12" i="3"/>
  <c r="J12" i="3"/>
  <c r="K12" i="3" s="1"/>
  <c r="Q12" i="3" s="1"/>
  <c r="P11" i="3"/>
  <c r="J11" i="3"/>
  <c r="K11" i="3" s="1"/>
  <c r="Q11" i="3" s="1"/>
  <c r="P14" i="3"/>
  <c r="J14" i="3"/>
  <c r="K14" i="3" s="1"/>
  <c r="Q14" i="3" s="1"/>
  <c r="P9" i="3"/>
  <c r="J9" i="3"/>
  <c r="K9" i="3" s="1"/>
  <c r="Q9" i="3" s="1"/>
  <c r="P8" i="3"/>
  <c r="J8" i="3"/>
  <c r="K8" i="3" s="1"/>
  <c r="Q8" i="3" s="1"/>
  <c r="I21" i="3"/>
  <c r="P21" i="3" s="1"/>
  <c r="P22" i="3" s="1"/>
  <c r="P7" i="3"/>
  <c r="J7" i="3"/>
  <c r="J10" i="3"/>
  <c r="K10" i="3" s="1"/>
  <c r="Q10" i="3" s="1"/>
  <c r="P10" i="3"/>
  <c r="R10" i="3" s="1"/>
  <c r="S10" i="3" s="1"/>
  <c r="T10" i="3" s="1"/>
  <c r="AE10" i="3" s="1"/>
  <c r="M13" i="1"/>
  <c r="M9" i="1"/>
  <c r="M11" i="1"/>
  <c r="M10" i="1"/>
  <c r="M14" i="1"/>
  <c r="F9" i="1"/>
  <c r="E21" i="1"/>
  <c r="F11" i="1"/>
  <c r="F13" i="1"/>
  <c r="H13" i="1" s="1"/>
  <c r="F10" i="1"/>
  <c r="H10" i="1" s="1"/>
  <c r="F14" i="1"/>
  <c r="H14" i="1" s="1"/>
  <c r="F7" i="1"/>
  <c r="K7" i="3" l="1"/>
  <c r="J6" i="3"/>
  <c r="R8" i="3"/>
  <c r="S8" i="3" s="1"/>
  <c r="T8" i="3" s="1"/>
  <c r="R9" i="3"/>
  <c r="S9" i="3" s="1"/>
  <c r="T9" i="3" s="1"/>
  <c r="AE9" i="3" s="1"/>
  <c r="R14" i="3"/>
  <c r="S14" i="3" s="1"/>
  <c r="T14" i="3" s="1"/>
  <c r="AE14" i="3" s="1"/>
  <c r="R11" i="3"/>
  <c r="S11" i="3" s="1"/>
  <c r="T11" i="3" s="1"/>
  <c r="AE11" i="3" s="1"/>
  <c r="R12" i="3"/>
  <c r="S12" i="3" s="1"/>
  <c r="T12" i="3" s="1"/>
  <c r="I27" i="3"/>
  <c r="J27" i="3" s="1"/>
  <c r="K27" i="3" s="1"/>
  <c r="I28" i="3"/>
  <c r="J28" i="3" s="1"/>
  <c r="K28" i="3" s="1"/>
  <c r="N8" i="1"/>
  <c r="H11" i="1"/>
  <c r="R7" i="3" l="1"/>
  <c r="S7" i="3" s="1"/>
  <c r="T7" i="3" s="1"/>
  <c r="AE7" i="3" s="1"/>
  <c r="K6" i="3"/>
  <c r="N15" i="1"/>
  <c r="N17" i="1"/>
  <c r="N16" i="1"/>
  <c r="N12" i="1"/>
  <c r="N13" i="1"/>
  <c r="N9" i="1"/>
  <c r="I15" i="2" l="1"/>
  <c r="F28" i="2" l="1"/>
  <c r="F29" i="2"/>
  <c r="F22" i="2"/>
  <c r="F23" i="2"/>
  <c r="F24" i="2"/>
  <c r="F32" i="2"/>
  <c r="F31" i="2"/>
  <c r="F30" i="2"/>
  <c r="F27" i="2"/>
  <c r="J26" i="2"/>
  <c r="I26" i="2"/>
  <c r="D26" i="2"/>
  <c r="F21" i="2"/>
  <c r="F20" i="2"/>
  <c r="F19" i="2"/>
  <c r="F18" i="2"/>
  <c r="F17" i="2"/>
  <c r="F16" i="2"/>
  <c r="J15" i="2"/>
  <c r="D15" i="2"/>
  <c r="F13" i="2"/>
  <c r="F12" i="2"/>
  <c r="F11" i="2"/>
  <c r="F10" i="2"/>
  <c r="F9" i="2"/>
  <c r="F8" i="2"/>
  <c r="F7" i="2"/>
  <c r="F6" i="2"/>
  <c r="D20" i="1" l="1"/>
  <c r="D21" i="1" s="1"/>
  <c r="H21" i="1"/>
  <c r="I7" i="1" s="1"/>
  <c r="J7" i="1" l="1"/>
  <c r="K7" i="1" s="1"/>
  <c r="I12" i="1"/>
  <c r="J12" i="1" s="1"/>
  <c r="K12" i="1" s="1"/>
  <c r="I8" i="1"/>
  <c r="J8" i="1" s="1"/>
  <c r="K8" i="1" s="1"/>
  <c r="I9" i="1"/>
  <c r="I14" i="1"/>
  <c r="J14" i="1" s="1"/>
  <c r="K14" i="1" s="1"/>
  <c r="I10" i="1"/>
  <c r="J10" i="1" s="1"/>
  <c r="K10" i="1" s="1"/>
  <c r="I13" i="1"/>
  <c r="I26" i="1" s="1"/>
  <c r="I11" i="1"/>
  <c r="J11" i="1" s="1"/>
  <c r="K11" i="1" s="1"/>
  <c r="J13" i="1" l="1"/>
  <c r="K13" i="1" s="1"/>
  <c r="J9" i="1"/>
  <c r="K9" i="1" s="1"/>
  <c r="K6" i="1" s="1"/>
  <c r="J6" i="1"/>
  <c r="I21" i="1"/>
  <c r="I28" i="1" l="1"/>
  <c r="J28" i="1" s="1"/>
  <c r="K28" i="1" s="1"/>
  <c r="I27" i="1"/>
  <c r="K27" i="1" l="1"/>
  <c r="J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tc={D537872E-4700-4C0E-8D2C-624BC43591A8}</author>
  </authors>
  <commentList>
    <comment ref="J7" authorId="0" shapeId="0" xr:uid="{2FD8EC50-A11B-4480-B50E-5927DAE5E8BD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D537872E-4700-4C0E-8D2C-624BC43591A8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tc={9D519D62-A5F3-4A1C-8519-96DD31BDA7A7}</author>
  </authors>
  <commentList>
    <comment ref="J7" authorId="0" shapeId="0" xr:uid="{C238E883-0CB3-45AC-B6B2-48349A8CDAFA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9D519D62-A5F3-4A1C-8519-96DD31BD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tc={6BFC1367-7F0C-4C1A-8190-7EB4CB53B9F0}</author>
  </authors>
  <commentList>
    <comment ref="J7" authorId="0" shapeId="0" xr:uid="{7C20BDAF-14D6-47E5-A7B2-6E68BBC666A7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6BFC1367-7F0C-4C1A-8190-7EB4CB53B9F0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tc={F041ED9F-A057-489A-9539-58500B757682}</author>
  </authors>
  <commentList>
    <comment ref="J7" authorId="0" shapeId="0" xr:uid="{2D16F657-0788-493C-9D6A-8745D39944E9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F041ED9F-A057-489A-9539-58500B757682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tc={9BD8F9C9-A881-480E-83CF-B9044BB26849}</author>
  </authors>
  <commentList>
    <comment ref="J7" authorId="0" shapeId="0" xr:uid="{C8FD4F88-F7FE-4F2C-8A39-FD2A5C0CCA9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9BD8F9C9-A881-480E-83CF-B9044BB26849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tc={05CD479A-411F-4C06-9776-F2510A548339}</author>
  </authors>
  <commentList>
    <comment ref="J7" authorId="0" shapeId="0" xr:uid="{258FF60C-21D4-4418-A0AC-AA5AB26D590B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C7" authorId="1" shapeId="0" xr:uid="{05CD479A-411F-4C06-9776-F2510A548339}">
      <text>
        <t>[Threaded comment]
Your version of Excel allows you to read this threaded comment; however, any edits to it will get removed if the file is opened in a newer version of Excel. Learn more: https://go.microsoft.com/fwlink/?linkid=870924
Comment:
    B1.2</t>
      </text>
    </comment>
  </commentList>
</comments>
</file>

<file path=xl/sharedStrings.xml><?xml version="1.0" encoding="utf-8"?>
<sst xmlns="http://schemas.openxmlformats.org/spreadsheetml/2006/main" count="867" uniqueCount="148">
  <si>
    <t>SOÁT XÉT LẠI BOM SAU 3 THÁNG CHẠY THỬ</t>
  </si>
  <si>
    <t>1000445</t>
  </si>
  <si>
    <t>Tròn</t>
  </si>
  <si>
    <t>TB</t>
  </si>
  <si>
    <t>Số lượng</t>
  </si>
  <si>
    <t>Tỷ lệ</t>
  </si>
  <si>
    <t>150000001</t>
  </si>
  <si>
    <t>Chai PET B0</t>
  </si>
  <si>
    <t>160000002</t>
  </si>
  <si>
    <t>Chai PET B2.2</t>
  </si>
  <si>
    <t>160000004</t>
  </si>
  <si>
    <t>Chai PET B5</t>
  </si>
  <si>
    <t>160000005</t>
  </si>
  <si>
    <t>Chai PET B6.2</t>
  </si>
  <si>
    <t>160000063</t>
  </si>
  <si>
    <t>Chai PET B4</t>
  </si>
  <si>
    <t>160000007</t>
  </si>
  <si>
    <t>Nắp HD Ép Các Màu HDE-06</t>
  </si>
  <si>
    <t>160000006</t>
  </si>
  <si>
    <t>800000006</t>
  </si>
  <si>
    <t>1000446</t>
  </si>
  <si>
    <t>Ép kiện</t>
  </si>
  <si>
    <t>150000003</t>
  </si>
  <si>
    <t>Chai PET (ép kiện)</t>
  </si>
  <si>
    <t>160000084</t>
  </si>
  <si>
    <t>Chai PET B7.2</t>
  </si>
  <si>
    <t>1000448</t>
  </si>
  <si>
    <t>Tuyển</t>
  </si>
  <si>
    <t>152000009</t>
  </si>
  <si>
    <t>Chai PET B1 Không Phân Loại</t>
  </si>
  <si>
    <t>Settlement rule - BOM</t>
  </si>
  <si>
    <t>Settlement rule - ROUTING</t>
  </si>
  <si>
    <t>1H sx</t>
  </si>
  <si>
    <t>LAB01</t>
  </si>
  <si>
    <t>Nhân công trực tiếp</t>
  </si>
  <si>
    <t>LAB03</t>
  </si>
  <si>
    <t>Nhân công gián tiếp</t>
  </si>
  <si>
    <t>ELE01</t>
  </si>
  <si>
    <t>DEP01</t>
  </si>
  <si>
    <t>Điện</t>
  </si>
  <si>
    <t>Khấu hao</t>
  </si>
  <si>
    <t>OTHE01</t>
  </si>
  <si>
    <t>Sản xuất chung</t>
  </si>
  <si>
    <t>ROUTING HIỆN TẠI</t>
  </si>
  <si>
    <t>Đvt</t>
  </si>
  <si>
    <t>h</t>
  </si>
  <si>
    <t>Kw/h</t>
  </si>
  <si>
    <t>160000062</t>
  </si>
  <si>
    <t>Hao Hụt - Tạp chất</t>
  </si>
  <si>
    <t>Hao hụt - nhãn chai PET</t>
  </si>
  <si>
    <t>160000059</t>
  </si>
  <si>
    <t>Hao hụt vô hình</t>
  </si>
  <si>
    <t>Chai PET B1.1</t>
  </si>
  <si>
    <t>160000001</t>
  </si>
  <si>
    <t>TỔNG</t>
  </si>
  <si>
    <t>Giá bán hiện tại</t>
  </si>
  <si>
    <t>Ghi chú</t>
  </si>
  <si>
    <t>Hệ số quy đổi</t>
  </si>
  <si>
    <t>BOM - KẾ HOẠCH</t>
  </si>
  <si>
    <t>Hide</t>
  </si>
  <si>
    <t>Hệ số quy đổi giá bán</t>
  </si>
  <si>
    <t>Chai PET B7.1</t>
  </si>
  <si>
    <t>Cổ Chai PET</t>
  </si>
  <si>
    <t>Chai PET xá</t>
  </si>
  <si>
    <t>Chai PET B6.1</t>
  </si>
  <si>
    <t>Chai PET B1.3</t>
  </si>
  <si>
    <t>160000081</t>
  </si>
  <si>
    <t>(1)</t>
  </si>
  <si>
    <t>(2)</t>
  </si>
  <si>
    <t>(3)= (1)*(2)</t>
  </si>
  <si>
    <t>(4)</t>
  </si>
  <si>
    <t>160000027</t>
  </si>
  <si>
    <t>Vảy PET B6.2_A6</t>
  </si>
  <si>
    <t xml:space="preserve">Vảy nắp hỗn hợp B6.2 </t>
  </si>
  <si>
    <t>Phó sản bụi cám</t>
  </si>
  <si>
    <t>Sản lượng thành phẩm thực tế</t>
  </si>
  <si>
    <t>Sản lượng thành phẩm quy đổi</t>
  </si>
  <si>
    <t>Giá trị nguyên liệu phân bổ cho thành phẩm quy đổi</t>
  </si>
  <si>
    <t>CÔNG ĐOẠN PHÂN LOẠI CHAI</t>
  </si>
  <si>
    <t>CÔNG ĐOẠN BĂM CHAI B6.2</t>
  </si>
  <si>
    <t>(4) = Tổng giá trị NVL /(Tổng số lượng TP quy đổi) * Sl Tp quy đổi.
(5) = Giá trị nguyên liệu phân bổ cho thành phẩm quy đổi / Tổng giá trị nguyên liệu phân bổ cho thành phẩm quy đổi</t>
  </si>
  <si>
    <t xml:space="preserve">I. </t>
  </si>
  <si>
    <t>II.</t>
  </si>
  <si>
    <t>BẢNG TÍNH SETTLEMENT RULE BOM - ROUTING (co-product)</t>
  </si>
  <si>
    <t>GT NVL</t>
  </si>
  <si>
    <t>CFSX</t>
  </si>
  <si>
    <t>GT SP Trạm</t>
  </si>
  <si>
    <t>LG</t>
  </si>
  <si>
    <t>%</t>
  </si>
  <si>
    <t>Gap (đảm bảo chi phí và lợi nhuận)</t>
  </si>
  <si>
    <t>Đlộc</t>
  </si>
  <si>
    <t>KN</t>
  </si>
  <si>
    <t>ĐLâm</t>
  </si>
  <si>
    <t>Hao hụt</t>
  </si>
  <si>
    <t>Giá thị trường</t>
  </si>
  <si>
    <t xml:space="preserve">Vảy PET_A5.1 mua ngoài </t>
  </si>
  <si>
    <t>BẢNG TÍNH GIÁ MUA CHAI, VẢY TỪ CÁC TRẠM</t>
  </si>
  <si>
    <t>Đính kèm tờ trình</t>
  </si>
  <si>
    <t>(Hiệu lực từ ngày 01/01/2026 đến ngày 31/01/2026 hoặc đến khi có thay đổi trước ngày 31/01/2026)</t>
  </si>
  <si>
    <t>ĐVT: đồng/ký</t>
  </si>
  <si>
    <t>Nhóm chai PET</t>
  </si>
  <si>
    <t>Thành phần chai PET sau phân loại</t>
  </si>
  <si>
    <t>Giá B0</t>
  </si>
  <si>
    <t>Giá mua theo công thức</t>
  </si>
  <si>
    <t>Giá mua đề xuất</t>
  </si>
  <si>
    <t>Quy ra tiền</t>
  </si>
  <si>
    <t>A. Giá mua Chai</t>
  </si>
  <si>
    <t>Chai PET nhóm 1</t>
  </si>
  <si>
    <t>B1.1 + B1.2 + B1.3 + B2.1 + B3 + B6.1</t>
  </si>
  <si>
    <t>Chai PET nhóm 2</t>
  </si>
  <si>
    <t>B4 + B5</t>
  </si>
  <si>
    <t>Chai PET nhóm 3</t>
  </si>
  <si>
    <t>B2.2 + B6.2</t>
  </si>
  <si>
    <t>Chai PET nhóm 4</t>
  </si>
  <si>
    <t>Nắp HD Ép, cổ chai, PP (quai)</t>
  </si>
  <si>
    <t>Chai PET nhóm 5</t>
  </si>
  <si>
    <t>B7.2</t>
  </si>
  <si>
    <t>B. Giá mua Vảy</t>
  </si>
  <si>
    <t>Nhóm 1</t>
  </si>
  <si>
    <t>Vảy B6.2</t>
  </si>
  <si>
    <t>BẢNG COPY QUA TỜ TRÌNH DUYỆT</t>
  </si>
  <si>
    <t>Mã SAP</t>
  </si>
  <si>
    <t>Tên Chai</t>
  </si>
  <si>
    <t>Giá đề xuất</t>
  </si>
  <si>
    <t>Tháng 12</t>
  </si>
  <si>
    <t>Tháng 1</t>
  </si>
  <si>
    <t>Chai PET B1 KPL (B1.2)</t>
  </si>
  <si>
    <t>Chai PET B2.1</t>
  </si>
  <si>
    <t>Chai PET B3</t>
  </si>
  <si>
    <t>Nắp HD Ép, cổ chai</t>
  </si>
  <si>
    <t>PP (quai)</t>
  </si>
  <si>
    <t>Copy qua trạm</t>
  </si>
  <si>
    <t>Chú</t>
  </si>
  <si>
    <t xml:space="preserve">Chu ý: </t>
  </si>
  <si>
    <t>B0</t>
  </si>
  <si>
    <t>B1</t>
  </si>
  <si>
    <t xml:space="preserve">Vảy </t>
  </si>
  <si>
    <t>Vảy sạch</t>
  </si>
  <si>
    <t>Giá bán</t>
  </si>
  <si>
    <t>Tỷ trọng ngành</t>
  </si>
  <si>
    <t>Mã hàng</t>
  </si>
  <si>
    <t>Cross check</t>
  </si>
  <si>
    <t xml:space="preserve"> Đlộc</t>
  </si>
  <si>
    <t>Đ Lâm</t>
  </si>
  <si>
    <t>Giá mua BO</t>
  </si>
  <si>
    <t xml:space="preserve">Giá BO sau Phân loại </t>
  </si>
  <si>
    <t>Tháng 2</t>
  </si>
  <si>
    <t>(Hiệu lực từ ngày 01/03/2026 đến ngày 31/03/2026 hoặc đến khi có thay đổi trước ngày 31/03/2026)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</si>
</sst>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rgb="FF0070C0"/>
      <name val="Arial"/>
      <family val="2"/>
    </font>
    <font>
      <b/>
      <sz val="10"/>
      <color rgb="FFC00000"/>
      <name val="Arial"/>
      <family val="2"/>
    </font>
    <font>
      <b/>
      <sz val="10"/>
      <color theme="9" tint="-0.249977111117893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70C0"/>
      <name val="Calibri"/>
      <family val="2"/>
      <scheme val="minor"/>
    </font>
    <font>
      <b/>
      <sz val="16"/>
      <name val="Arial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0066FF"/>
      <name val="Calibri"/>
      <family val="2"/>
      <scheme val="minor"/>
    </font>
    <font>
      <b/>
      <sz val="16"/>
      <color rgb="FF0066FF"/>
      <name val="Calibri"/>
      <family val="2"/>
      <scheme val="minor"/>
    </font>
    <font>
      <b/>
      <sz val="12"/>
      <color rgb="FF0066FF"/>
      <name val="Calibri"/>
      <family val="2"/>
      <scheme val="minor"/>
    </font>
    <font>
      <b/>
      <sz val="11"/>
      <color rgb="FF0066FF"/>
      <name val="Calibri"/>
      <family val="2"/>
      <scheme val="minor"/>
    </font>
    <font>
      <b/>
      <sz val="12"/>
      <color rgb="FF0066FF"/>
      <name val="Calibri Light"/>
      <family val="1"/>
      <scheme val="major"/>
    </font>
    <font>
      <sz val="12"/>
      <color rgb="FF0066FF"/>
      <name val="Calibri Light"/>
      <family val="1"/>
      <scheme val="major"/>
    </font>
    <font>
      <sz val="10"/>
      <color rgb="FF0066FF"/>
      <name val="Arial"/>
      <family val="2"/>
    </font>
    <font>
      <b/>
      <sz val="11"/>
      <color rgb="FF0066FF"/>
      <name val="Arial"/>
      <family val="2"/>
    </font>
    <font>
      <sz val="11"/>
      <color rgb="FF0066FF"/>
      <name val="Arial"/>
      <family val="2"/>
    </font>
    <font>
      <sz val="11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/>
      <diagonal/>
    </border>
    <border>
      <left style="thick">
        <color theme="1"/>
      </left>
      <right/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hair">
        <color theme="0" tint="-0.499984740745262"/>
      </bottom>
      <diagonal/>
    </border>
    <border>
      <left style="thick">
        <color theme="1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hair">
        <color theme="0" tint="-0.499984740745262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theme="0" tint="-0.499984740745262"/>
      </top>
      <bottom style="thick">
        <color theme="1"/>
      </bottom>
      <diagonal/>
    </border>
    <border>
      <left style="thick">
        <color rgb="FFC00000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theme="1"/>
      </right>
      <top/>
      <bottom style="hair">
        <color theme="0" tint="-0.499984740745262"/>
      </bottom>
      <diagonal/>
    </border>
    <border>
      <left style="thin">
        <color theme="1"/>
      </left>
      <right style="thick">
        <color rgb="FFC00000"/>
      </right>
      <top/>
      <bottom style="hair">
        <color theme="0" tint="-0.499984740745262"/>
      </bottom>
      <diagonal/>
    </border>
    <border>
      <left style="thick">
        <color rgb="FFC00000"/>
      </left>
      <right style="thin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1"/>
      </left>
      <right style="thick">
        <color rgb="FFC00000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rgb="FFC00000"/>
      </left>
      <right style="thin">
        <color theme="1"/>
      </right>
      <top style="hair">
        <color theme="0" tint="-0.499984740745262"/>
      </top>
      <bottom style="thick">
        <color rgb="FFC00000"/>
      </bottom>
      <diagonal/>
    </border>
    <border>
      <left style="thin">
        <color theme="1"/>
      </left>
      <right style="thick">
        <color rgb="FFC00000"/>
      </right>
      <top style="hair">
        <color theme="0" tint="-0.499984740745262"/>
      </top>
      <bottom style="thick">
        <color rgb="FFC00000"/>
      </bottom>
      <diagonal/>
    </border>
    <border>
      <left style="thick">
        <color rgb="FFC00000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ck">
        <color rgb="FFC00000"/>
      </right>
      <top/>
      <bottom style="thin">
        <color indexed="64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FFC000"/>
      </right>
      <top style="thin">
        <color auto="1"/>
      </top>
      <bottom/>
      <diagonal/>
    </border>
    <border>
      <left style="medium">
        <color rgb="FFFFC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C000"/>
      </right>
      <top/>
      <bottom style="thin">
        <color indexed="64"/>
      </bottom>
      <diagonal/>
    </border>
    <border>
      <left style="medium">
        <color rgb="FFFFC000"/>
      </left>
      <right style="thin">
        <color auto="1"/>
      </right>
      <top/>
      <bottom/>
      <diagonal/>
    </border>
    <border>
      <left style="thin">
        <color auto="1"/>
      </left>
      <right style="medium">
        <color rgb="FFFFC000"/>
      </right>
      <top/>
      <bottom/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FFC000"/>
      </right>
      <top style="thin">
        <color indexed="64"/>
      </top>
      <bottom style="hair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hair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hair">
        <color theme="1"/>
      </bottom>
      <diagonal/>
    </border>
    <border>
      <left style="medium">
        <color rgb="FFFFC000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medium">
        <color rgb="FFFFC000"/>
      </right>
      <top style="hair">
        <color theme="1"/>
      </top>
      <bottom style="hair">
        <color theme="1"/>
      </bottom>
      <diagonal/>
    </border>
    <border>
      <left style="medium">
        <color rgb="FFFFC000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medium">
        <color rgb="FFFFC000"/>
      </right>
      <top style="hair">
        <color theme="1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hair">
        <color indexed="64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FFC000"/>
      </bottom>
      <diagonal/>
    </border>
    <border>
      <left style="thin">
        <color indexed="64"/>
      </left>
      <right style="medium">
        <color rgb="FFFFC000"/>
      </right>
      <top style="hair">
        <color indexed="64"/>
      </top>
      <bottom style="medium">
        <color rgb="FFFFC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212">
    <xf numFmtId="0" fontId="0" fillId="0" borderId="0" xfId="0"/>
    <xf numFmtId="0" fontId="2" fillId="0" borderId="0" xfId="0" applyFont="1" applyAlignment="1">
      <alignment vertical="top"/>
    </xf>
    <xf numFmtId="49" fontId="4" fillId="0" borderId="2" xfId="4" applyNumberFormat="1" applyFont="1" applyBorder="1" applyAlignment="1">
      <alignment vertical="top"/>
    </xf>
    <xf numFmtId="0" fontId="4" fillId="0" borderId="2" xfId="4" applyFont="1" applyBorder="1" applyAlignment="1">
      <alignment vertical="top" wrapText="1"/>
    </xf>
    <xf numFmtId="164" fontId="4" fillId="0" borderId="2" xfId="1" applyNumberFormat="1" applyFont="1" applyBorder="1" applyAlignment="1">
      <alignment vertical="top"/>
    </xf>
    <xf numFmtId="49" fontId="2" fillId="0" borderId="3" xfId="4" applyNumberFormat="1" applyBorder="1" applyAlignment="1">
      <alignment vertical="top"/>
    </xf>
    <xf numFmtId="0" fontId="2" fillId="0" borderId="3" xfId="4" applyBorder="1" applyAlignment="1">
      <alignment vertical="top" wrapText="1"/>
    </xf>
    <xf numFmtId="164" fontId="2" fillId="0" borderId="3" xfId="1" applyNumberFormat="1" applyFont="1" applyBorder="1" applyAlignment="1">
      <alignment vertical="top"/>
    </xf>
    <xf numFmtId="49" fontId="2" fillId="0" borderId="4" xfId="4" applyNumberFormat="1" applyBorder="1" applyAlignment="1">
      <alignment vertical="top"/>
    </xf>
    <xf numFmtId="0" fontId="2" fillId="0" borderId="4" xfId="4" applyBorder="1" applyAlignment="1">
      <alignment vertical="top" wrapText="1"/>
    </xf>
    <xf numFmtId="164" fontId="2" fillId="0" borderId="4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165" fontId="4" fillId="2" borderId="6" xfId="2" applyNumberFormat="1" applyFont="1" applyFill="1" applyBorder="1" applyAlignment="1">
      <alignment vertical="top"/>
    </xf>
    <xf numFmtId="165" fontId="2" fillId="2" borderId="7" xfId="2" applyNumberFormat="1" applyFont="1" applyFill="1" applyBorder="1" applyAlignment="1">
      <alignment vertical="top"/>
    </xf>
    <xf numFmtId="165" fontId="2" fillId="2" borderId="8" xfId="2" applyNumberFormat="1" applyFont="1" applyFill="1" applyBorder="1" applyAlignment="1">
      <alignment vertical="top"/>
    </xf>
    <xf numFmtId="49" fontId="3" fillId="3" borderId="1" xfId="3" applyNumberFormat="1" applyFont="1" applyFill="1" applyBorder="1"/>
    <xf numFmtId="0" fontId="3" fillId="3" borderId="1" xfId="3" applyFont="1" applyFill="1" applyBorder="1" applyAlignment="1">
      <alignment wrapText="1"/>
    </xf>
    <xf numFmtId="164" fontId="4" fillId="0" borderId="9" xfId="1" applyNumberFormat="1" applyFont="1" applyBorder="1" applyAlignment="1">
      <alignment vertical="top"/>
    </xf>
    <xf numFmtId="164" fontId="2" fillId="0" borderId="10" xfId="1" applyNumberFormat="1" applyFont="1" applyBorder="1" applyAlignment="1">
      <alignment vertical="top"/>
    </xf>
    <xf numFmtId="0" fontId="4" fillId="0" borderId="11" xfId="0" applyFont="1" applyBorder="1" applyAlignment="1">
      <alignment vertical="top"/>
    </xf>
    <xf numFmtId="165" fontId="2" fillId="0" borderId="7" xfId="2" applyNumberFormat="1" applyFont="1" applyBorder="1" applyAlignment="1">
      <alignment vertical="top"/>
    </xf>
    <xf numFmtId="165" fontId="2" fillId="0" borderId="12" xfId="2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165" fontId="2" fillId="0" borderId="8" xfId="2" applyNumberFormat="1" applyFont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top"/>
    </xf>
    <xf numFmtId="0" fontId="7" fillId="3" borderId="14" xfId="0" applyFont="1" applyFill="1" applyBorder="1" applyAlignment="1">
      <alignment horizontal="center" vertical="top"/>
    </xf>
    <xf numFmtId="164" fontId="4" fillId="2" borderId="15" xfId="1" applyNumberFormat="1" applyFont="1" applyFill="1" applyBorder="1" applyAlignment="1">
      <alignment vertical="top"/>
    </xf>
    <xf numFmtId="164" fontId="2" fillId="2" borderId="16" xfId="1" applyNumberFormat="1" applyFont="1" applyFill="1" applyBorder="1" applyAlignment="1">
      <alignment vertical="top"/>
    </xf>
    <xf numFmtId="0" fontId="7" fillId="3" borderId="17" xfId="0" applyFont="1" applyFill="1" applyBorder="1" applyAlignment="1">
      <alignment horizontal="center" vertical="top"/>
    </xf>
    <xf numFmtId="164" fontId="2" fillId="2" borderId="18" xfId="1" applyNumberFormat="1" applyFont="1" applyFill="1" applyBorder="1" applyAlignment="1">
      <alignment vertical="top"/>
    </xf>
    <xf numFmtId="0" fontId="7" fillId="3" borderId="20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vertical="top"/>
    </xf>
    <xf numFmtId="165" fontId="2" fillId="2" borderId="21" xfId="2" applyNumberFormat="1" applyFont="1" applyFill="1" applyBorder="1" applyAlignment="1">
      <alignment vertical="top"/>
    </xf>
    <xf numFmtId="0" fontId="7" fillId="3" borderId="22" xfId="0" applyFont="1" applyFill="1" applyBorder="1" applyAlignment="1">
      <alignment horizontal="center" vertical="top"/>
    </xf>
    <xf numFmtId="0" fontId="7" fillId="3" borderId="23" xfId="0" applyFont="1" applyFill="1" applyBorder="1" applyAlignment="1">
      <alignment horizontal="center" vertical="top"/>
    </xf>
    <xf numFmtId="9" fontId="4" fillId="4" borderId="24" xfId="2" applyFont="1" applyFill="1" applyBorder="1" applyAlignment="1">
      <alignment vertical="top"/>
    </xf>
    <xf numFmtId="9" fontId="4" fillId="4" borderId="25" xfId="2" applyFont="1" applyFill="1" applyBorder="1" applyAlignment="1">
      <alignment vertical="top"/>
    </xf>
    <xf numFmtId="9" fontId="2" fillId="4" borderId="26" xfId="2" applyFont="1" applyFill="1" applyBorder="1" applyAlignment="1">
      <alignment vertical="top"/>
    </xf>
    <xf numFmtId="9" fontId="2" fillId="4" borderId="27" xfId="2" applyFont="1" applyFill="1" applyBorder="1" applyAlignment="1">
      <alignment vertical="top"/>
    </xf>
    <xf numFmtId="9" fontId="2" fillId="4" borderId="28" xfId="2" applyFont="1" applyFill="1" applyBorder="1" applyAlignment="1">
      <alignment vertical="top"/>
    </xf>
    <xf numFmtId="9" fontId="2" fillId="4" borderId="29" xfId="2" applyFont="1" applyFill="1" applyBorder="1" applyAlignment="1">
      <alignment vertical="top"/>
    </xf>
    <xf numFmtId="0" fontId="7" fillId="3" borderId="30" xfId="0" applyFont="1" applyFill="1" applyBorder="1" applyAlignment="1">
      <alignment horizontal="center" vertical="top"/>
    </xf>
    <xf numFmtId="0" fontId="7" fillId="3" borderId="31" xfId="0" applyFont="1" applyFill="1" applyBorder="1" applyAlignment="1">
      <alignment horizontal="center" vertical="top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43" fontId="2" fillId="0" borderId="0" xfId="1" applyFont="1" applyAlignment="1">
      <alignment vertical="top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  <xf numFmtId="49" fontId="9" fillId="0" borderId="3" xfId="4" applyNumberFormat="1" applyFont="1" applyBorder="1" applyAlignment="1">
      <alignment vertical="top"/>
    </xf>
    <xf numFmtId="0" fontId="9" fillId="0" borderId="3" xfId="4" applyFont="1" applyBorder="1" applyAlignment="1">
      <alignment vertical="top" wrapText="1"/>
    </xf>
    <xf numFmtId="164" fontId="9" fillId="0" borderId="0" xfId="1" applyNumberFormat="1" applyFont="1" applyAlignment="1">
      <alignment vertical="top"/>
    </xf>
    <xf numFmtId="0" fontId="10" fillId="0" borderId="0" xfId="0" applyFont="1" applyAlignment="1">
      <alignment vertical="top"/>
    </xf>
    <xf numFmtId="43" fontId="8" fillId="2" borderId="0" xfId="1" applyFont="1" applyFill="1" applyBorder="1" applyAlignment="1">
      <alignment vertical="top"/>
    </xf>
    <xf numFmtId="164" fontId="10" fillId="0" borderId="0" xfId="1" applyNumberFormat="1" applyFont="1" applyAlignment="1">
      <alignment vertical="top"/>
    </xf>
    <xf numFmtId="43" fontId="10" fillId="0" borderId="0" xfId="1" applyFont="1" applyAlignment="1">
      <alignment vertical="top"/>
    </xf>
    <xf numFmtId="164" fontId="2" fillId="0" borderId="0" xfId="1" applyNumberFormat="1" applyFont="1" applyAlignment="1">
      <alignment horizontal="center" vertical="center"/>
    </xf>
    <xf numFmtId="49" fontId="4" fillId="0" borderId="3" xfId="4" applyNumberFormat="1" applyFont="1" applyBorder="1" applyAlignment="1">
      <alignment vertical="top"/>
    </xf>
    <xf numFmtId="0" fontId="4" fillId="0" borderId="3" xfId="4" applyFont="1" applyBorder="1" applyAlignment="1">
      <alignment vertical="top" wrapText="1"/>
    </xf>
    <xf numFmtId="49" fontId="8" fillId="0" borderId="4" xfId="4" applyNumberFormat="1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9" fontId="4" fillId="0" borderId="3" xfId="2" applyFont="1" applyFill="1" applyBorder="1" applyAlignment="1">
      <alignment vertical="top"/>
    </xf>
    <xf numFmtId="9" fontId="2" fillId="0" borderId="3" xfId="2" applyFont="1" applyFill="1" applyBorder="1" applyAlignment="1">
      <alignment vertical="top"/>
    </xf>
    <xf numFmtId="9" fontId="9" fillId="0" borderId="3" xfId="2" applyFont="1" applyFill="1" applyBorder="1" applyAlignment="1">
      <alignment vertical="top"/>
    </xf>
    <xf numFmtId="164" fontId="4" fillId="0" borderId="3" xfId="1" applyNumberFormat="1" applyFont="1" applyFill="1" applyBorder="1" applyAlignment="1">
      <alignment vertical="top"/>
    </xf>
    <xf numFmtId="43" fontId="4" fillId="0" borderId="3" xfId="1" applyFont="1" applyFill="1" applyBorder="1" applyAlignment="1">
      <alignment vertical="top"/>
    </xf>
    <xf numFmtId="164" fontId="2" fillId="0" borderId="3" xfId="1" applyNumberFormat="1" applyFont="1" applyFill="1" applyBorder="1" applyAlignment="1">
      <alignment vertical="top"/>
    </xf>
    <xf numFmtId="165" fontId="2" fillId="0" borderId="3" xfId="2" applyNumberFormat="1" applyFont="1" applyFill="1" applyBorder="1" applyAlignment="1">
      <alignment vertical="top"/>
    </xf>
    <xf numFmtId="43" fontId="2" fillId="0" borderId="3" xfId="1" applyFont="1" applyFill="1" applyBorder="1" applyAlignment="1">
      <alignment vertical="top"/>
    </xf>
    <xf numFmtId="164" fontId="9" fillId="0" borderId="3" xfId="1" applyNumberFormat="1" applyFont="1" applyFill="1" applyBorder="1" applyAlignment="1">
      <alignment vertical="top"/>
    </xf>
    <xf numFmtId="165" fontId="9" fillId="0" borderId="3" xfId="2" applyNumberFormat="1" applyFont="1" applyFill="1" applyBorder="1" applyAlignment="1">
      <alignment vertical="top"/>
    </xf>
    <xf numFmtId="43" fontId="9" fillId="0" borderId="3" xfId="1" applyFont="1" applyFill="1" applyBorder="1" applyAlignment="1">
      <alignment vertical="top"/>
    </xf>
    <xf numFmtId="49" fontId="3" fillId="0" borderId="9" xfId="3" applyNumberFormat="1" applyFont="1" applyBorder="1"/>
    <xf numFmtId="0" fontId="8" fillId="0" borderId="9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9" xfId="3" applyFont="1" applyBorder="1" applyAlignment="1">
      <alignment wrapText="1"/>
    </xf>
    <xf numFmtId="0" fontId="4" fillId="0" borderId="9" xfId="0" applyFont="1" applyBorder="1" applyAlignment="1">
      <alignment horizontal="center" vertical="top"/>
    </xf>
    <xf numFmtId="0" fontId="4" fillId="0" borderId="4" xfId="4" applyFont="1" applyBorder="1" applyAlignment="1">
      <alignment vertical="top" wrapText="1"/>
    </xf>
    <xf numFmtId="43" fontId="4" fillId="0" borderId="4" xfId="1" applyFont="1" applyFill="1" applyBorder="1" applyAlignment="1">
      <alignment vertical="top"/>
    </xf>
    <xf numFmtId="165" fontId="4" fillId="0" borderId="4" xfId="1" applyNumberFormat="1" applyFont="1" applyFill="1" applyBorder="1" applyAlignment="1">
      <alignment vertical="top"/>
    </xf>
    <xf numFmtId="164" fontId="4" fillId="0" borderId="4" xfId="1" applyNumberFormat="1" applyFont="1" applyFill="1" applyBorder="1" applyAlignment="1">
      <alignment vertical="top"/>
    </xf>
    <xf numFmtId="9" fontId="4" fillId="0" borderId="4" xfId="2" applyFont="1" applyFill="1" applyBorder="1" applyAlignment="1">
      <alignment vertical="top"/>
    </xf>
    <xf numFmtId="0" fontId="4" fillId="0" borderId="9" xfId="0" quotePrefix="1" applyFont="1" applyBorder="1" applyAlignment="1">
      <alignment horizontal="center" vertical="top"/>
    </xf>
    <xf numFmtId="0" fontId="12" fillId="0" borderId="0" xfId="0" applyFont="1" applyAlignment="1">
      <alignment horizontal="centerContinuous" vertical="top"/>
    </xf>
    <xf numFmtId="0" fontId="4" fillId="3" borderId="1" xfId="0" applyFont="1" applyFill="1" applyBorder="1" applyAlignment="1">
      <alignment horizontal="center" vertical="center"/>
    </xf>
    <xf numFmtId="164" fontId="4" fillId="0" borderId="9" xfId="1" quotePrefix="1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center" wrapText="1"/>
    </xf>
    <xf numFmtId="43" fontId="4" fillId="0" borderId="9" xfId="0" quotePrefix="1" applyNumberFormat="1" applyFont="1" applyBorder="1" applyAlignment="1">
      <alignment horizontal="center" vertical="top"/>
    </xf>
    <xf numFmtId="164" fontId="4" fillId="0" borderId="9" xfId="0" quotePrefix="1" applyNumberFormat="1" applyFont="1" applyBorder="1" applyAlignment="1">
      <alignment horizontal="center" vertical="top"/>
    </xf>
    <xf numFmtId="164" fontId="2" fillId="0" borderId="0" xfId="0" applyNumberFormat="1" applyFont="1" applyAlignment="1">
      <alignment vertical="top"/>
    </xf>
    <xf numFmtId="10" fontId="2" fillId="0" borderId="0" xfId="2" applyNumberFormat="1" applyFont="1" applyAlignment="1">
      <alignment vertical="top"/>
    </xf>
    <xf numFmtId="164" fontId="2" fillId="5" borderId="0" xfId="1" applyNumberFormat="1" applyFont="1" applyFill="1" applyAlignment="1">
      <alignment horizontal="center" vertical="center" wrapText="1"/>
    </xf>
    <xf numFmtId="164" fontId="2" fillId="5" borderId="0" xfId="1" applyNumberFormat="1" applyFont="1" applyFill="1" applyAlignment="1">
      <alignment vertical="top"/>
    </xf>
    <xf numFmtId="43" fontId="2" fillId="5" borderId="0" xfId="1" applyFont="1" applyFill="1" applyAlignment="1">
      <alignment vertical="top"/>
    </xf>
    <xf numFmtId="43" fontId="9" fillId="5" borderId="0" xfId="1" applyFont="1" applyFill="1" applyAlignment="1">
      <alignment vertical="top"/>
    </xf>
    <xf numFmtId="43" fontId="10" fillId="5" borderId="0" xfId="1" applyFont="1" applyFill="1" applyAlignment="1">
      <alignment vertical="top"/>
    </xf>
    <xf numFmtId="164" fontId="2" fillId="6" borderId="0" xfId="1" applyNumberFormat="1" applyFont="1" applyFill="1" applyAlignment="1">
      <alignment horizontal="center" vertical="center" wrapText="1"/>
    </xf>
    <xf numFmtId="164" fontId="2" fillId="6" borderId="0" xfId="1" applyNumberFormat="1" applyFont="1" applyFill="1" applyAlignment="1">
      <alignment vertical="top"/>
    </xf>
    <xf numFmtId="43" fontId="2" fillId="6" borderId="0" xfId="1" applyFont="1" applyFill="1" applyAlignment="1">
      <alignment vertical="top"/>
    </xf>
    <xf numFmtId="165" fontId="2" fillId="0" borderId="0" xfId="2" applyNumberFormat="1" applyFont="1" applyAlignment="1">
      <alignment vertical="top"/>
    </xf>
    <xf numFmtId="165" fontId="7" fillId="5" borderId="0" xfId="2" applyNumberFormat="1" applyFont="1" applyFill="1" applyAlignment="1">
      <alignment vertical="top"/>
    </xf>
    <xf numFmtId="164" fontId="7" fillId="0" borderId="0" xfId="1" applyNumberFormat="1" applyFont="1" applyAlignment="1">
      <alignment vertical="top"/>
    </xf>
    <xf numFmtId="0" fontId="2" fillId="5" borderId="0" xfId="0" applyFont="1" applyFill="1" applyAlignment="1">
      <alignment vertical="top"/>
    </xf>
    <xf numFmtId="164" fontId="8" fillId="5" borderId="0" xfId="1" applyNumberFormat="1" applyFont="1" applyFill="1" applyAlignment="1">
      <alignment vertical="top"/>
    </xf>
    <xf numFmtId="10" fontId="2" fillId="5" borderId="0" xfId="2" applyNumberFormat="1" applyFont="1" applyFill="1" applyAlignment="1">
      <alignment vertical="top"/>
    </xf>
    <xf numFmtId="10" fontId="2" fillId="5" borderId="0" xfId="0" applyNumberFormat="1" applyFont="1" applyFill="1" applyAlignment="1">
      <alignment vertical="top"/>
    </xf>
    <xf numFmtId="164" fontId="4" fillId="0" borderId="0" xfId="1" applyNumberFormat="1" applyFont="1" applyAlignment="1">
      <alignment vertical="top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39" xfId="0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9" fillId="7" borderId="41" xfId="5" applyFont="1" applyFill="1" applyBorder="1" applyAlignment="1">
      <alignment horizontal="center" vertical="center" wrapText="1"/>
    </xf>
    <xf numFmtId="0" fontId="19" fillId="8" borderId="47" xfId="5" applyFont="1" applyFill="1" applyBorder="1" applyAlignment="1">
      <alignment horizontal="center" vertical="center" wrapText="1"/>
    </xf>
    <xf numFmtId="0" fontId="19" fillId="8" borderId="34" xfId="5" applyFont="1" applyFill="1" applyBorder="1" applyAlignment="1">
      <alignment horizontal="center" vertical="center" wrapText="1"/>
    </xf>
    <xf numFmtId="0" fontId="19" fillId="8" borderId="41" xfId="5" applyFont="1" applyFill="1" applyBorder="1" applyAlignment="1">
      <alignment horizontal="center" vertical="center" wrapText="1"/>
    </xf>
    <xf numFmtId="0" fontId="19" fillId="8" borderId="34" xfId="0" applyFont="1" applyFill="1" applyBorder="1" applyAlignment="1">
      <alignment horizontal="center" vertical="center" wrapText="1"/>
    </xf>
    <xf numFmtId="0" fontId="19" fillId="8" borderId="48" xfId="0" applyFont="1" applyFill="1" applyBorder="1" applyAlignment="1">
      <alignment horizontal="center" vertical="center" wrapText="1"/>
    </xf>
    <xf numFmtId="0" fontId="20" fillId="9" borderId="49" xfId="5" applyFont="1" applyFill="1" applyBorder="1" applyAlignment="1">
      <alignment horizontal="left" vertical="center" wrapText="1"/>
    </xf>
    <xf numFmtId="0" fontId="20" fillId="9" borderId="50" xfId="5" applyFont="1" applyFill="1" applyBorder="1" applyAlignment="1">
      <alignment horizontal="left" vertical="center" wrapText="1"/>
    </xf>
    <xf numFmtId="164" fontId="20" fillId="9" borderId="50" xfId="1" applyNumberFormat="1" applyFont="1" applyFill="1" applyBorder="1" applyAlignment="1">
      <alignment horizontal="center" vertical="center" wrapText="1"/>
    </xf>
    <xf numFmtId="9" fontId="20" fillId="9" borderId="50" xfId="5" applyNumberFormat="1" applyFont="1" applyFill="1" applyBorder="1" applyAlignment="1">
      <alignment horizontal="center" vertical="center" wrapText="1"/>
    </xf>
    <xf numFmtId="164" fontId="20" fillId="9" borderId="50" xfId="1" applyNumberFormat="1" applyFont="1" applyFill="1" applyBorder="1" applyAlignment="1">
      <alignment horizontal="left" vertical="center" wrapText="1"/>
    </xf>
    <xf numFmtId="164" fontId="21" fillId="9" borderId="51" xfId="1" quotePrefix="1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vertical="center"/>
    </xf>
    <xf numFmtId="0" fontId="20" fillId="9" borderId="52" xfId="5" applyFont="1" applyFill="1" applyBorder="1" applyAlignment="1">
      <alignment horizontal="left" vertical="center" wrapText="1"/>
    </xf>
    <xf numFmtId="0" fontId="20" fillId="9" borderId="53" xfId="5" applyFont="1" applyFill="1" applyBorder="1" applyAlignment="1">
      <alignment horizontal="left" vertical="center" wrapText="1"/>
    </xf>
    <xf numFmtId="164" fontId="20" fillId="9" borderId="53" xfId="1" applyNumberFormat="1" applyFont="1" applyFill="1" applyBorder="1" applyAlignment="1">
      <alignment horizontal="center" vertical="center" wrapText="1"/>
    </xf>
    <xf numFmtId="164" fontId="20" fillId="9" borderId="53" xfId="1" applyNumberFormat="1" applyFont="1" applyFill="1" applyBorder="1" applyAlignment="1">
      <alignment horizontal="left" vertical="center" wrapText="1"/>
    </xf>
    <xf numFmtId="164" fontId="21" fillId="9" borderId="54" xfId="1" quotePrefix="1" applyNumberFormat="1" applyFont="1" applyFill="1" applyBorder="1" applyAlignment="1">
      <alignment horizontal="center" vertical="center" wrapText="1"/>
    </xf>
    <xf numFmtId="0" fontId="20" fillId="9" borderId="55" xfId="5" applyFont="1" applyFill="1" applyBorder="1" applyAlignment="1">
      <alignment horizontal="left" vertical="center" wrapText="1"/>
    </xf>
    <xf numFmtId="0" fontId="20" fillId="9" borderId="56" xfId="5" applyFont="1" applyFill="1" applyBorder="1" applyAlignment="1">
      <alignment horizontal="left" vertical="center" wrapText="1"/>
    </xf>
    <xf numFmtId="164" fontId="20" fillId="9" borderId="56" xfId="1" applyNumberFormat="1" applyFont="1" applyFill="1" applyBorder="1" applyAlignment="1">
      <alignment horizontal="center" vertical="center" wrapText="1"/>
    </xf>
    <xf numFmtId="164" fontId="20" fillId="9" borderId="56" xfId="1" applyNumberFormat="1" applyFont="1" applyFill="1" applyBorder="1" applyAlignment="1">
      <alignment horizontal="left" vertical="center" wrapText="1"/>
    </xf>
    <xf numFmtId="164" fontId="21" fillId="9" borderId="57" xfId="1" quotePrefix="1" applyNumberFormat="1" applyFont="1" applyFill="1" applyBorder="1" applyAlignment="1">
      <alignment horizontal="center" vertical="center" wrapText="1"/>
    </xf>
    <xf numFmtId="0" fontId="20" fillId="9" borderId="58" xfId="5" applyFont="1" applyFill="1" applyBorder="1" applyAlignment="1">
      <alignment horizontal="left" vertical="center" wrapText="1"/>
    </xf>
    <xf numFmtId="0" fontId="20" fillId="9" borderId="59" xfId="5" applyFont="1" applyFill="1" applyBorder="1" applyAlignment="1">
      <alignment horizontal="left" vertical="center" wrapText="1"/>
    </xf>
    <xf numFmtId="164" fontId="20" fillId="9" borderId="59" xfId="1" applyNumberFormat="1" applyFont="1" applyFill="1" applyBorder="1" applyAlignment="1">
      <alignment horizontal="center" vertical="center" wrapText="1"/>
    </xf>
    <xf numFmtId="164" fontId="20" fillId="9" borderId="59" xfId="1" applyNumberFormat="1" applyFont="1" applyFill="1" applyBorder="1" applyAlignment="1">
      <alignment horizontal="left" vertical="center" wrapText="1"/>
    </xf>
    <xf numFmtId="164" fontId="21" fillId="9" borderId="60" xfId="1" quotePrefix="1" applyNumberFormat="1" applyFont="1" applyFill="1" applyBorder="1" applyAlignment="1">
      <alignment horizontal="center" vertical="center" wrapText="1"/>
    </xf>
    <xf numFmtId="0" fontId="20" fillId="9" borderId="61" xfId="5" applyFont="1" applyFill="1" applyBorder="1" applyAlignment="1">
      <alignment horizontal="left" vertical="center" wrapText="1"/>
    </xf>
    <xf numFmtId="0" fontId="20" fillId="9" borderId="62" xfId="5" applyFont="1" applyFill="1" applyBorder="1" applyAlignment="1">
      <alignment horizontal="left" vertical="center" wrapText="1"/>
    </xf>
    <xf numFmtId="164" fontId="20" fillId="9" borderId="62" xfId="1" applyNumberFormat="1" applyFont="1" applyFill="1" applyBorder="1" applyAlignment="1">
      <alignment horizontal="center" vertical="center" wrapText="1"/>
    </xf>
    <xf numFmtId="164" fontId="21" fillId="9" borderId="63" xfId="1" quotePrefix="1" applyNumberFormat="1" applyFont="1" applyFill="1" applyBorder="1" applyAlignment="1">
      <alignment horizontal="center" vertical="center" wrapText="1"/>
    </xf>
    <xf numFmtId="164" fontId="20" fillId="9" borderId="62" xfId="1" applyNumberFormat="1" applyFont="1" applyFill="1" applyBorder="1" applyAlignment="1">
      <alignment horizontal="left" vertical="center" wrapText="1"/>
    </xf>
    <xf numFmtId="0" fontId="20" fillId="9" borderId="64" xfId="5" applyFont="1" applyFill="1" applyBorder="1" applyAlignment="1">
      <alignment horizontal="left" vertical="center" wrapText="1"/>
    </xf>
    <xf numFmtId="0" fontId="20" fillId="9" borderId="65" xfId="5" applyFont="1" applyFill="1" applyBorder="1" applyAlignment="1">
      <alignment horizontal="left" vertical="center" wrapText="1"/>
    </xf>
    <xf numFmtId="164" fontId="20" fillId="9" borderId="65" xfId="1" applyNumberFormat="1" applyFont="1" applyFill="1" applyBorder="1" applyAlignment="1">
      <alignment horizontal="left" vertical="center" wrapText="1"/>
    </xf>
    <xf numFmtId="9" fontId="20" fillId="9" borderId="65" xfId="5" applyNumberFormat="1" applyFont="1" applyFill="1" applyBorder="1" applyAlignment="1">
      <alignment horizontal="center" vertical="center" wrapText="1"/>
    </xf>
    <xf numFmtId="164" fontId="20" fillId="9" borderId="65" xfId="1" applyNumberFormat="1" applyFont="1" applyFill="1" applyBorder="1" applyAlignment="1">
      <alignment horizontal="center" vertical="center" wrapText="1"/>
    </xf>
    <xf numFmtId="164" fontId="21" fillId="9" borderId="66" xfId="1" quotePrefix="1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vertical="center"/>
    </xf>
    <xf numFmtId="0" fontId="23" fillId="9" borderId="1" xfId="5" applyFont="1" applyFill="1" applyBorder="1" applyAlignment="1">
      <alignment horizontal="center" vertical="center" wrapText="1"/>
    </xf>
    <xf numFmtId="0" fontId="24" fillId="9" borderId="1" xfId="5" applyFont="1" applyFill="1" applyBorder="1" applyAlignment="1">
      <alignment horizontal="left" vertical="center" wrapText="1"/>
    </xf>
    <xf numFmtId="164" fontId="24" fillId="9" borderId="1" xfId="1" quotePrefix="1" applyNumberFormat="1" applyFont="1" applyFill="1" applyBorder="1" applyAlignment="1">
      <alignment horizontal="right" vertical="center" wrapText="1"/>
    </xf>
    <xf numFmtId="164" fontId="14" fillId="0" borderId="0" xfId="1" applyNumberFormat="1" applyFont="1" applyAlignment="1">
      <alignment vertical="center"/>
    </xf>
    <xf numFmtId="0" fontId="23" fillId="9" borderId="1" xfId="5" applyFont="1" applyFill="1" applyBorder="1" applyAlignment="1">
      <alignment horizontal="left" vertical="center" wrapText="1"/>
    </xf>
    <xf numFmtId="164" fontId="23" fillId="9" borderId="1" xfId="1" quotePrefix="1" applyNumberFormat="1" applyFont="1" applyFill="1" applyBorder="1" applyAlignment="1">
      <alignment horizontal="right" vertical="center" wrapText="1"/>
    </xf>
    <xf numFmtId="164" fontId="15" fillId="0" borderId="0" xfId="1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23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left" vertical="center" wrapText="1" indent="1"/>
    </xf>
    <xf numFmtId="164" fontId="23" fillId="9" borderId="1" xfId="0" applyNumberFormat="1" applyFont="1" applyFill="1" applyBorder="1" applyAlignment="1">
      <alignment horizontal="right" vertical="center"/>
    </xf>
    <xf numFmtId="0" fontId="14" fillId="5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10" fontId="7" fillId="5" borderId="0" xfId="2" applyNumberFormat="1" applyFont="1" applyFill="1" applyAlignment="1">
      <alignment vertical="top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top"/>
    </xf>
    <xf numFmtId="10" fontId="8" fillId="5" borderId="0" xfId="2" applyNumberFormat="1" applyFont="1" applyFill="1" applyAlignment="1">
      <alignment vertical="top"/>
    </xf>
    <xf numFmtId="164" fontId="2" fillId="10" borderId="0" xfId="1" applyNumberFormat="1" applyFont="1" applyFill="1" applyAlignment="1">
      <alignment vertical="top"/>
    </xf>
    <xf numFmtId="164" fontId="4" fillId="5" borderId="3" xfId="1" applyNumberFormat="1" applyFont="1" applyFill="1" applyBorder="1" applyAlignment="1">
      <alignment horizontal="center" vertical="center"/>
    </xf>
    <xf numFmtId="164" fontId="7" fillId="6" borderId="0" xfId="1" applyNumberFormat="1" applyFont="1" applyFill="1" applyAlignment="1">
      <alignment vertical="top"/>
    </xf>
    <xf numFmtId="0" fontId="2" fillId="5" borderId="0" xfId="0" applyFont="1" applyFill="1" applyAlignment="1">
      <alignment horizontal="center" vertical="center"/>
    </xf>
    <xf numFmtId="164" fontId="7" fillId="6" borderId="0" xfId="1" applyNumberFormat="1" applyFont="1" applyFill="1" applyAlignment="1">
      <alignment horizontal="center" vertical="center"/>
    </xf>
    <xf numFmtId="164" fontId="10" fillId="5" borderId="0" xfId="1" applyNumberFormat="1" applyFont="1" applyFill="1" applyAlignment="1">
      <alignment horizontal="center" vertical="center"/>
    </xf>
    <xf numFmtId="164" fontId="2" fillId="11" borderId="0" xfId="1" applyNumberFormat="1" applyFont="1" applyFill="1" applyAlignment="1">
      <alignment vertical="top"/>
    </xf>
    <xf numFmtId="43" fontId="7" fillId="5" borderId="0" xfId="1" applyFont="1" applyFill="1" applyAlignment="1">
      <alignment vertical="top"/>
    </xf>
    <xf numFmtId="164" fontId="4" fillId="5" borderId="0" xfId="1" applyNumberFormat="1" applyFont="1" applyFill="1" applyAlignment="1">
      <alignment vertical="top"/>
    </xf>
    <xf numFmtId="9" fontId="2" fillId="0" borderId="10" xfId="2" applyFont="1" applyFill="1" applyBorder="1" applyAlignment="1">
      <alignment horizontal="center" vertical="top" wrapText="1"/>
    </xf>
    <xf numFmtId="9" fontId="2" fillId="0" borderId="2" xfId="2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9" fontId="2" fillId="0" borderId="10" xfId="2" applyFont="1" applyFill="1" applyBorder="1" applyAlignment="1">
      <alignment horizontal="left" vertical="center" wrapText="1"/>
    </xf>
    <xf numFmtId="9" fontId="2" fillId="0" borderId="34" xfId="2" applyFont="1" applyFill="1" applyBorder="1" applyAlignment="1">
      <alignment horizontal="left" vertical="center" wrapText="1"/>
    </xf>
    <xf numFmtId="9" fontId="2" fillId="0" borderId="2" xfId="2" applyFont="1" applyFill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9" fillId="7" borderId="40" xfId="5" applyFont="1" applyFill="1" applyBorder="1" applyAlignment="1">
      <alignment horizontal="center" vertical="center" wrapText="1"/>
    </xf>
    <xf numFmtId="0" fontId="19" fillId="7" borderId="44" xfId="5" applyFont="1" applyFill="1" applyBorder="1" applyAlignment="1">
      <alignment horizontal="center" vertical="center" wrapText="1"/>
    </xf>
    <xf numFmtId="0" fontId="19" fillId="7" borderId="41" xfId="5" applyFont="1" applyFill="1" applyBorder="1" applyAlignment="1">
      <alignment horizontal="center" vertical="center" wrapText="1"/>
    </xf>
    <xf numFmtId="0" fontId="19" fillId="7" borderId="45" xfId="5" applyFont="1" applyFill="1" applyBorder="1" applyAlignment="1">
      <alignment horizontal="center" vertical="center" wrapText="1"/>
    </xf>
    <xf numFmtId="0" fontId="19" fillId="7" borderId="5" xfId="5" applyFont="1" applyFill="1" applyBorder="1" applyAlignment="1">
      <alignment horizontal="center" vertical="center" wrapText="1"/>
    </xf>
    <xf numFmtId="0" fontId="19" fillId="7" borderId="42" xfId="5" applyFont="1" applyFill="1" applyBorder="1" applyAlignment="1">
      <alignment horizontal="center" vertical="center" wrapText="1"/>
    </xf>
    <xf numFmtId="0" fontId="19" fillId="7" borderId="41" xfId="0" applyFont="1" applyFill="1" applyBorder="1" applyAlignment="1">
      <alignment horizontal="center" vertical="center" wrapText="1"/>
    </xf>
    <xf numFmtId="0" fontId="19" fillId="7" borderId="45" xfId="0" applyFont="1" applyFill="1" applyBorder="1" applyAlignment="1">
      <alignment horizontal="center" vertical="center" wrapText="1"/>
    </xf>
    <xf numFmtId="0" fontId="19" fillId="7" borderId="43" xfId="0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2" xfId="3" xr:uid="{00000000-0005-0000-0000-000002000000}"/>
    <cellStyle name="Normal 3" xfId="5" xr:uid="{BD560320-34DE-47A7-B201-DCAE75AD5708}"/>
    <cellStyle name="Normal 4" xfId="4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59764</xdr:rowOff>
    </xdr:from>
    <xdr:to>
      <xdr:col>1</xdr:col>
      <xdr:colOff>1098176</xdr:colOff>
      <xdr:row>1</xdr:row>
      <xdr:rowOff>170837</xdr:rowOff>
    </xdr:to>
    <xdr:pic>
      <xdr:nvPicPr>
        <xdr:cNvPr id="2" name="Picture 1" descr="A green and grey recycle sign&#10;&#10;Description automatically generated">
          <a:extLst>
            <a:ext uri="{FF2B5EF4-FFF2-40B4-BE49-F238E27FC236}">
              <a16:creationId xmlns:a16="http://schemas.microsoft.com/office/drawing/2014/main" id="{6C405CF1-3F7D-4925-B1ED-F5398586E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64"/>
          <a:ext cx="1358526" cy="295223"/>
        </a:xfrm>
        <a:prstGeom prst="rect">
          <a:avLst/>
        </a:prstGeom>
      </xdr:spPr>
    </xdr:pic>
    <xdr:clientData/>
  </xdr:twoCellAnchor>
  <xdr:twoCellAnchor>
    <xdr:from>
      <xdr:col>9</xdr:col>
      <xdr:colOff>231589</xdr:colOff>
      <xdr:row>2</xdr:row>
      <xdr:rowOff>44823</xdr:rowOff>
    </xdr:from>
    <xdr:to>
      <xdr:col>9</xdr:col>
      <xdr:colOff>672353</xdr:colOff>
      <xdr:row>2</xdr:row>
      <xdr:rowOff>209176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C9F9D985-B44C-4A6C-AAA2-C98C5C75A826}"/>
            </a:ext>
          </a:extLst>
        </xdr:cNvPr>
        <xdr:cNvSpPr/>
      </xdr:nvSpPr>
      <xdr:spPr>
        <a:xfrm>
          <a:off x="9623239" y="419473"/>
          <a:ext cx="440764" cy="16435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59764</xdr:rowOff>
    </xdr:from>
    <xdr:to>
      <xdr:col>1</xdr:col>
      <xdr:colOff>1098176</xdr:colOff>
      <xdr:row>1</xdr:row>
      <xdr:rowOff>170837</xdr:rowOff>
    </xdr:to>
    <xdr:pic>
      <xdr:nvPicPr>
        <xdr:cNvPr id="2" name="Picture 1" descr="A green and grey recycle sign&#10;&#10;Description automatically generated">
          <a:extLst>
            <a:ext uri="{FF2B5EF4-FFF2-40B4-BE49-F238E27FC236}">
              <a16:creationId xmlns:a16="http://schemas.microsoft.com/office/drawing/2014/main" id="{231F086D-C33A-4F59-9CA5-A883B242E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64"/>
          <a:ext cx="1358526" cy="295223"/>
        </a:xfrm>
        <a:prstGeom prst="rect">
          <a:avLst/>
        </a:prstGeom>
      </xdr:spPr>
    </xdr:pic>
    <xdr:clientData/>
  </xdr:twoCellAnchor>
  <xdr:twoCellAnchor>
    <xdr:from>
      <xdr:col>9</xdr:col>
      <xdr:colOff>231589</xdr:colOff>
      <xdr:row>2</xdr:row>
      <xdr:rowOff>44823</xdr:rowOff>
    </xdr:from>
    <xdr:to>
      <xdr:col>9</xdr:col>
      <xdr:colOff>672353</xdr:colOff>
      <xdr:row>2</xdr:row>
      <xdr:rowOff>209176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7E62BE87-FDA2-412D-9335-4D056B9386AF}"/>
            </a:ext>
          </a:extLst>
        </xdr:cNvPr>
        <xdr:cNvSpPr/>
      </xdr:nvSpPr>
      <xdr:spPr>
        <a:xfrm>
          <a:off x="9623239" y="419473"/>
          <a:ext cx="440764" cy="16435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culh_duytanrecycling_com/Documents/Desktop/01.%20C&#417;%20c&#7845;u%20th&#224;nh%20ph&#7849;m%20sau%20ph&#226;n%20lo&#7841;i%20-%203%20Tr&#7841;m.xlsx" TargetMode="External"/><Relationship Id="rId1" Type="http://schemas.openxmlformats.org/officeDocument/2006/relationships/externalLinkPath" Target="https://dtg-my.sharepoint.com/personal/culh_duytanrecycling_com/Documents/Desktop/01.%20C&#417;%20c&#7845;u%20th&#224;nh%20ph&#7849;m%20sau%20ph&#226;n%20lo&#7841;i%20-%203%20Tr&#7841;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&#7841;m/Long_%20KTQT%203%20Tr&#7841;m/13.%20B&#225;o%20c&#225;o%20th&#225;ng%20-%20t&#7893;ng%20h&#7907;p%203%20tr&#7841;m/01-Bao%20Cao%20Hoat%20Dong%20Kinh%20Doanh%20Tram_260114_09h46.xlsx" TargetMode="External"/><Relationship Id="rId2" Type="http://schemas.openxmlformats.org/officeDocument/2006/relationships/externalLinkPath" Target="file:///C:\Data\G&#272;%20T&#224;i%20ch&#237;nh\Tr&#7841;m\Long_%20KTQT%203%20Tr&#7841;m\13.%20B&#225;o%20c&#225;o%20th&#225;ng%20-%20t&#7893;ng%20h&#7907;p%203%20tr&#7841;m\01-Bao%20Cao%20Hoat%20Dong%20Kinh%20Doanh%20Tram_260114_09h46.xlsx" TargetMode="External"/><Relationship Id="rId1" Type="http://schemas.openxmlformats.org/officeDocument/2006/relationships/externalLinkPath" Target="/Data/G&#272;%20T&#224;i%20ch&#237;nh/Tr&#7841;m/Long_%20KTQT%203%20Tr&#7841;m/13.%20B&#225;o%20c&#225;o%20th&#225;ng%20-%20t&#7893;ng%20h&#7907;p%203%20tr&#7841;m/01-Bao%20Cao%20Hoat%20Dong%20Kinh%20Doanh%20Tram_260114_09h4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culh/AppData/Local/Temp/MicrosoftEdgeDownloads/35ac35b4-ef3a-4b3b-b6b0-4429c38e398b/01-Bao%20Cao%20Hoat%20Dong%20Kinh%20Doanh%20Tram.xlsx" TargetMode="External"/><Relationship Id="rId2" Type="http://schemas.openxmlformats.org/officeDocument/2006/relationships/externalLinkPath" Target="file:///C:\Users\culh\AppData\Local\Temp\MicrosoftEdgeDownloads\35ac35b4-ef3a-4b3b-b6b0-4429c38e398b\01-Bao%20Cao%20Hoat%20Dong%20Kinh%20Doanh%20Tram.xlsx" TargetMode="External"/><Relationship Id="rId1" Type="http://schemas.openxmlformats.org/officeDocument/2006/relationships/externalLinkPath" Target="/Users/culh/AppData/Local/Temp/MicrosoftEdgeDownloads/35ac35b4-ef3a-4b3b-b6b0-4429c38e398b/01-Bao%20Cao%20Hoat%20Dong%20Kinh%20Doanh%20T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 Danh mục"/>
      <sheetName val="Báo cáo &gt;&gt;"/>
      <sheetName val="1. Đại Lộc"/>
      <sheetName val="2. Khánh Nga"/>
      <sheetName val="3. Đồng Lâm"/>
      <sheetName val="4. 3 Trạm"/>
      <sheetName val="5. Giá bán theo cơ cấu (TT) (2)"/>
      <sheetName val="5. Giá bán theo cơ cấu (TT)"/>
      <sheetName val="5. Giá bán theo cơ cấu (BOM)"/>
      <sheetName val="data &gt;&gt;"/>
      <sheetName val="DLOC"/>
      <sheetName val="KNGA"/>
      <sheetName val="DLAM"/>
      <sheetName val="3TRAM"/>
      <sheetName val="check_simpson"/>
      <sheetName val="data"/>
      <sheetName val="data_to_chart"/>
      <sheetName val="config"/>
      <sheetName val="md"/>
    </sheetNames>
    <sheetDataSet>
      <sheetData sheetId="0"/>
      <sheetData sheetId="1"/>
      <sheetData sheetId="2">
        <row r="327">
          <cell r="B327" t="str">
            <v>% Chai B1</v>
          </cell>
          <cell r="O327">
            <v>0.65050165177150054</v>
          </cell>
        </row>
        <row r="328">
          <cell r="B328" t="str">
            <v>% Chai B2.2</v>
          </cell>
          <cell r="O328">
            <v>5.3561787013188056E-3</v>
          </cell>
        </row>
        <row r="329">
          <cell r="B329" t="str">
            <v>% Chai B6.2</v>
          </cell>
          <cell r="O329">
            <v>0.19170632228257908</v>
          </cell>
        </row>
        <row r="334">
          <cell r="O334">
            <v>0.10096034348805652</v>
          </cell>
        </row>
      </sheetData>
      <sheetData sheetId="3">
        <row r="32">
          <cell r="B32" t="str">
            <v>% Chai B1</v>
          </cell>
          <cell r="O32">
            <v>0.52583539606738805</v>
          </cell>
        </row>
        <row r="33">
          <cell r="B33" t="str">
            <v>% Chai B2.2</v>
          </cell>
          <cell r="O33">
            <v>7.8724377212196814E-2</v>
          </cell>
        </row>
        <row r="34">
          <cell r="B34" t="str">
            <v>% Chai B6.2</v>
          </cell>
          <cell r="O34">
            <v>0.23118716545900386</v>
          </cell>
        </row>
        <row r="35">
          <cell r="B35" t="str">
            <v>% Chai B4</v>
          </cell>
          <cell r="O35">
            <v>1.4912633842699981E-2</v>
          </cell>
        </row>
        <row r="36">
          <cell r="B36" t="str">
            <v>% Chai B5</v>
          </cell>
          <cell r="O36">
            <v>1.9802358600751371E-2</v>
          </cell>
        </row>
        <row r="37">
          <cell r="B37" t="str">
            <v>% Nắp</v>
          </cell>
          <cell r="O37">
            <v>3.1786114872826871E-2</v>
          </cell>
        </row>
        <row r="38">
          <cell r="B38" t="str">
            <v>% Chai B7.2</v>
          </cell>
          <cell r="O38">
            <v>1.8427270405582469E-5</v>
          </cell>
        </row>
        <row r="39">
          <cell r="O39">
            <v>9.7733526674727331E-2</v>
          </cell>
        </row>
      </sheetData>
      <sheetData sheetId="4">
        <row r="337">
          <cell r="B337" t="str">
            <v>% Chai B1</v>
          </cell>
          <cell r="O337">
            <v>0.50053442897045786</v>
          </cell>
        </row>
        <row r="338">
          <cell r="B338" t="str">
            <v>% Chai B2.2</v>
          </cell>
          <cell r="O338">
            <v>8.3560339784929882E-2</v>
          </cell>
        </row>
        <row r="339">
          <cell r="B339" t="str">
            <v>% Chai B6.2</v>
          </cell>
          <cell r="O339">
            <v>0.2675725318949379</v>
          </cell>
        </row>
        <row r="340">
          <cell r="B340" t="str">
            <v>% Chai B4</v>
          </cell>
          <cell r="O340">
            <v>1.9139602152341485E-2</v>
          </cell>
        </row>
        <row r="341">
          <cell r="B341" t="str">
            <v>% Chai B5</v>
          </cell>
          <cell r="O341">
            <v>1.0656981591639593E-2</v>
          </cell>
        </row>
        <row r="342">
          <cell r="B342" t="str">
            <v>% Nắp</v>
          </cell>
          <cell r="O342">
            <v>2.9470813123704601E-3</v>
          </cell>
        </row>
        <row r="343">
          <cell r="B343" t="str">
            <v>% Phó sản</v>
          </cell>
          <cell r="O343">
            <v>8.9157794488867737E-3</v>
          </cell>
        </row>
        <row r="344">
          <cell r="O344">
            <v>0.10667325484443603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-Danh mục"/>
      <sheetName val="Báo cáo ==&gt;"/>
      <sheetName val="1.TH 3 TRAM"/>
      <sheetName val="2.CT 3 TRAM"/>
      <sheetName val="3.CP_TAN"/>
      <sheetName val="4.THONG TIN KHAC"/>
      <sheetName val="5.DAI LOC"/>
      <sheetName val="6.KHANH NGA"/>
      <sheetName val="7.DONG LAM"/>
      <sheetName val="Đại Lộc ==&gt;"/>
      <sheetName val="DLOC KQKD thang"/>
      <sheetName val="DLOC KQKD chi tiet"/>
      <sheetName val="DLOC Thong tin san xuat"/>
      <sheetName val="DLOC chi phi don vi"/>
      <sheetName val="DLOC hieu suat may"/>
      <sheetName val="DLOC mua hang"/>
      <sheetName val="Khánh Nga ==&gt;"/>
      <sheetName val="KNGA KQKD thang"/>
      <sheetName val="KNGA KQKD chi tiet"/>
      <sheetName val="KNGA Thong tin san xuat"/>
      <sheetName val="KNGA chi phi don vi"/>
      <sheetName val="KNGA hieu suat may"/>
      <sheetName val="KNGA mua hang"/>
      <sheetName val="Đồng Lâm ==&gt;"/>
      <sheetName val="DLAM KQKD thang"/>
      <sheetName val="DLAM KQKD chi tiet"/>
      <sheetName val="DLAM Thong tin san xuat"/>
      <sheetName val="DLAM chi phi don vi"/>
      <sheetName val="DLAM hieu suat may"/>
      <sheetName val="DLAM mua hang"/>
      <sheetName val="3 Trạm ==&gt;"/>
      <sheetName val="1-TH 3 TRAM"/>
      <sheetName val="KQKD CT 3 Tram"/>
      <sheetName val="TH 3 TRAM"/>
      <sheetName val="2-CP_TAN"/>
      <sheetName val="2-CP_KG"/>
      <sheetName val="HSM 3TRAM"/>
      <sheetName val="Mua hang 3 Tram"/>
      <sheetName val="TON KHO"/>
      <sheetName val="data ==&gt;"/>
      <sheetName val="data_3Tram"/>
      <sheetName val="data_DLOC"/>
      <sheetName val="data_KNGA"/>
      <sheetName val="data_DLAM"/>
      <sheetName val="config"/>
      <sheetName val="md"/>
      <sheetName val="md_0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8">
          <cell r="Q78">
            <v>3.6844010838335199</v>
          </cell>
          <cell r="R78">
            <v>2.8948842505347154</v>
          </cell>
          <cell r="S78">
            <v>2.6096553352190925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-Danh mục"/>
      <sheetName val="Báo cáo ==&gt;"/>
      <sheetName val="1.TH 3 TRAM"/>
      <sheetName val="2.CT 3 TRAM"/>
      <sheetName val="3.CP_TAN"/>
      <sheetName val="4.THONG TIN KHAC"/>
      <sheetName val="5.DAI LOC"/>
      <sheetName val="6.KHANH NGA"/>
      <sheetName val="7.DONG LAM"/>
      <sheetName val="Đại Lộc ==&gt;"/>
      <sheetName val="DLOC KQKD thang"/>
      <sheetName val="DLOC KQKD chi tiet"/>
      <sheetName val="DLOC Thong tin san xuat"/>
      <sheetName val="DLOC chi phi don vi"/>
      <sheetName val="DLOC hieu suat may"/>
      <sheetName val="DLOC mua hang"/>
      <sheetName val="Khánh Nga ==&gt;"/>
      <sheetName val="KNGA KQKD thang"/>
      <sheetName val="KNGA KQKD chi tiet"/>
      <sheetName val="KNGA Thong tin san xuat"/>
      <sheetName val="KNGA chi phi don vi"/>
      <sheetName val="KNGA hieu suat may"/>
      <sheetName val="KNGA mua hang"/>
      <sheetName val="Đồng Lâm ==&gt;"/>
      <sheetName val="DLAM KQKD thang"/>
      <sheetName val="DLAM KQKD chi tiet"/>
      <sheetName val="DLAM Thong tin san xuat"/>
      <sheetName val="DLAM chi phi don vi"/>
      <sheetName val="DLAM hieu suat may"/>
      <sheetName val="DLAM mua hang"/>
      <sheetName val="3 Trạm ==&gt;"/>
      <sheetName val="1-TH 3 TRAM"/>
      <sheetName val="KQKD CT 3 Tram"/>
      <sheetName val="TH 3 TRAM"/>
      <sheetName val="2-CP_TAN"/>
      <sheetName val="2-CP_KG"/>
      <sheetName val="HSM 3TRAM"/>
      <sheetName val="Mua hang 3 Tram"/>
      <sheetName val="TON KHO"/>
      <sheetName val="data ==&gt;"/>
      <sheetName val="data_3Tram"/>
      <sheetName val="data_DLOC"/>
      <sheetName val="data_KNGA"/>
      <sheetName val="data_DLAM"/>
      <sheetName val="config"/>
      <sheetName val="md"/>
      <sheetName val="md_02"/>
    </sheetNames>
    <sheetDataSet>
      <sheetData sheetId="0"/>
      <sheetData sheetId="1"/>
      <sheetData sheetId="2"/>
      <sheetData sheetId="3"/>
      <sheetData sheetId="4">
        <row r="78">
          <cell r="Q78">
            <v>3684.4010838335184</v>
          </cell>
          <cell r="R78">
            <v>2894.8842505347179</v>
          </cell>
          <cell r="S78">
            <v>2609.6553352190908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D537872E-4700-4C0E-8D2C-624BC43591A8}">
    <text>B1.2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9D519D62-A5F3-4A1C-8519-96DD31BDA7A7}">
    <text>B1.2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6BFC1367-7F0C-4C1A-8190-7EB4CB53B9F0}">
    <text>B1.2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F041ED9F-A057-489A-9539-58500B757682}">
    <text>B1.2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9BD8F9C9-A881-480E-83CF-B9044BB26849}">
    <text>B1.2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C7" dT="2026-01-28T15:55:49.68" personId="{00000000-0000-0000-0000-000000000000}" id="{05CD479A-411F-4C06-9776-F2510A548339}">
    <text>B1.2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1"/>
  <sheetViews>
    <sheetView zoomScale="85" zoomScaleNormal="85" workbookViewId="0">
      <pane ySplit="5" topLeftCell="A6" activePane="bottomLeft" state="frozen"/>
      <selection pane="bottomLeft" activeCell="G8" sqref="G8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16384" width="8.7265625" style="1"/>
  </cols>
  <sheetData>
    <row r="1" spans="2:20" ht="11.5" customHeight="1" x14ac:dyDescent="0.35"/>
    <row r="2" spans="2:20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20" ht="13" x14ac:dyDescent="0.35">
      <c r="D3" s="184"/>
      <c r="E3" s="184"/>
      <c r="F3" s="47"/>
      <c r="G3" s="47"/>
      <c r="H3" s="47"/>
      <c r="I3" s="47"/>
      <c r="J3" s="185"/>
      <c r="K3" s="185"/>
      <c r="M3" s="186" t="s">
        <v>59</v>
      </c>
      <c r="N3" s="186"/>
    </row>
    <row r="4" spans="2:20" s="60" customFormat="1" ht="58.5" customHeight="1" x14ac:dyDescent="0.35">
      <c r="B4" s="86" t="s">
        <v>81</v>
      </c>
      <c r="C4" s="88" t="s">
        <v>78</v>
      </c>
      <c r="D4" s="187" t="s">
        <v>58</v>
      </c>
      <c r="E4" s="18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56"/>
      <c r="P4" s="56" t="s">
        <v>84</v>
      </c>
      <c r="Q4" s="60" t="s">
        <v>85</v>
      </c>
      <c r="R4" s="60" t="s">
        <v>86</v>
      </c>
      <c r="S4" s="60" t="s">
        <v>87</v>
      </c>
      <c r="T4" s="60" t="s">
        <v>88</v>
      </c>
    </row>
    <row r="5" spans="2:20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N5" s="94"/>
    </row>
    <row r="6" spans="2:20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1">
        <v>3000</v>
      </c>
    </row>
    <row r="7" spans="2:20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3">
        <f t="shared" ref="J7:J14" si="2">I7/$I$6</f>
        <v>0.64224548049476693</v>
      </c>
      <c r="K7" s="63">
        <f>J7</f>
        <v>0.64224548049476693</v>
      </c>
      <c r="L7" s="188" t="s">
        <v>80</v>
      </c>
      <c r="M7" s="11">
        <f>ROUND(11000+11000*14%+4000,-2)</f>
        <v>16500</v>
      </c>
      <c r="N7" s="95">
        <f>M7/$M$21</f>
        <v>1.2222222222222223</v>
      </c>
      <c r="P7" s="11">
        <f>I7/F7</f>
        <v>11893.434823977166</v>
      </c>
      <c r="Q7" s="11">
        <f>$Q$6*K7</f>
        <v>1926.7364414843007</v>
      </c>
      <c r="R7" s="91">
        <f>P7+Q7</f>
        <v>13820.171265461468</v>
      </c>
      <c r="S7" s="91">
        <f>M7-R7</f>
        <v>2679.8287345385324</v>
      </c>
      <c r="T7" s="92">
        <f>S7/M7</f>
        <v>0.16241386269930499</v>
      </c>
    </row>
    <row r="8" spans="2:20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3">
        <f t="shared" si="2"/>
        <v>0</v>
      </c>
      <c r="K8" s="63">
        <f t="shared" ref="K8:K14" si="3">J8</f>
        <v>0</v>
      </c>
      <c r="L8" s="189"/>
      <c r="N8" s="95">
        <f t="shared" ref="N8:N13" si="4">M8/$M$21</f>
        <v>0</v>
      </c>
      <c r="P8" s="11" t="e">
        <f t="shared" ref="P8:P20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92" t="e">
        <f t="shared" ref="T8:T21" si="9">S8/M8</f>
        <v>#DIV/0!</v>
      </c>
    </row>
    <row r="9" spans="2:20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0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3">
        <f t="shared" si="2"/>
        <v>3.1398667935299718E-2</v>
      </c>
      <c r="K9" s="63">
        <f t="shared" si="3"/>
        <v>3.1398667935299718E-2</v>
      </c>
      <c r="L9" s="189"/>
      <c r="M9" s="11">
        <f>ROUND(11000+11000*14%+2500,-2)</f>
        <v>15000</v>
      </c>
      <c r="N9" s="95">
        <f t="shared" si="4"/>
        <v>1.1111111111111112</v>
      </c>
      <c r="P9" s="11">
        <f t="shared" si="5"/>
        <v>10466.222645099906</v>
      </c>
      <c r="Q9" s="11">
        <f t="shared" si="6"/>
        <v>94.196003805899153</v>
      </c>
      <c r="R9" s="91">
        <f t="shared" si="7"/>
        <v>10560.418648905805</v>
      </c>
      <c r="S9" s="91">
        <f t="shared" si="8"/>
        <v>4439.5813510941953</v>
      </c>
      <c r="T9" s="92">
        <f t="shared" si="9"/>
        <v>0.29597209007294634</v>
      </c>
    </row>
    <row r="10" spans="2:20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3">
        <f t="shared" si="2"/>
        <v>1.9029495718363466E-2</v>
      </c>
      <c r="K10" s="63">
        <f t="shared" si="3"/>
        <v>1.9029495718363466E-2</v>
      </c>
      <c r="L10" s="189"/>
      <c r="M10" s="11">
        <f>ROUND(11000+11000*14%+1000,-2)</f>
        <v>13500</v>
      </c>
      <c r="N10" s="95">
        <f>M10/$M$21</f>
        <v>1</v>
      </c>
      <c r="P10" s="11">
        <f t="shared" si="5"/>
        <v>9514.7478591817326</v>
      </c>
      <c r="Q10" s="11">
        <f t="shared" si="6"/>
        <v>57.088487155090398</v>
      </c>
      <c r="R10" s="91">
        <f t="shared" si="7"/>
        <v>9571.8363463368223</v>
      </c>
      <c r="S10" s="91">
        <f t="shared" si="8"/>
        <v>3928.1636536631777</v>
      </c>
      <c r="T10" s="92">
        <f t="shared" si="9"/>
        <v>0.29097508545653167</v>
      </c>
    </row>
    <row r="11" spans="2:20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0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3">
        <f t="shared" si="2"/>
        <v>1.9029495718363466E-2</v>
      </c>
      <c r="K11" s="63">
        <f t="shared" si="3"/>
        <v>1.9029495718363466E-2</v>
      </c>
      <c r="L11" s="189"/>
      <c r="M11" s="11">
        <f>ROUND(11000+11000*14%+1000,-2)</f>
        <v>13500</v>
      </c>
      <c r="N11" s="95">
        <f>M11/$M$21</f>
        <v>1</v>
      </c>
      <c r="P11" s="11">
        <f t="shared" si="5"/>
        <v>9514.7478591817326</v>
      </c>
      <c r="Q11" s="11">
        <f t="shared" si="6"/>
        <v>57.088487155090398</v>
      </c>
      <c r="R11" s="91">
        <f t="shared" si="7"/>
        <v>9571.8363463368223</v>
      </c>
      <c r="S11" s="91">
        <f t="shared" si="8"/>
        <v>3928.1636536631777</v>
      </c>
      <c r="T11" s="92">
        <f t="shared" si="9"/>
        <v>0.29097508545653167</v>
      </c>
    </row>
    <row r="12" spans="2:20" ht="15" customHeight="1" outlineLevel="1" x14ac:dyDescent="0.35">
      <c r="B12" s="5"/>
      <c r="C12" s="6" t="s">
        <v>64</v>
      </c>
      <c r="D12" s="67"/>
      <c r="E12" s="68"/>
      <c r="F12" s="67">
        <f>D12</f>
        <v>0</v>
      </c>
      <c r="G12" s="69"/>
      <c r="H12" s="69">
        <f t="shared" si="0"/>
        <v>0</v>
      </c>
      <c r="I12" s="67">
        <f t="shared" si="1"/>
        <v>0</v>
      </c>
      <c r="J12" s="63">
        <f t="shared" si="2"/>
        <v>0</v>
      </c>
      <c r="K12" s="63">
        <f t="shared" si="3"/>
        <v>0</v>
      </c>
      <c r="L12" s="189"/>
      <c r="N12" s="95">
        <f t="shared" si="4"/>
        <v>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92" t="e">
        <f t="shared" si="9"/>
        <v>#DIV/0!</v>
      </c>
    </row>
    <row r="13" spans="2:20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0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3">
        <f t="shared" si="2"/>
        <v>0.28258801141769746</v>
      </c>
      <c r="K13" s="63">
        <f t="shared" si="3"/>
        <v>0.28258801141769746</v>
      </c>
      <c r="L13" s="189"/>
      <c r="M13" s="11">
        <f>ROUND(11000+11000*14%+2500,-2)</f>
        <v>15000</v>
      </c>
      <c r="N13" s="95">
        <f t="shared" si="4"/>
        <v>1.1111111111111112</v>
      </c>
      <c r="P13" s="11">
        <f t="shared" si="5"/>
        <v>10466.222645099906</v>
      </c>
      <c r="Q13" s="11">
        <f t="shared" si="6"/>
        <v>847.7640342530924</v>
      </c>
      <c r="R13" s="91">
        <f t="shared" si="7"/>
        <v>11313.986679352998</v>
      </c>
      <c r="S13" s="91">
        <f t="shared" si="8"/>
        <v>3686.0133206470018</v>
      </c>
      <c r="T13" s="92">
        <f t="shared" si="9"/>
        <v>0.24573422137646678</v>
      </c>
    </row>
    <row r="14" spans="2:20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0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3">
        <f t="shared" si="2"/>
        <v>5.708848715509039E-3</v>
      </c>
      <c r="K14" s="63">
        <f t="shared" si="3"/>
        <v>5.708848715509039E-3</v>
      </c>
      <c r="L14" s="190"/>
      <c r="M14" s="11">
        <f>ROUND(11000+11000*14%-5000,-2)</f>
        <v>7500</v>
      </c>
      <c r="N14" s="95">
        <f>M14/$M$21</f>
        <v>0.55555555555555558</v>
      </c>
      <c r="P14" s="11">
        <f t="shared" si="5"/>
        <v>5708.8487155090388</v>
      </c>
      <c r="Q14" s="11">
        <f t="shared" si="6"/>
        <v>17.126546146527119</v>
      </c>
      <c r="R14" s="91">
        <f t="shared" si="7"/>
        <v>5725.9752616555661</v>
      </c>
      <c r="S14" s="91">
        <f t="shared" si="8"/>
        <v>1774.0247383444339</v>
      </c>
      <c r="T14" s="92">
        <f t="shared" si="9"/>
        <v>0.23653663177925785</v>
      </c>
    </row>
    <row r="15" spans="2:20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92" t="e">
        <f t="shared" si="9"/>
        <v>#DIV/0!</v>
      </c>
    </row>
    <row r="16" spans="2:20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92" t="e">
        <f t="shared" si="9"/>
        <v>#DIV/0!</v>
      </c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92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92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92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92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1">SUM(D7:D20)</f>
        <v>1000</v>
      </c>
      <c r="E21" s="81">
        <f t="shared" si="11"/>
        <v>1.0000000000000002</v>
      </c>
      <c r="F21" s="80">
        <f>SUM(F7:F20)</f>
        <v>890</v>
      </c>
      <c r="G21" s="80">
        <f t="shared" si="11"/>
        <v>6.0499999999999989</v>
      </c>
      <c r="H21" s="82">
        <f t="shared" si="11"/>
        <v>1051</v>
      </c>
      <c r="I21" s="82">
        <f t="shared" si="11"/>
        <v>10000000.000000002</v>
      </c>
      <c r="J21" s="83"/>
      <c r="K21" s="83"/>
      <c r="L21" s="83"/>
      <c r="M21" s="53">
        <f>AVERAGE(M7:M19)</f>
        <v>13500</v>
      </c>
      <c r="N21" s="97"/>
      <c r="O21" s="54"/>
      <c r="P21" s="11">
        <f>I21/F21</f>
        <v>11235.955056179777</v>
      </c>
      <c r="T21" s="92">
        <f t="shared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87" t="s">
        <v>58</v>
      </c>
      <c r="E24" s="18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82" t="s">
        <v>80</v>
      </c>
      <c r="M27" s="11">
        <v>18500</v>
      </c>
      <c r="N27" s="100">
        <f>M27/$M$31</f>
        <v>1.3214285714285714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83"/>
      <c r="M28" s="11">
        <v>9500</v>
      </c>
      <c r="N28" s="100">
        <f>M28/$M$31</f>
        <v>0.6785714285714286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14000</v>
      </c>
      <c r="N31" s="55"/>
      <c r="O31" s="54"/>
      <c r="P31" s="54"/>
    </row>
  </sheetData>
  <mergeCells count="7">
    <mergeCell ref="L27:L28"/>
    <mergeCell ref="D4:E4"/>
    <mergeCell ref="J3:K3"/>
    <mergeCell ref="D3:E3"/>
    <mergeCell ref="M3:N3"/>
    <mergeCell ref="D24:E24"/>
    <mergeCell ref="L7:L1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3"/>
  <sheetViews>
    <sheetView zoomScale="80" zoomScaleNormal="80" workbookViewId="0">
      <pane ySplit="4" topLeftCell="A5" activePane="bottomLeft" state="frozen"/>
      <selection pane="bottomLeft" activeCell="B6" sqref="B6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4" width="8.7265625" style="1" customWidth="1" outlineLevel="1"/>
    <col min="5" max="5" width="11.1796875" style="11" customWidth="1"/>
    <col min="6" max="6" width="11.1796875" style="1" customWidth="1"/>
    <col min="7" max="8" width="10.81640625" style="1" customWidth="1"/>
    <col min="9" max="9" width="12.453125" style="1" customWidth="1"/>
    <col min="10" max="10" width="15.54296875" style="1" customWidth="1"/>
    <col min="11" max="16384" width="8.7265625" style="1"/>
  </cols>
  <sheetData>
    <row r="1" spans="2:10" ht="11.5" customHeight="1" x14ac:dyDescent="0.35"/>
    <row r="2" spans="2:10" ht="11.5" customHeight="1" thickBot="1" x14ac:dyDescent="0.4">
      <c r="G2" s="1" t="s">
        <v>32</v>
      </c>
    </row>
    <row r="3" spans="2:10" ht="42.65" customHeight="1" thickTop="1" thickBot="1" x14ac:dyDescent="0.4">
      <c r="E3" s="191" t="s">
        <v>43</v>
      </c>
      <c r="F3" s="192"/>
      <c r="G3" s="193" t="s">
        <v>0</v>
      </c>
      <c r="H3" s="194"/>
      <c r="I3" s="44" t="s">
        <v>30</v>
      </c>
      <c r="J3" s="45" t="s">
        <v>31</v>
      </c>
    </row>
    <row r="4" spans="2:10" ht="13" x14ac:dyDescent="0.3">
      <c r="B4" s="15" t="s">
        <v>1</v>
      </c>
      <c r="C4" s="16" t="s">
        <v>2</v>
      </c>
      <c r="D4" s="25" t="s">
        <v>44</v>
      </c>
      <c r="E4" s="24" t="s">
        <v>4</v>
      </c>
      <c r="F4" s="25" t="s">
        <v>5</v>
      </c>
      <c r="G4" s="26" t="s">
        <v>4</v>
      </c>
      <c r="H4" s="31" t="s">
        <v>5</v>
      </c>
      <c r="I4" s="42" t="s">
        <v>5</v>
      </c>
      <c r="J4" s="43" t="s">
        <v>5</v>
      </c>
    </row>
    <row r="5" spans="2:10" ht="13" outlineLevel="1" x14ac:dyDescent="0.35">
      <c r="B5" s="2" t="s">
        <v>6</v>
      </c>
      <c r="C5" s="3" t="s">
        <v>7</v>
      </c>
      <c r="D5" s="12"/>
      <c r="E5" s="17">
        <v>1000</v>
      </c>
      <c r="F5" s="19"/>
      <c r="G5" s="27">
        <v>1400</v>
      </c>
      <c r="H5" s="32"/>
      <c r="I5" s="36">
        <f>SUM(I6:I13)</f>
        <v>1</v>
      </c>
      <c r="J5" s="37">
        <v>0.98</v>
      </c>
    </row>
    <row r="6" spans="2:10" outlineLevel="1" x14ac:dyDescent="0.35">
      <c r="B6" s="5" t="s">
        <v>33</v>
      </c>
      <c r="C6" s="6" t="s">
        <v>34</v>
      </c>
      <c r="D6" s="13" t="s">
        <v>45</v>
      </c>
      <c r="E6" s="7"/>
      <c r="F6" s="20">
        <f t="shared" ref="F6:F13" si="0">E6/$E$5</f>
        <v>0</v>
      </c>
      <c r="G6" s="28">
        <v>15</v>
      </c>
      <c r="H6" s="13"/>
      <c r="I6" s="38">
        <v>0.95</v>
      </c>
      <c r="J6" s="39">
        <v>0.97</v>
      </c>
    </row>
    <row r="7" spans="2:10" outlineLevel="1" x14ac:dyDescent="0.35">
      <c r="B7" s="5" t="s">
        <v>35</v>
      </c>
      <c r="C7" s="6" t="s">
        <v>36</v>
      </c>
      <c r="D7" s="13" t="s">
        <v>45</v>
      </c>
      <c r="E7" s="7"/>
      <c r="F7" s="20">
        <f t="shared" si="0"/>
        <v>0</v>
      </c>
      <c r="G7" s="28">
        <v>1</v>
      </c>
      <c r="H7" s="13"/>
      <c r="I7" s="38">
        <v>0</v>
      </c>
      <c r="J7" s="39">
        <v>0</v>
      </c>
    </row>
    <row r="8" spans="2:10" outlineLevel="1" x14ac:dyDescent="0.35">
      <c r="B8" s="5" t="s">
        <v>37</v>
      </c>
      <c r="C8" s="6" t="s">
        <v>39</v>
      </c>
      <c r="D8" s="13" t="s">
        <v>46</v>
      </c>
      <c r="E8" s="7"/>
      <c r="F8" s="20">
        <f t="shared" si="0"/>
        <v>0</v>
      </c>
      <c r="G8" s="28">
        <v>35</v>
      </c>
      <c r="H8" s="13"/>
      <c r="I8" s="38">
        <v>0.02</v>
      </c>
      <c r="J8" s="39">
        <v>0.01</v>
      </c>
    </row>
    <row r="9" spans="2:10" outlineLevel="1" x14ac:dyDescent="0.35">
      <c r="B9" s="5" t="s">
        <v>38</v>
      </c>
      <c r="C9" s="6" t="s">
        <v>40</v>
      </c>
      <c r="D9" s="13" t="s">
        <v>45</v>
      </c>
      <c r="E9" s="7"/>
      <c r="F9" s="20">
        <f t="shared" si="0"/>
        <v>0</v>
      </c>
      <c r="G9" s="28">
        <v>1</v>
      </c>
      <c r="H9" s="13"/>
      <c r="I9" s="38">
        <v>0</v>
      </c>
      <c r="J9" s="39">
        <v>0</v>
      </c>
    </row>
    <row r="10" spans="2:10" outlineLevel="1" x14ac:dyDescent="0.35">
      <c r="B10" s="5" t="s">
        <v>41</v>
      </c>
      <c r="C10" s="6" t="s">
        <v>42</v>
      </c>
      <c r="D10" s="13" t="s">
        <v>45</v>
      </c>
      <c r="E10" s="7"/>
      <c r="F10" s="20">
        <f t="shared" si="0"/>
        <v>0</v>
      </c>
      <c r="G10" s="28">
        <v>1</v>
      </c>
      <c r="H10" s="13"/>
      <c r="I10" s="38">
        <v>0.02</v>
      </c>
      <c r="J10" s="39">
        <v>0.01</v>
      </c>
    </row>
    <row r="11" spans="2:10" outlineLevel="1" x14ac:dyDescent="0.35">
      <c r="B11" s="5"/>
      <c r="C11" s="6"/>
      <c r="D11" s="13"/>
      <c r="E11" s="7"/>
      <c r="F11" s="20">
        <f t="shared" si="0"/>
        <v>0</v>
      </c>
      <c r="G11" s="28"/>
      <c r="H11" s="13"/>
      <c r="I11" s="38">
        <v>0.01</v>
      </c>
      <c r="J11" s="39">
        <v>0</v>
      </c>
    </row>
    <row r="12" spans="2:10" outlineLevel="1" x14ac:dyDescent="0.35">
      <c r="B12" s="5"/>
      <c r="C12" s="6"/>
      <c r="D12" s="13"/>
      <c r="E12" s="7"/>
      <c r="F12" s="20">
        <f t="shared" si="0"/>
        <v>0</v>
      </c>
      <c r="G12" s="28"/>
      <c r="H12" s="13"/>
      <c r="I12" s="38">
        <v>0</v>
      </c>
      <c r="J12" s="39">
        <v>0.01</v>
      </c>
    </row>
    <row r="13" spans="2:10" ht="13" outlineLevel="1" thickBot="1" x14ac:dyDescent="0.4">
      <c r="B13" s="5"/>
      <c r="C13" s="6"/>
      <c r="D13" s="13"/>
      <c r="E13" s="18"/>
      <c r="F13" s="21">
        <f t="shared" si="0"/>
        <v>0</v>
      </c>
      <c r="G13" s="28"/>
      <c r="H13" s="13"/>
      <c r="I13" s="38">
        <v>0</v>
      </c>
      <c r="J13" s="39">
        <v>0</v>
      </c>
    </row>
    <row r="14" spans="2:10" ht="13" x14ac:dyDescent="0.3">
      <c r="B14" s="15" t="s">
        <v>20</v>
      </c>
      <c r="C14" s="16" t="s">
        <v>21</v>
      </c>
      <c r="D14" s="25" t="s">
        <v>3</v>
      </c>
      <c r="E14" s="24" t="s">
        <v>4</v>
      </c>
      <c r="F14" s="25" t="s">
        <v>5</v>
      </c>
      <c r="G14" s="29" t="s">
        <v>4</v>
      </c>
      <c r="H14" s="25" t="s">
        <v>5</v>
      </c>
      <c r="I14" s="34" t="s">
        <v>5</v>
      </c>
      <c r="J14" s="35" t="s">
        <v>5</v>
      </c>
    </row>
    <row r="15" spans="2:10" ht="13" outlineLevel="1" x14ac:dyDescent="0.35">
      <c r="B15" s="2" t="s">
        <v>22</v>
      </c>
      <c r="C15" s="3" t="s">
        <v>23</v>
      </c>
      <c r="D15" s="12" t="e">
        <f>#REF!/#REF!</f>
        <v>#REF!</v>
      </c>
      <c r="E15" s="4">
        <v>1000</v>
      </c>
      <c r="F15" s="22"/>
      <c r="G15" s="27">
        <v>1300</v>
      </c>
      <c r="H15" s="32"/>
      <c r="I15" s="36">
        <f>SUM(I16:I24)</f>
        <v>1</v>
      </c>
      <c r="J15" s="37">
        <f>SUM(J16:J24)</f>
        <v>1</v>
      </c>
    </row>
    <row r="16" spans="2:10" outlineLevel="1" x14ac:dyDescent="0.35">
      <c r="B16" s="5" t="s">
        <v>33</v>
      </c>
      <c r="C16" s="6" t="s">
        <v>34</v>
      </c>
      <c r="D16" s="13"/>
      <c r="E16" s="7">
        <v>700</v>
      </c>
      <c r="F16" s="20">
        <f>E16/$E$15</f>
        <v>0.7</v>
      </c>
      <c r="G16" s="28">
        <v>14</v>
      </c>
      <c r="H16" s="13"/>
      <c r="I16" s="38">
        <v>0.8</v>
      </c>
      <c r="J16" s="39">
        <v>0.97</v>
      </c>
    </row>
    <row r="17" spans="2:10" outlineLevel="1" x14ac:dyDescent="0.35">
      <c r="B17" s="5" t="s">
        <v>35</v>
      </c>
      <c r="C17" s="6" t="s">
        <v>36</v>
      </c>
      <c r="D17" s="13"/>
      <c r="E17" s="7">
        <v>10</v>
      </c>
      <c r="F17" s="20">
        <f t="shared" ref="F17:F24" si="1">E17/$E$15</f>
        <v>0.01</v>
      </c>
      <c r="G17" s="28">
        <v>1</v>
      </c>
      <c r="H17" s="13"/>
      <c r="I17" s="38">
        <v>0</v>
      </c>
      <c r="J17" s="39">
        <v>0</v>
      </c>
    </row>
    <row r="18" spans="2:10" outlineLevel="1" x14ac:dyDescent="0.35">
      <c r="B18" s="5" t="s">
        <v>37</v>
      </c>
      <c r="C18" s="6" t="s">
        <v>39</v>
      </c>
      <c r="D18" s="13"/>
      <c r="E18" s="7">
        <v>80</v>
      </c>
      <c r="F18" s="20">
        <f t="shared" si="1"/>
        <v>0.08</v>
      </c>
      <c r="G18" s="28">
        <v>40</v>
      </c>
      <c r="H18" s="13"/>
      <c r="I18" s="38">
        <v>0.15</v>
      </c>
      <c r="J18" s="39">
        <v>0</v>
      </c>
    </row>
    <row r="19" spans="2:10" outlineLevel="1" x14ac:dyDescent="0.35">
      <c r="B19" s="5" t="s">
        <v>38</v>
      </c>
      <c r="C19" s="6" t="s">
        <v>40</v>
      </c>
      <c r="D19" s="13"/>
      <c r="E19" s="7"/>
      <c r="F19" s="20">
        <f t="shared" si="1"/>
        <v>0</v>
      </c>
      <c r="G19" s="28">
        <v>1</v>
      </c>
      <c r="H19" s="13"/>
      <c r="I19" s="38">
        <v>0</v>
      </c>
      <c r="J19" s="39">
        <v>0</v>
      </c>
    </row>
    <row r="20" spans="2:10" outlineLevel="1" x14ac:dyDescent="0.35">
      <c r="B20" s="5" t="s">
        <v>41</v>
      </c>
      <c r="C20" s="6" t="s">
        <v>42</v>
      </c>
      <c r="D20" s="13"/>
      <c r="E20" s="7">
        <v>15</v>
      </c>
      <c r="F20" s="20">
        <f t="shared" si="1"/>
        <v>1.4999999999999999E-2</v>
      </c>
      <c r="G20" s="28">
        <v>1</v>
      </c>
      <c r="H20" s="13"/>
      <c r="I20" s="38">
        <v>0.02</v>
      </c>
      <c r="J20" s="39">
        <v>0.01</v>
      </c>
    </row>
    <row r="21" spans="2:10" outlineLevel="1" x14ac:dyDescent="0.35">
      <c r="B21" s="5"/>
      <c r="C21" s="6"/>
      <c r="D21" s="13"/>
      <c r="E21" s="7">
        <v>25</v>
      </c>
      <c r="F21" s="20">
        <f>E21/$E$15</f>
        <v>2.5000000000000001E-2</v>
      </c>
      <c r="G21" s="28"/>
      <c r="H21" s="13"/>
      <c r="I21" s="38">
        <v>0.02</v>
      </c>
      <c r="J21" s="39">
        <v>0.01</v>
      </c>
    </row>
    <row r="22" spans="2:10" ht="32.15" customHeight="1" outlineLevel="1" x14ac:dyDescent="0.35">
      <c r="B22" s="5"/>
      <c r="C22" s="6"/>
      <c r="D22" s="13"/>
      <c r="E22" s="7">
        <v>20</v>
      </c>
      <c r="F22" s="20">
        <f>E22/$E$15</f>
        <v>0.02</v>
      </c>
      <c r="G22" s="28"/>
      <c r="H22" s="13"/>
      <c r="I22" s="38">
        <v>0.01</v>
      </c>
      <c r="J22" s="39">
        <v>0</v>
      </c>
    </row>
    <row r="23" spans="2:10" outlineLevel="1" x14ac:dyDescent="0.35">
      <c r="B23" s="5"/>
      <c r="C23" s="6"/>
      <c r="D23" s="13"/>
      <c r="E23" s="7">
        <v>40</v>
      </c>
      <c r="F23" s="20">
        <f t="shared" si="1"/>
        <v>0.04</v>
      </c>
      <c r="G23" s="28"/>
      <c r="H23" s="13"/>
      <c r="I23" s="38">
        <v>0</v>
      </c>
      <c r="J23" s="39">
        <v>0.01</v>
      </c>
    </row>
    <row r="24" spans="2:10" ht="13" outlineLevel="1" thickBot="1" x14ac:dyDescent="0.4">
      <c r="B24" s="5"/>
      <c r="C24" s="6"/>
      <c r="D24" s="13"/>
      <c r="E24" s="18">
        <v>70</v>
      </c>
      <c r="F24" s="21">
        <f t="shared" si="1"/>
        <v>7.0000000000000007E-2</v>
      </c>
      <c r="G24" s="28"/>
      <c r="H24" s="13"/>
      <c r="I24" s="38">
        <v>0</v>
      </c>
      <c r="J24" s="39">
        <v>0</v>
      </c>
    </row>
    <row r="25" spans="2:10" ht="13" x14ac:dyDescent="0.3">
      <c r="B25" s="15" t="s">
        <v>26</v>
      </c>
      <c r="C25" s="16" t="s">
        <v>27</v>
      </c>
      <c r="D25" s="25" t="s">
        <v>3</v>
      </c>
      <c r="E25" s="24" t="s">
        <v>4</v>
      </c>
      <c r="F25" s="25" t="s">
        <v>5</v>
      </c>
      <c r="G25" s="29" t="s">
        <v>4</v>
      </c>
      <c r="H25" s="25" t="s">
        <v>5</v>
      </c>
      <c r="I25" s="34" t="s">
        <v>5</v>
      </c>
      <c r="J25" s="35" t="s">
        <v>5</v>
      </c>
    </row>
    <row r="26" spans="2:10" ht="13" x14ac:dyDescent="0.35">
      <c r="B26" s="2" t="s">
        <v>28</v>
      </c>
      <c r="C26" s="3" t="s">
        <v>29</v>
      </c>
      <c r="D26" s="12" t="e">
        <f>#REF!/#REF!</f>
        <v>#REF!</v>
      </c>
      <c r="E26" s="4">
        <v>1000</v>
      </c>
      <c r="F26" s="22"/>
      <c r="G26" s="27">
        <v>2000</v>
      </c>
      <c r="H26" s="32"/>
      <c r="I26" s="36">
        <f>SUM(I27:I32)</f>
        <v>1.1200000000000001</v>
      </c>
      <c r="J26" s="37">
        <f>SUM(J27:J32)</f>
        <v>1</v>
      </c>
    </row>
    <row r="27" spans="2:10" x14ac:dyDescent="0.35">
      <c r="B27" s="5" t="s">
        <v>33</v>
      </c>
      <c r="C27" s="6" t="s">
        <v>34</v>
      </c>
      <c r="D27" s="13"/>
      <c r="E27" s="7"/>
      <c r="F27" s="20">
        <f t="shared" ref="F27:F32" si="2">E27/E$26</f>
        <v>0</v>
      </c>
      <c r="G27" s="28">
        <v>9</v>
      </c>
      <c r="H27" s="13"/>
      <c r="I27" s="38">
        <v>0.92</v>
      </c>
      <c r="J27" s="39">
        <v>1</v>
      </c>
    </row>
    <row r="28" spans="2:10" x14ac:dyDescent="0.35">
      <c r="B28" s="5" t="s">
        <v>35</v>
      </c>
      <c r="C28" s="6" t="s">
        <v>36</v>
      </c>
      <c r="D28" s="13"/>
      <c r="E28" s="7"/>
      <c r="F28" s="20">
        <f t="shared" si="2"/>
        <v>0</v>
      </c>
      <c r="G28" s="28">
        <v>1</v>
      </c>
      <c r="H28" s="13"/>
      <c r="I28" s="38">
        <v>0.06</v>
      </c>
      <c r="J28" s="39">
        <v>0</v>
      </c>
    </row>
    <row r="29" spans="2:10" x14ac:dyDescent="0.35">
      <c r="B29" s="5" t="s">
        <v>37</v>
      </c>
      <c r="C29" s="6" t="s">
        <v>39</v>
      </c>
      <c r="D29" s="13"/>
      <c r="E29" s="7"/>
      <c r="F29" s="20">
        <f t="shared" si="2"/>
        <v>0</v>
      </c>
      <c r="G29" s="28">
        <v>30</v>
      </c>
      <c r="H29" s="13"/>
      <c r="I29" s="38">
        <v>0.06</v>
      </c>
      <c r="J29" s="39">
        <v>0</v>
      </c>
    </row>
    <row r="30" spans="2:10" x14ac:dyDescent="0.35">
      <c r="B30" s="5" t="s">
        <v>38</v>
      </c>
      <c r="C30" s="6" t="s">
        <v>40</v>
      </c>
      <c r="D30" s="13"/>
      <c r="E30" s="7"/>
      <c r="F30" s="20">
        <f t="shared" si="2"/>
        <v>0</v>
      </c>
      <c r="G30" s="28">
        <v>1</v>
      </c>
      <c r="H30" s="13"/>
      <c r="I30" s="38">
        <v>0.06</v>
      </c>
      <c r="J30" s="39">
        <v>0</v>
      </c>
    </row>
    <row r="31" spans="2:10" x14ac:dyDescent="0.35">
      <c r="B31" s="5" t="s">
        <v>41</v>
      </c>
      <c r="C31" s="6" t="s">
        <v>42</v>
      </c>
      <c r="D31" s="13"/>
      <c r="E31" s="7"/>
      <c r="F31" s="20">
        <f t="shared" si="2"/>
        <v>0</v>
      </c>
      <c r="G31" s="28">
        <v>1</v>
      </c>
      <c r="H31" s="13"/>
      <c r="I31" s="38"/>
      <c r="J31" s="39">
        <v>0</v>
      </c>
    </row>
    <row r="32" spans="2:10" ht="13" thickBot="1" x14ac:dyDescent="0.4">
      <c r="B32" s="8"/>
      <c r="C32" s="9"/>
      <c r="D32" s="14"/>
      <c r="E32" s="10"/>
      <c r="F32" s="23">
        <f t="shared" si="2"/>
        <v>0</v>
      </c>
      <c r="G32" s="30"/>
      <c r="H32" s="33"/>
      <c r="I32" s="40">
        <v>0.02</v>
      </c>
      <c r="J32" s="41">
        <v>0</v>
      </c>
    </row>
    <row r="33" ht="13" thickTop="1" x14ac:dyDescent="0.35"/>
  </sheetData>
  <mergeCells count="2">
    <mergeCell ref="E3:F3"/>
    <mergeCell ref="G3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165E-4E31-4479-91FF-3A18152C8618}">
  <dimension ref="B1:AE33"/>
  <sheetViews>
    <sheetView topLeftCell="B1" zoomScale="85" zoomScaleNormal="85" workbookViewId="0">
      <pane xSplit="2" ySplit="6" topLeftCell="I7" activePane="bottomRight" state="frozen"/>
      <selection activeCell="B1" sqref="B1"/>
      <selection pane="topRight" activeCell="D1" sqref="D1"/>
      <selection pane="bottomLeft" activeCell="B7" sqref="B7"/>
      <selection pane="bottomRight" activeCell="I10" sqref="I10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84"/>
      <c r="E3" s="184"/>
      <c r="F3" s="47"/>
      <c r="G3" s="47"/>
      <c r="H3" s="47"/>
      <c r="I3" s="47"/>
      <c r="J3" s="185"/>
      <c r="K3" s="185"/>
      <c r="M3" s="186" t="s">
        <v>59</v>
      </c>
      <c r="N3" s="186"/>
    </row>
    <row r="4" spans="2:31" s="60" customFormat="1" ht="58.5" customHeight="1" x14ac:dyDescent="0.35">
      <c r="B4" s="86" t="s">
        <v>81</v>
      </c>
      <c r="C4" s="88" t="s">
        <v>78</v>
      </c>
      <c r="D4" s="187" t="s">
        <v>58</v>
      </c>
      <c r="E4" s="18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6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>MAX(V5,X5,Z5)</f>
        <v>0.10667325484443603</v>
      </c>
      <c r="N5" s="94"/>
      <c r="U5" s="1" t="s">
        <v>93</v>
      </c>
      <c r="V5" s="102">
        <f>'[1]1. Đại Lộc'!$O$334</f>
        <v>0.10096034348805652</v>
      </c>
      <c r="X5" s="102">
        <f>'[1]2. Khánh Nga'!$O$39</f>
        <v>9.7733526674727331E-2</v>
      </c>
      <c r="Z5" s="102">
        <f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05">
        <v>3000</v>
      </c>
      <c r="V6" s="108">
        <f>'[3]3.CP_TAN'!$Q$78</f>
        <v>3684.4010838335184</v>
      </c>
      <c r="W6" s="108"/>
      <c r="X6" s="108">
        <f>'[3]3.CP_TAN'!$R$78</f>
        <v>2894.8842505347179</v>
      </c>
      <c r="Y6" s="108"/>
      <c r="Z6" s="108">
        <f>'[3]3.CP_TAN'!$S$78</f>
        <v>2609.6553352190908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8">
        <f t="shared" ref="J7:J14" si="2">I7/$I$6</f>
        <v>0.64224548049476693</v>
      </c>
      <c r="K7" s="63">
        <f>J7</f>
        <v>0.64224548049476693</v>
      </c>
      <c r="L7" s="188" t="s">
        <v>80</v>
      </c>
      <c r="M7" s="11">
        <f>ROUND(10000+10000*$M$5+O7,-2)</f>
        <v>14600</v>
      </c>
      <c r="N7" s="95">
        <f>M7/$M$21</f>
        <v>1.2604316546762588</v>
      </c>
      <c r="O7" s="11">
        <v>3500</v>
      </c>
      <c r="P7" s="11">
        <f>I7/F7</f>
        <v>11893.434823977166</v>
      </c>
      <c r="Q7" s="11">
        <f>$Q$6*K7</f>
        <v>1926.7364414843007</v>
      </c>
      <c r="R7" s="91">
        <f>P7+Q7</f>
        <v>13820.171265461468</v>
      </c>
      <c r="S7" s="91">
        <f>M7-R7</f>
        <v>779.82873453853244</v>
      </c>
      <c r="T7" s="92">
        <f>S7/M7</f>
        <v>5.3412927023187153E-2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>'[1]2. Khánh Nga'!O32</f>
        <v>0.52583539606738805</v>
      </c>
      <c r="Y7" s="1" t="str">
        <f>'[1]3. Đồng Lâm'!B337</f>
        <v>% Chai B1</v>
      </c>
      <c r="Z7" s="101">
        <f>'[1]3. Đồng Lâm'!O337</f>
        <v>0.50053442897045786</v>
      </c>
      <c r="AB7" s="11">
        <v>14500</v>
      </c>
      <c r="AC7" s="11">
        <v>11200</v>
      </c>
      <c r="AE7" s="106">
        <f>T7*V7</f>
        <v>3.4745197254533858E-2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9"/>
      <c r="N8" s="95">
        <f t="shared" ref="N8:N13" si="4">M8/$M$21</f>
        <v>0</v>
      </c>
      <c r="O8" s="11">
        <f>O7</f>
        <v>3500</v>
      </c>
      <c r="P8" s="11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92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8">
        <f t="shared" si="2"/>
        <v>3.1398667935299718E-2</v>
      </c>
      <c r="K9" s="63">
        <f t="shared" si="3"/>
        <v>3.1398667935299718E-2</v>
      </c>
      <c r="L9" s="189"/>
      <c r="M9" s="11">
        <f>ROUND(10000+10000*$M$5%+2000,-2)</f>
        <v>12000</v>
      </c>
      <c r="N9" s="95">
        <f t="shared" si="4"/>
        <v>1.0359712230215827</v>
      </c>
      <c r="O9" s="11">
        <v>2000</v>
      </c>
      <c r="P9" s="11">
        <f t="shared" si="5"/>
        <v>10466.222645099906</v>
      </c>
      <c r="Q9" s="11">
        <f t="shared" si="6"/>
        <v>94.196003805899153</v>
      </c>
      <c r="R9" s="91">
        <f t="shared" si="7"/>
        <v>10560.418648905805</v>
      </c>
      <c r="S9" s="91">
        <f t="shared" si="8"/>
        <v>1439.5813510941953</v>
      </c>
      <c r="T9" s="92">
        <f t="shared" si="9"/>
        <v>0.11996511259118293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>'[1]2. Khánh Nga'!O33</f>
        <v>7.8724377212196814E-2</v>
      </c>
      <c r="Y9" s="1" t="str">
        <f>'[1]3. Đồng Lâm'!B338</f>
        <v>% Chai B2.2</v>
      </c>
      <c r="Z9" s="101">
        <f>'[1]3. Đồng Lâm'!O338</f>
        <v>8.3560339784929882E-2</v>
      </c>
      <c r="AE9" s="106">
        <f>T9*V9</f>
        <v>6.4255458096220655E-4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8">
        <f t="shared" si="2"/>
        <v>1.9029495718363466E-2</v>
      </c>
      <c r="K10" s="63">
        <f t="shared" si="3"/>
        <v>1.9029495718363466E-2</v>
      </c>
      <c r="L10" s="189"/>
      <c r="M10" s="11">
        <f>ROUND(10000+10000*$M$5+500,-2)</f>
        <v>11600</v>
      </c>
      <c r="N10" s="95">
        <f>M10/$M$21</f>
        <v>1.0014388489208632</v>
      </c>
      <c r="O10" s="11">
        <v>500</v>
      </c>
      <c r="P10" s="11">
        <f t="shared" si="5"/>
        <v>9514.7478591817326</v>
      </c>
      <c r="Q10" s="11">
        <f t="shared" si="6"/>
        <v>57.088487155090398</v>
      </c>
      <c r="R10" s="91">
        <f t="shared" si="7"/>
        <v>9571.8363463368223</v>
      </c>
      <c r="S10" s="91">
        <f t="shared" si="8"/>
        <v>2028.1636536631777</v>
      </c>
      <c r="T10" s="92">
        <f t="shared" si="9"/>
        <v>0.17484169428130841</v>
      </c>
      <c r="U10" s="1" t="str">
        <f>'[1]2. Khánh Nga'!B35</f>
        <v>% Chai B4</v>
      </c>
      <c r="V10" s="101">
        <f>'[1]2. Khánh Nga'!O35</f>
        <v>1.4912633842699981E-2</v>
      </c>
      <c r="W10" s="1" t="str">
        <f>'[1]2. Khánh Nga'!B35</f>
        <v>% Chai B4</v>
      </c>
      <c r="X10" s="101">
        <f>'[1]2. Khánh Nga'!O35</f>
        <v>1.4912633842699981E-2</v>
      </c>
      <c r="Y10" s="1" t="str">
        <f>'[1]3. Đồng Lâm'!B340</f>
        <v>% Chai B4</v>
      </c>
      <c r="Z10" s="101">
        <f>'[1]3. Đồng Lâm'!O340</f>
        <v>1.9139602152341485E-2</v>
      </c>
      <c r="AE10" s="106">
        <f t="shared" si="10"/>
        <v>2.6073501672544434E-3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8">
        <f t="shared" si="2"/>
        <v>1.9029495718363466E-2</v>
      </c>
      <c r="K11" s="63">
        <f t="shared" si="3"/>
        <v>1.9029495718363466E-2</v>
      </c>
      <c r="L11" s="189"/>
      <c r="M11" s="11">
        <f>ROUND(10000+10000*$M$5+500,-2)</f>
        <v>11600</v>
      </c>
      <c r="N11" s="95">
        <f>M11/$M$21</f>
        <v>1.0014388489208632</v>
      </c>
      <c r="O11" s="11">
        <f>O10</f>
        <v>500</v>
      </c>
      <c r="P11" s="11">
        <f t="shared" si="5"/>
        <v>9514.7478591817326</v>
      </c>
      <c r="Q11" s="11">
        <f t="shared" si="6"/>
        <v>57.088487155090398</v>
      </c>
      <c r="R11" s="91">
        <f t="shared" si="7"/>
        <v>9571.8363463368223</v>
      </c>
      <c r="S11" s="91">
        <f t="shared" si="8"/>
        <v>2028.1636536631777</v>
      </c>
      <c r="T11" s="92">
        <f t="shared" si="9"/>
        <v>0.17484169428130841</v>
      </c>
      <c r="U11" s="1" t="str">
        <f>'[1]2. Khánh Nga'!B36</f>
        <v>% Chai B5</v>
      </c>
      <c r="V11" s="101">
        <f>'[1]2. Khánh Nga'!O36</f>
        <v>1.9802358600751371E-2</v>
      </c>
      <c r="W11" s="1" t="str">
        <f>'[1]2. Khánh Nga'!B36</f>
        <v>% Chai B5</v>
      </c>
      <c r="X11" s="101">
        <f>'[1]2. Khánh Nga'!O36</f>
        <v>1.9802358600751371E-2</v>
      </c>
      <c r="Y11" s="1" t="str">
        <f>'[1]3. Đồng Lâm'!B341</f>
        <v>% Chai B5</v>
      </c>
      <c r="Z11" s="101">
        <f>'[1]3. Đồng Lâm'!O341</f>
        <v>1.0656981591639593E-2</v>
      </c>
      <c r="AE11" s="106">
        <f t="shared" si="10"/>
        <v>3.4622779285214096E-3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9"/>
      <c r="N12" s="95">
        <f t="shared" si="4"/>
        <v>0</v>
      </c>
      <c r="O12" s="11">
        <f>O8</f>
        <v>3500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92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8">
        <f t="shared" si="2"/>
        <v>0.28258801141769746</v>
      </c>
      <c r="K13" s="63">
        <f t="shared" si="3"/>
        <v>0.28258801141769746</v>
      </c>
      <c r="L13" s="189"/>
      <c r="M13" s="11">
        <f>ROUND(10000+10000*$M$5+2500,-2)</f>
        <v>13600</v>
      </c>
      <c r="N13" s="95">
        <f t="shared" si="4"/>
        <v>1.1741007194244604</v>
      </c>
      <c r="O13" s="11">
        <f>O9</f>
        <v>2000</v>
      </c>
      <c r="P13" s="11">
        <f t="shared" si="5"/>
        <v>10466.222645099906</v>
      </c>
      <c r="Q13" s="11">
        <f t="shared" si="6"/>
        <v>847.7640342530924</v>
      </c>
      <c r="R13" s="91">
        <f t="shared" si="7"/>
        <v>11313.986679352998</v>
      </c>
      <c r="S13" s="91">
        <f t="shared" si="8"/>
        <v>2286.0133206470018</v>
      </c>
      <c r="T13" s="92">
        <f t="shared" si="9"/>
        <v>0.16808921475345601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>'[1]2. Khánh Nga'!O34</f>
        <v>0.23118716545900386</v>
      </c>
      <c r="Y13" s="1" t="str">
        <f>'[1]3. Đồng Lâm'!B339</f>
        <v>% Chai B6.2</v>
      </c>
      <c r="Z13" s="101">
        <f>'[1]3. Đồng Lâm'!O339</f>
        <v>0.2675725318949379</v>
      </c>
      <c r="AE13" s="106">
        <f t="shared" si="10"/>
        <v>3.2223765175751685E-2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8">
        <f t="shared" si="2"/>
        <v>5.708848715509039E-3</v>
      </c>
      <c r="K14" s="63">
        <f t="shared" si="3"/>
        <v>5.708848715509039E-3</v>
      </c>
      <c r="L14" s="190"/>
      <c r="M14" s="11">
        <f>ROUND(10000+10000*$M$5-5000,-2)</f>
        <v>6100</v>
      </c>
      <c r="N14" s="95">
        <f>M14/$M$21</f>
        <v>0.52661870503597119</v>
      </c>
      <c r="O14" s="11">
        <v>-5000</v>
      </c>
      <c r="P14" s="11">
        <f t="shared" si="5"/>
        <v>5708.8487155090388</v>
      </c>
      <c r="Q14" s="11">
        <f t="shared" si="6"/>
        <v>17.126546146527119</v>
      </c>
      <c r="R14" s="91">
        <f t="shared" si="7"/>
        <v>5725.9752616555661</v>
      </c>
      <c r="S14" s="91">
        <f t="shared" si="8"/>
        <v>374.0247383444339</v>
      </c>
      <c r="T14" s="92">
        <f t="shared" si="9"/>
        <v>6.1315530876136705E-2</v>
      </c>
      <c r="U14" s="1" t="str">
        <f>'[1]2. Khánh Nga'!B37</f>
        <v>% Nắp</v>
      </c>
      <c r="V14" s="101">
        <f>'[1]2. Khánh Nga'!O37</f>
        <v>3.1786114872826871E-2</v>
      </c>
      <c r="W14" s="1" t="str">
        <f>'[1]2. Khánh Nga'!B37</f>
        <v>% Nắp</v>
      </c>
      <c r="X14" s="101">
        <f>'[1]2. Khánh Nga'!O37</f>
        <v>3.1786114872826871E-2</v>
      </c>
      <c r="Y14" s="1" t="str">
        <f>'[1]3. Đồng Lâm'!B342</f>
        <v>% Nắp</v>
      </c>
      <c r="Z14" s="101">
        <f>'[1]3. Đồng Lâm'!O342</f>
        <v>2.9470813123704601E-3</v>
      </c>
      <c r="AE14" s="106">
        <f t="shared" si="10"/>
        <v>1.9489825079172442E-3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92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92" t="e">
        <f t="shared" si="9"/>
        <v>#DIV/0!</v>
      </c>
      <c r="U16" s="1" t="str">
        <f>'[1]2. Khánh Nga'!B38</f>
        <v>% Chai B7.2</v>
      </c>
      <c r="V16" s="101">
        <f>'[1]2. Khánh Nga'!O38</f>
        <v>1.8427270405582469E-5</v>
      </c>
      <c r="W16" s="1" t="str">
        <f>'[1]2. Khánh Nga'!B38</f>
        <v>% Chai B7.2</v>
      </c>
      <c r="X16" s="101">
        <f>'[1]2. Khánh Nga'!O38</f>
        <v>1.8427270405582469E-5</v>
      </c>
      <c r="Y16" s="1" t="str">
        <f>'[1]3. Đồng Lâm'!B343</f>
        <v>% Phó sản</v>
      </c>
      <c r="Z16" s="101">
        <f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92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92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92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92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10000000.000000002</v>
      </c>
      <c r="J21" s="83"/>
      <c r="K21" s="83"/>
      <c r="L21" s="83"/>
      <c r="M21" s="53">
        <f>AVERAGE(M7:M19)</f>
        <v>11583.333333333334</v>
      </c>
      <c r="N21" s="97"/>
      <c r="O21" s="54"/>
      <c r="P21" s="11">
        <f t="shared" si="5"/>
        <v>11235.955056179777</v>
      </c>
      <c r="T21" s="92">
        <f t="shared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87" t="s">
        <v>58</v>
      </c>
      <c r="E24" s="18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82" t="s">
        <v>80</v>
      </c>
      <c r="M27" s="11">
        <v>18500</v>
      </c>
      <c r="N27" s="100">
        <f>M27/$M$31</f>
        <v>1.3214285714285714</v>
      </c>
      <c r="O27" s="11">
        <f>O9</f>
        <v>2000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83"/>
      <c r="M28" s="11">
        <v>9500</v>
      </c>
      <c r="N28" s="100">
        <f>M28/$M$31</f>
        <v>0.6785714285714286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14000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20DB-FD01-4A23-A39B-F65EC97BC0DF}">
  <dimension ref="B1:AF33"/>
  <sheetViews>
    <sheetView topLeftCell="B1" zoomScale="85" zoomScaleNormal="85" workbookViewId="0">
      <pane xSplit="2" ySplit="6" topLeftCell="F23" activePane="bottomRight" state="frozen"/>
      <selection activeCell="B1" sqref="B1"/>
      <selection pane="topRight" activeCell="D1" sqref="D1"/>
      <selection pane="bottomLeft" activeCell="B7" sqref="B7"/>
      <selection pane="bottomRight" activeCell="M27" sqref="M27:M28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32" width="9.1796875" style="1" bestFit="1" customWidth="1"/>
    <col min="33" max="16384" width="8.7265625" style="1"/>
  </cols>
  <sheetData>
    <row r="1" spans="2:32" ht="11.5" customHeight="1" x14ac:dyDescent="0.35"/>
    <row r="2" spans="2:32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2" ht="13" x14ac:dyDescent="0.35">
      <c r="D3" s="184"/>
      <c r="E3" s="184"/>
      <c r="F3" s="47"/>
      <c r="G3" s="47"/>
      <c r="H3" s="47"/>
      <c r="I3" s="47"/>
      <c r="J3" s="185"/>
      <c r="K3" s="185"/>
      <c r="M3" s="186" t="s">
        <v>59</v>
      </c>
      <c r="N3" s="186"/>
      <c r="P3" s="176" t="s">
        <v>145</v>
      </c>
    </row>
    <row r="4" spans="2:32" s="60" customFormat="1" ht="58.5" customHeight="1" x14ac:dyDescent="0.35">
      <c r="B4" s="86" t="s">
        <v>81</v>
      </c>
      <c r="C4" s="88" t="s">
        <v>78</v>
      </c>
      <c r="D4" s="187" t="s">
        <v>58</v>
      </c>
      <c r="E4" s="18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177" t="s">
        <v>84</v>
      </c>
      <c r="Q4" s="60" t="s">
        <v>85</v>
      </c>
      <c r="R4" s="60" t="s">
        <v>86</v>
      </c>
      <c r="S4" s="60" t="s">
        <v>87</v>
      </c>
      <c r="T4" s="6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2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>MAX(V5,X5,Z5)</f>
        <v>0.10667325484443603</v>
      </c>
      <c r="N5" s="94"/>
      <c r="U5" s="1" t="s">
        <v>93</v>
      </c>
      <c r="V5" s="102">
        <f>'[1]1. Đại Lộc'!$O$334</f>
        <v>0.10096034348805652</v>
      </c>
      <c r="X5" s="102">
        <f>'[1]2. Khánh Nga'!$O$39</f>
        <v>9.7733526674727331E-2</v>
      </c>
      <c r="Z5" s="102">
        <f>'[1]3. Đồng Lâm'!$O$344</f>
        <v>0.10667325484443603</v>
      </c>
    </row>
    <row r="6" spans="2:32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D6*$M$6</f>
        <v>9700000</v>
      </c>
      <c r="J6" s="62">
        <f>SUM(J7:J19)</f>
        <v>1</v>
      </c>
      <c r="K6" s="62">
        <f>SUM(K7:K19)</f>
        <v>1</v>
      </c>
      <c r="L6" s="62"/>
      <c r="M6" s="175">
        <v>9700</v>
      </c>
      <c r="N6" s="94"/>
      <c r="Q6" s="105">
        <v>3000</v>
      </c>
      <c r="V6" s="108">
        <f>'[3]3.CP_TAN'!$Q$78</f>
        <v>3684.4010838335184</v>
      </c>
      <c r="W6" s="108"/>
      <c r="X6" s="108">
        <f>'[3]3.CP_TAN'!$R$78</f>
        <v>2894.8842505347179</v>
      </c>
      <c r="Y6" s="108"/>
      <c r="Z6" s="108">
        <f>'[3]3.CP_TAN'!$S$78</f>
        <v>2609.6553352190908</v>
      </c>
      <c r="AB6" s="11">
        <v>10000</v>
      </c>
    </row>
    <row r="7" spans="2:32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6229781.1607992388</v>
      </c>
      <c r="J7" s="68">
        <f t="shared" ref="J7:J14" si="2">I7/$I$6</f>
        <v>0.64224548049476693</v>
      </c>
      <c r="K7" s="63">
        <f>J7</f>
        <v>0.64224548049476693</v>
      </c>
      <c r="L7" s="188" t="s">
        <v>80</v>
      </c>
      <c r="M7" s="11">
        <f>ROUND($M$6+$M$6*$M$5+O7,-2)</f>
        <v>14600</v>
      </c>
      <c r="N7" s="95">
        <f>M7/$M$21</f>
        <v>1.2863436123348018</v>
      </c>
      <c r="O7" s="173">
        <v>3900</v>
      </c>
      <c r="P7" s="103">
        <f>I7/F7</f>
        <v>11536.63177925785</v>
      </c>
      <c r="Q7" s="11">
        <f>$Q$6*K7</f>
        <v>1926.7364414843007</v>
      </c>
      <c r="R7" s="91">
        <f>P7+Q7</f>
        <v>13463.368220742152</v>
      </c>
      <c r="S7" s="91">
        <f>M7-R7</f>
        <v>1136.6317792578484</v>
      </c>
      <c r="T7" s="92">
        <f>S7/M7</f>
        <v>7.7851491729989619E-2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>'[1]2. Khánh Nga'!O32</f>
        <v>0.52583539606738805</v>
      </c>
      <c r="Y7" s="1" t="str">
        <f>'[1]3. Đồng Lâm'!B337</f>
        <v>% Chai B1</v>
      </c>
      <c r="Z7" s="101">
        <f>'[1]3. Đồng Lâm'!O337</f>
        <v>0.50053442897045786</v>
      </c>
      <c r="AB7" s="11">
        <v>14500</v>
      </c>
      <c r="AC7" s="11">
        <v>11200</v>
      </c>
      <c r="AE7" s="106">
        <f>T7*V7</f>
        <v>5.0642523963233564E-2</v>
      </c>
      <c r="AF7" s="11">
        <f>ROUND($M$6+$M$6*$M$5,-2)</f>
        <v>10700</v>
      </c>
    </row>
    <row r="8" spans="2:32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9"/>
      <c r="N8" s="95">
        <f t="shared" ref="N8:N12" si="4">M8/$M$21</f>
        <v>0</v>
      </c>
      <c r="O8" s="11">
        <f>O7</f>
        <v>3900</v>
      </c>
      <c r="P8" s="103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92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2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304567.07897240727</v>
      </c>
      <c r="J9" s="68">
        <f t="shared" si="2"/>
        <v>3.1398667935299718E-2</v>
      </c>
      <c r="K9" s="63">
        <f t="shared" si="3"/>
        <v>3.1398667935299718E-2</v>
      </c>
      <c r="L9" s="189"/>
      <c r="M9" s="11">
        <f>ROUND($M$6+$M$6*$M$5+O9,-2)</f>
        <v>12700</v>
      </c>
      <c r="N9" s="95">
        <f>M9/$M$21</f>
        <v>1.1189427312775331</v>
      </c>
      <c r="O9" s="11">
        <v>2000</v>
      </c>
      <c r="P9" s="103">
        <f t="shared" si="5"/>
        <v>10152.23596574691</v>
      </c>
      <c r="Q9" s="11">
        <f t="shared" si="6"/>
        <v>94.196003805899153</v>
      </c>
      <c r="R9" s="91">
        <f t="shared" si="7"/>
        <v>10246.431969552808</v>
      </c>
      <c r="S9" s="91">
        <f t="shared" si="8"/>
        <v>2453.5680304471916</v>
      </c>
      <c r="T9" s="92">
        <f t="shared" si="9"/>
        <v>0.19319433310607809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>'[1]2. Khánh Nga'!O33</f>
        <v>7.8724377212196814E-2</v>
      </c>
      <c r="Y9" s="1" t="str">
        <f>'[1]3. Đồng Lâm'!B338</f>
        <v>% Chai B2.2</v>
      </c>
      <c r="Z9" s="101">
        <f>'[1]3. Đồng Lâm'!O338</f>
        <v>8.3560339784929882E-2</v>
      </c>
      <c r="AE9" s="106">
        <f>T9*V9</f>
        <v>1.034783372198266E-3</v>
      </c>
    </row>
    <row r="10" spans="2:32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184586.1084681256</v>
      </c>
      <c r="J10" s="68">
        <f t="shared" si="2"/>
        <v>1.9029495718363463E-2</v>
      </c>
      <c r="K10" s="63">
        <f t="shared" si="3"/>
        <v>1.9029495718363463E-2</v>
      </c>
      <c r="L10" s="189"/>
      <c r="M10" s="11">
        <f>ROUND($M$6+$M$6*$M$5+O10,-2)</f>
        <v>11200</v>
      </c>
      <c r="N10" s="95">
        <f>M10/$M$21</f>
        <v>0.986784140969163</v>
      </c>
      <c r="O10" s="11">
        <v>500</v>
      </c>
      <c r="P10" s="103">
        <f t="shared" si="5"/>
        <v>9229.3054234062802</v>
      </c>
      <c r="Q10" s="11">
        <f t="shared" si="6"/>
        <v>57.088487155090391</v>
      </c>
      <c r="R10" s="91">
        <f t="shared" si="7"/>
        <v>9286.3939105613699</v>
      </c>
      <c r="S10" s="91">
        <f t="shared" si="8"/>
        <v>1913.6060894386301</v>
      </c>
      <c r="T10" s="92">
        <f t="shared" si="9"/>
        <v>0.17085768655702055</v>
      </c>
      <c r="U10" s="1" t="str">
        <f>'[1]2. Khánh Nga'!B35</f>
        <v>% Chai B4</v>
      </c>
      <c r="V10" s="101">
        <f>'[1]2. Khánh Nga'!O35</f>
        <v>1.4912633842699981E-2</v>
      </c>
      <c r="W10" s="1" t="str">
        <f>'[1]2. Khánh Nga'!B35</f>
        <v>% Chai B4</v>
      </c>
      <c r="X10" s="101">
        <f>'[1]2. Khánh Nga'!O35</f>
        <v>1.4912633842699981E-2</v>
      </c>
      <c r="Y10" s="1" t="str">
        <f>'[1]3. Đồng Lâm'!B340</f>
        <v>% Chai B4</v>
      </c>
      <c r="Z10" s="101">
        <f>'[1]3. Đồng Lâm'!O340</f>
        <v>1.9139602152341485E-2</v>
      </c>
      <c r="AE10" s="106">
        <f t="shared" si="10"/>
        <v>2.5479381188356501E-3</v>
      </c>
    </row>
    <row r="11" spans="2:32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184586.1084681256</v>
      </c>
      <c r="J11" s="68">
        <f t="shared" si="2"/>
        <v>1.9029495718363463E-2</v>
      </c>
      <c r="K11" s="63">
        <f t="shared" si="3"/>
        <v>1.9029495718363463E-2</v>
      </c>
      <c r="L11" s="189"/>
      <c r="M11" s="11">
        <f>ROUND($M$6+$M$6*$M$5+O11,-2)</f>
        <v>11200</v>
      </c>
      <c r="N11" s="95">
        <f>M11/$M$21</f>
        <v>0.986784140969163</v>
      </c>
      <c r="O11" s="11">
        <f>O10</f>
        <v>500</v>
      </c>
      <c r="P11" s="103">
        <f t="shared" si="5"/>
        <v>9229.3054234062802</v>
      </c>
      <c r="Q11" s="11">
        <f t="shared" si="6"/>
        <v>57.088487155090391</v>
      </c>
      <c r="R11" s="91">
        <f t="shared" si="7"/>
        <v>9286.3939105613699</v>
      </c>
      <c r="S11" s="91">
        <f t="shared" si="8"/>
        <v>1913.6060894386301</v>
      </c>
      <c r="T11" s="92">
        <f t="shared" si="9"/>
        <v>0.17085768655702055</v>
      </c>
      <c r="U11" s="1" t="str">
        <f>'[1]2. Khánh Nga'!B36</f>
        <v>% Chai B5</v>
      </c>
      <c r="V11" s="101">
        <f>'[1]2. Khánh Nga'!O36</f>
        <v>1.9802358600751371E-2</v>
      </c>
      <c r="W11" s="1" t="str">
        <f>'[1]2. Khánh Nga'!B36</f>
        <v>% Chai B5</v>
      </c>
      <c r="X11" s="101">
        <f>'[1]2. Khánh Nga'!O36</f>
        <v>1.9802358600751371E-2</v>
      </c>
      <c r="Y11" s="1" t="str">
        <f>'[1]3. Đồng Lâm'!B341</f>
        <v>% Chai B5</v>
      </c>
      <c r="Z11" s="101">
        <f>'[1]3. Đồng Lâm'!O341</f>
        <v>1.0656981591639593E-2</v>
      </c>
      <c r="AE11" s="106">
        <f t="shared" si="10"/>
        <v>3.3833851788968978E-3</v>
      </c>
    </row>
    <row r="12" spans="2:32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9"/>
      <c r="N12" s="95">
        <f t="shared" si="4"/>
        <v>0</v>
      </c>
      <c r="O12" s="11">
        <f>O8</f>
        <v>3900</v>
      </c>
      <c r="P12" s="103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92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2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2741103.7107516653</v>
      </c>
      <c r="J13" s="68">
        <f t="shared" si="2"/>
        <v>0.28258801141769746</v>
      </c>
      <c r="K13" s="63">
        <f t="shared" si="3"/>
        <v>0.28258801141769746</v>
      </c>
      <c r="L13" s="189"/>
      <c r="M13" s="11">
        <f>ROUND($M$6+$M$6*$M$5+O13,-2)</f>
        <v>12700</v>
      </c>
      <c r="N13" s="95">
        <f>M13/$M$21</f>
        <v>1.1189427312775331</v>
      </c>
      <c r="O13" s="11">
        <f>O9</f>
        <v>2000</v>
      </c>
      <c r="P13" s="103">
        <f t="shared" si="5"/>
        <v>10152.235965746908</v>
      </c>
      <c r="Q13" s="11">
        <f t="shared" si="6"/>
        <v>847.7640342530924</v>
      </c>
      <c r="R13" s="91">
        <f t="shared" si="7"/>
        <v>11000</v>
      </c>
      <c r="S13" s="91">
        <f t="shared" si="8"/>
        <v>1700</v>
      </c>
      <c r="T13" s="92">
        <f t="shared" si="9"/>
        <v>0.13385826771653545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>'[1]2. Khánh Nga'!O34</f>
        <v>0.23118716545900386</v>
      </c>
      <c r="Y13" s="1" t="str">
        <f>'[1]3. Đồng Lâm'!B339</f>
        <v>% Chai B6.2</v>
      </c>
      <c r="Z13" s="101">
        <f>'[1]3. Đồng Lâm'!O339</f>
        <v>0.2675725318949379</v>
      </c>
      <c r="AE13" s="106">
        <f t="shared" si="10"/>
        <v>2.5661476211053896E-2</v>
      </c>
    </row>
    <row r="14" spans="2:32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55375.832540437681</v>
      </c>
      <c r="J14" s="68">
        <f t="shared" si="2"/>
        <v>5.708848715509039E-3</v>
      </c>
      <c r="K14" s="63">
        <f t="shared" si="3"/>
        <v>5.708848715509039E-3</v>
      </c>
      <c r="L14" s="190"/>
      <c r="M14" s="11">
        <f>ROUND($M$6+$M$6*$M$5+O14,-2)</f>
        <v>5700</v>
      </c>
      <c r="N14" s="95">
        <f>M14/$M$21</f>
        <v>0.50220264317180618</v>
      </c>
      <c r="O14" s="11">
        <v>-5000</v>
      </c>
      <c r="P14" s="103">
        <f t="shared" si="5"/>
        <v>5537.5832540437677</v>
      </c>
      <c r="Q14" s="11">
        <f t="shared" si="6"/>
        <v>17.126546146527119</v>
      </c>
      <c r="R14" s="91">
        <f t="shared" si="7"/>
        <v>5554.709800190295</v>
      </c>
      <c r="S14" s="91">
        <f t="shared" si="8"/>
        <v>145.29019980970497</v>
      </c>
      <c r="T14" s="92">
        <f t="shared" si="9"/>
        <v>2.5489508738544733E-2</v>
      </c>
      <c r="U14" s="1" t="str">
        <f>'[1]2. Khánh Nga'!B37</f>
        <v>% Nắp</v>
      </c>
      <c r="V14" s="101">
        <f>'[1]2. Khánh Nga'!O37</f>
        <v>3.1786114872826871E-2</v>
      </c>
      <c r="W14" s="1" t="str">
        <f>'[1]2. Khánh Nga'!B37</f>
        <v>% Nắp</v>
      </c>
      <c r="X14" s="101">
        <f>'[1]2. Khánh Nga'!O37</f>
        <v>3.1786114872826871E-2</v>
      </c>
      <c r="Y14" s="1" t="str">
        <f>'[1]3. Đồng Lâm'!B342</f>
        <v>% Nắp</v>
      </c>
      <c r="Z14" s="101">
        <f>'[1]3. Đồng Lâm'!O342</f>
        <v>2.9470813123704601E-3</v>
      </c>
      <c r="AE14" s="106">
        <f t="shared" si="10"/>
        <v>8.1021245281530721E-4</v>
      </c>
    </row>
    <row r="15" spans="2:32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03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92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2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O16" s="11">
        <v>-1000</v>
      </c>
      <c r="P16" s="103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92" t="e">
        <f t="shared" si="9"/>
        <v>#DIV/0!</v>
      </c>
      <c r="U16" s="1" t="str">
        <f>'[1]2. Khánh Nga'!B38</f>
        <v>% Chai B7.2</v>
      </c>
      <c r="V16" s="101">
        <f>'[1]2. Khánh Nga'!O38</f>
        <v>1.8427270405582469E-5</v>
      </c>
      <c r="W16" s="1" t="str">
        <f>'[1]2. Khánh Nga'!B38</f>
        <v>% Chai B7.2</v>
      </c>
      <c r="X16" s="101">
        <f>'[1]2. Khánh Nga'!O38</f>
        <v>1.8427270405582469E-5</v>
      </c>
      <c r="Y16" s="1" t="str">
        <f>'[1]3. Đồng Lâm'!B343</f>
        <v>% Phó sản</v>
      </c>
      <c r="Z16" s="101">
        <f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O17" s="11">
        <v>2000</v>
      </c>
      <c r="P17" s="103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92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03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92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03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92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03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92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9700000</v>
      </c>
      <c r="J21" s="83"/>
      <c r="K21" s="83"/>
      <c r="L21" s="83"/>
      <c r="M21" s="53">
        <f>AVERAGE(M7:M19)</f>
        <v>11350</v>
      </c>
      <c r="N21" s="97"/>
      <c r="O21" s="54"/>
      <c r="P21" s="103">
        <f t="shared" si="5"/>
        <v>10898.876404494382</v>
      </c>
      <c r="T21" s="92">
        <f t="shared" si="9"/>
        <v>0</v>
      </c>
    </row>
    <row r="22" spans="2:20" x14ac:dyDescent="0.35">
      <c r="P22" s="103">
        <f>10000/(F21/1000)-P21</f>
        <v>337.0786516853932</v>
      </c>
    </row>
    <row r="24" spans="2:20" s="60" customFormat="1" ht="54.75" customHeight="1" x14ac:dyDescent="0.35">
      <c r="B24" s="86" t="s">
        <v>82</v>
      </c>
      <c r="C24" s="86" t="s">
        <v>79</v>
      </c>
      <c r="D24" s="187" t="s">
        <v>58</v>
      </c>
      <c r="E24" s="18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6091341.5794481449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5911048.1711769523</v>
      </c>
      <c r="J27" s="63">
        <f>I27/$I$26</f>
        <v>0.97040169133192389</v>
      </c>
      <c r="K27" s="63">
        <f>J27</f>
        <v>0.97040169133192389</v>
      </c>
      <c r="L27" s="182" t="s">
        <v>80</v>
      </c>
      <c r="M27" s="11">
        <f>ROUND($M$13+O27,-2)</f>
        <v>15200</v>
      </c>
      <c r="N27" s="100">
        <f>M27/$M$31</f>
        <v>1.2991452991452992</v>
      </c>
      <c r="O27" s="11">
        <f>O9+500</f>
        <v>2500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180293.40827119243</v>
      </c>
      <c r="J28" s="63">
        <f>I28/$I$26</f>
        <v>2.9598308668076105E-2</v>
      </c>
      <c r="K28" s="63">
        <f>J28</f>
        <v>2.9598308668076105E-2</v>
      </c>
      <c r="L28" s="183"/>
      <c r="M28" s="11">
        <f>ROUND($M$14+O28,-2)</f>
        <v>8200</v>
      </c>
      <c r="N28" s="100">
        <f>M28/$M$31</f>
        <v>0.70085470085470081</v>
      </c>
      <c r="O28" s="11">
        <f>O27</f>
        <v>2500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11700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6E05-5963-4B37-ACFC-2338A0147336}">
  <dimension ref="B1:AE33"/>
  <sheetViews>
    <sheetView topLeftCell="B1" zoomScale="70" zoomScaleNormal="70" workbookViewId="0">
      <pane xSplit="2" ySplit="6" topLeftCell="J9" activePane="bottomRight" state="frozen"/>
      <selection activeCell="B1" sqref="B1"/>
      <selection pane="topRight" activeCell="D1" sqref="D1"/>
      <selection pane="bottomLeft" activeCell="B7" sqref="B7"/>
      <selection pane="bottomRight" activeCell="L7" sqref="L7:L14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84"/>
      <c r="E3" s="184"/>
      <c r="F3" s="47"/>
      <c r="G3" s="47"/>
      <c r="H3" s="47"/>
      <c r="I3" s="47"/>
      <c r="J3" s="185"/>
      <c r="K3" s="185"/>
      <c r="M3" s="186" t="s">
        <v>59</v>
      </c>
      <c r="N3" s="186"/>
    </row>
    <row r="4" spans="2:31" s="60" customFormat="1" ht="58.5" customHeight="1" x14ac:dyDescent="0.35">
      <c r="B4" s="86" t="s">
        <v>81</v>
      </c>
      <c r="C4" s="88" t="s">
        <v>78</v>
      </c>
      <c r="D4" s="187" t="s">
        <v>58</v>
      </c>
      <c r="E4" s="18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6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>MAX(V5,X5,Z5)</f>
        <v>0.10667325484443603</v>
      </c>
      <c r="N5" s="94"/>
      <c r="U5" s="1" t="s">
        <v>93</v>
      </c>
      <c r="V5" s="102">
        <f>'[1]1. Đại Lộc'!$O$334</f>
        <v>0.10096034348805652</v>
      </c>
      <c r="X5" s="102">
        <f>'[1]2. Khánh Nga'!$O$39</f>
        <v>9.7733526674727331E-2</v>
      </c>
      <c r="Z5" s="102">
        <f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05">
        <v>3000</v>
      </c>
      <c r="V6" s="108">
        <f>'[2]3.CP_TAN'!$Q$78*1000</f>
        <v>3684.4010838335198</v>
      </c>
      <c r="W6" s="108"/>
      <c r="X6" s="108">
        <f>'[2]3.CP_TAN'!$R$78*1000</f>
        <v>2894.8842505347156</v>
      </c>
      <c r="Y6" s="108"/>
      <c r="Z6" s="108">
        <f>'[2]3.CP_TAN'!$S$78*1000</f>
        <v>2609.6553352190926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6422454.8049476696</v>
      </c>
      <c r="J7" s="68">
        <f t="shared" ref="J7:J14" si="2">I7/$I$6</f>
        <v>0.64224548049476693</v>
      </c>
      <c r="K7" s="63">
        <f>J7</f>
        <v>0.64224548049476693</v>
      </c>
      <c r="L7" s="188" t="s">
        <v>80</v>
      </c>
      <c r="M7" s="11">
        <f>ROUND(10000+10000*$M$5+O7,-2)</f>
        <v>15000</v>
      </c>
      <c r="N7" s="95">
        <f>M7/$M$21</f>
        <v>1.2875536480686696</v>
      </c>
      <c r="O7" s="173">
        <v>3900</v>
      </c>
      <c r="P7" s="11">
        <f>I7/F7</f>
        <v>11893.434823977166</v>
      </c>
      <c r="Q7" s="11">
        <f>$Q$6*K7</f>
        <v>1926.7364414843007</v>
      </c>
      <c r="R7" s="91">
        <f>P7+Q7</f>
        <v>13820.171265461468</v>
      </c>
      <c r="S7" s="91">
        <f>M7-R7</f>
        <v>1179.8287345385324</v>
      </c>
      <c r="T7" s="92">
        <f>S7/M7</f>
        <v>7.8655248969235494E-2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>'[1]2. Khánh Nga'!O32</f>
        <v>0.52583539606738805</v>
      </c>
      <c r="Y7" s="1" t="str">
        <f>'[1]3. Đồng Lâm'!B337</f>
        <v>% Chai B1</v>
      </c>
      <c r="Z7" s="101">
        <f>'[1]3. Đồng Lâm'!O337</f>
        <v>0.50053442897045786</v>
      </c>
      <c r="AB7" s="11">
        <v>14500</v>
      </c>
      <c r="AC7" s="11">
        <v>11200</v>
      </c>
      <c r="AE7" s="106">
        <f>T7*V7</f>
        <v>5.1165369374986308E-2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9"/>
      <c r="N8" s="95">
        <f t="shared" ref="N8:N12" si="4">M8/$M$21</f>
        <v>0</v>
      </c>
      <c r="O8" s="11">
        <f>O7</f>
        <v>3900</v>
      </c>
      <c r="P8" s="11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92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313986.67935299716</v>
      </c>
      <c r="J9" s="68">
        <f t="shared" si="2"/>
        <v>3.1398667935299718E-2</v>
      </c>
      <c r="K9" s="63">
        <f t="shared" si="3"/>
        <v>3.1398667935299718E-2</v>
      </c>
      <c r="L9" s="189"/>
      <c r="M9" s="11">
        <f>ROUND(10000+10000*$M$5%+2000,-2)</f>
        <v>12000</v>
      </c>
      <c r="N9" s="95">
        <f>M9/$M$21</f>
        <v>1.0300429184549356</v>
      </c>
      <c r="O9" s="11">
        <v>2000</v>
      </c>
      <c r="P9" s="11">
        <f t="shared" si="5"/>
        <v>10466.222645099906</v>
      </c>
      <c r="Q9" s="11">
        <f t="shared" si="6"/>
        <v>94.196003805899153</v>
      </c>
      <c r="R9" s="91">
        <f t="shared" si="7"/>
        <v>10560.418648905805</v>
      </c>
      <c r="S9" s="91">
        <f t="shared" si="8"/>
        <v>1439.5813510941953</v>
      </c>
      <c r="T9" s="92">
        <f t="shared" si="9"/>
        <v>0.11996511259118293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>'[1]2. Khánh Nga'!O33</f>
        <v>7.8724377212196814E-2</v>
      </c>
      <c r="Y9" s="1" t="str">
        <f>'[1]3. Đồng Lâm'!B338</f>
        <v>% Chai B2.2</v>
      </c>
      <c r="Z9" s="101">
        <f>'[1]3. Đồng Lâm'!O338</f>
        <v>8.3560339784929882E-2</v>
      </c>
      <c r="AE9" s="106">
        <f>T9*V9</f>
        <v>6.4255458096220655E-4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190294.95718363466</v>
      </c>
      <c r="J10" s="68">
        <f t="shared" si="2"/>
        <v>1.9029495718363466E-2</v>
      </c>
      <c r="K10" s="63">
        <f t="shared" si="3"/>
        <v>1.9029495718363466E-2</v>
      </c>
      <c r="L10" s="189"/>
      <c r="M10" s="11">
        <f>ROUND(10000+10000*$M$5+500,-2)</f>
        <v>11600</v>
      </c>
      <c r="N10" s="95">
        <f>M10/$M$21</f>
        <v>0.99570815450643779</v>
      </c>
      <c r="O10" s="11">
        <v>500</v>
      </c>
      <c r="P10" s="11">
        <f t="shared" si="5"/>
        <v>9514.7478591817326</v>
      </c>
      <c r="Q10" s="11">
        <f t="shared" si="6"/>
        <v>57.088487155090398</v>
      </c>
      <c r="R10" s="91">
        <f t="shared" si="7"/>
        <v>9571.8363463368223</v>
      </c>
      <c r="S10" s="91">
        <f t="shared" si="8"/>
        <v>2028.1636536631777</v>
      </c>
      <c r="T10" s="92">
        <f t="shared" si="9"/>
        <v>0.17484169428130841</v>
      </c>
      <c r="U10" s="1" t="str">
        <f>'[1]2. Khánh Nga'!B35</f>
        <v>% Chai B4</v>
      </c>
      <c r="V10" s="101">
        <f>'[1]2. Khánh Nga'!O35</f>
        <v>1.4912633842699981E-2</v>
      </c>
      <c r="W10" s="1" t="str">
        <f>'[1]2. Khánh Nga'!B35</f>
        <v>% Chai B4</v>
      </c>
      <c r="X10" s="101">
        <f>'[1]2. Khánh Nga'!O35</f>
        <v>1.4912633842699981E-2</v>
      </c>
      <c r="Y10" s="1" t="str">
        <f>'[1]3. Đồng Lâm'!B340</f>
        <v>% Chai B4</v>
      </c>
      <c r="Z10" s="101">
        <f>'[1]3. Đồng Lâm'!O340</f>
        <v>1.9139602152341485E-2</v>
      </c>
      <c r="AE10" s="106">
        <f t="shared" si="10"/>
        <v>2.6073501672544434E-3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190294.95718363466</v>
      </c>
      <c r="J11" s="68">
        <f t="shared" si="2"/>
        <v>1.9029495718363466E-2</v>
      </c>
      <c r="K11" s="63">
        <f t="shared" si="3"/>
        <v>1.9029495718363466E-2</v>
      </c>
      <c r="L11" s="189"/>
      <c r="M11" s="11">
        <f>ROUND(10000+10000*$M$5+500,-2)</f>
        <v>11600</v>
      </c>
      <c r="N11" s="95">
        <f>M11/$M$21</f>
        <v>0.99570815450643779</v>
      </c>
      <c r="O11" s="11">
        <f>O10</f>
        <v>500</v>
      </c>
      <c r="P11" s="11">
        <f t="shared" si="5"/>
        <v>9514.7478591817326</v>
      </c>
      <c r="Q11" s="11">
        <f t="shared" si="6"/>
        <v>57.088487155090398</v>
      </c>
      <c r="R11" s="91">
        <f t="shared" si="7"/>
        <v>9571.8363463368223</v>
      </c>
      <c r="S11" s="91">
        <f t="shared" si="8"/>
        <v>2028.1636536631777</v>
      </c>
      <c r="T11" s="92">
        <f t="shared" si="9"/>
        <v>0.17484169428130841</v>
      </c>
      <c r="U11" s="1" t="str">
        <f>'[1]2. Khánh Nga'!B36</f>
        <v>% Chai B5</v>
      </c>
      <c r="V11" s="101">
        <f>'[1]2. Khánh Nga'!O36</f>
        <v>1.9802358600751371E-2</v>
      </c>
      <c r="W11" s="1" t="str">
        <f>'[1]2. Khánh Nga'!B36</f>
        <v>% Chai B5</v>
      </c>
      <c r="X11" s="101">
        <f>'[1]2. Khánh Nga'!O36</f>
        <v>1.9802358600751371E-2</v>
      </c>
      <c r="Y11" s="1" t="str">
        <f>'[1]3. Đồng Lâm'!B341</f>
        <v>% Chai B5</v>
      </c>
      <c r="Z11" s="101">
        <f>'[1]3. Đồng Lâm'!O341</f>
        <v>1.0656981591639593E-2</v>
      </c>
      <c r="AE11" s="106">
        <f t="shared" si="10"/>
        <v>3.4622779285214096E-3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9"/>
      <c r="N12" s="95">
        <f t="shared" si="4"/>
        <v>0</v>
      </c>
      <c r="O12" s="11">
        <f>O8</f>
        <v>3900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92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2825880.1141769746</v>
      </c>
      <c r="J13" s="68">
        <f t="shared" si="2"/>
        <v>0.28258801141769746</v>
      </c>
      <c r="K13" s="63">
        <f t="shared" si="3"/>
        <v>0.28258801141769746</v>
      </c>
      <c r="L13" s="189"/>
      <c r="M13" s="11">
        <f>ROUND(10000+10000*$M$5+2500,-2)</f>
        <v>13600</v>
      </c>
      <c r="N13" s="95">
        <f>M13/$M$21</f>
        <v>1.1673819742489271</v>
      </c>
      <c r="O13" s="11">
        <f>O9</f>
        <v>2000</v>
      </c>
      <c r="P13" s="11">
        <f t="shared" si="5"/>
        <v>10466.222645099906</v>
      </c>
      <c r="Q13" s="11">
        <f t="shared" si="6"/>
        <v>847.7640342530924</v>
      </c>
      <c r="R13" s="91">
        <f t="shared" si="7"/>
        <v>11313.986679352998</v>
      </c>
      <c r="S13" s="91">
        <f t="shared" si="8"/>
        <v>2286.0133206470018</v>
      </c>
      <c r="T13" s="92">
        <f t="shared" si="9"/>
        <v>0.16808921475345601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>'[1]2. Khánh Nga'!O34</f>
        <v>0.23118716545900386</v>
      </c>
      <c r="Y13" s="1" t="str">
        <f>'[1]3. Đồng Lâm'!B339</f>
        <v>% Chai B6.2</v>
      </c>
      <c r="Z13" s="101">
        <f>'[1]3. Đồng Lâm'!O339</f>
        <v>0.2675725318949379</v>
      </c>
      <c r="AE13" s="106">
        <f t="shared" si="10"/>
        <v>3.2223765175751685E-2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57088.487155090392</v>
      </c>
      <c r="J14" s="68">
        <f t="shared" si="2"/>
        <v>5.708848715509039E-3</v>
      </c>
      <c r="K14" s="63">
        <f t="shared" si="3"/>
        <v>5.708848715509039E-3</v>
      </c>
      <c r="L14" s="190"/>
      <c r="M14" s="11">
        <f>ROUND(10000+10000*$M$5-5000,-2)</f>
        <v>6100</v>
      </c>
      <c r="N14" s="95">
        <f>M14/$M$21</f>
        <v>0.52360515021459231</v>
      </c>
      <c r="O14" s="11">
        <v>-5000</v>
      </c>
      <c r="P14" s="11">
        <f t="shared" si="5"/>
        <v>5708.8487155090388</v>
      </c>
      <c r="Q14" s="11">
        <f t="shared" si="6"/>
        <v>17.126546146527119</v>
      </c>
      <c r="R14" s="91">
        <f t="shared" si="7"/>
        <v>5725.9752616555661</v>
      </c>
      <c r="S14" s="91">
        <f t="shared" si="8"/>
        <v>374.0247383444339</v>
      </c>
      <c r="T14" s="92">
        <f t="shared" si="9"/>
        <v>6.1315530876136705E-2</v>
      </c>
      <c r="U14" s="1" t="str">
        <f>'[1]2. Khánh Nga'!B37</f>
        <v>% Nắp</v>
      </c>
      <c r="V14" s="101">
        <f>'[1]2. Khánh Nga'!O37</f>
        <v>3.1786114872826871E-2</v>
      </c>
      <c r="W14" s="1" t="str">
        <f>'[1]2. Khánh Nga'!B37</f>
        <v>% Nắp</v>
      </c>
      <c r="X14" s="101">
        <f>'[1]2. Khánh Nga'!O37</f>
        <v>3.1786114872826871E-2</v>
      </c>
      <c r="Y14" s="1" t="str">
        <f>'[1]3. Đồng Lâm'!B342</f>
        <v>% Nắp</v>
      </c>
      <c r="Z14" s="101">
        <f>'[1]3. Đồng Lâm'!O342</f>
        <v>2.9470813123704601E-3</v>
      </c>
      <c r="AE14" s="106">
        <f t="shared" si="10"/>
        <v>1.9489825079172442E-3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92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92" t="e">
        <f t="shared" si="9"/>
        <v>#DIV/0!</v>
      </c>
      <c r="U16" s="1" t="str">
        <f>'[1]2. Khánh Nga'!B38</f>
        <v>% Chai B7.2</v>
      </c>
      <c r="V16" s="101">
        <f>'[1]2. Khánh Nga'!O38</f>
        <v>1.8427270405582469E-5</v>
      </c>
      <c r="W16" s="1" t="str">
        <f>'[1]2. Khánh Nga'!B38</f>
        <v>% Chai B7.2</v>
      </c>
      <c r="X16" s="101">
        <f>'[1]2. Khánh Nga'!O38</f>
        <v>1.8427270405582469E-5</v>
      </c>
      <c r="Y16" s="1" t="str">
        <f>'[1]3. Đồng Lâm'!B343</f>
        <v>% Phó sản</v>
      </c>
      <c r="Z16" s="101">
        <f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92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92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92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92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10000000.000000002</v>
      </c>
      <c r="J21" s="83"/>
      <c r="K21" s="83"/>
      <c r="L21" s="83"/>
      <c r="M21" s="53">
        <f>AVERAGE(M7:M19)</f>
        <v>11650</v>
      </c>
      <c r="N21" s="97"/>
      <c r="O21" s="54"/>
      <c r="P21" s="11">
        <f t="shared" si="5"/>
        <v>11235.955056179777</v>
      </c>
      <c r="T21" s="92">
        <f t="shared" si="9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87" t="s">
        <v>58</v>
      </c>
      <c r="E24" s="18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82" t="s">
        <v>80</v>
      </c>
      <c r="M27" s="11">
        <f>ROUND($M$13+O27,-2)</f>
        <v>16100</v>
      </c>
      <c r="N27" s="100">
        <f>M27/$M$31</f>
        <v>1.3036437246963564</v>
      </c>
      <c r="O27" s="11">
        <f>O9+500</f>
        <v>2500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83"/>
      <c r="M28" s="11">
        <f>ROUND($M$14+O28,-2)</f>
        <v>8600</v>
      </c>
      <c r="N28" s="100">
        <f>M28/$M$31</f>
        <v>0.69635627530364375</v>
      </c>
      <c r="O28" s="11">
        <f>O27</f>
        <v>2500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12350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29C8-2A1B-4AF6-A4C6-2B61852156E8}">
  <dimension ref="B1:AE33"/>
  <sheetViews>
    <sheetView tabSelected="1" topLeftCell="B1" zoomScale="85" zoomScaleNormal="85" workbookViewId="0">
      <pane xSplit="2" ySplit="6" topLeftCell="M7" activePane="bottomRight" state="frozen"/>
      <selection activeCell="B1" sqref="B1"/>
      <selection pane="topRight" activeCell="D1" sqref="D1"/>
      <selection pane="bottomLeft" activeCell="B7" sqref="B7"/>
      <selection pane="bottomRight" activeCell="R11" sqref="R11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84"/>
      <c r="E3" s="184"/>
      <c r="F3" s="47"/>
      <c r="G3" s="47"/>
      <c r="H3" s="47"/>
      <c r="I3" s="47"/>
      <c r="J3" s="185"/>
      <c r="K3" s="185"/>
      <c r="M3" s="186" t="s">
        <v>59</v>
      </c>
      <c r="N3" s="186"/>
    </row>
    <row r="4" spans="2:31" s="60" customFormat="1" ht="58.5" customHeight="1" x14ac:dyDescent="0.35">
      <c r="B4" s="86" t="s">
        <v>81</v>
      </c>
      <c r="C4" s="88" t="s">
        <v>78</v>
      </c>
      <c r="D4" s="187" t="s">
        <v>58</v>
      </c>
      <c r="E4" s="18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178" t="s">
        <v>84</v>
      </c>
      <c r="Q4" s="60" t="s">
        <v>85</v>
      </c>
      <c r="R4" s="60" t="s">
        <v>86</v>
      </c>
      <c r="S4" s="60" t="s">
        <v>87</v>
      </c>
      <c r="T4" s="17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>V5</f>
        <v>0.10096034348805652</v>
      </c>
      <c r="N5" s="94"/>
      <c r="T5" s="171"/>
      <c r="U5" s="1" t="s">
        <v>93</v>
      </c>
      <c r="V5" s="102">
        <f>'[1]1. Đại Lộc'!$O$334</f>
        <v>0.10096034348805652</v>
      </c>
      <c r="X5" s="102">
        <f>'[1]2. Khánh Nga'!$O$39</f>
        <v>9.7733526674727331E-2</v>
      </c>
      <c r="Z5" s="102">
        <f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D6*9500</f>
        <v>9500000</v>
      </c>
      <c r="J6" s="62">
        <f>SUM(J7:J19)</f>
        <v>1</v>
      </c>
      <c r="K6" s="62">
        <f>SUM(K7:K19)</f>
        <v>1</v>
      </c>
      <c r="L6" s="62"/>
      <c r="N6" s="94"/>
      <c r="Q6" s="105">
        <f>V6</f>
        <v>3684.4010838335198</v>
      </c>
      <c r="T6" s="171"/>
      <c r="V6" s="181">
        <f>'[2]3.CP_TAN'!$Q$78*1000</f>
        <v>3684.4010838335198</v>
      </c>
      <c r="W6" s="108"/>
      <c r="X6" s="108">
        <f>'[2]3.CP_TAN'!$R$78*1000</f>
        <v>2894.8842505347156</v>
      </c>
      <c r="Y6" s="108"/>
      <c r="Z6" s="108">
        <f>'[2]3.CP_TAN'!$S$78*1000</f>
        <v>2609.6553352190926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>F7*G7</f>
        <v>675</v>
      </c>
      <c r="I7" s="67">
        <f t="shared" ref="I7:I14" si="0">$I$6/$H$21*H7</f>
        <v>6101332.0647002859</v>
      </c>
      <c r="J7" s="68">
        <f t="shared" ref="J7:J14" si="1">I7/$I$6</f>
        <v>0.64224548049476693</v>
      </c>
      <c r="K7" s="63">
        <f>J7</f>
        <v>0.64224548049476693</v>
      </c>
      <c r="L7" s="188" t="s">
        <v>80</v>
      </c>
      <c r="M7" s="11">
        <f>ROUND(10000+10000*$M$5+O7,-2)</f>
        <v>14500</v>
      </c>
      <c r="N7" s="180">
        <f>M7/$M$21</f>
        <v>1.2608695652173914</v>
      </c>
      <c r="O7" s="11">
        <v>3500</v>
      </c>
      <c r="P7" s="179">
        <f>I7/F7</f>
        <v>11298.763082778307</v>
      </c>
      <c r="Q7" s="11">
        <f>$Q$6*K7</f>
        <v>2366.2899444220989</v>
      </c>
      <c r="R7" s="91">
        <f>P7+Q7</f>
        <v>13665.053027200405</v>
      </c>
      <c r="S7" s="91">
        <f>M7-R7</f>
        <v>834.94697279959473</v>
      </c>
      <c r="T7" s="172">
        <f>S7/M7</f>
        <v>5.7582549848247913E-2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>'[1]2. Khánh Nga'!O32</f>
        <v>0.52583539606738805</v>
      </c>
      <c r="Y7" s="1" t="str">
        <f>'[1]3. Đồng Lâm'!B337</f>
        <v>% Chai B1</v>
      </c>
      <c r="Z7" s="101">
        <f>'[1]3. Đồng Lâm'!O337</f>
        <v>0.50053442897045786</v>
      </c>
      <c r="AB7" s="11">
        <v>14500</v>
      </c>
      <c r="AC7" s="11">
        <v>11200</v>
      </c>
      <c r="AE7" s="106">
        <f>T7*V7</f>
        <v>3.7457543789500038E-2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ref="H8:H14" si="2">F8*G8</f>
        <v>0</v>
      </c>
      <c r="I8" s="67">
        <f t="shared" si="0"/>
        <v>0</v>
      </c>
      <c r="J8" s="68">
        <f t="shared" si="1"/>
        <v>0</v>
      </c>
      <c r="K8" s="63">
        <f t="shared" ref="K8:K14" si="3">J8</f>
        <v>0</v>
      </c>
      <c r="L8" s="189"/>
      <c r="N8" s="180">
        <f t="shared" ref="N8:N12" si="4">M8/$M$21</f>
        <v>0</v>
      </c>
      <c r="O8" s="11">
        <f>O7</f>
        <v>3500</v>
      </c>
      <c r="P8" s="179" t="e">
        <f t="shared" ref="P8:P20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169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2"/>
        <v>33</v>
      </c>
      <c r="I9" s="67">
        <f t="shared" si="0"/>
        <v>298287.34538534732</v>
      </c>
      <c r="J9" s="68">
        <f t="shared" si="1"/>
        <v>3.1398667935299718E-2</v>
      </c>
      <c r="K9" s="63">
        <f t="shared" si="3"/>
        <v>3.1398667935299718E-2</v>
      </c>
      <c r="L9" s="189"/>
      <c r="M9" s="11">
        <f>ROUND(10000+10000*$M$5%+2000,-2)</f>
        <v>12000</v>
      </c>
      <c r="N9" s="180">
        <f t="shared" si="4"/>
        <v>1.0434782608695652</v>
      </c>
      <c r="O9" s="11">
        <v>2000</v>
      </c>
      <c r="P9" s="179">
        <f>I9/F9</f>
        <v>9942.9115128449102</v>
      </c>
      <c r="Q9" s="11">
        <f t="shared" si="6"/>
        <v>115.68528617174707</v>
      </c>
      <c r="R9" s="91">
        <f t="shared" si="7"/>
        <v>10058.596799016657</v>
      </c>
      <c r="S9" s="91">
        <f t="shared" si="8"/>
        <v>1941.4032009833427</v>
      </c>
      <c r="T9" s="169">
        <f t="shared" si="9"/>
        <v>0.16178360008194523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>'[1]2. Khánh Nga'!O33</f>
        <v>7.8724377212196814E-2</v>
      </c>
      <c r="Y9" s="1" t="str">
        <f>'[1]3. Đồng Lâm'!B338</f>
        <v>% Chai B2.2</v>
      </c>
      <c r="Z9" s="101">
        <f>'[1]3. Đồng Lâm'!O338</f>
        <v>8.3560339784929882E-2</v>
      </c>
      <c r="AE9" s="106">
        <f>T9*V9</f>
        <v>8.6654187298159443E-4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2"/>
        <v>20</v>
      </c>
      <c r="I10" s="67">
        <f t="shared" si="0"/>
        <v>180780.20932445291</v>
      </c>
      <c r="J10" s="68">
        <f t="shared" si="1"/>
        <v>1.9029495718363463E-2</v>
      </c>
      <c r="K10" s="63">
        <f t="shared" si="3"/>
        <v>1.9029495718363463E-2</v>
      </c>
      <c r="L10" s="189"/>
      <c r="M10" s="11">
        <f>ROUND(10000+10000*$M$5+500,-2)</f>
        <v>11500</v>
      </c>
      <c r="N10" s="180">
        <f>M10/$M$21</f>
        <v>1</v>
      </c>
      <c r="O10" s="11">
        <v>500</v>
      </c>
      <c r="P10" s="179">
        <f t="shared" si="5"/>
        <v>9039.0104662226458</v>
      </c>
      <c r="Q10" s="11">
        <f t="shared" si="6"/>
        <v>70.112294649543671</v>
      </c>
      <c r="R10" s="91">
        <f t="shared" si="7"/>
        <v>9109.1227608721892</v>
      </c>
      <c r="S10" s="91">
        <f t="shared" si="8"/>
        <v>2390.8772391278108</v>
      </c>
      <c r="T10" s="169">
        <f t="shared" si="9"/>
        <v>0.20790236861980962</v>
      </c>
      <c r="U10" s="1" t="str">
        <f>'[1]2. Khánh Nga'!B35</f>
        <v>% Chai B4</v>
      </c>
      <c r="V10" s="101">
        <f>'[1]2. Khánh Nga'!O35</f>
        <v>1.4912633842699981E-2</v>
      </c>
      <c r="W10" s="1" t="str">
        <f>'[1]2. Khánh Nga'!B35</f>
        <v>% Chai B4</v>
      </c>
      <c r="X10" s="101">
        <f>'[1]2. Khánh Nga'!O35</f>
        <v>1.4912633842699981E-2</v>
      </c>
      <c r="Y10" s="1" t="str">
        <f>'[1]3. Đồng Lâm'!B340</f>
        <v>% Chai B4</v>
      </c>
      <c r="Z10" s="101">
        <f>'[1]3. Đồng Lâm'!O340</f>
        <v>1.9139602152341485E-2</v>
      </c>
      <c r="AE10" s="106">
        <f t="shared" si="10"/>
        <v>3.1003718982572596E-3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2"/>
        <v>20</v>
      </c>
      <c r="I11" s="67">
        <f t="shared" si="0"/>
        <v>180780.20932445291</v>
      </c>
      <c r="J11" s="68">
        <f t="shared" si="1"/>
        <v>1.9029495718363463E-2</v>
      </c>
      <c r="K11" s="63">
        <f t="shared" si="3"/>
        <v>1.9029495718363463E-2</v>
      </c>
      <c r="L11" s="189"/>
      <c r="M11" s="11">
        <f>ROUND(10000+10000*$M$5+500,-2)</f>
        <v>11500</v>
      </c>
      <c r="N11" s="180">
        <f>M11/$M$21</f>
        <v>1</v>
      </c>
      <c r="O11" s="11">
        <f>O10</f>
        <v>500</v>
      </c>
      <c r="P11" s="179">
        <f t="shared" si="5"/>
        <v>9039.0104662226458</v>
      </c>
      <c r="Q11" s="11">
        <f t="shared" si="6"/>
        <v>70.112294649543671</v>
      </c>
      <c r="R11" s="91">
        <f t="shared" si="7"/>
        <v>9109.1227608721892</v>
      </c>
      <c r="S11" s="91">
        <f t="shared" si="8"/>
        <v>2390.8772391278108</v>
      </c>
      <c r="T11" s="169">
        <f t="shared" si="9"/>
        <v>0.20790236861980962</v>
      </c>
      <c r="U11" s="1" t="str">
        <f>'[1]2. Khánh Nga'!B36</f>
        <v>% Chai B5</v>
      </c>
      <c r="V11" s="101">
        <f>'[1]2. Khánh Nga'!O36</f>
        <v>1.9802358600751371E-2</v>
      </c>
      <c r="W11" s="1" t="str">
        <f>'[1]2. Khánh Nga'!B36</f>
        <v>% Chai B5</v>
      </c>
      <c r="X11" s="101">
        <f>'[1]2. Khánh Nga'!O36</f>
        <v>1.9802358600751371E-2</v>
      </c>
      <c r="Y11" s="1" t="str">
        <f>'[1]3. Đồng Lâm'!B341</f>
        <v>% Chai B5</v>
      </c>
      <c r="Z11" s="101">
        <f>'[1]3. Đồng Lâm'!O341</f>
        <v>1.0656981591639593E-2</v>
      </c>
      <c r="AE11" s="106">
        <f t="shared" si="10"/>
        <v>4.1169572573550688E-3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2"/>
        <v>0</v>
      </c>
      <c r="I12" s="67">
        <f t="shared" si="0"/>
        <v>0</v>
      </c>
      <c r="J12" s="68">
        <f t="shared" si="1"/>
        <v>0</v>
      </c>
      <c r="K12" s="63">
        <f t="shared" si="3"/>
        <v>0</v>
      </c>
      <c r="L12" s="189"/>
      <c r="N12" s="180">
        <f t="shared" si="4"/>
        <v>0</v>
      </c>
      <c r="O12" s="11">
        <f>O8</f>
        <v>3500</v>
      </c>
      <c r="P12" s="179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169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2"/>
        <v>297</v>
      </c>
      <c r="I13" s="67">
        <f t="shared" si="0"/>
        <v>2684586.108468126</v>
      </c>
      <c r="J13" s="68">
        <f t="shared" si="1"/>
        <v>0.28258801141769746</v>
      </c>
      <c r="K13" s="63">
        <f t="shared" si="3"/>
        <v>0.28258801141769746</v>
      </c>
      <c r="L13" s="189"/>
      <c r="M13" s="11">
        <f>ROUND(10000+10000*$M$5+2500,-2)</f>
        <v>13500</v>
      </c>
      <c r="N13" s="180">
        <f>M13/$M$21</f>
        <v>1.173913043478261</v>
      </c>
      <c r="O13" s="11">
        <f>O9</f>
        <v>2000</v>
      </c>
      <c r="P13" s="179">
        <f t="shared" si="5"/>
        <v>9942.9115128449121</v>
      </c>
      <c r="Q13" s="11">
        <f t="shared" si="6"/>
        <v>1041.1675755457236</v>
      </c>
      <c r="R13" s="91">
        <f t="shared" si="7"/>
        <v>10984.079088390636</v>
      </c>
      <c r="S13" s="91">
        <f t="shared" si="8"/>
        <v>2515.9209116093643</v>
      </c>
      <c r="T13" s="169">
        <f t="shared" si="9"/>
        <v>0.18636451197106402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>'[1]2. Khánh Nga'!O34</f>
        <v>0.23118716545900386</v>
      </c>
      <c r="Y13" s="1" t="str">
        <f>'[1]3. Đồng Lâm'!B339</f>
        <v>% Chai B6.2</v>
      </c>
      <c r="Z13" s="101">
        <f>'[1]3. Đồng Lâm'!O339</f>
        <v>0.2675725318949379</v>
      </c>
      <c r="AE13" s="106">
        <f t="shared" si="10"/>
        <v>3.5727255193960368E-2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2"/>
        <v>6</v>
      </c>
      <c r="I14" s="67">
        <f t="shared" si="0"/>
        <v>54234.062797335879</v>
      </c>
      <c r="J14" s="68">
        <f t="shared" si="1"/>
        <v>5.7088487155090399E-3</v>
      </c>
      <c r="K14" s="63">
        <f t="shared" si="3"/>
        <v>5.7088487155090399E-3</v>
      </c>
      <c r="L14" s="190"/>
      <c r="M14" s="11">
        <f>ROUND(10000+10000*$M$5-5000,-2)</f>
        <v>6000</v>
      </c>
      <c r="N14" s="180">
        <f>M14/$M$21</f>
        <v>0.52173913043478259</v>
      </c>
      <c r="O14" s="11">
        <v>-5000</v>
      </c>
      <c r="P14" s="179">
        <f t="shared" si="5"/>
        <v>5423.4062797335882</v>
      </c>
      <c r="Q14" s="11">
        <f t="shared" si="6"/>
        <v>21.033688394863105</v>
      </c>
      <c r="R14" s="91">
        <f t="shared" si="7"/>
        <v>5444.4399681284513</v>
      </c>
      <c r="S14" s="91">
        <f t="shared" si="8"/>
        <v>555.56003187154874</v>
      </c>
      <c r="T14" s="169">
        <f t="shared" si="9"/>
        <v>9.2593338645258122E-2</v>
      </c>
      <c r="U14" s="1" t="str">
        <f>'[1]2. Khánh Nga'!B37</f>
        <v>% Nắp</v>
      </c>
      <c r="V14" s="101">
        <f>'[1]2. Khánh Nga'!O37</f>
        <v>3.1786114872826871E-2</v>
      </c>
      <c r="W14" s="1" t="str">
        <f>'[1]2. Khánh Nga'!B37</f>
        <v>% Nắp</v>
      </c>
      <c r="X14" s="101">
        <f>'[1]2. Khánh Nga'!O37</f>
        <v>3.1786114872826871E-2</v>
      </c>
      <c r="Y14" s="1" t="str">
        <f>'[1]3. Đồng Lâm'!B342</f>
        <v>% Nắp</v>
      </c>
      <c r="Z14" s="101">
        <f>'[1]3. Đồng Lâm'!O342</f>
        <v>2.9470813123704601E-3</v>
      </c>
      <c r="AE14" s="106">
        <f t="shared" si="10"/>
        <v>2.9431824986367342E-3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79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169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O16" s="11">
        <v>-1000</v>
      </c>
      <c r="P16" s="179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169" t="e">
        <f t="shared" si="9"/>
        <v>#DIV/0!</v>
      </c>
      <c r="U16" s="1" t="str">
        <f>'[1]2. Khánh Nga'!B38</f>
        <v>% Chai B7.2</v>
      </c>
      <c r="V16" s="101">
        <f>'[1]2. Khánh Nga'!O38</f>
        <v>1.8427270405582469E-5</v>
      </c>
      <c r="W16" s="1" t="str">
        <f>'[1]2. Khánh Nga'!B38</f>
        <v>% Chai B7.2</v>
      </c>
      <c r="X16" s="101">
        <f>'[1]2. Khánh Nga'!O38</f>
        <v>1.8427270405582469E-5</v>
      </c>
      <c r="Y16" s="1" t="str">
        <f>'[1]3. Đồng Lâm'!B343</f>
        <v>% Phó sản</v>
      </c>
      <c r="Z16" s="101">
        <f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O17" s="11">
        <v>2000</v>
      </c>
      <c r="P17" s="179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169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79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169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79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169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79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169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9500000.0000000019</v>
      </c>
      <c r="J21" s="83"/>
      <c r="K21" s="83"/>
      <c r="L21" s="83"/>
      <c r="M21" s="53">
        <f>AVERAGE(M7:M19)</f>
        <v>11500</v>
      </c>
      <c r="N21" s="97"/>
      <c r="O21" s="54"/>
      <c r="P21" s="179">
        <f>I21/F21</f>
        <v>10674.157303370788</v>
      </c>
      <c r="T21" s="169">
        <f t="shared" si="9"/>
        <v>0</v>
      </c>
    </row>
    <row r="22" spans="2:20" x14ac:dyDescent="0.35">
      <c r="P22" s="11">
        <f>10000/(F21/1000)-P21</f>
        <v>561.79775280898684</v>
      </c>
    </row>
    <row r="24" spans="2:20" s="60" customFormat="1" ht="54.75" customHeight="1" x14ac:dyDescent="0.35">
      <c r="B24" s="86" t="s">
        <v>82</v>
      </c>
      <c r="C24" s="86" t="s">
        <v>79</v>
      </c>
      <c r="D24" s="187" t="s">
        <v>58</v>
      </c>
      <c r="E24" s="18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5965746.9077069471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5789170.8892970169</v>
      </c>
      <c r="J27" s="63">
        <f>I27/$I$26</f>
        <v>0.970401691331924</v>
      </c>
      <c r="K27" s="63">
        <f>J27</f>
        <v>0.970401691331924</v>
      </c>
      <c r="L27" s="182" t="s">
        <v>80</v>
      </c>
      <c r="M27" s="11">
        <f>ROUND($M$13+O27,-2)</f>
        <v>16000</v>
      </c>
      <c r="N27" s="100">
        <f>M27/$M$31</f>
        <v>1.3061224489795917</v>
      </c>
      <c r="O27" s="11">
        <f>O9+500</f>
        <v>2500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176576.01840993078</v>
      </c>
      <c r="J28" s="63">
        <f>I28/$I$26</f>
        <v>2.9598308668076109E-2</v>
      </c>
      <c r="K28" s="63">
        <f>J28</f>
        <v>2.9598308668076109E-2</v>
      </c>
      <c r="L28" s="183"/>
      <c r="M28" s="11">
        <f>ROUND($M$14+O28,-2)</f>
        <v>8500</v>
      </c>
      <c r="N28" s="100">
        <f>M28/$M$31</f>
        <v>0.69387755102040816</v>
      </c>
      <c r="O28" s="11">
        <f>O27</f>
        <v>2500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12250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764A-FDEC-4EE8-924E-3C1B1CCC31AE}">
  <dimension ref="B1:AE33"/>
  <sheetViews>
    <sheetView topLeftCell="B1" zoomScale="85" zoomScaleNormal="85" workbookViewId="0">
      <pane xSplit="2" ySplit="6" topLeftCell="M7" activePane="bottomRight" state="frozen"/>
      <selection activeCell="B1" sqref="B1"/>
      <selection pane="topRight" activeCell="D1" sqref="D1"/>
      <selection pane="bottomLeft" activeCell="B7" sqref="B7"/>
      <selection pane="bottomRight" activeCell="T7" sqref="T7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84"/>
      <c r="E3" s="184"/>
      <c r="F3" s="47"/>
      <c r="G3" s="47"/>
      <c r="H3" s="47"/>
      <c r="I3" s="47"/>
      <c r="J3" s="185"/>
      <c r="K3" s="185"/>
      <c r="M3" s="186" t="s">
        <v>59</v>
      </c>
      <c r="N3" s="186"/>
    </row>
    <row r="4" spans="2:31" s="60" customFormat="1" ht="58.5" customHeight="1" x14ac:dyDescent="0.35">
      <c r="B4" s="86" t="s">
        <v>81</v>
      </c>
      <c r="C4" s="88" t="s">
        <v>78</v>
      </c>
      <c r="D4" s="187" t="s">
        <v>58</v>
      </c>
      <c r="E4" s="18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17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M5" s="102">
        <f>X5</f>
        <v>9.7733526674727331E-2</v>
      </c>
      <c r="N5" s="94"/>
      <c r="T5" s="171"/>
      <c r="U5" s="1" t="s">
        <v>93</v>
      </c>
      <c r="V5" s="102">
        <f>'[1]1. Đại Lộc'!$O$334</f>
        <v>0.10096034348805652</v>
      </c>
      <c r="X5" s="102">
        <f>'[1]2. Khánh Nga'!$O$39</f>
        <v>9.7733526674727331E-2</v>
      </c>
      <c r="Z5" s="102">
        <f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D6*9500</f>
        <v>9500000</v>
      </c>
      <c r="J6" s="62">
        <f>SUM(J7:J19)</f>
        <v>1</v>
      </c>
      <c r="K6" s="62">
        <f>SUM(K7:K19)</f>
        <v>1</v>
      </c>
      <c r="L6" s="62"/>
      <c r="N6" s="94"/>
      <c r="Q6" s="105">
        <f>X6</f>
        <v>2894.8842505347156</v>
      </c>
      <c r="T6" s="171"/>
      <c r="V6" s="108">
        <f>'[2]3.CP_TAN'!$Q$78*1000</f>
        <v>3684.4010838335198</v>
      </c>
      <c r="W6" s="108"/>
      <c r="X6" s="181">
        <f>'[2]3.CP_TAN'!$R$78*1000</f>
        <v>2894.8842505347156</v>
      </c>
      <c r="Y6" s="108"/>
      <c r="Z6" s="108">
        <f>'[2]3.CP_TAN'!$S$78*1000</f>
        <v>2609.6553352190926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6101332.0647002859</v>
      </c>
      <c r="J7" s="68">
        <f t="shared" ref="J7:J14" si="2">I7/$I$6</f>
        <v>0.64224548049476693</v>
      </c>
      <c r="K7" s="63">
        <f>J7</f>
        <v>0.64224548049476693</v>
      </c>
      <c r="L7" s="188" t="s">
        <v>80</v>
      </c>
      <c r="M7" s="11">
        <f>ROUND(10000+10000*$M$5+O7,-2)</f>
        <v>14500</v>
      </c>
      <c r="N7" s="95">
        <f>M7/$M$21</f>
        <v>1.2608695652173914</v>
      </c>
      <c r="O7" s="11">
        <v>3500</v>
      </c>
      <c r="P7" s="11">
        <f>I7/F7</f>
        <v>11298.763082778307</v>
      </c>
      <c r="Q7" s="11">
        <f>$Q$6*K7</f>
        <v>1859.2263264614016</v>
      </c>
      <c r="R7" s="91">
        <f>P7+Q7</f>
        <v>13157.989409239708</v>
      </c>
      <c r="S7" s="91">
        <f>M7-R7</f>
        <v>1342.010590760292</v>
      </c>
      <c r="T7" s="169">
        <f>S7/M7</f>
        <v>9.2552454535192549E-2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>'[1]2. Khánh Nga'!O32</f>
        <v>0.52583539606738805</v>
      </c>
      <c r="Y7" s="1" t="str">
        <f>'[1]3. Đồng Lâm'!B337</f>
        <v>% Chai B1</v>
      </c>
      <c r="Z7" s="101">
        <f>'[1]3. Đồng Lâm'!O337</f>
        <v>0.50053442897045786</v>
      </c>
      <c r="AB7" s="11">
        <v>14500</v>
      </c>
      <c r="AC7" s="11">
        <v>11200</v>
      </c>
      <c r="AE7" s="106">
        <f>T7*V7</f>
        <v>6.020552455064946E-2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9"/>
      <c r="N8" s="95">
        <f t="shared" ref="N8:N13" si="4">M8/$M$21</f>
        <v>0</v>
      </c>
      <c r="O8" s="11">
        <f>O7</f>
        <v>3500</v>
      </c>
      <c r="P8" s="11" t="e">
        <f t="shared" ref="P8:P21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169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298287.34538534732</v>
      </c>
      <c r="J9" s="68">
        <f t="shared" si="2"/>
        <v>3.1398667935299718E-2</v>
      </c>
      <c r="K9" s="63">
        <f t="shared" si="3"/>
        <v>3.1398667935299718E-2</v>
      </c>
      <c r="L9" s="189"/>
      <c r="M9" s="11">
        <f>ROUND(10000+10000*$M$5%+2000,-2)</f>
        <v>12000</v>
      </c>
      <c r="N9" s="95">
        <f t="shared" si="4"/>
        <v>1.0434782608695652</v>
      </c>
      <c r="O9" s="11">
        <v>2000</v>
      </c>
      <c r="P9" s="11">
        <f t="shared" si="5"/>
        <v>9942.9115128449102</v>
      </c>
      <c r="Q9" s="11">
        <f t="shared" si="6"/>
        <v>90.895509293668525</v>
      </c>
      <c r="R9" s="91">
        <f t="shared" si="7"/>
        <v>10033.807022138579</v>
      </c>
      <c r="S9" s="91">
        <f t="shared" si="8"/>
        <v>1966.1929778614212</v>
      </c>
      <c r="T9" s="169">
        <f t="shared" si="9"/>
        <v>0.16384941482178511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>'[1]2. Khánh Nga'!O33</f>
        <v>7.8724377212196814E-2</v>
      </c>
      <c r="Y9" s="1" t="str">
        <f>'[1]3. Đồng Lâm'!B338</f>
        <v>% Chai B2.2</v>
      </c>
      <c r="Z9" s="101">
        <f>'[1]3. Đồng Lâm'!O338</f>
        <v>8.3560339784929882E-2</v>
      </c>
      <c r="AE9" s="106">
        <f>T9*V9</f>
        <v>8.7760674589199526E-4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180780.20932445291</v>
      </c>
      <c r="J10" s="68">
        <f t="shared" si="2"/>
        <v>1.9029495718363463E-2</v>
      </c>
      <c r="K10" s="63">
        <f t="shared" si="3"/>
        <v>1.9029495718363463E-2</v>
      </c>
      <c r="L10" s="189"/>
      <c r="M10" s="11">
        <f>ROUND(10000+10000*$M$5+500,-2)</f>
        <v>11500</v>
      </c>
      <c r="N10" s="95">
        <f>M10/$M$21</f>
        <v>1</v>
      </c>
      <c r="O10" s="11">
        <v>500</v>
      </c>
      <c r="P10" s="11">
        <f t="shared" si="5"/>
        <v>9039.0104662226458</v>
      </c>
      <c r="Q10" s="11">
        <f t="shared" si="6"/>
        <v>55.08818745070819</v>
      </c>
      <c r="R10" s="91">
        <f t="shared" si="7"/>
        <v>9094.0986536733544</v>
      </c>
      <c r="S10" s="91">
        <f t="shared" si="8"/>
        <v>2405.9013463266456</v>
      </c>
      <c r="T10" s="169">
        <f t="shared" si="9"/>
        <v>0.20920881272405614</v>
      </c>
      <c r="U10" s="1" t="str">
        <f>'[1]2. Khánh Nga'!B35</f>
        <v>% Chai B4</v>
      </c>
      <c r="V10" s="101">
        <f>'[1]2. Khánh Nga'!O35</f>
        <v>1.4912633842699981E-2</v>
      </c>
      <c r="W10" s="1" t="str">
        <f>'[1]2. Khánh Nga'!B35</f>
        <v>% Chai B4</v>
      </c>
      <c r="X10" s="101">
        <f>'[1]2. Khánh Nga'!O35</f>
        <v>1.4912633842699981E-2</v>
      </c>
      <c r="Y10" s="1" t="str">
        <f>'[1]3. Đồng Lâm'!B340</f>
        <v>% Chai B4</v>
      </c>
      <c r="Z10" s="101">
        <f>'[1]3. Đồng Lâm'!O340</f>
        <v>1.9139602152341485E-2</v>
      </c>
      <c r="AE10" s="106">
        <f t="shared" si="10"/>
        <v>3.1198544208198421E-3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180780.20932445291</v>
      </c>
      <c r="J11" s="68">
        <f t="shared" si="2"/>
        <v>1.9029495718363463E-2</v>
      </c>
      <c r="K11" s="63">
        <f t="shared" si="3"/>
        <v>1.9029495718363463E-2</v>
      </c>
      <c r="L11" s="189"/>
      <c r="M11" s="11">
        <f>ROUND(10000+10000*$M$5+500,-2)</f>
        <v>11500</v>
      </c>
      <c r="N11" s="95">
        <f>M11/$M$21</f>
        <v>1</v>
      </c>
      <c r="O11" s="11">
        <f>O10</f>
        <v>500</v>
      </c>
      <c r="P11" s="11">
        <f t="shared" si="5"/>
        <v>9039.0104662226458</v>
      </c>
      <c r="Q11" s="11">
        <f t="shared" si="6"/>
        <v>55.08818745070819</v>
      </c>
      <c r="R11" s="91">
        <f t="shared" si="7"/>
        <v>9094.0986536733544</v>
      </c>
      <c r="S11" s="91">
        <f t="shared" si="8"/>
        <v>2405.9013463266456</v>
      </c>
      <c r="T11" s="169">
        <f t="shared" si="9"/>
        <v>0.20920881272405614</v>
      </c>
      <c r="U11" s="1" t="str">
        <f>'[1]2. Khánh Nga'!B36</f>
        <v>% Chai B5</v>
      </c>
      <c r="V11" s="101">
        <f>'[1]2. Khánh Nga'!O36</f>
        <v>1.9802358600751371E-2</v>
      </c>
      <c r="W11" s="1" t="str">
        <f>'[1]2. Khánh Nga'!B36</f>
        <v>% Chai B5</v>
      </c>
      <c r="X11" s="101">
        <f>'[1]2. Khánh Nga'!O36</f>
        <v>1.9802358600751371E-2</v>
      </c>
      <c r="Y11" s="1" t="str">
        <f>'[1]3. Đồng Lâm'!B341</f>
        <v>% Chai B5</v>
      </c>
      <c r="Z11" s="101">
        <f>'[1]3. Đồng Lâm'!O341</f>
        <v>1.0656981591639593E-2</v>
      </c>
      <c r="AE11" s="106">
        <f t="shared" si="10"/>
        <v>4.1428279319991957E-3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9"/>
      <c r="N12" s="95">
        <f t="shared" si="4"/>
        <v>0</v>
      </c>
      <c r="O12" s="11">
        <f>O8</f>
        <v>3500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169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2684586.108468126</v>
      </c>
      <c r="J13" s="68">
        <f t="shared" si="2"/>
        <v>0.28258801141769746</v>
      </c>
      <c r="K13" s="63">
        <f t="shared" si="3"/>
        <v>0.28258801141769746</v>
      </c>
      <c r="L13" s="189"/>
      <c r="M13" s="11">
        <f>ROUND(10000+10000*$M$5+2500,-2)</f>
        <v>13500</v>
      </c>
      <c r="N13" s="95">
        <f t="shared" si="4"/>
        <v>1.173913043478261</v>
      </c>
      <c r="O13" s="11">
        <f>O9</f>
        <v>2000</v>
      </c>
      <c r="P13" s="11">
        <f t="shared" si="5"/>
        <v>9942.9115128449121</v>
      </c>
      <c r="Q13" s="11">
        <f t="shared" si="6"/>
        <v>818.05958364301682</v>
      </c>
      <c r="R13" s="91">
        <f t="shared" si="7"/>
        <v>10760.971096487929</v>
      </c>
      <c r="S13" s="91">
        <f t="shared" si="8"/>
        <v>2739.0289035120713</v>
      </c>
      <c r="T13" s="169">
        <f t="shared" si="9"/>
        <v>0.20289102988978305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>'[1]2. Khánh Nga'!O34</f>
        <v>0.23118716545900386</v>
      </c>
      <c r="Y13" s="1" t="str">
        <f>'[1]3. Đồng Lâm'!B339</f>
        <v>% Chai B6.2</v>
      </c>
      <c r="Z13" s="101">
        <f>'[1]3. Đồng Lâm'!O339</f>
        <v>0.2675725318949379</v>
      </c>
      <c r="AE13" s="106">
        <f t="shared" si="10"/>
        <v>3.8895493164295136E-2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54234.062797335879</v>
      </c>
      <c r="J14" s="68">
        <f t="shared" si="2"/>
        <v>5.7088487155090399E-3</v>
      </c>
      <c r="K14" s="63">
        <f t="shared" si="3"/>
        <v>5.7088487155090399E-3</v>
      </c>
      <c r="L14" s="190"/>
      <c r="M14" s="11">
        <f>ROUND(10000+10000*$M$5-5000,-2)</f>
        <v>6000</v>
      </c>
      <c r="N14" s="95">
        <f>M14/$M$21</f>
        <v>0.52173913043478259</v>
      </c>
      <c r="O14" s="11">
        <v>-5000</v>
      </c>
      <c r="P14" s="11">
        <f t="shared" si="5"/>
        <v>5423.4062797335882</v>
      </c>
      <c r="Q14" s="11">
        <f t="shared" si="6"/>
        <v>16.526456235212461</v>
      </c>
      <c r="R14" s="91">
        <f t="shared" si="7"/>
        <v>5439.9327359688004</v>
      </c>
      <c r="S14" s="91">
        <f t="shared" si="8"/>
        <v>560.06726403119956</v>
      </c>
      <c r="T14" s="169">
        <f t="shared" si="9"/>
        <v>9.3344544005199925E-2</v>
      </c>
      <c r="U14" s="1" t="str">
        <f>'[1]2. Khánh Nga'!B37</f>
        <v>% Nắp</v>
      </c>
      <c r="V14" s="101">
        <f>'[1]2. Khánh Nga'!O37</f>
        <v>3.1786114872826871E-2</v>
      </c>
      <c r="W14" s="1" t="str">
        <f>'[1]2. Khánh Nga'!B37</f>
        <v>% Nắp</v>
      </c>
      <c r="X14" s="101">
        <f>'[1]2. Khánh Nga'!O37</f>
        <v>3.1786114872826871E-2</v>
      </c>
      <c r="Y14" s="1" t="str">
        <f>'[1]3. Đồng Lâm'!B342</f>
        <v>% Nắp</v>
      </c>
      <c r="Z14" s="101">
        <f>'[1]3. Đồng Lâm'!O342</f>
        <v>2.9470813123704601E-3</v>
      </c>
      <c r="AE14" s="106">
        <f t="shared" si="10"/>
        <v>2.9670603985009277E-3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169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169" t="e">
        <f t="shared" si="9"/>
        <v>#DIV/0!</v>
      </c>
      <c r="U16" s="1" t="str">
        <f>'[1]2. Khánh Nga'!B38</f>
        <v>% Chai B7.2</v>
      </c>
      <c r="V16" s="101">
        <f>'[1]2. Khánh Nga'!O38</f>
        <v>1.8427270405582469E-5</v>
      </c>
      <c r="W16" s="1" t="str">
        <f>'[1]2. Khánh Nga'!B38</f>
        <v>% Chai B7.2</v>
      </c>
      <c r="X16" s="101">
        <f>'[1]2. Khánh Nga'!O38</f>
        <v>1.8427270405582469E-5</v>
      </c>
      <c r="Y16" s="1" t="str">
        <f>'[1]3. Đồng Lâm'!B343</f>
        <v>% Phó sản</v>
      </c>
      <c r="Z16" s="101">
        <f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169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169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169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169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9500000.0000000019</v>
      </c>
      <c r="J21" s="83"/>
      <c r="K21" s="83"/>
      <c r="L21" s="83"/>
      <c r="M21" s="53">
        <f>AVERAGE(M7:M19)</f>
        <v>11500</v>
      </c>
      <c r="N21" s="97"/>
      <c r="O21" s="54"/>
      <c r="P21" s="11">
        <f t="shared" si="5"/>
        <v>10674.157303370788</v>
      </c>
      <c r="T21" s="169">
        <f t="shared" si="9"/>
        <v>0</v>
      </c>
    </row>
    <row r="22" spans="2:20" x14ac:dyDescent="0.35">
      <c r="P22" s="11">
        <f>10000/(F21/1000)-P21</f>
        <v>561.79775280898684</v>
      </c>
    </row>
    <row r="24" spans="2:20" s="60" customFormat="1" ht="54.75" customHeight="1" x14ac:dyDescent="0.35">
      <c r="B24" s="86" t="s">
        <v>82</v>
      </c>
      <c r="C24" s="86" t="s">
        <v>79</v>
      </c>
      <c r="D24" s="187" t="s">
        <v>58</v>
      </c>
      <c r="E24" s="18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5965746.9077069471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5789170.8892970169</v>
      </c>
      <c r="J27" s="63">
        <f>I27/$I$26</f>
        <v>0.970401691331924</v>
      </c>
      <c r="K27" s="63">
        <f>J27</f>
        <v>0.970401691331924</v>
      </c>
      <c r="L27" s="182" t="s">
        <v>80</v>
      </c>
      <c r="M27" s="11">
        <f>ROUND($M$13+O27,-2)</f>
        <v>16000</v>
      </c>
      <c r="N27" s="100">
        <f>M27/$M$31</f>
        <v>1.3061224489795917</v>
      </c>
      <c r="O27" s="11">
        <f>O9+500</f>
        <v>2500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176576.01840993078</v>
      </c>
      <c r="J28" s="63">
        <f>I28/$I$26</f>
        <v>2.9598308668076109E-2</v>
      </c>
      <c r="K28" s="63">
        <f>J28</f>
        <v>2.9598308668076109E-2</v>
      </c>
      <c r="L28" s="183"/>
      <c r="M28" s="11">
        <f>ROUND($M$14+O28,-2)</f>
        <v>8500</v>
      </c>
      <c r="N28" s="100">
        <f>M28/$M$31</f>
        <v>0.69387755102040816</v>
      </c>
      <c r="O28" s="11">
        <f>O27</f>
        <v>2500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12250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EE01-717D-431A-BC32-013FA7493D80}">
  <dimension ref="B1:AE33"/>
  <sheetViews>
    <sheetView topLeftCell="B1" zoomScale="85" zoomScaleNormal="85" workbookViewId="0">
      <pane xSplit="2" ySplit="6" topLeftCell="M7" activePane="bottomRight" state="frozen"/>
      <selection activeCell="B1" sqref="B1"/>
      <selection pane="topRight" activeCell="D1" sqref="D1"/>
      <selection pane="bottomLeft" activeCell="B7" sqref="B7"/>
      <selection pane="bottomRight" activeCell="T7" sqref="T7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20" width="8.7265625" style="1"/>
    <col min="21" max="21" width="11.36328125" style="1" customWidth="1"/>
    <col min="22" max="22" width="9.1796875" style="1" bestFit="1" customWidth="1"/>
    <col min="23" max="23" width="11.90625" style="1" customWidth="1"/>
    <col min="24" max="24" width="9.1796875" style="1" bestFit="1" customWidth="1"/>
    <col min="25" max="25" width="11.7265625" style="1" customWidth="1"/>
    <col min="26" max="26" width="9.1796875" style="1" bestFit="1" customWidth="1"/>
    <col min="27" max="27" width="4.7265625" style="1" customWidth="1"/>
    <col min="28" max="28" width="12" style="1" bestFit="1" customWidth="1"/>
    <col min="29" max="29" width="10.1796875" style="1" bestFit="1" customWidth="1"/>
    <col min="30" max="30" width="8.7265625" style="1"/>
    <col min="31" max="31" width="20.1796875" style="1" bestFit="1" customWidth="1"/>
    <col min="32" max="16384" width="8.7265625" style="1"/>
  </cols>
  <sheetData>
    <row r="1" spans="2:31" ht="11.5" customHeight="1" x14ac:dyDescent="0.35"/>
    <row r="2" spans="2:31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31" ht="13" x14ac:dyDescent="0.35">
      <c r="D3" s="184"/>
      <c r="E3" s="184"/>
      <c r="F3" s="47"/>
      <c r="G3" s="47"/>
      <c r="H3" s="47"/>
      <c r="I3" s="47"/>
      <c r="J3" s="185"/>
      <c r="K3" s="185"/>
      <c r="M3" s="186" t="s">
        <v>59</v>
      </c>
      <c r="N3" s="186"/>
    </row>
    <row r="4" spans="2:31" s="60" customFormat="1" ht="58.5" customHeight="1" x14ac:dyDescent="0.35">
      <c r="B4" s="86" t="s">
        <v>81</v>
      </c>
      <c r="C4" s="88" t="s">
        <v>78</v>
      </c>
      <c r="D4" s="187" t="s">
        <v>58</v>
      </c>
      <c r="E4" s="187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61" t="s">
        <v>89</v>
      </c>
      <c r="P4" s="56" t="s">
        <v>84</v>
      </c>
      <c r="Q4" s="60" t="s">
        <v>85</v>
      </c>
      <c r="R4" s="60" t="s">
        <v>86</v>
      </c>
      <c r="S4" s="60" t="s">
        <v>87</v>
      </c>
      <c r="T4" s="170" t="s">
        <v>88</v>
      </c>
      <c r="V4" s="60" t="s">
        <v>90</v>
      </c>
      <c r="X4" s="60" t="s">
        <v>91</v>
      </c>
      <c r="Z4" s="60" t="s">
        <v>92</v>
      </c>
      <c r="AB4" s="60" t="s">
        <v>94</v>
      </c>
    </row>
    <row r="5" spans="2:31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 t="s">
        <v>144</v>
      </c>
      <c r="M5" s="102">
        <f>Z5</f>
        <v>0.10667325484443603</v>
      </c>
      <c r="N5" s="94"/>
      <c r="T5" s="104"/>
      <c r="U5" s="1" t="s">
        <v>93</v>
      </c>
      <c r="V5" s="102">
        <f>'[1]1. Đại Lộc'!$O$334</f>
        <v>0.10096034348805652</v>
      </c>
      <c r="X5" s="102">
        <f>'[1]2. Khánh Nga'!$O$39</f>
        <v>9.7733526674727331E-2</v>
      </c>
      <c r="Z5" s="102">
        <f>'[1]3. Đồng Lâm'!$O$344</f>
        <v>0.10667325484443603</v>
      </c>
    </row>
    <row r="6" spans="2:31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D6*$L$6</f>
        <v>9500000</v>
      </c>
      <c r="J6" s="62">
        <f>SUM(J7:J19)</f>
        <v>1</v>
      </c>
      <c r="K6" s="62">
        <f>SUM(K7:K19)</f>
        <v>1</v>
      </c>
      <c r="L6" s="174">
        <v>9500</v>
      </c>
      <c r="N6" s="94"/>
      <c r="Q6" s="105">
        <f>Z6</f>
        <v>2609.6553352190926</v>
      </c>
      <c r="T6" s="104"/>
      <c r="V6" s="108">
        <f>'[2]3.CP_TAN'!$Q$78*1000</f>
        <v>3684.4010838335198</v>
      </c>
      <c r="W6" s="108"/>
      <c r="X6" s="108">
        <f>'[2]3.CP_TAN'!$R$78*1000</f>
        <v>2894.8842505347156</v>
      </c>
      <c r="Y6" s="108"/>
      <c r="Z6" s="181">
        <f>'[2]3.CP_TAN'!$S$78*1000</f>
        <v>2609.6553352190926</v>
      </c>
      <c r="AB6" s="11">
        <v>10000</v>
      </c>
    </row>
    <row r="7" spans="2:31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 t="shared" ref="H7:H14" si="0">F7*G7</f>
        <v>675</v>
      </c>
      <c r="I7" s="67">
        <f t="shared" ref="I7:I14" si="1">$I$6/$H$21*H7</f>
        <v>6101332.0647002859</v>
      </c>
      <c r="J7" s="68">
        <f t="shared" ref="J7:J14" si="2">I7/$I$6</f>
        <v>0.64224548049476693</v>
      </c>
      <c r="K7" s="63">
        <f>J7</f>
        <v>0.64224548049476693</v>
      </c>
      <c r="L7" s="188" t="s">
        <v>80</v>
      </c>
      <c r="M7" s="11">
        <f>ROUND(10000+10000*$M$5+O7,-2)</f>
        <v>14600</v>
      </c>
      <c r="N7" s="95">
        <f>M7/$M$21</f>
        <v>1.2604316546762588</v>
      </c>
      <c r="O7" s="11">
        <v>3500</v>
      </c>
      <c r="P7" s="11">
        <f>I7/F7</f>
        <v>11298.763082778307</v>
      </c>
      <c r="Q7" s="11">
        <f>$Q$6*K7</f>
        <v>1676.0393446935182</v>
      </c>
      <c r="R7" s="91">
        <f>P7+Q7</f>
        <v>12974.802427471825</v>
      </c>
      <c r="S7" s="91">
        <f>M7-R7</f>
        <v>1625.1975725281754</v>
      </c>
      <c r="T7" s="169">
        <f>S7/M7</f>
        <v>0.11131490222795722</v>
      </c>
      <c r="U7" s="1" t="str">
        <f>'[1]1. Đại Lộc'!B327</f>
        <v>% Chai B1</v>
      </c>
      <c r="V7" s="101">
        <f>'[1]1. Đại Lộc'!O327</f>
        <v>0.65050165177150054</v>
      </c>
      <c r="W7" s="1" t="str">
        <f>'[1]2. Khánh Nga'!B32</f>
        <v>% Chai B1</v>
      </c>
      <c r="X7" s="101">
        <f>'[1]2. Khánh Nga'!O32</f>
        <v>0.52583539606738805</v>
      </c>
      <c r="Y7" s="1" t="str">
        <f>'[1]3. Đồng Lâm'!B337</f>
        <v>% Chai B1</v>
      </c>
      <c r="Z7" s="101">
        <f>'[1]3. Đồng Lâm'!O337</f>
        <v>0.50053442897045786</v>
      </c>
      <c r="AB7" s="11">
        <v>14500</v>
      </c>
      <c r="AC7" s="11">
        <v>11200</v>
      </c>
      <c r="AE7" s="106">
        <f>T7*V7</f>
        <v>7.2410527766069252E-2</v>
      </c>
    </row>
    <row r="8" spans="2:31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 t="shared" si="0"/>
        <v>0</v>
      </c>
      <c r="I8" s="67">
        <f t="shared" si="1"/>
        <v>0</v>
      </c>
      <c r="J8" s="68">
        <f t="shared" si="2"/>
        <v>0</v>
      </c>
      <c r="K8" s="63">
        <f t="shared" ref="K8:K14" si="3">J8</f>
        <v>0</v>
      </c>
      <c r="L8" s="189"/>
      <c r="N8" s="95">
        <f t="shared" ref="N8:N13" si="4">M8/$M$21</f>
        <v>0</v>
      </c>
      <c r="O8" s="11">
        <f>O7</f>
        <v>3500</v>
      </c>
      <c r="P8" s="11" t="e">
        <f t="shared" ref="P8:P20" si="5">I8/F8</f>
        <v>#DIV/0!</v>
      </c>
      <c r="Q8" s="11">
        <f t="shared" ref="Q8:Q20" si="6">$Q$6*K8</f>
        <v>0</v>
      </c>
      <c r="R8" s="91" t="e">
        <f t="shared" ref="R8:R20" si="7">P8+Q8</f>
        <v>#DIV/0!</v>
      </c>
      <c r="S8" s="91" t="e">
        <f t="shared" ref="S8:S20" si="8">M8-R8</f>
        <v>#DIV/0!</v>
      </c>
      <c r="T8" s="169" t="e">
        <f t="shared" ref="T8:T21" si="9">S8/M8</f>
        <v>#DIV/0!</v>
      </c>
      <c r="V8" s="101"/>
      <c r="X8" s="101"/>
      <c r="Z8" s="101"/>
      <c r="AE8" s="106" t="e">
        <f t="shared" ref="AE8:AE15" si="10">T8*V8</f>
        <v>#DIV/0!</v>
      </c>
    </row>
    <row r="9" spans="2:31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11">D9</f>
        <v>30</v>
      </c>
      <c r="G9" s="69">
        <v>1.1000000000000001</v>
      </c>
      <c r="H9" s="69">
        <f t="shared" si="0"/>
        <v>33</v>
      </c>
      <c r="I9" s="67">
        <f t="shared" si="1"/>
        <v>298287.34538534732</v>
      </c>
      <c r="J9" s="68">
        <f t="shared" si="2"/>
        <v>3.1398667935299718E-2</v>
      </c>
      <c r="K9" s="63">
        <f t="shared" si="3"/>
        <v>3.1398667935299718E-2</v>
      </c>
      <c r="L9" s="189"/>
      <c r="M9" s="11">
        <f>ROUND(10000+10000*$M$5%+2000,-2)</f>
        <v>12000</v>
      </c>
      <c r="N9" s="95">
        <f t="shared" si="4"/>
        <v>1.0359712230215827</v>
      </c>
      <c r="O9" s="11">
        <v>2000</v>
      </c>
      <c r="P9" s="11">
        <f t="shared" si="5"/>
        <v>9942.9115128449102</v>
      </c>
      <c r="Q9" s="11">
        <f t="shared" si="6"/>
        <v>81.939701296127566</v>
      </c>
      <c r="R9" s="91">
        <f t="shared" si="7"/>
        <v>10024.851214141037</v>
      </c>
      <c r="S9" s="91">
        <f t="shared" si="8"/>
        <v>1975.1487858589626</v>
      </c>
      <c r="T9" s="169">
        <f t="shared" si="9"/>
        <v>0.16459573215491355</v>
      </c>
      <c r="U9" s="1" t="str">
        <f>'[1]1. Đại Lộc'!B328</f>
        <v>% Chai B2.2</v>
      </c>
      <c r="V9" s="101">
        <f>'[1]1. Đại Lộc'!O328</f>
        <v>5.3561787013188056E-3</v>
      </c>
      <c r="W9" s="1" t="str">
        <f>'[1]2. Khánh Nga'!B33</f>
        <v>% Chai B2.2</v>
      </c>
      <c r="X9" s="101">
        <f>'[1]2. Khánh Nga'!O33</f>
        <v>7.8724377212196814E-2</v>
      </c>
      <c r="Y9" s="1" t="str">
        <f>'[1]3. Đồng Lâm'!B338</f>
        <v>% Chai B2.2</v>
      </c>
      <c r="Z9" s="101">
        <f>'[1]3. Đồng Lâm'!O338</f>
        <v>8.3560339784929882E-2</v>
      </c>
      <c r="AE9" s="106">
        <f>T9*V9</f>
        <v>8.8160415489612286E-4</v>
      </c>
    </row>
    <row r="10" spans="2:31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 t="shared" si="0"/>
        <v>20</v>
      </c>
      <c r="I10" s="67">
        <f t="shared" si="1"/>
        <v>180780.20932445291</v>
      </c>
      <c r="J10" s="68">
        <f t="shared" si="2"/>
        <v>1.9029495718363463E-2</v>
      </c>
      <c r="K10" s="63">
        <f t="shared" si="3"/>
        <v>1.9029495718363463E-2</v>
      </c>
      <c r="L10" s="189"/>
      <c r="M10" s="11">
        <f>ROUND(10000+10000*$M$5+500,-2)</f>
        <v>11600</v>
      </c>
      <c r="N10" s="95">
        <f>M10/$M$21</f>
        <v>1.0014388489208632</v>
      </c>
      <c r="O10" s="11">
        <v>500</v>
      </c>
      <c r="P10" s="11">
        <f t="shared" si="5"/>
        <v>9039.0104662226458</v>
      </c>
      <c r="Q10" s="11">
        <f t="shared" si="6"/>
        <v>49.660425027956094</v>
      </c>
      <c r="R10" s="91">
        <f t="shared" si="7"/>
        <v>9088.6708912506019</v>
      </c>
      <c r="S10" s="91">
        <f t="shared" si="8"/>
        <v>2511.3291087493981</v>
      </c>
      <c r="T10" s="169">
        <f t="shared" si="9"/>
        <v>0.21649388868529293</v>
      </c>
      <c r="U10" s="1" t="str">
        <f>'[1]2. Khánh Nga'!B35</f>
        <v>% Chai B4</v>
      </c>
      <c r="V10" s="101">
        <f>'[1]2. Khánh Nga'!O35</f>
        <v>1.4912633842699981E-2</v>
      </c>
      <c r="W10" s="1" t="str">
        <f>'[1]2. Khánh Nga'!B35</f>
        <v>% Chai B4</v>
      </c>
      <c r="X10" s="101">
        <f>'[1]2. Khánh Nga'!O35</f>
        <v>1.4912633842699981E-2</v>
      </c>
      <c r="Y10" s="1" t="str">
        <f>'[1]3. Đồng Lâm'!B340</f>
        <v>% Chai B4</v>
      </c>
      <c r="Z10" s="101">
        <f>'[1]3. Đồng Lâm'!O340</f>
        <v>1.9139602152341485E-2</v>
      </c>
      <c r="AE10" s="106">
        <f t="shared" si="10"/>
        <v>3.2284940911460219E-3</v>
      </c>
    </row>
    <row r="11" spans="2:31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11"/>
        <v>20</v>
      </c>
      <c r="G11" s="69">
        <v>1</v>
      </c>
      <c r="H11" s="69">
        <f t="shared" si="0"/>
        <v>20</v>
      </c>
      <c r="I11" s="67">
        <f t="shared" si="1"/>
        <v>180780.20932445291</v>
      </c>
      <c r="J11" s="68">
        <f t="shared" si="2"/>
        <v>1.9029495718363463E-2</v>
      </c>
      <c r="K11" s="63">
        <f t="shared" si="3"/>
        <v>1.9029495718363463E-2</v>
      </c>
      <c r="L11" s="189"/>
      <c r="M11" s="11">
        <f>ROUND(10000+10000*$M$5+500,-2)</f>
        <v>11600</v>
      </c>
      <c r="N11" s="95">
        <f>M11/$M$21</f>
        <v>1.0014388489208632</v>
      </c>
      <c r="O11" s="11">
        <f>O10</f>
        <v>500</v>
      </c>
      <c r="P11" s="11">
        <f t="shared" si="5"/>
        <v>9039.0104662226458</v>
      </c>
      <c r="Q11" s="11">
        <f t="shared" si="6"/>
        <v>49.660425027956094</v>
      </c>
      <c r="R11" s="91">
        <f t="shared" si="7"/>
        <v>9088.6708912506019</v>
      </c>
      <c r="S11" s="91">
        <f t="shared" si="8"/>
        <v>2511.3291087493981</v>
      </c>
      <c r="T11" s="169">
        <f t="shared" si="9"/>
        <v>0.21649388868529293</v>
      </c>
      <c r="U11" s="1" t="str">
        <f>'[1]2. Khánh Nga'!B36</f>
        <v>% Chai B5</v>
      </c>
      <c r="V11" s="101">
        <f>'[1]2. Khánh Nga'!O36</f>
        <v>1.9802358600751371E-2</v>
      </c>
      <c r="W11" s="1" t="str">
        <f>'[1]2. Khánh Nga'!B36</f>
        <v>% Chai B5</v>
      </c>
      <c r="X11" s="101">
        <f>'[1]2. Khánh Nga'!O36</f>
        <v>1.9802358600751371E-2</v>
      </c>
      <c r="Y11" s="1" t="str">
        <f>'[1]3. Đồng Lâm'!B341</f>
        <v>% Chai B5</v>
      </c>
      <c r="Z11" s="101">
        <f>'[1]3. Đồng Lâm'!O341</f>
        <v>1.0656981591639593E-2</v>
      </c>
      <c r="AE11" s="106">
        <f t="shared" si="10"/>
        <v>4.2870896186173206E-3</v>
      </c>
    </row>
    <row r="12" spans="2:31" ht="15" customHeight="1" outlineLevel="1" x14ac:dyDescent="0.35">
      <c r="B12" s="5"/>
      <c r="C12" s="6" t="s">
        <v>64</v>
      </c>
      <c r="D12" s="67"/>
      <c r="E12" s="68"/>
      <c r="F12" s="67">
        <f t="shared" si="11"/>
        <v>0</v>
      </c>
      <c r="G12" s="69"/>
      <c r="H12" s="69">
        <f t="shared" si="0"/>
        <v>0</v>
      </c>
      <c r="I12" s="67">
        <f t="shared" si="1"/>
        <v>0</v>
      </c>
      <c r="J12" s="68">
        <f t="shared" si="2"/>
        <v>0</v>
      </c>
      <c r="K12" s="63">
        <f t="shared" si="3"/>
        <v>0</v>
      </c>
      <c r="L12" s="189"/>
      <c r="N12" s="95">
        <f t="shared" si="4"/>
        <v>0</v>
      </c>
      <c r="O12" s="11">
        <f>O8</f>
        <v>3500</v>
      </c>
      <c r="P12" s="11" t="e">
        <f t="shared" si="5"/>
        <v>#DIV/0!</v>
      </c>
      <c r="Q12" s="11">
        <f t="shared" si="6"/>
        <v>0</v>
      </c>
      <c r="R12" s="91" t="e">
        <f t="shared" si="7"/>
        <v>#DIV/0!</v>
      </c>
      <c r="S12" s="91" t="e">
        <f t="shared" si="8"/>
        <v>#DIV/0!</v>
      </c>
      <c r="T12" s="169" t="e">
        <f t="shared" si="9"/>
        <v>#DIV/0!</v>
      </c>
      <c r="V12" s="101"/>
      <c r="X12" s="101"/>
      <c r="Z12" s="101"/>
      <c r="AE12" s="106" t="e">
        <f t="shared" si="10"/>
        <v>#DIV/0!</v>
      </c>
    </row>
    <row r="13" spans="2:31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11"/>
        <v>270</v>
      </c>
      <c r="G13" s="69">
        <v>1.1000000000000001</v>
      </c>
      <c r="H13" s="69">
        <f t="shared" si="0"/>
        <v>297</v>
      </c>
      <c r="I13" s="67">
        <f t="shared" si="1"/>
        <v>2684586.108468126</v>
      </c>
      <c r="J13" s="68">
        <f t="shared" si="2"/>
        <v>0.28258801141769746</v>
      </c>
      <c r="K13" s="63">
        <f t="shared" si="3"/>
        <v>0.28258801141769746</v>
      </c>
      <c r="L13" s="189"/>
      <c r="M13" s="11">
        <f>ROUND(10000+10000*$M$5+2500,-2)</f>
        <v>13600</v>
      </c>
      <c r="N13" s="95">
        <f t="shared" si="4"/>
        <v>1.1741007194244604</v>
      </c>
      <c r="O13" s="11">
        <f>O9</f>
        <v>2000</v>
      </c>
      <c r="P13" s="11">
        <f t="shared" si="5"/>
        <v>9942.9115128449121</v>
      </c>
      <c r="Q13" s="11">
        <f t="shared" si="6"/>
        <v>737.45731166514804</v>
      </c>
      <c r="R13" s="91">
        <f t="shared" si="7"/>
        <v>10680.36882451006</v>
      </c>
      <c r="S13" s="91">
        <f t="shared" si="8"/>
        <v>2919.6311754899398</v>
      </c>
      <c r="T13" s="169">
        <f t="shared" si="9"/>
        <v>0.21467876290367205</v>
      </c>
      <c r="U13" s="1" t="str">
        <f>'[1]1. Đại Lộc'!B329</f>
        <v>% Chai B6.2</v>
      </c>
      <c r="V13" s="101">
        <f>'[1]1. Đại Lộc'!O329</f>
        <v>0.19170632228257908</v>
      </c>
      <c r="W13" s="1" t="str">
        <f>'[1]2. Khánh Nga'!B34</f>
        <v>% Chai B6.2</v>
      </c>
      <c r="X13" s="101">
        <f>'[1]2. Khánh Nga'!O34</f>
        <v>0.23118716545900386</v>
      </c>
      <c r="Y13" s="1" t="str">
        <f>'[1]3. Đồng Lâm'!B339</f>
        <v>% Chai B6.2</v>
      </c>
      <c r="Z13" s="101">
        <f>'[1]3. Đồng Lâm'!O339</f>
        <v>0.2675725318949379</v>
      </c>
      <c r="AE13" s="106">
        <f t="shared" si="10"/>
        <v>4.1155276108436736E-2</v>
      </c>
    </row>
    <row r="14" spans="2:31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11"/>
        <v>10</v>
      </c>
      <c r="G14" s="69">
        <v>0.6</v>
      </c>
      <c r="H14" s="69">
        <f t="shared" si="0"/>
        <v>6</v>
      </c>
      <c r="I14" s="67">
        <f t="shared" si="1"/>
        <v>54234.062797335879</v>
      </c>
      <c r="J14" s="68">
        <f t="shared" si="2"/>
        <v>5.7088487155090399E-3</v>
      </c>
      <c r="K14" s="63">
        <f t="shared" si="3"/>
        <v>5.7088487155090399E-3</v>
      </c>
      <c r="L14" s="190"/>
      <c r="M14" s="11">
        <f>ROUND(10000+10000*$M$5-5000,-2)</f>
        <v>6100</v>
      </c>
      <c r="N14" s="95">
        <f>M14/$M$21</f>
        <v>0.52661870503597119</v>
      </c>
      <c r="O14" s="11">
        <v>-5000</v>
      </c>
      <c r="P14" s="11">
        <f t="shared" si="5"/>
        <v>5423.4062797335882</v>
      </c>
      <c r="Q14" s="11">
        <f t="shared" si="6"/>
        <v>14.89812750838683</v>
      </c>
      <c r="R14" s="91">
        <f t="shared" si="7"/>
        <v>5438.3044072419752</v>
      </c>
      <c r="S14" s="91">
        <f t="shared" si="8"/>
        <v>661.69559275802476</v>
      </c>
      <c r="T14" s="169">
        <f t="shared" si="9"/>
        <v>0.10847468733738111</v>
      </c>
      <c r="U14" s="1" t="str">
        <f>'[1]2. Khánh Nga'!B37</f>
        <v>% Nắp</v>
      </c>
      <c r="V14" s="101">
        <f>'[1]2. Khánh Nga'!O37</f>
        <v>3.1786114872826871E-2</v>
      </c>
      <c r="W14" s="1" t="str">
        <f>'[1]2. Khánh Nga'!B37</f>
        <v>% Nắp</v>
      </c>
      <c r="X14" s="101">
        <f>'[1]2. Khánh Nga'!O37</f>
        <v>3.1786114872826871E-2</v>
      </c>
      <c r="Y14" s="1" t="str">
        <f>'[1]3. Đồng Lâm'!B342</f>
        <v>% Nắp</v>
      </c>
      <c r="Z14" s="101">
        <f>'[1]3. Đồng Lâm'!O342</f>
        <v>2.9470813123704601E-3</v>
      </c>
      <c r="AE14" s="106">
        <f t="shared" si="10"/>
        <v>3.4479888724999741E-3</v>
      </c>
    </row>
    <row r="15" spans="2:31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>M15/$M$21</f>
        <v>0</v>
      </c>
      <c r="P15" s="11" t="e">
        <f t="shared" si="5"/>
        <v>#DIV/0!</v>
      </c>
      <c r="Q15" s="11">
        <f t="shared" si="6"/>
        <v>0</v>
      </c>
      <c r="R15" s="91" t="e">
        <f t="shared" si="7"/>
        <v>#DIV/0!</v>
      </c>
      <c r="S15" s="91" t="e">
        <f t="shared" si="8"/>
        <v>#DIV/0!</v>
      </c>
      <c r="T15" s="169" t="e">
        <f t="shared" si="9"/>
        <v>#DIV/0!</v>
      </c>
      <c r="V15" s="101"/>
      <c r="X15" s="101"/>
      <c r="Z15" s="101"/>
      <c r="AE15" s="106" t="e">
        <f t="shared" si="10"/>
        <v>#DIV/0!</v>
      </c>
    </row>
    <row r="16" spans="2:31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>M16/$M$21</f>
        <v>0</v>
      </c>
      <c r="O16" s="11">
        <v>-1000</v>
      </c>
      <c r="P16" s="11" t="e">
        <f t="shared" si="5"/>
        <v>#DIV/0!</v>
      </c>
      <c r="Q16" s="11">
        <f t="shared" si="6"/>
        <v>0</v>
      </c>
      <c r="R16" s="91" t="e">
        <f t="shared" si="7"/>
        <v>#DIV/0!</v>
      </c>
      <c r="S16" s="91" t="e">
        <f t="shared" si="8"/>
        <v>#DIV/0!</v>
      </c>
      <c r="T16" s="169" t="e">
        <f t="shared" si="9"/>
        <v>#DIV/0!</v>
      </c>
      <c r="U16" s="1" t="str">
        <f>'[1]2. Khánh Nga'!B38</f>
        <v>% Chai B7.2</v>
      </c>
      <c r="V16" s="101">
        <f>'[1]2. Khánh Nga'!O38</f>
        <v>1.8427270405582469E-5</v>
      </c>
      <c r="W16" s="1" t="str">
        <f>'[1]2. Khánh Nga'!B38</f>
        <v>% Chai B7.2</v>
      </c>
      <c r="X16" s="101">
        <f>'[1]2. Khánh Nga'!O38</f>
        <v>1.8427270405582469E-5</v>
      </c>
      <c r="Y16" s="1" t="str">
        <f>'[1]3. Đồng Lâm'!B343</f>
        <v>% Phó sản</v>
      </c>
      <c r="Z16" s="101">
        <f>'[1]3. Đồng Lâm'!O343</f>
        <v>8.9157794488867737E-3</v>
      </c>
      <c r="AE16" s="107"/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>M17/$M$21</f>
        <v>0</v>
      </c>
      <c r="O17" s="11">
        <v>2000</v>
      </c>
      <c r="P17" s="11" t="e">
        <f t="shared" si="5"/>
        <v>#DIV/0!</v>
      </c>
      <c r="Q17" s="11">
        <f t="shared" si="6"/>
        <v>0</v>
      </c>
      <c r="R17" s="91" t="e">
        <f t="shared" si="7"/>
        <v>#DIV/0!</v>
      </c>
      <c r="S17" s="91" t="e">
        <f t="shared" si="8"/>
        <v>#DIV/0!</v>
      </c>
      <c r="T17" s="169" t="e">
        <f t="shared" si="9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5"/>
        <v>#DIV/0!</v>
      </c>
      <c r="Q18" s="11">
        <f t="shared" si="6"/>
        <v>0</v>
      </c>
      <c r="R18" s="91" t="e">
        <f t="shared" si="7"/>
        <v>#DIV/0!</v>
      </c>
      <c r="S18" s="91" t="e">
        <f t="shared" si="8"/>
        <v>#DIV/0!</v>
      </c>
      <c r="T18" s="169" t="e">
        <f t="shared" si="9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5"/>
        <v>#DIV/0!</v>
      </c>
      <c r="Q19" s="11">
        <f t="shared" si="6"/>
        <v>0</v>
      </c>
      <c r="R19" s="91" t="e">
        <f t="shared" si="7"/>
        <v>#DIV/0!</v>
      </c>
      <c r="S19" s="91" t="e">
        <f t="shared" si="8"/>
        <v>#DIV/0!</v>
      </c>
      <c r="T19" s="169" t="e">
        <f t="shared" si="9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5"/>
        <v>#DIV/0!</v>
      </c>
      <c r="Q20" s="11">
        <f t="shared" si="6"/>
        <v>0</v>
      </c>
      <c r="R20" s="91" t="e">
        <f t="shared" si="7"/>
        <v>#DIV/0!</v>
      </c>
      <c r="S20" s="91" t="e">
        <f t="shared" si="8"/>
        <v>#DIV/0!</v>
      </c>
      <c r="T20" s="169" t="e">
        <f t="shared" si="9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2">SUM(D7:D20)</f>
        <v>1000</v>
      </c>
      <c r="E21" s="81">
        <f t="shared" si="12"/>
        <v>1.0000000000000002</v>
      </c>
      <c r="F21" s="80">
        <f>SUM(F7:F20)</f>
        <v>890</v>
      </c>
      <c r="G21" s="80">
        <f t="shared" si="12"/>
        <v>6.0499999999999989</v>
      </c>
      <c r="H21" s="82">
        <f t="shared" si="12"/>
        <v>1051</v>
      </c>
      <c r="I21" s="82">
        <f t="shared" si="12"/>
        <v>9500000.0000000019</v>
      </c>
      <c r="J21" s="83"/>
      <c r="K21" s="83"/>
      <c r="L21" s="83"/>
      <c r="M21" s="53">
        <f>AVERAGE(M7:M19)</f>
        <v>11583.333333333334</v>
      </c>
      <c r="N21" s="97"/>
      <c r="O21" s="54"/>
      <c r="P21" s="11">
        <f>I21/F21</f>
        <v>10674.157303370788</v>
      </c>
      <c r="T21" s="169">
        <f t="shared" si="9"/>
        <v>0</v>
      </c>
    </row>
    <row r="22" spans="2:20" x14ac:dyDescent="0.35">
      <c r="P22" s="11">
        <f>10000/(F21/1000)-P21</f>
        <v>561.79775280898684</v>
      </c>
    </row>
    <row r="24" spans="2:20" s="60" customFormat="1" ht="54.75" customHeight="1" x14ac:dyDescent="0.35">
      <c r="B24" s="86" t="s">
        <v>82</v>
      </c>
      <c r="C24" s="86" t="s">
        <v>79</v>
      </c>
      <c r="D24" s="187" t="s">
        <v>58</v>
      </c>
      <c r="E24" s="187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5965746.9077069471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5789170.8892970169</v>
      </c>
      <c r="J27" s="63">
        <f>I27/$I$26</f>
        <v>0.970401691331924</v>
      </c>
      <c r="K27" s="63">
        <f>J27</f>
        <v>0.970401691331924</v>
      </c>
      <c r="L27" s="182" t="s">
        <v>80</v>
      </c>
      <c r="M27" s="11">
        <f>ROUND($M$13+O27,-2)</f>
        <v>16100</v>
      </c>
      <c r="N27" s="100">
        <f>M27/$M$31</f>
        <v>1.3036437246963564</v>
      </c>
      <c r="O27" s="11">
        <f>O9+500</f>
        <v>2500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176576.01840993078</v>
      </c>
      <c r="J28" s="63">
        <f>I28/$I$26</f>
        <v>2.9598308668076109E-2</v>
      </c>
      <c r="K28" s="63">
        <f>J28</f>
        <v>2.9598308668076109E-2</v>
      </c>
      <c r="L28" s="183"/>
      <c r="M28" s="11">
        <f>ROUND($M$14+O28,-2)</f>
        <v>8600</v>
      </c>
      <c r="N28" s="100">
        <f>M28/$M$31</f>
        <v>0.69635627530364375</v>
      </c>
      <c r="O28" s="11">
        <f>O27</f>
        <v>2500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12350</v>
      </c>
      <c r="N31" s="55"/>
      <c r="O31" s="54"/>
      <c r="P31" s="54"/>
    </row>
    <row r="33" spans="3:28" x14ac:dyDescent="0.35">
      <c r="C33" s="104" t="s">
        <v>95</v>
      </c>
      <c r="AB33" s="103">
        <v>16300</v>
      </c>
    </row>
  </sheetData>
  <mergeCells count="7">
    <mergeCell ref="L27:L28"/>
    <mergeCell ref="D3:E3"/>
    <mergeCell ref="J3:K3"/>
    <mergeCell ref="M3:N3"/>
    <mergeCell ref="D4:E4"/>
    <mergeCell ref="L7:L14"/>
    <mergeCell ref="D24:E24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266F-AEA0-424F-9636-34AB9E8C26D0}">
  <dimension ref="A2:L55"/>
  <sheetViews>
    <sheetView topLeftCell="A7" workbookViewId="0">
      <selection activeCell="I15" sqref="I15"/>
    </sheetView>
  </sheetViews>
  <sheetFormatPr defaultRowHeight="14.5" x14ac:dyDescent="0.35"/>
  <cols>
    <col min="1" max="1" width="3.7265625" style="109" customWidth="1"/>
    <col min="2" max="2" width="18.453125" style="109" customWidth="1"/>
    <col min="3" max="3" width="34.1796875" style="109" bestFit="1" customWidth="1"/>
    <col min="4" max="4" width="14.90625" style="109" customWidth="1"/>
    <col min="5" max="5" width="10.1796875" style="109" customWidth="1"/>
    <col min="6" max="6" width="11.6328125" style="109" bestFit="1" customWidth="1"/>
    <col min="7" max="7" width="14.08984375" style="109" customWidth="1"/>
    <col min="8" max="8" width="14.7265625" style="109" customWidth="1"/>
    <col min="9" max="10" width="12.54296875" style="109" customWidth="1"/>
    <col min="11" max="11" width="18.81640625" style="109" customWidth="1"/>
    <col min="12" max="12" width="20.36328125" style="109" customWidth="1"/>
    <col min="13" max="13" width="19.54296875" style="109" customWidth="1"/>
    <col min="14" max="14" width="17" style="109" customWidth="1"/>
    <col min="15" max="15" width="10.08984375" style="109" customWidth="1"/>
    <col min="16" max="16384" width="8.7265625" style="109"/>
  </cols>
  <sheetData>
    <row r="2" spans="2:12" ht="15" thickBot="1" x14ac:dyDescent="0.4"/>
    <row r="3" spans="2:12" ht="21" x14ac:dyDescent="0.35">
      <c r="B3" s="196" t="s">
        <v>96</v>
      </c>
      <c r="C3" s="197"/>
      <c r="D3" s="197"/>
      <c r="E3" s="197"/>
      <c r="F3" s="197"/>
      <c r="G3" s="197"/>
      <c r="H3" s="197"/>
      <c r="I3" s="198"/>
      <c r="K3" s="110" t="s">
        <v>97</v>
      </c>
    </row>
    <row r="4" spans="2:12" ht="15.5" x14ac:dyDescent="0.35">
      <c r="B4" s="199" t="s">
        <v>98</v>
      </c>
      <c r="C4" s="200"/>
      <c r="D4" s="200"/>
      <c r="E4" s="200"/>
      <c r="F4" s="200"/>
      <c r="G4" s="200"/>
      <c r="H4" s="200"/>
      <c r="I4" s="201"/>
      <c r="J4" s="111"/>
    </row>
    <row r="5" spans="2:12" x14ac:dyDescent="0.35">
      <c r="B5" s="112"/>
      <c r="I5" s="113" t="s">
        <v>99</v>
      </c>
      <c r="J5" s="114"/>
    </row>
    <row r="6" spans="2:12" ht="15.5" x14ac:dyDescent="0.35">
      <c r="B6" s="202" t="s">
        <v>100</v>
      </c>
      <c r="C6" s="204" t="s">
        <v>101</v>
      </c>
      <c r="D6" s="204" t="s">
        <v>102</v>
      </c>
      <c r="E6" s="206" t="s">
        <v>93</v>
      </c>
      <c r="F6" s="207"/>
      <c r="G6" s="204" t="s">
        <v>89</v>
      </c>
      <c r="H6" s="208" t="s">
        <v>103</v>
      </c>
      <c r="I6" s="210" t="s">
        <v>104</v>
      </c>
    </row>
    <row r="7" spans="2:12" ht="25" customHeight="1" x14ac:dyDescent="0.35">
      <c r="B7" s="203"/>
      <c r="C7" s="205"/>
      <c r="D7" s="205"/>
      <c r="E7" s="115" t="s">
        <v>5</v>
      </c>
      <c r="F7" s="115" t="s">
        <v>105</v>
      </c>
      <c r="G7" s="205"/>
      <c r="H7" s="209"/>
      <c r="I7" s="211"/>
    </row>
    <row r="8" spans="2:12" ht="15.5" x14ac:dyDescent="0.35">
      <c r="B8" s="116" t="s">
        <v>106</v>
      </c>
      <c r="C8" s="117"/>
      <c r="D8" s="117"/>
      <c r="E8" s="118"/>
      <c r="F8" s="118"/>
      <c r="G8" s="117"/>
      <c r="H8" s="119"/>
      <c r="I8" s="120"/>
    </row>
    <row r="9" spans="2:12" ht="15.5" x14ac:dyDescent="0.35">
      <c r="B9" s="121" t="s">
        <v>107</v>
      </c>
      <c r="C9" s="122" t="s">
        <v>108</v>
      </c>
      <c r="D9" s="123">
        <v>10000</v>
      </c>
      <c r="E9" s="124">
        <v>0.11</v>
      </c>
      <c r="F9" s="123">
        <f>D9*E9</f>
        <v>1100</v>
      </c>
      <c r="G9" s="125">
        <v>3000</v>
      </c>
      <c r="H9" s="125">
        <f>D9+F9+G9</f>
        <v>14100</v>
      </c>
      <c r="I9" s="126">
        <v>14500</v>
      </c>
      <c r="K9" s="125">
        <v>3500</v>
      </c>
      <c r="L9" s="127">
        <f>I9-H9</f>
        <v>400</v>
      </c>
    </row>
    <row r="10" spans="2:12" ht="15.5" x14ac:dyDescent="0.35">
      <c r="B10" s="128" t="s">
        <v>109</v>
      </c>
      <c r="C10" s="129" t="s">
        <v>110</v>
      </c>
      <c r="D10" s="123">
        <v>10000</v>
      </c>
      <c r="E10" s="124">
        <v>0.11</v>
      </c>
      <c r="F10" s="130">
        <f>D10*E10</f>
        <v>1100</v>
      </c>
      <c r="G10" s="131">
        <v>500</v>
      </c>
      <c r="H10" s="131">
        <f>D10+F10+G10</f>
        <v>11600</v>
      </c>
      <c r="I10" s="132">
        <v>11500</v>
      </c>
      <c r="K10" s="131">
        <v>500</v>
      </c>
      <c r="L10" s="127">
        <f>I10-H10</f>
        <v>-100</v>
      </c>
    </row>
    <row r="11" spans="2:12" ht="15.5" x14ac:dyDescent="0.35">
      <c r="B11" s="133" t="s">
        <v>111</v>
      </c>
      <c r="C11" s="134" t="s">
        <v>112</v>
      </c>
      <c r="D11" s="123">
        <v>10000</v>
      </c>
      <c r="E11" s="124">
        <v>0.11</v>
      </c>
      <c r="F11" s="135">
        <f>D11*E11</f>
        <v>1100</v>
      </c>
      <c r="G11" s="136">
        <v>2000</v>
      </c>
      <c r="H11" s="136">
        <f>D11+F11+G11</f>
        <v>13100</v>
      </c>
      <c r="I11" s="137">
        <v>13000</v>
      </c>
      <c r="K11" s="136">
        <v>2000</v>
      </c>
      <c r="L11" s="127">
        <f>I11-H11</f>
        <v>-100</v>
      </c>
    </row>
    <row r="12" spans="2:12" ht="15.5" x14ac:dyDescent="0.35">
      <c r="B12" s="138" t="s">
        <v>113</v>
      </c>
      <c r="C12" s="139" t="s">
        <v>114</v>
      </c>
      <c r="D12" s="123">
        <v>10000</v>
      </c>
      <c r="E12" s="124">
        <v>0.11</v>
      </c>
      <c r="F12" s="140">
        <f>D12*E12</f>
        <v>1100</v>
      </c>
      <c r="G12" s="141">
        <v>-5000</v>
      </c>
      <c r="H12" s="141">
        <f>D12+F12+G12</f>
        <v>6100</v>
      </c>
      <c r="I12" s="142">
        <v>6000</v>
      </c>
      <c r="K12" s="141">
        <v>-5000</v>
      </c>
      <c r="L12" s="127">
        <f>I12-H12</f>
        <v>-100</v>
      </c>
    </row>
    <row r="13" spans="2:12" ht="15.5" x14ac:dyDescent="0.35">
      <c r="B13" s="143" t="s">
        <v>115</v>
      </c>
      <c r="C13" s="144" t="s">
        <v>116</v>
      </c>
      <c r="D13" s="145">
        <v>10000</v>
      </c>
      <c r="E13" s="124">
        <v>0.11</v>
      </c>
      <c r="F13" s="140">
        <f>D13*E13</f>
        <v>1100</v>
      </c>
      <c r="G13" s="141">
        <v>-1000</v>
      </c>
      <c r="H13" s="141">
        <f>D13+F13+G13</f>
        <v>10100</v>
      </c>
      <c r="I13" s="146">
        <v>9000</v>
      </c>
      <c r="K13" s="147"/>
    </row>
    <row r="14" spans="2:12" ht="15.5" x14ac:dyDescent="0.35">
      <c r="B14" s="116" t="s">
        <v>117</v>
      </c>
      <c r="C14" s="117"/>
      <c r="D14" s="117"/>
      <c r="E14" s="118"/>
      <c r="F14" s="118"/>
      <c r="G14" s="117"/>
      <c r="H14" s="117"/>
      <c r="I14" s="120"/>
      <c r="K14" s="117"/>
    </row>
    <row r="15" spans="2:12" ht="16" thickBot="1" x14ac:dyDescent="0.4">
      <c r="B15" s="148" t="s">
        <v>118</v>
      </c>
      <c r="C15" s="149" t="s">
        <v>119</v>
      </c>
      <c r="D15" s="150">
        <f>H11</f>
        <v>13100</v>
      </c>
      <c r="E15" s="151">
        <v>0.1</v>
      </c>
      <c r="F15" s="152">
        <f>D15*E15</f>
        <v>1310</v>
      </c>
      <c r="G15" s="150">
        <v>2000</v>
      </c>
      <c r="H15" s="150">
        <f>D15+F15+G15</f>
        <v>16410</v>
      </c>
      <c r="I15" s="153">
        <v>16500</v>
      </c>
      <c r="K15" s="150">
        <v>2000</v>
      </c>
      <c r="L15" s="127">
        <f>I15-H15</f>
        <v>90</v>
      </c>
    </row>
    <row r="17" spans="1:12" x14ac:dyDescent="0.35">
      <c r="B17" s="195" t="s">
        <v>120</v>
      </c>
      <c r="C17" s="195"/>
      <c r="D17" s="195"/>
      <c r="G17" s="109" t="s">
        <v>141</v>
      </c>
    </row>
    <row r="18" spans="1:12" x14ac:dyDescent="0.35">
      <c r="B18" s="154" t="s">
        <v>121</v>
      </c>
      <c r="C18" s="155" t="s">
        <v>122</v>
      </c>
      <c r="D18" s="154" t="s">
        <v>123</v>
      </c>
      <c r="E18" s="168" t="s">
        <v>124</v>
      </c>
      <c r="F18" s="168" t="s">
        <v>125</v>
      </c>
      <c r="G18" s="168" t="s">
        <v>142</v>
      </c>
      <c r="H18" s="168" t="s">
        <v>91</v>
      </c>
      <c r="I18" s="168" t="s">
        <v>143</v>
      </c>
    </row>
    <row r="19" spans="1:12" x14ac:dyDescent="0.35">
      <c r="B19" s="156">
        <v>150000003</v>
      </c>
      <c r="C19" s="157" t="s">
        <v>52</v>
      </c>
      <c r="D19" s="158">
        <f>$I$9</f>
        <v>14500</v>
      </c>
      <c r="E19" s="159">
        <v>15000</v>
      </c>
      <c r="F19" s="159">
        <v>15000</v>
      </c>
      <c r="G19" s="159">
        <f>'BOM (DLoc)'!M7</f>
        <v>14500</v>
      </c>
      <c r="H19" s="159">
        <f>'BOM (KN)'!M7</f>
        <v>14500</v>
      </c>
      <c r="I19" s="159">
        <f>'BOM (Dlam)'!M7</f>
        <v>14600</v>
      </c>
    </row>
    <row r="20" spans="1:12" x14ac:dyDescent="0.35">
      <c r="B20" s="156">
        <v>150000113</v>
      </c>
      <c r="C20" s="160" t="s">
        <v>126</v>
      </c>
      <c r="D20" s="161">
        <f>$I$9</f>
        <v>14500</v>
      </c>
      <c r="E20" s="162">
        <v>15000</v>
      </c>
      <c r="F20" s="162">
        <v>15000</v>
      </c>
      <c r="G20" s="162">
        <f>$G$19</f>
        <v>14500</v>
      </c>
      <c r="H20" s="162">
        <f t="shared" ref="H20:I22" si="0">$H$19</f>
        <v>14500</v>
      </c>
      <c r="I20" s="162">
        <f t="shared" si="0"/>
        <v>14500</v>
      </c>
    </row>
    <row r="21" spans="1:12" x14ac:dyDescent="0.35">
      <c r="B21" s="156">
        <v>150000187</v>
      </c>
      <c r="C21" s="160" t="s">
        <v>65</v>
      </c>
      <c r="D21" s="161">
        <f>$I$9</f>
        <v>14500</v>
      </c>
      <c r="E21" s="162">
        <v>15000</v>
      </c>
      <c r="F21" s="162">
        <v>15000</v>
      </c>
      <c r="G21" s="162">
        <f>$G$19</f>
        <v>14500</v>
      </c>
      <c r="H21" s="162">
        <f t="shared" si="0"/>
        <v>14500</v>
      </c>
      <c r="I21" s="162">
        <f t="shared" si="0"/>
        <v>14500</v>
      </c>
    </row>
    <row r="22" spans="1:12" x14ac:dyDescent="0.35">
      <c r="B22" s="156">
        <v>150000004</v>
      </c>
      <c r="C22" s="157" t="s">
        <v>127</v>
      </c>
      <c r="D22" s="158">
        <f>$I$9</f>
        <v>14500</v>
      </c>
      <c r="E22" s="159">
        <v>15000</v>
      </c>
      <c r="F22" s="159">
        <v>15000</v>
      </c>
      <c r="G22" s="159">
        <f>$G$19</f>
        <v>14500</v>
      </c>
      <c r="H22" s="159">
        <f t="shared" si="0"/>
        <v>14500</v>
      </c>
      <c r="I22" s="159">
        <f t="shared" si="0"/>
        <v>14500</v>
      </c>
    </row>
    <row r="23" spans="1:12" x14ac:dyDescent="0.35">
      <c r="B23" s="156">
        <v>150000050</v>
      </c>
      <c r="C23" s="160" t="s">
        <v>9</v>
      </c>
      <c r="D23" s="161">
        <f>$I$11</f>
        <v>13000</v>
      </c>
      <c r="E23" s="162">
        <v>13500</v>
      </c>
      <c r="F23" s="162">
        <v>13500</v>
      </c>
      <c r="G23" s="162">
        <f>'BOM (DLoc)'!M9</f>
        <v>12000</v>
      </c>
      <c r="H23" s="162">
        <f>'BOM (KN)'!M9</f>
        <v>12000</v>
      </c>
      <c r="I23" s="162">
        <f>'BOM (Dlam)'!M9</f>
        <v>12000</v>
      </c>
    </row>
    <row r="24" spans="1:12" x14ac:dyDescent="0.35">
      <c r="B24" s="156">
        <v>150000005</v>
      </c>
      <c r="C24" s="157" t="s">
        <v>128</v>
      </c>
      <c r="D24" s="158">
        <f>$I$9</f>
        <v>14500</v>
      </c>
      <c r="E24" s="159">
        <v>15000</v>
      </c>
      <c r="F24" s="159">
        <v>15000</v>
      </c>
      <c r="G24" s="159">
        <f>$G$19</f>
        <v>14500</v>
      </c>
      <c r="H24" s="159">
        <f>$H$19</f>
        <v>14500</v>
      </c>
      <c r="I24" s="159">
        <f>$H$19</f>
        <v>14500</v>
      </c>
    </row>
    <row r="25" spans="1:12" x14ac:dyDescent="0.35">
      <c r="B25" s="156">
        <v>150000014</v>
      </c>
      <c r="C25" s="160" t="s">
        <v>15</v>
      </c>
      <c r="D25" s="161">
        <f>$I$10</f>
        <v>11500</v>
      </c>
      <c r="E25" s="162">
        <v>12000</v>
      </c>
      <c r="F25" s="162">
        <v>12000</v>
      </c>
      <c r="G25" s="162">
        <f>'BOM (DLoc)'!M10</f>
        <v>11500</v>
      </c>
      <c r="H25" s="162">
        <f>'BOM (KN)'!M10</f>
        <v>11500</v>
      </c>
      <c r="I25" s="162">
        <f>'BOM (Dlam)'!M10</f>
        <v>11600</v>
      </c>
    </row>
    <row r="26" spans="1:12" x14ac:dyDescent="0.35">
      <c r="B26" s="156">
        <v>150000015</v>
      </c>
      <c r="C26" s="160" t="s">
        <v>11</v>
      </c>
      <c r="D26" s="161">
        <f>$I$10</f>
        <v>11500</v>
      </c>
      <c r="E26" s="162">
        <v>12000</v>
      </c>
      <c r="F26" s="162">
        <v>12000</v>
      </c>
      <c r="G26" s="162">
        <f>'BOM (DLoc)'!M11</f>
        <v>11500</v>
      </c>
      <c r="H26" s="162">
        <f>'BOM (KN)'!M11</f>
        <v>11500</v>
      </c>
      <c r="I26" s="162">
        <f>'BOM (Dlam)'!M11</f>
        <v>11600</v>
      </c>
    </row>
    <row r="27" spans="1:12" x14ac:dyDescent="0.35">
      <c r="B27" s="156"/>
      <c r="C27" s="160" t="s">
        <v>64</v>
      </c>
      <c r="D27" s="161">
        <f>I9</f>
        <v>14500</v>
      </c>
      <c r="E27" s="162">
        <v>15000</v>
      </c>
      <c r="F27" s="162">
        <v>15000</v>
      </c>
      <c r="G27" s="162">
        <f>G19</f>
        <v>14500</v>
      </c>
      <c r="H27" s="162">
        <f>H19</f>
        <v>14500</v>
      </c>
      <c r="I27" s="162">
        <f>I19</f>
        <v>14600</v>
      </c>
    </row>
    <row r="28" spans="1:12" x14ac:dyDescent="0.35">
      <c r="B28" s="156">
        <v>150000114</v>
      </c>
      <c r="C28" s="160" t="s">
        <v>13</v>
      </c>
      <c r="D28" s="161">
        <f>$I$11</f>
        <v>13000</v>
      </c>
      <c r="E28" s="162">
        <v>13500</v>
      </c>
      <c r="F28" s="162">
        <v>13500</v>
      </c>
      <c r="G28" s="162">
        <f>'BOM (DLoc)'!M13</f>
        <v>13500</v>
      </c>
      <c r="H28" s="162">
        <f>'BOM (KN)'!M13</f>
        <v>13500</v>
      </c>
      <c r="I28" s="162">
        <f>'BOM (Dlam)'!M13</f>
        <v>13600</v>
      </c>
    </row>
    <row r="29" spans="1:12" x14ac:dyDescent="0.35">
      <c r="A29" s="163"/>
      <c r="B29" s="156"/>
      <c r="C29" s="160" t="s">
        <v>25</v>
      </c>
      <c r="D29" s="161">
        <f>I13</f>
        <v>9000</v>
      </c>
      <c r="E29" s="162">
        <v>9000</v>
      </c>
      <c r="F29" s="162">
        <v>9000</v>
      </c>
      <c r="G29" s="162">
        <f>'BOM (DLoc)'!M16</f>
        <v>0</v>
      </c>
      <c r="H29" s="162">
        <f>'BOM (KN)'!M16</f>
        <v>0</v>
      </c>
      <c r="I29" s="162">
        <f>'BOM (Dlam)'!M16</f>
        <v>0</v>
      </c>
    </row>
    <row r="30" spans="1:12" s="163" customFormat="1" x14ac:dyDescent="0.35">
      <c r="A30" s="109"/>
      <c r="B30" s="156"/>
      <c r="C30" s="160" t="s">
        <v>129</v>
      </c>
      <c r="D30" s="161">
        <f>I12</f>
        <v>6000</v>
      </c>
      <c r="E30" s="162">
        <v>6500</v>
      </c>
      <c r="F30" s="162">
        <v>6500</v>
      </c>
      <c r="G30" s="162">
        <f>'BOM (DLoc)'!M14</f>
        <v>6000</v>
      </c>
      <c r="H30" s="162">
        <f>'BOM (KN)'!M14</f>
        <v>6000</v>
      </c>
      <c r="I30" s="162">
        <f>'BOM (Dlam)'!M14</f>
        <v>6100</v>
      </c>
    </row>
    <row r="31" spans="1:12" x14ac:dyDescent="0.35">
      <c r="B31" s="156"/>
      <c r="C31" s="160" t="s">
        <v>130</v>
      </c>
      <c r="D31" s="161">
        <f>I12</f>
        <v>6000</v>
      </c>
      <c r="E31" s="162">
        <v>6500</v>
      </c>
      <c r="F31" s="162">
        <v>6500</v>
      </c>
      <c r="G31" s="162">
        <f>'BOM (DLoc)'!M19</f>
        <v>0</v>
      </c>
      <c r="H31" s="162">
        <f>'BOM (KN)'!M19</f>
        <v>0</v>
      </c>
      <c r="I31" s="162">
        <f>'BOM (Dlam)'!M19</f>
        <v>0</v>
      </c>
      <c r="L31" s="127"/>
    </row>
    <row r="32" spans="1:12" x14ac:dyDescent="0.35">
      <c r="B32" s="164">
        <v>150000061</v>
      </c>
      <c r="C32" s="165" t="s">
        <v>72</v>
      </c>
      <c r="D32" s="166">
        <f>I15</f>
        <v>16500</v>
      </c>
      <c r="E32" s="162">
        <v>16500</v>
      </c>
      <c r="F32" s="162">
        <v>16500</v>
      </c>
      <c r="G32" s="162">
        <f>'BOM (DLoc)'!M27</f>
        <v>16000</v>
      </c>
      <c r="H32" s="162">
        <f>'BOM (KN)'!M27</f>
        <v>16000</v>
      </c>
      <c r="I32" s="162">
        <f>'BOM (Dlam)'!M27</f>
        <v>16100</v>
      </c>
    </row>
    <row r="34" spans="2:4" hidden="1" x14ac:dyDescent="0.35">
      <c r="B34" s="109" t="s">
        <v>131</v>
      </c>
    </row>
    <row r="35" spans="2:4" hidden="1" x14ac:dyDescent="0.35">
      <c r="B35" s="156">
        <v>150000003</v>
      </c>
      <c r="C35" s="160" t="s">
        <v>52</v>
      </c>
      <c r="D35" s="161">
        <f>D19</f>
        <v>14500</v>
      </c>
    </row>
    <row r="36" spans="2:4" hidden="1" x14ac:dyDescent="0.35">
      <c r="B36" s="156">
        <v>150000113</v>
      </c>
      <c r="C36" s="160" t="s">
        <v>126</v>
      </c>
      <c r="D36" s="161">
        <f t="shared" ref="D36:D41" si="1">D20</f>
        <v>14500</v>
      </c>
    </row>
    <row r="37" spans="2:4" hidden="1" x14ac:dyDescent="0.35">
      <c r="B37" s="156">
        <v>150000187</v>
      </c>
      <c r="C37" s="160" t="s">
        <v>65</v>
      </c>
      <c r="D37" s="161">
        <f t="shared" si="1"/>
        <v>14500</v>
      </c>
    </row>
    <row r="38" spans="2:4" hidden="1" x14ac:dyDescent="0.35">
      <c r="B38" s="156">
        <v>150000004</v>
      </c>
      <c r="C38" s="160" t="s">
        <v>127</v>
      </c>
      <c r="D38" s="161">
        <f t="shared" si="1"/>
        <v>14500</v>
      </c>
    </row>
    <row r="39" spans="2:4" hidden="1" x14ac:dyDescent="0.35">
      <c r="B39" s="156">
        <v>150000050</v>
      </c>
      <c r="C39" s="160" t="s">
        <v>9</v>
      </c>
      <c r="D39" s="161">
        <f t="shared" si="1"/>
        <v>13000</v>
      </c>
    </row>
    <row r="40" spans="2:4" hidden="1" x14ac:dyDescent="0.35">
      <c r="B40" s="156">
        <v>150000005</v>
      </c>
      <c r="C40" s="160" t="s">
        <v>128</v>
      </c>
      <c r="D40" s="161">
        <f t="shared" si="1"/>
        <v>14500</v>
      </c>
    </row>
    <row r="41" spans="2:4" hidden="1" x14ac:dyDescent="0.35">
      <c r="B41" s="156">
        <v>150000014</v>
      </c>
      <c r="C41" s="160" t="s">
        <v>15</v>
      </c>
      <c r="D41" s="161">
        <f t="shared" si="1"/>
        <v>11500</v>
      </c>
    </row>
    <row r="42" spans="2:4" hidden="1" x14ac:dyDescent="0.35">
      <c r="B42" s="156">
        <v>150000015</v>
      </c>
      <c r="C42" s="160" t="s">
        <v>11</v>
      </c>
      <c r="D42" s="161">
        <f>D26</f>
        <v>11500</v>
      </c>
    </row>
    <row r="43" spans="2:4" hidden="1" x14ac:dyDescent="0.35">
      <c r="B43" s="156">
        <v>150000114</v>
      </c>
      <c r="C43" s="160" t="s">
        <v>13</v>
      </c>
      <c r="D43" s="161">
        <f>D28</f>
        <v>13000</v>
      </c>
    </row>
    <row r="44" spans="2:4" hidden="1" x14ac:dyDescent="0.35">
      <c r="B44" s="156"/>
      <c r="C44" s="160" t="s">
        <v>25</v>
      </c>
      <c r="D44" s="161">
        <f>D29</f>
        <v>9000</v>
      </c>
    </row>
    <row r="45" spans="2:4" hidden="1" x14ac:dyDescent="0.35">
      <c r="B45" s="156"/>
      <c r="C45" s="160" t="s">
        <v>129</v>
      </c>
      <c r="D45" s="161">
        <f>D30</f>
        <v>6000</v>
      </c>
    </row>
    <row r="46" spans="2:4" hidden="1" x14ac:dyDescent="0.35">
      <c r="B46" s="156"/>
      <c r="C46" s="160" t="s">
        <v>130</v>
      </c>
      <c r="D46" s="161">
        <f>D31</f>
        <v>6000</v>
      </c>
    </row>
    <row r="47" spans="2:4" hidden="1" x14ac:dyDescent="0.35">
      <c r="B47" s="164">
        <v>150000061</v>
      </c>
      <c r="C47" s="165" t="s">
        <v>72</v>
      </c>
      <c r="D47" s="161">
        <f>D32</f>
        <v>16500</v>
      </c>
    </row>
    <row r="48" spans="2:4" x14ac:dyDescent="0.35">
      <c r="D48" s="109" t="s">
        <v>132</v>
      </c>
    </row>
    <row r="49" spans="2:3" x14ac:dyDescent="0.35">
      <c r="B49" s="167" t="s">
        <v>133</v>
      </c>
      <c r="C49" s="167" t="s">
        <v>134</v>
      </c>
    </row>
    <row r="50" spans="2:3" x14ac:dyDescent="0.35">
      <c r="B50" s="167"/>
      <c r="C50" s="167" t="s">
        <v>135</v>
      </c>
    </row>
    <row r="51" spans="2:3" x14ac:dyDescent="0.35">
      <c r="B51" s="167"/>
      <c r="C51" s="167" t="s">
        <v>136</v>
      </c>
    </row>
    <row r="52" spans="2:3" x14ac:dyDescent="0.35">
      <c r="B52" s="167"/>
      <c r="C52" s="167" t="s">
        <v>137</v>
      </c>
    </row>
    <row r="53" spans="2:3" x14ac:dyDescent="0.35">
      <c r="C53" s="109" t="s">
        <v>138</v>
      </c>
    </row>
    <row r="54" spans="2:3" x14ac:dyDescent="0.35">
      <c r="C54" s="109" t="s">
        <v>139</v>
      </c>
    </row>
    <row r="55" spans="2:3" x14ac:dyDescent="0.35">
      <c r="C55" s="109" t="s">
        <v>140</v>
      </c>
    </row>
  </sheetData>
  <mergeCells count="10">
    <mergeCell ref="B17:D17"/>
    <mergeCell ref="B3:I3"/>
    <mergeCell ref="B4:I4"/>
    <mergeCell ref="B6:B7"/>
    <mergeCell ref="C6:C7"/>
    <mergeCell ref="D6:D7"/>
    <mergeCell ref="E6:F6"/>
    <mergeCell ref="G6:G7"/>
    <mergeCell ref="H6:H7"/>
    <mergeCell ref="I6:I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30CA-3016-42B3-9190-984F83892188}">
  <dimension ref="A2:M55"/>
  <sheetViews>
    <sheetView topLeftCell="A6" workbookViewId="0">
      <selection activeCell="C18" sqref="C18"/>
    </sheetView>
  </sheetViews>
  <sheetFormatPr defaultRowHeight="14.5" x14ac:dyDescent="0.35"/>
  <cols>
    <col min="1" max="1" width="3.7265625" style="109" customWidth="1"/>
    <col min="2" max="2" width="18.453125" style="109" customWidth="1"/>
    <col min="3" max="3" width="34.1796875" style="109" bestFit="1" customWidth="1"/>
    <col min="4" max="4" width="14.90625" style="109" customWidth="1"/>
    <col min="5" max="5" width="10.1796875" style="109" customWidth="1"/>
    <col min="6" max="6" width="11.6328125" style="109" bestFit="1" customWidth="1"/>
    <col min="7" max="7" width="14.08984375" style="109" customWidth="1"/>
    <col min="8" max="8" width="14.7265625" style="109" customWidth="1"/>
    <col min="9" max="10" width="12.54296875" style="109" customWidth="1"/>
    <col min="11" max="11" width="18.81640625" style="109" customWidth="1"/>
    <col min="12" max="12" width="20.36328125" style="109" customWidth="1"/>
    <col min="13" max="13" width="19.54296875" style="109" customWidth="1"/>
    <col min="14" max="14" width="17" style="109" customWidth="1"/>
    <col min="15" max="15" width="10.08984375" style="109" customWidth="1"/>
    <col min="16" max="16384" width="8.7265625" style="109"/>
  </cols>
  <sheetData>
    <row r="2" spans="2:13" ht="15" thickBot="1" x14ac:dyDescent="0.4"/>
    <row r="3" spans="2:13" ht="21" x14ac:dyDescent="0.35">
      <c r="B3" s="196" t="s">
        <v>96</v>
      </c>
      <c r="C3" s="197"/>
      <c r="D3" s="197"/>
      <c r="E3" s="197"/>
      <c r="F3" s="197"/>
      <c r="G3" s="197"/>
      <c r="H3" s="197"/>
      <c r="I3" s="198"/>
      <c r="K3" s="110" t="s">
        <v>97</v>
      </c>
    </row>
    <row r="4" spans="2:13" ht="15.5" x14ac:dyDescent="0.35">
      <c r="B4" s="199" t="s">
        <v>147</v>
      </c>
      <c r="C4" s="200"/>
      <c r="D4" s="200"/>
      <c r="E4" s="200"/>
      <c r="F4" s="200"/>
      <c r="G4" s="200"/>
      <c r="H4" s="200"/>
      <c r="I4" s="201"/>
      <c r="J4" s="111"/>
    </row>
    <row r="5" spans="2:13" x14ac:dyDescent="0.35">
      <c r="B5" s="112"/>
      <c r="I5" s="113" t="s">
        <v>99</v>
      </c>
      <c r="J5" s="114"/>
    </row>
    <row r="6" spans="2:13" ht="15.5" x14ac:dyDescent="0.35">
      <c r="B6" s="202" t="s">
        <v>100</v>
      </c>
      <c r="C6" s="204" t="s">
        <v>101</v>
      </c>
      <c r="D6" s="204" t="s">
        <v>102</v>
      </c>
      <c r="E6" s="206" t="s">
        <v>93</v>
      </c>
      <c r="F6" s="207"/>
      <c r="G6" s="204" t="s">
        <v>89</v>
      </c>
      <c r="H6" s="208" t="s">
        <v>103</v>
      </c>
      <c r="I6" s="210" t="s">
        <v>104</v>
      </c>
    </row>
    <row r="7" spans="2:13" ht="25" customHeight="1" x14ac:dyDescent="0.35">
      <c r="B7" s="203"/>
      <c r="C7" s="205"/>
      <c r="D7" s="205"/>
      <c r="E7" s="115" t="s">
        <v>5</v>
      </c>
      <c r="F7" s="115" t="s">
        <v>105</v>
      </c>
      <c r="G7" s="205"/>
      <c r="H7" s="209"/>
      <c r="I7" s="211"/>
    </row>
    <row r="8" spans="2:13" ht="15.5" x14ac:dyDescent="0.35">
      <c r="B8" s="116" t="s">
        <v>106</v>
      </c>
      <c r="C8" s="117"/>
      <c r="D8" s="117"/>
      <c r="E8" s="118"/>
      <c r="F8" s="118"/>
      <c r="G8" s="117"/>
      <c r="H8" s="119"/>
      <c r="I8" s="120"/>
    </row>
    <row r="9" spans="2:13" ht="15.5" x14ac:dyDescent="0.35">
      <c r="B9" s="121" t="s">
        <v>107</v>
      </c>
      <c r="C9" s="122" t="s">
        <v>108</v>
      </c>
      <c r="D9" s="123">
        <v>9500</v>
      </c>
      <c r="E9" s="124">
        <v>0.11</v>
      </c>
      <c r="F9" s="123">
        <f>D9*E9</f>
        <v>1045</v>
      </c>
      <c r="G9" s="125">
        <v>3000</v>
      </c>
      <c r="H9" s="125">
        <f>D9+F9+G9</f>
        <v>13545</v>
      </c>
      <c r="I9" s="126">
        <v>14500</v>
      </c>
      <c r="K9" s="125">
        <v>3500</v>
      </c>
      <c r="L9" s="127">
        <f>I9-H9</f>
        <v>955</v>
      </c>
      <c r="M9" s="127">
        <f>G9+L9</f>
        <v>3955</v>
      </c>
    </row>
    <row r="10" spans="2:13" ht="15.5" x14ac:dyDescent="0.35">
      <c r="B10" s="128" t="s">
        <v>109</v>
      </c>
      <c r="C10" s="129" t="s">
        <v>110</v>
      </c>
      <c r="D10" s="123">
        <v>9500</v>
      </c>
      <c r="E10" s="124">
        <v>0.11</v>
      </c>
      <c r="F10" s="130">
        <f>D10*E10</f>
        <v>1045</v>
      </c>
      <c r="G10" s="131">
        <v>500</v>
      </c>
      <c r="H10" s="131">
        <f>D10+F10+G10</f>
        <v>11045</v>
      </c>
      <c r="I10" s="132">
        <v>11500</v>
      </c>
      <c r="K10" s="131">
        <v>500</v>
      </c>
      <c r="L10" s="127">
        <f>I10-H10</f>
        <v>455</v>
      </c>
      <c r="M10" s="127">
        <f t="shared" ref="M10:M12" si="0">G10+L10</f>
        <v>955</v>
      </c>
    </row>
    <row r="11" spans="2:13" ht="15.5" x14ac:dyDescent="0.35">
      <c r="B11" s="133" t="s">
        <v>111</v>
      </c>
      <c r="C11" s="134" t="s">
        <v>112</v>
      </c>
      <c r="D11" s="123">
        <v>9500</v>
      </c>
      <c r="E11" s="124">
        <v>0.11</v>
      </c>
      <c r="F11" s="135">
        <f>D11*E11</f>
        <v>1045</v>
      </c>
      <c r="G11" s="136">
        <v>2000</v>
      </c>
      <c r="H11" s="136">
        <f>D11+F11+G11</f>
        <v>12545</v>
      </c>
      <c r="I11" s="137">
        <v>13000</v>
      </c>
      <c r="K11" s="136">
        <v>2000</v>
      </c>
      <c r="L11" s="127">
        <f>I11-H11</f>
        <v>455</v>
      </c>
      <c r="M11" s="127">
        <f t="shared" si="0"/>
        <v>2455</v>
      </c>
    </row>
    <row r="12" spans="2:13" ht="15.5" x14ac:dyDescent="0.35">
      <c r="B12" s="138" t="s">
        <v>113</v>
      </c>
      <c r="C12" s="139" t="s">
        <v>114</v>
      </c>
      <c r="D12" s="123">
        <v>9500</v>
      </c>
      <c r="E12" s="124">
        <v>0.11</v>
      </c>
      <c r="F12" s="140">
        <f>D12*E12</f>
        <v>1045</v>
      </c>
      <c r="G12" s="141">
        <v>-5000</v>
      </c>
      <c r="H12" s="141">
        <f>D12+F12+G12</f>
        <v>5545</v>
      </c>
      <c r="I12" s="142">
        <v>6000</v>
      </c>
      <c r="K12" s="141">
        <v>-5000</v>
      </c>
      <c r="L12" s="127">
        <f>I12-H12</f>
        <v>455</v>
      </c>
      <c r="M12" s="127">
        <f t="shared" si="0"/>
        <v>-4545</v>
      </c>
    </row>
    <row r="13" spans="2:13" ht="15.5" x14ac:dyDescent="0.35">
      <c r="B13" s="143" t="s">
        <v>115</v>
      </c>
      <c r="C13" s="144" t="s">
        <v>116</v>
      </c>
      <c r="D13" s="123">
        <v>9500</v>
      </c>
      <c r="E13" s="124">
        <v>0.11</v>
      </c>
      <c r="F13" s="140">
        <f>D13*E13</f>
        <v>1045</v>
      </c>
      <c r="G13" s="141">
        <v>-1000</v>
      </c>
      <c r="H13" s="141">
        <f>D13+F13+G13</f>
        <v>9545</v>
      </c>
      <c r="I13" s="146">
        <v>9000</v>
      </c>
      <c r="K13" s="147"/>
    </row>
    <row r="14" spans="2:13" ht="15.5" x14ac:dyDescent="0.35">
      <c r="B14" s="116" t="s">
        <v>117</v>
      </c>
      <c r="C14" s="117"/>
      <c r="D14" s="117"/>
      <c r="E14" s="118"/>
      <c r="F14" s="118"/>
      <c r="G14" s="117"/>
      <c r="H14" s="117"/>
      <c r="I14" s="120"/>
      <c r="K14" s="117"/>
    </row>
    <row r="15" spans="2:13" ht="16" thickBot="1" x14ac:dyDescent="0.4">
      <c r="B15" s="148" t="s">
        <v>118</v>
      </c>
      <c r="C15" s="149" t="s">
        <v>119</v>
      </c>
      <c r="D15" s="150">
        <f>H11</f>
        <v>12545</v>
      </c>
      <c r="E15" s="151">
        <v>0.1</v>
      </c>
      <c r="F15" s="152">
        <f>D15*E15</f>
        <v>1254.5</v>
      </c>
      <c r="G15" s="150">
        <v>2000</v>
      </c>
      <c r="H15" s="150">
        <f>D15+F15+G15</f>
        <v>15799.5</v>
      </c>
      <c r="I15" s="153">
        <v>16000</v>
      </c>
      <c r="K15" s="150">
        <v>2000</v>
      </c>
      <c r="L15" s="127">
        <f>I15-H15</f>
        <v>200.5</v>
      </c>
      <c r="M15" s="127">
        <f>G15+L15</f>
        <v>2200.5</v>
      </c>
    </row>
    <row r="17" spans="1:12" x14ac:dyDescent="0.35">
      <c r="B17" s="195" t="s">
        <v>120</v>
      </c>
      <c r="C17" s="195"/>
      <c r="D17" s="195"/>
      <c r="G17" s="109" t="s">
        <v>141</v>
      </c>
    </row>
    <row r="18" spans="1:12" x14ac:dyDescent="0.35">
      <c r="B18" s="154" t="s">
        <v>121</v>
      </c>
      <c r="C18" s="155" t="s">
        <v>122</v>
      </c>
      <c r="D18" s="154" t="s">
        <v>123</v>
      </c>
      <c r="E18" s="168" t="s">
        <v>125</v>
      </c>
      <c r="F18" s="168" t="s">
        <v>146</v>
      </c>
      <c r="G18" s="168" t="s">
        <v>142</v>
      </c>
      <c r="H18" s="168" t="s">
        <v>91</v>
      </c>
      <c r="I18" s="168" t="s">
        <v>143</v>
      </c>
    </row>
    <row r="19" spans="1:12" x14ac:dyDescent="0.35">
      <c r="B19" s="156">
        <v>150000003</v>
      </c>
      <c r="C19" s="157" t="s">
        <v>52</v>
      </c>
      <c r="D19" s="158">
        <f>$I$9</f>
        <v>14500</v>
      </c>
      <c r="E19" s="159">
        <v>15000</v>
      </c>
      <c r="F19" s="159">
        <v>15000</v>
      </c>
      <c r="G19" s="159">
        <f>'BOM (DLoc)'!M7</f>
        <v>14500</v>
      </c>
      <c r="H19" s="159">
        <f>'BOM (KN)'!M7</f>
        <v>14500</v>
      </c>
      <c r="I19" s="159">
        <f>'BOM (Dlam)'!M7</f>
        <v>14600</v>
      </c>
    </row>
    <row r="20" spans="1:12" x14ac:dyDescent="0.35">
      <c r="B20" s="156">
        <v>150000113</v>
      </c>
      <c r="C20" s="160" t="s">
        <v>126</v>
      </c>
      <c r="D20" s="161">
        <f>$I$9</f>
        <v>14500</v>
      </c>
      <c r="E20" s="162">
        <v>15000</v>
      </c>
      <c r="F20" s="162">
        <v>15000</v>
      </c>
      <c r="G20" s="162">
        <f>$G$19</f>
        <v>14500</v>
      </c>
      <c r="H20" s="162">
        <f t="shared" ref="H20:I22" si="1">$H$19</f>
        <v>14500</v>
      </c>
      <c r="I20" s="162">
        <f t="shared" si="1"/>
        <v>14500</v>
      </c>
    </row>
    <row r="21" spans="1:12" x14ac:dyDescent="0.35">
      <c r="B21" s="156">
        <v>150000187</v>
      </c>
      <c r="C21" s="160" t="s">
        <v>65</v>
      </c>
      <c r="D21" s="161">
        <f>$I$9</f>
        <v>14500</v>
      </c>
      <c r="E21" s="162">
        <v>15000</v>
      </c>
      <c r="F21" s="162">
        <v>15000</v>
      </c>
      <c r="G21" s="162">
        <f>$G$19</f>
        <v>14500</v>
      </c>
      <c r="H21" s="162">
        <f t="shared" si="1"/>
        <v>14500</v>
      </c>
      <c r="I21" s="162">
        <f t="shared" si="1"/>
        <v>14500</v>
      </c>
    </row>
    <row r="22" spans="1:12" x14ac:dyDescent="0.35">
      <c r="B22" s="156">
        <v>150000004</v>
      </c>
      <c r="C22" s="157" t="s">
        <v>127</v>
      </c>
      <c r="D22" s="158">
        <f>$I$9</f>
        <v>14500</v>
      </c>
      <c r="E22" s="159">
        <v>15000</v>
      </c>
      <c r="F22" s="159">
        <v>15000</v>
      </c>
      <c r="G22" s="159">
        <f>$G$19</f>
        <v>14500</v>
      </c>
      <c r="H22" s="159">
        <f t="shared" si="1"/>
        <v>14500</v>
      </c>
      <c r="I22" s="159">
        <f t="shared" si="1"/>
        <v>14500</v>
      </c>
    </row>
    <row r="23" spans="1:12" x14ac:dyDescent="0.35">
      <c r="B23" s="156">
        <v>150000050</v>
      </c>
      <c r="C23" s="160" t="s">
        <v>9</v>
      </c>
      <c r="D23" s="161">
        <f>$I$11</f>
        <v>13000</v>
      </c>
      <c r="E23" s="162">
        <v>13500</v>
      </c>
      <c r="F23" s="162">
        <v>13500</v>
      </c>
      <c r="G23" s="162">
        <f>'BOM (DLoc)'!M9</f>
        <v>12000</v>
      </c>
      <c r="H23" s="162">
        <f>'BOM (KN)'!M9</f>
        <v>12000</v>
      </c>
      <c r="I23" s="162">
        <f>'BOM (Dlam)'!M9</f>
        <v>12000</v>
      </c>
    </row>
    <row r="24" spans="1:12" x14ac:dyDescent="0.35">
      <c r="B24" s="156">
        <v>150000005</v>
      </c>
      <c r="C24" s="157" t="s">
        <v>128</v>
      </c>
      <c r="D24" s="158">
        <f>$I$9</f>
        <v>14500</v>
      </c>
      <c r="E24" s="159">
        <v>15000</v>
      </c>
      <c r="F24" s="159">
        <v>15000</v>
      </c>
      <c r="G24" s="159">
        <f>$G$19</f>
        <v>14500</v>
      </c>
      <c r="H24" s="159">
        <f>$H$19</f>
        <v>14500</v>
      </c>
      <c r="I24" s="159">
        <f>$H$19</f>
        <v>14500</v>
      </c>
    </row>
    <row r="25" spans="1:12" x14ac:dyDescent="0.35">
      <c r="B25" s="156">
        <v>150000014</v>
      </c>
      <c r="C25" s="160" t="s">
        <v>15</v>
      </c>
      <c r="D25" s="161">
        <f>$I$10</f>
        <v>11500</v>
      </c>
      <c r="E25" s="162">
        <v>12000</v>
      </c>
      <c r="F25" s="162">
        <v>12000</v>
      </c>
      <c r="G25" s="162">
        <f>'BOM (DLoc)'!M10</f>
        <v>11500</v>
      </c>
      <c r="H25" s="162">
        <f>'BOM (KN)'!M10</f>
        <v>11500</v>
      </c>
      <c r="I25" s="162">
        <f>'BOM (Dlam)'!M10</f>
        <v>11600</v>
      </c>
    </row>
    <row r="26" spans="1:12" x14ac:dyDescent="0.35">
      <c r="B26" s="156">
        <v>150000015</v>
      </c>
      <c r="C26" s="160" t="s">
        <v>11</v>
      </c>
      <c r="D26" s="161">
        <f>$I$10</f>
        <v>11500</v>
      </c>
      <c r="E26" s="162">
        <v>12000</v>
      </c>
      <c r="F26" s="162">
        <v>12000</v>
      </c>
      <c r="G26" s="162">
        <f>'BOM (DLoc)'!M11</f>
        <v>11500</v>
      </c>
      <c r="H26" s="162">
        <f>'BOM (KN)'!M11</f>
        <v>11500</v>
      </c>
      <c r="I26" s="162">
        <f>'BOM (Dlam)'!M11</f>
        <v>11600</v>
      </c>
    </row>
    <row r="27" spans="1:12" x14ac:dyDescent="0.35">
      <c r="B27" s="156"/>
      <c r="C27" s="160" t="s">
        <v>64</v>
      </c>
      <c r="D27" s="161">
        <f>I9</f>
        <v>14500</v>
      </c>
      <c r="E27" s="162">
        <v>15000</v>
      </c>
      <c r="F27" s="162">
        <v>15000</v>
      </c>
      <c r="G27" s="162">
        <f>G19</f>
        <v>14500</v>
      </c>
      <c r="H27" s="162">
        <f>H19</f>
        <v>14500</v>
      </c>
      <c r="I27" s="162">
        <f>I19</f>
        <v>14600</v>
      </c>
    </row>
    <row r="28" spans="1:12" x14ac:dyDescent="0.35">
      <c r="B28" s="156">
        <v>150000114</v>
      </c>
      <c r="C28" s="160" t="s">
        <v>13</v>
      </c>
      <c r="D28" s="161">
        <f>$I$11</f>
        <v>13000</v>
      </c>
      <c r="E28" s="162">
        <v>13500</v>
      </c>
      <c r="F28" s="162">
        <v>13500</v>
      </c>
      <c r="G28" s="162">
        <f>'BOM (DLoc)'!M13</f>
        <v>13500</v>
      </c>
      <c r="H28" s="162">
        <f>'BOM (KN)'!M13</f>
        <v>13500</v>
      </c>
      <c r="I28" s="162">
        <f>'BOM (Dlam)'!M13</f>
        <v>13600</v>
      </c>
    </row>
    <row r="29" spans="1:12" x14ac:dyDescent="0.35">
      <c r="A29" s="163"/>
      <c r="B29" s="156"/>
      <c r="C29" s="160" t="s">
        <v>25</v>
      </c>
      <c r="D29" s="161">
        <f>I13</f>
        <v>9000</v>
      </c>
      <c r="E29" s="162">
        <v>9000</v>
      </c>
      <c r="F29" s="162">
        <v>9000</v>
      </c>
      <c r="G29" s="162">
        <f>'BOM (DLoc)'!M16</f>
        <v>0</v>
      </c>
      <c r="H29" s="162">
        <f>'BOM (KN)'!M16</f>
        <v>0</v>
      </c>
      <c r="I29" s="162">
        <f>'BOM (Dlam)'!M16</f>
        <v>0</v>
      </c>
    </row>
    <row r="30" spans="1:12" s="163" customFormat="1" x14ac:dyDescent="0.35">
      <c r="A30" s="109"/>
      <c r="B30" s="156"/>
      <c r="C30" s="160" t="s">
        <v>129</v>
      </c>
      <c r="D30" s="161">
        <f>I12</f>
        <v>6000</v>
      </c>
      <c r="E30" s="162">
        <v>6500</v>
      </c>
      <c r="F30" s="162">
        <v>6500</v>
      </c>
      <c r="G30" s="162">
        <f>'BOM (DLoc)'!M14</f>
        <v>6000</v>
      </c>
      <c r="H30" s="162">
        <f>'BOM (KN)'!M14</f>
        <v>6000</v>
      </c>
      <c r="I30" s="162">
        <f>'BOM (Dlam)'!M14</f>
        <v>6100</v>
      </c>
    </row>
    <row r="31" spans="1:12" x14ac:dyDescent="0.35">
      <c r="B31" s="156"/>
      <c r="C31" s="160" t="s">
        <v>130</v>
      </c>
      <c r="D31" s="161">
        <f>I12</f>
        <v>6000</v>
      </c>
      <c r="E31" s="162">
        <v>6500</v>
      </c>
      <c r="F31" s="162">
        <v>6500</v>
      </c>
      <c r="G31" s="162">
        <f>'BOM (DLoc)'!M19</f>
        <v>0</v>
      </c>
      <c r="H31" s="162">
        <f>'BOM (KN)'!M19</f>
        <v>0</v>
      </c>
      <c r="I31" s="162">
        <f>'BOM (Dlam)'!M19</f>
        <v>0</v>
      </c>
      <c r="L31" s="127"/>
    </row>
    <row r="32" spans="1:12" x14ac:dyDescent="0.35">
      <c r="B32" s="164">
        <v>150000061</v>
      </c>
      <c r="C32" s="165" t="s">
        <v>72</v>
      </c>
      <c r="D32" s="166">
        <f>I15</f>
        <v>16000</v>
      </c>
      <c r="E32" s="162">
        <v>16500</v>
      </c>
      <c r="F32" s="162">
        <v>16500</v>
      </c>
      <c r="G32" s="162">
        <f>'BOM (DLoc)'!M27</f>
        <v>16000</v>
      </c>
      <c r="H32" s="162">
        <f>'BOM (KN)'!M27</f>
        <v>16000</v>
      </c>
      <c r="I32" s="162">
        <f>'BOM (Dlam)'!M27</f>
        <v>16100</v>
      </c>
    </row>
    <row r="34" spans="2:4" hidden="1" x14ac:dyDescent="0.35">
      <c r="B34" s="109" t="s">
        <v>131</v>
      </c>
    </row>
    <row r="35" spans="2:4" hidden="1" x14ac:dyDescent="0.35">
      <c r="B35" s="156">
        <v>150000003</v>
      </c>
      <c r="C35" s="160" t="s">
        <v>52</v>
      </c>
      <c r="D35" s="161">
        <f>D19</f>
        <v>14500</v>
      </c>
    </row>
    <row r="36" spans="2:4" hidden="1" x14ac:dyDescent="0.35">
      <c r="B36" s="156">
        <v>150000113</v>
      </c>
      <c r="C36" s="160" t="s">
        <v>126</v>
      </c>
      <c r="D36" s="161">
        <f t="shared" ref="D36:D41" si="2">D20</f>
        <v>14500</v>
      </c>
    </row>
    <row r="37" spans="2:4" hidden="1" x14ac:dyDescent="0.35">
      <c r="B37" s="156">
        <v>150000187</v>
      </c>
      <c r="C37" s="160" t="s">
        <v>65</v>
      </c>
      <c r="D37" s="161">
        <f t="shared" si="2"/>
        <v>14500</v>
      </c>
    </row>
    <row r="38" spans="2:4" hidden="1" x14ac:dyDescent="0.35">
      <c r="B38" s="156">
        <v>150000004</v>
      </c>
      <c r="C38" s="160" t="s">
        <v>127</v>
      </c>
      <c r="D38" s="161">
        <f t="shared" si="2"/>
        <v>14500</v>
      </c>
    </row>
    <row r="39" spans="2:4" hidden="1" x14ac:dyDescent="0.35">
      <c r="B39" s="156">
        <v>150000050</v>
      </c>
      <c r="C39" s="160" t="s">
        <v>9</v>
      </c>
      <c r="D39" s="161">
        <f t="shared" si="2"/>
        <v>13000</v>
      </c>
    </row>
    <row r="40" spans="2:4" hidden="1" x14ac:dyDescent="0.35">
      <c r="B40" s="156">
        <v>150000005</v>
      </c>
      <c r="C40" s="160" t="s">
        <v>128</v>
      </c>
      <c r="D40" s="161">
        <f t="shared" si="2"/>
        <v>14500</v>
      </c>
    </row>
    <row r="41" spans="2:4" hidden="1" x14ac:dyDescent="0.35">
      <c r="B41" s="156">
        <v>150000014</v>
      </c>
      <c r="C41" s="160" t="s">
        <v>15</v>
      </c>
      <c r="D41" s="161">
        <f t="shared" si="2"/>
        <v>11500</v>
      </c>
    </row>
    <row r="42" spans="2:4" hidden="1" x14ac:dyDescent="0.35">
      <c r="B42" s="156">
        <v>150000015</v>
      </c>
      <c r="C42" s="160" t="s">
        <v>11</v>
      </c>
      <c r="D42" s="161">
        <f>D26</f>
        <v>11500</v>
      </c>
    </row>
    <row r="43" spans="2:4" hidden="1" x14ac:dyDescent="0.35">
      <c r="B43" s="156">
        <v>150000114</v>
      </c>
      <c r="C43" s="160" t="s">
        <v>13</v>
      </c>
      <c r="D43" s="161">
        <f>D28</f>
        <v>13000</v>
      </c>
    </row>
    <row r="44" spans="2:4" hidden="1" x14ac:dyDescent="0.35">
      <c r="B44" s="156"/>
      <c r="C44" s="160" t="s">
        <v>25</v>
      </c>
      <c r="D44" s="161">
        <f>D29</f>
        <v>9000</v>
      </c>
    </row>
    <row r="45" spans="2:4" hidden="1" x14ac:dyDescent="0.35">
      <c r="B45" s="156"/>
      <c r="C45" s="160" t="s">
        <v>129</v>
      </c>
      <c r="D45" s="161">
        <f>D30</f>
        <v>6000</v>
      </c>
    </row>
    <row r="46" spans="2:4" hidden="1" x14ac:dyDescent="0.35">
      <c r="B46" s="156"/>
      <c r="C46" s="160" t="s">
        <v>130</v>
      </c>
      <c r="D46" s="161">
        <f>D31</f>
        <v>6000</v>
      </c>
    </row>
    <row r="47" spans="2:4" hidden="1" x14ac:dyDescent="0.35">
      <c r="B47" s="164">
        <v>150000061</v>
      </c>
      <c r="C47" s="165" t="s">
        <v>72</v>
      </c>
      <c r="D47" s="161">
        <f>D32</f>
        <v>16000</v>
      </c>
    </row>
    <row r="48" spans="2:4" x14ac:dyDescent="0.35">
      <c r="D48" s="109" t="s">
        <v>132</v>
      </c>
    </row>
    <row r="49" spans="2:3" x14ac:dyDescent="0.35">
      <c r="B49" s="167" t="s">
        <v>133</v>
      </c>
      <c r="C49" s="167" t="s">
        <v>134</v>
      </c>
    </row>
    <row r="50" spans="2:3" x14ac:dyDescent="0.35">
      <c r="B50" s="167"/>
      <c r="C50" s="167" t="s">
        <v>135</v>
      </c>
    </row>
    <row r="51" spans="2:3" x14ac:dyDescent="0.35">
      <c r="B51" s="167"/>
      <c r="C51" s="167" t="s">
        <v>136</v>
      </c>
    </row>
    <row r="52" spans="2:3" x14ac:dyDescent="0.35">
      <c r="B52" s="167"/>
      <c r="C52" s="167" t="s">
        <v>137</v>
      </c>
    </row>
    <row r="53" spans="2:3" x14ac:dyDescent="0.35">
      <c r="C53" s="109" t="s">
        <v>138</v>
      </c>
    </row>
    <row r="54" spans="2:3" x14ac:dyDescent="0.35">
      <c r="C54" s="109" t="s">
        <v>139</v>
      </c>
    </row>
    <row r="55" spans="2:3" x14ac:dyDescent="0.35">
      <c r="C55" s="109" t="s">
        <v>140</v>
      </c>
    </row>
  </sheetData>
  <mergeCells count="10">
    <mergeCell ref="B17:D17"/>
    <mergeCell ref="B3:I3"/>
    <mergeCell ref="B4:I4"/>
    <mergeCell ref="B6:B7"/>
    <mergeCell ref="C6:C7"/>
    <mergeCell ref="D6:D7"/>
    <mergeCell ref="E6:F6"/>
    <mergeCell ref="G6:G7"/>
    <mergeCell ref="H6:H7"/>
    <mergeCell ref="I6:I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02ce9a2cf4966ec69a1b358f4d4b9d99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53998a36049a3ee9df92b0976465d5cf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Props1.xml><?xml version="1.0" encoding="utf-8"?>
<ds:datastoreItem xmlns:ds="http://schemas.openxmlformats.org/officeDocument/2006/customXml" ds:itemID="{BD429F17-0262-41E4-BFB9-B5DB961E8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445BB4-DE60-482C-8C9F-47304BF269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AFB695-EBB1-4568-A5C6-F2488C1BB68C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da0191db-049f-49dc-a4a6-d804a7c1caa4"/>
    <ds:schemaRef ds:uri="http://purl.org/dc/terms/"/>
    <ds:schemaRef ds:uri="0df09a27-9771-47e1-b9df-a49ccb752b2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BOM</vt:lpstr>
      <vt:lpstr>ROUTING</vt:lpstr>
      <vt:lpstr>BOM (2)</vt:lpstr>
      <vt:lpstr>BOM (Long)</vt:lpstr>
      <vt:lpstr>BOM (3NS26)</vt:lpstr>
      <vt:lpstr>BOM (DLoc)</vt:lpstr>
      <vt:lpstr>BOM (KN)</vt:lpstr>
      <vt:lpstr>BOM (Dlam)</vt:lpstr>
      <vt:lpstr>Bản giá mua từ trạm 02.26</vt:lpstr>
      <vt:lpstr>Bản giá mua từ trạm 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2026-03-06T10:16:35Z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