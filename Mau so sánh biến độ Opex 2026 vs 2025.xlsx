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07. NGÂN SÁCH- THỰC HIỆN/Năm 2026/"/>
    </mc:Choice>
  </mc:AlternateContent>
  <xr:revisionPtr revIDLastSave="44" documentId="13_ncr:1_{0F5C9CA5-D4F1-44EF-878C-0A35897FCFE6}" xr6:coauthVersionLast="47" xr6:coauthVersionMax="47" xr10:uidLastSave="{790FF18E-4C84-4DBD-AE5E-2F1E9C3BA00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E8" i="1" l="1"/>
  <c r="F8" i="1" s="1"/>
  <c r="E14" i="1"/>
  <c r="F14" i="1" s="1"/>
  <c r="E10" i="1"/>
  <c r="F10" i="1" s="1"/>
  <c r="E6" i="1"/>
  <c r="F6" i="1" s="1"/>
  <c r="E12" i="1"/>
  <c r="F12" i="1" s="1"/>
  <c r="E9" i="1"/>
  <c r="F9" i="1" s="1"/>
  <c r="E17" i="1"/>
  <c r="F17" i="1" s="1"/>
  <c r="E7" i="1"/>
  <c r="F7" i="1" s="1"/>
  <c r="E5" i="1"/>
  <c r="F5" i="1" s="1"/>
  <c r="E16" i="1"/>
  <c r="F16" i="1" s="1"/>
  <c r="E13" i="1"/>
  <c r="F13" i="1" s="1"/>
  <c r="E15" i="1"/>
  <c r="F15" i="1" s="1"/>
  <c r="E11" i="1"/>
  <c r="F11" i="1" s="1"/>
</calcChain>
</file>

<file path=xl/sharedStrings.xml><?xml version="1.0" encoding="utf-8"?>
<sst xmlns="http://schemas.openxmlformats.org/spreadsheetml/2006/main" count="35" uniqueCount="34">
  <si>
    <t>STT</t>
  </si>
  <si>
    <t>Năm 2025</t>
  </si>
  <si>
    <t>Năm 2026</t>
  </si>
  <si>
    <t>Tăng giảm VND</t>
  </si>
  <si>
    <t>Tăng giảm %</t>
  </si>
  <si>
    <t xml:space="preserve">Lý do </t>
  </si>
  <si>
    <t>Xếp theo thứ tự % chênh lệch từ lớn đến nhỏ.</t>
  </si>
  <si>
    <t xml:space="preserve">Chỉ cần liệt kê các mục phí có giá trị cả năm &gt; 500 và có chênh lệch &gt; 5% </t>
  </si>
  <si>
    <t>Khoản mục phí (cấp cost element)</t>
  </si>
  <si>
    <t>Chi phí dịch vụ, tư vấn</t>
  </si>
  <si>
    <t>Chi phí ủng hộ, hỗ trợ</t>
  </si>
  <si>
    <t>Chi phí dịch vụ môi trường</t>
  </si>
  <si>
    <t>Chi phí bảo hiểm tài sản</t>
  </si>
  <si>
    <t>Phúc lợi</t>
  </si>
  <si>
    <t>Thuê xe du lịch</t>
  </si>
  <si>
    <t>Chi phí Marketing</t>
  </si>
  <si>
    <t>Công tác</t>
  </si>
  <si>
    <t>Đồng phục</t>
  </si>
  <si>
    <t>Chi phí ngân hàng</t>
  </si>
  <si>
    <t>Chi phí tiếp khách</t>
  </si>
  <si>
    <t>Chi phí đào tạo</t>
  </si>
  <si>
    <t>Chi phí thuê xe nâng</t>
  </si>
  <si>
    <t>- Nhu cầu công tác của GĐKT tăng do mở rộng các trạm ở các khu vực
 - Nhóm dự án đi lắp máy ở các trạm
- Nhóm tự động hóa đi khảo sát, triển khai các dự án tự động hóa cho các trạm</t>
  </si>
  <si>
    <t>Tăng vay ngân hàng</t>
  </si>
  <si>
    <t>Tăng chi phí bảo hiểm tài sản do đầu tư thêm MMTB</t>
  </si>
  <si>
    <t>Cô Huệ Thu chỉ đạo lập ngân sách tài trợ: 5 tỷ</t>
  </si>
  <si>
    <t>- Tăng chi phí tiệc tất niên cuối năm, tăng bảo hiểm cấp quản lý do tăng số lượng người
- Chi phí lì xì đầu năm 2025 hạch toán vào chi phí lương 308tr, 2026 đưa vào phí phúc lợi</t>
  </si>
  <si>
    <r>
      <t xml:space="preserve">- P. Kế toán: phát sinh chi phí dự án lập NS của KPMF 288tr/ năm ( phân bổ 3 năm)
- Ban Giám đốc: Phát sinh mới giấy phép môi trường giai đoạn 2 (343tr) , giấy phép xây dựng trạm XLNT 500m3 (688tr) 
- Ban Giám đốc: Chi phí luật sư chống phá giá EU: 1.4 tỷ phân bổ từ cuối năm 2025 sang 2026 </t>
    </r>
    <r>
      <rPr>
        <b/>
        <sz val="11"/>
        <color theme="1"/>
        <rFont val="Calibri"/>
        <family val="2"/>
        <scheme val="minor"/>
      </rPr>
      <t>(chi phí này đã cắt file Danh chưa chỉnh)</t>
    </r>
  </si>
  <si>
    <t>Danh chưa chỉnh</t>
  </si>
  <si>
    <t>TGĐ chỉ đạo vẫn duy trì hội viên PRO 2026: 550tr (đã ký hợp đồng T11.2025)</t>
  </si>
  <si>
    <r>
      <t>- Chiến lược Cung Ứng: Chi phí thành lập Ban đào tạo: 500tr đã điều chỉnh cắt ngân sách</t>
    </r>
    <r>
      <rPr>
        <b/>
        <sz val="11"/>
        <rFont val="Calibri"/>
        <family val="2"/>
        <scheme val="minor"/>
      </rPr>
      <t xml:space="preserve"> ( file Danh chưa cắt)</t>
    </r>
    <r>
      <rPr>
        <sz val="11"/>
        <rFont val="Calibri"/>
        <family val="2"/>
        <scheme val="minor"/>
      </rPr>
      <t xml:space="preserve">
- Kế Toán: 120tr đào tạo </t>
    </r>
  </si>
  <si>
    <t>- Sản xuất: 3 xe thuê từ 04.2025; 1 xe thuê từ 06.2025; 1 xe thuê từ 07.2025, 5 xe thuê từ 11.2025
- Kỹ thuật: thuê xe từ T5.2025</t>
  </si>
  <si>
    <t>- Tăng chi phí bùn thải do thay đổi cơ cấu chai, vảy
- Tăng phí quan trắc môi trường giai đoạn 2 (thêm máy Star-03, YPET-01)</t>
  </si>
  <si>
    <t>ĐVT: triệu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</si>
</sst>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1" fontId="0" fillId="0" borderId="1" xfId="1" applyFont="1" applyBorder="1" applyAlignment="1">
      <alignment vertical="center" wrapText="1"/>
    </xf>
    <xf numFmtId="41" fontId="0" fillId="0" borderId="1" xfId="0" applyNumberFormat="1" applyBorder="1" applyAlignment="1">
      <alignment vertical="center" wrapText="1"/>
    </xf>
    <xf numFmtId="9" fontId="0" fillId="0" borderId="1" xfId="2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abSelected="1" zoomScale="90" zoomScaleNormal="90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4.5" x14ac:dyDescent="0.35"/>
  <cols>
    <col min="1" max="1" width="5.7265625" style="2" customWidth="1"/>
    <col min="2" max="2" width="24.453125" style="2" customWidth="1"/>
    <col min="3" max="3" width="15.453125" style="2" customWidth="1"/>
    <col min="4" max="4" width="20.81640625" style="2" customWidth="1"/>
    <col min="5" max="5" width="18.26953125" style="2" customWidth="1"/>
    <col min="6" max="6" width="21.6328125" style="2" customWidth="1"/>
    <col min="7" max="7" width="41.1796875" style="2" customWidth="1"/>
    <col min="8" max="8" width="0" style="2" hidden="1" customWidth="1"/>
    <col min="9" max="16384" width="8.7265625" style="2"/>
  </cols>
  <sheetData>
    <row r="2" spans="1:8" x14ac:dyDescent="0.35">
      <c r="B2" s="2" t="s">
        <v>33</v>
      </c>
    </row>
    <row r="3" spans="1:8" ht="29" x14ac:dyDescent="0.35">
      <c r="A3" s="1" t="s">
        <v>0</v>
      </c>
      <c r="B3" s="1" t="s">
        <v>8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8" ht="58" x14ac:dyDescent="0.35">
      <c r="A4" s="3"/>
      <c r="B4" s="3"/>
      <c r="C4" s="3"/>
      <c r="D4" s="3" t="s">
        <v>7</v>
      </c>
      <c r="E4" s="3"/>
      <c r="F4" s="3" t="s">
        <v>6</v>
      </c>
      <c r="G4" s="3"/>
    </row>
    <row r="5" spans="1:8" ht="58" x14ac:dyDescent="0.35">
      <c r="A5" s="3"/>
      <c r="B5" s="3" t="s">
        <v>20</v>
      </c>
      <c r="C5" s="4">
        <v>471.64665200000002</v>
      </c>
      <c r="D5" s="4">
        <v>1204.2149999999999</v>
      </c>
      <c r="E5" s="5">
        <f t="shared" ref="E5:E17" si="0">D5-C5</f>
        <v>732.5683479999999</v>
      </c>
      <c r="F5" s="6">
        <f t="shared" ref="F5:F17" si="1">E5/C5</f>
        <v>1.5532143499663809</v>
      </c>
      <c r="G5" s="8" t="s">
        <v>30</v>
      </c>
      <c r="H5" s="2" t="s">
        <v>28</v>
      </c>
    </row>
    <row r="6" spans="1:8" ht="58" x14ac:dyDescent="0.35">
      <c r="A6" s="3"/>
      <c r="B6" s="3" t="s">
        <v>21</v>
      </c>
      <c r="C6" s="4">
        <v>1860.871893</v>
      </c>
      <c r="D6" s="4">
        <v>3584</v>
      </c>
      <c r="E6" s="5">
        <f t="shared" si="0"/>
        <v>1723.128107</v>
      </c>
      <c r="F6" s="6">
        <f t="shared" si="1"/>
        <v>0.92597889918261023</v>
      </c>
      <c r="G6" s="7" t="s">
        <v>31</v>
      </c>
    </row>
    <row r="7" spans="1:8" ht="29" x14ac:dyDescent="0.35">
      <c r="A7" s="3"/>
      <c r="B7" s="3" t="s">
        <v>12</v>
      </c>
      <c r="C7" s="4">
        <v>929.16631300000017</v>
      </c>
      <c r="D7" s="4">
        <v>1731.9547499999999</v>
      </c>
      <c r="E7" s="5">
        <f t="shared" si="0"/>
        <v>802.7884369999997</v>
      </c>
      <c r="F7" s="6">
        <f t="shared" si="1"/>
        <v>0.8639878843735046</v>
      </c>
      <c r="G7" s="3" t="s">
        <v>24</v>
      </c>
    </row>
    <row r="8" spans="1:8" x14ac:dyDescent="0.35">
      <c r="A8" s="3"/>
      <c r="B8" s="3" t="s">
        <v>10</v>
      </c>
      <c r="C8" s="4">
        <v>5458.8505499999992</v>
      </c>
      <c r="D8" s="4">
        <v>8500.0000000000018</v>
      </c>
      <c r="E8" s="5">
        <f t="shared" si="0"/>
        <v>3041.1494500000026</v>
      </c>
      <c r="F8" s="6">
        <f t="shared" si="1"/>
        <v>0.55710436146671993</v>
      </c>
      <c r="G8" s="3" t="s">
        <v>25</v>
      </c>
    </row>
    <row r="9" spans="1:8" ht="58" x14ac:dyDescent="0.35">
      <c r="A9" s="3"/>
      <c r="B9" s="3" t="s">
        <v>11</v>
      </c>
      <c r="C9" s="4">
        <v>2110.2513300000001</v>
      </c>
      <c r="D9" s="4">
        <v>2653.6259341818763</v>
      </c>
      <c r="E9" s="5">
        <f t="shared" si="0"/>
        <v>543.37460418187629</v>
      </c>
      <c r="F9" s="6">
        <f t="shared" si="1"/>
        <v>0.25749283815491131</v>
      </c>
      <c r="G9" s="7" t="s">
        <v>32</v>
      </c>
    </row>
    <row r="10" spans="1:8" ht="87" x14ac:dyDescent="0.35">
      <c r="A10" s="3"/>
      <c r="B10" s="3" t="s">
        <v>16</v>
      </c>
      <c r="C10" s="4">
        <v>3009.6887430000002</v>
      </c>
      <c r="D10" s="4">
        <v>3601.7664820000005</v>
      </c>
      <c r="E10" s="5">
        <f t="shared" si="0"/>
        <v>592.07773900000029</v>
      </c>
      <c r="F10" s="6">
        <f t="shared" si="1"/>
        <v>0.19672391052964119</v>
      </c>
      <c r="G10" s="7" t="s">
        <v>22</v>
      </c>
    </row>
    <row r="11" spans="1:8" ht="116" x14ac:dyDescent="0.35">
      <c r="A11" s="3"/>
      <c r="B11" s="3" t="s">
        <v>9</v>
      </c>
      <c r="C11" s="4">
        <v>10084.411980999999</v>
      </c>
      <c r="D11" s="4">
        <v>11825.992032613887</v>
      </c>
      <c r="E11" s="5">
        <f t="shared" si="0"/>
        <v>1741.5800516138879</v>
      </c>
      <c r="F11" s="6">
        <f t="shared" si="1"/>
        <v>0.17270020848961665</v>
      </c>
      <c r="G11" s="7" t="s">
        <v>27</v>
      </c>
      <c r="H11" s="2" t="s">
        <v>28</v>
      </c>
    </row>
    <row r="12" spans="1:8" ht="58" x14ac:dyDescent="0.35">
      <c r="A12" s="3"/>
      <c r="B12" s="3" t="s">
        <v>13</v>
      </c>
      <c r="C12" s="4">
        <v>2955.1495290000003</v>
      </c>
      <c r="D12" s="4">
        <v>3449.8807678333342</v>
      </c>
      <c r="E12" s="5">
        <f t="shared" si="0"/>
        <v>494.73123883333392</v>
      </c>
      <c r="F12" s="6">
        <f t="shared" si="1"/>
        <v>0.16741326757862812</v>
      </c>
      <c r="G12" s="7" t="s">
        <v>26</v>
      </c>
    </row>
    <row r="13" spans="1:8" x14ac:dyDescent="0.35">
      <c r="A13" s="3"/>
      <c r="B13" s="3" t="s">
        <v>18</v>
      </c>
      <c r="C13" s="4">
        <v>668.35088300000007</v>
      </c>
      <c r="D13" s="4">
        <v>740.38683890000027</v>
      </c>
      <c r="E13" s="5">
        <f t="shared" si="0"/>
        <v>72.035955900000204</v>
      </c>
      <c r="F13" s="6">
        <f t="shared" si="1"/>
        <v>0.10778164244603863</v>
      </c>
      <c r="G13" s="3" t="s">
        <v>23</v>
      </c>
    </row>
    <row r="14" spans="1:8" ht="29" x14ac:dyDescent="0.35">
      <c r="A14" s="3"/>
      <c r="B14" s="3" t="s">
        <v>15</v>
      </c>
      <c r="C14" s="4">
        <v>5991.535128999999</v>
      </c>
      <c r="D14" s="4">
        <v>6205.4036729999989</v>
      </c>
      <c r="E14" s="5">
        <f t="shared" si="0"/>
        <v>213.86854399999993</v>
      </c>
      <c r="F14" s="6">
        <f t="shared" si="1"/>
        <v>3.5695116425979313E-2</v>
      </c>
      <c r="G14" s="3" t="s">
        <v>29</v>
      </c>
    </row>
    <row r="15" spans="1:8" x14ac:dyDescent="0.35">
      <c r="A15" s="3"/>
      <c r="B15" s="3" t="s">
        <v>17</v>
      </c>
      <c r="C15" s="4">
        <v>565.22671100000002</v>
      </c>
      <c r="D15" s="4">
        <v>534.30044464262664</v>
      </c>
      <c r="E15" s="5">
        <f t="shared" si="0"/>
        <v>-30.926266357373379</v>
      </c>
      <c r="F15" s="6">
        <f t="shared" si="1"/>
        <v>-5.4714799841392096E-2</v>
      </c>
      <c r="G15" s="3"/>
    </row>
    <row r="16" spans="1:8" x14ac:dyDescent="0.35">
      <c r="A16" s="3"/>
      <c r="B16" s="3" t="s">
        <v>19</v>
      </c>
      <c r="C16" s="4">
        <f>761.229016+150</f>
        <v>911.229016</v>
      </c>
      <c r="D16" s="4">
        <v>828.79377799999986</v>
      </c>
      <c r="E16" s="5">
        <f t="shared" si="0"/>
        <v>-82.43523800000014</v>
      </c>
      <c r="F16" s="6">
        <f t="shared" si="1"/>
        <v>-9.0465993238301512E-2</v>
      </c>
      <c r="G16" s="3"/>
    </row>
    <row r="17" spans="1:7" x14ac:dyDescent="0.35">
      <c r="A17" s="3"/>
      <c r="B17" s="3" t="s">
        <v>14</v>
      </c>
      <c r="C17" s="4">
        <v>2122.0615459999999</v>
      </c>
      <c r="D17" s="4">
        <v>1812</v>
      </c>
      <c r="E17" s="5">
        <f t="shared" si="0"/>
        <v>-310.06154599999991</v>
      </c>
      <c r="F17" s="6">
        <f t="shared" si="1"/>
        <v>-0.14611336159615793</v>
      </c>
      <c r="G17" s="3"/>
    </row>
    <row r="18" spans="1:7" x14ac:dyDescent="0.35">
      <c r="A18" s="3"/>
      <c r="B18" s="3"/>
      <c r="C18" s="3"/>
      <c r="D18" s="4"/>
      <c r="E18" s="3"/>
      <c r="F18" s="3"/>
      <c r="G18" s="3"/>
    </row>
    <row r="19" spans="1:7" x14ac:dyDescent="0.35">
      <c r="A19" s="3"/>
      <c r="B19" s="3"/>
      <c r="C19" s="3"/>
      <c r="D19" s="4"/>
      <c r="E19" s="3"/>
      <c r="F19" s="3"/>
      <c r="G19" s="3"/>
    </row>
    <row r="20" spans="1:7" x14ac:dyDescent="0.35">
      <c r="A20" s="3"/>
      <c r="B20" s="3"/>
      <c r="C20" s="3"/>
      <c r="D20" s="4"/>
      <c r="E20" s="3"/>
      <c r="F20" s="3"/>
      <c r="G20" s="3"/>
    </row>
    <row r="21" spans="1:7" x14ac:dyDescent="0.35">
      <c r="A21" s="3"/>
      <c r="B21" s="3"/>
      <c r="C21" s="3"/>
      <c r="D21" s="4"/>
      <c r="E21" s="3"/>
      <c r="F21" s="3"/>
      <c r="G21" s="3"/>
    </row>
    <row r="22" spans="1:7" x14ac:dyDescent="0.35">
      <c r="A22" s="3"/>
      <c r="B22" s="3"/>
      <c r="C22" s="3"/>
      <c r="D22" s="4"/>
      <c r="E22" s="3"/>
      <c r="F22" s="3"/>
      <c r="G22" s="3"/>
    </row>
  </sheetData>
  <autoFilter ref="A4:G4" xr:uid="{00000000-0001-0000-0000-000000000000}">
    <sortState xmlns:xlrd2="http://schemas.microsoft.com/office/spreadsheetml/2017/richdata2" ref="A5:G17">
      <sortCondition descending="1" ref="F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Hoàng, Phạm Đình</dc:creator>
  <cp:lastModifiedBy>Diễm, Nguyễn Thị Thanh</cp:lastModifiedBy>
  <dcterms:created xsi:type="dcterms:W3CDTF">2015-06-05T18:17:20Z</dcterms:created>
  <dcterms:modified xsi:type="dcterms:W3CDTF">2025-11-21T09:38:30Z</dcterms:modified>
</cp:coreProperties>
</file>